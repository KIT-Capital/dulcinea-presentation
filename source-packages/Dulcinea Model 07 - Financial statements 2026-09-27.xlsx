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media/image2.tmp" ContentType="image/jpeg"/>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Cidale Dropbox Dropbox\Ricardo Cidale\Cidale Interests\Companies\Dulcinea\Financial\"/>
    </mc:Choice>
  </mc:AlternateContent>
  <xr:revisionPtr revIDLastSave="0" documentId="13_ncr:1_{816107D1-67F7-4B3B-BF36-F3063D8C077F}" xr6:coauthVersionLast="47" xr6:coauthVersionMax="47" xr10:uidLastSave="{00000000-0000-0000-0000-000000000000}"/>
  <bookViews>
    <workbookView xWindow="9696" yWindow="1764" windowWidth="42072" windowHeight="20952" firstSheet="2" activeTab="4" xr2:uid="{6E37A1CA-3C5C-419C-80D9-27F218006B63}"/>
  </bookViews>
  <sheets>
    <sheet name="Cover" sheetId="15" r:id="rId1"/>
    <sheet name="Dashboard" sheetId="16" r:id="rId2"/>
    <sheet name="Input" sheetId="1" r:id="rId3"/>
    <sheet name="The Buy Box" sheetId="30" r:id="rId4"/>
    <sheet name="Income Statement" sheetId="4" r:id="rId5"/>
    <sheet name="Statement of Cash Flows" sheetId="10" r:id="rId6"/>
    <sheet name="Balance Sheet" sheetId="9" r:id="rId7"/>
    <sheet name="Investor Return" sheetId="11" r:id="rId8"/>
    <sheet name="Sources &amp; Uses" sheetId="6" r:id="rId9"/>
    <sheet name="Portfolio Analysis" sheetId="19" r:id="rId10"/>
    <sheet name="Properties" sheetId="2" r:id="rId11"/>
    <sheet name="Property Detail" sheetId="13" r:id="rId12"/>
    <sheet name="Medellín Market Data" sheetId="21" r:id="rId13"/>
    <sheet name="ServCo Financials" sheetId="5" r:id="rId14"/>
    <sheet name="ServCo Personnel US" sheetId="24" state="hidden" r:id="rId15"/>
    <sheet name="ServCo Personnel Colombia" sheetId="25" r:id="rId16"/>
    <sheet name="Lola &amp; Ber" sheetId="29" r:id="rId17"/>
    <sheet name="Business Description" sheetId="28" r:id="rId18"/>
    <sheet name="Notes to Financials" sheetId="31" r:id="rId19"/>
    <sheet name="Glossary" sheetId="14" r:id="rId20"/>
    <sheet name="_Month Engine" sheetId="3" r:id="rId21"/>
    <sheet name="_Seasonality" sheetId="26" r:id="rId22"/>
    <sheet name="_Forced Assumptions" sheetId="20" r:id="rId23"/>
    <sheet name="_IRR Engine" sheetId="22" r:id="rId24"/>
    <sheet name="_ICP Archive" sheetId="27" r:id="rId25"/>
    <sheet name="_Handoff" sheetId="12" r:id="rId26"/>
  </sheets>
  <definedNames>
    <definedName name="_xlnm.Print_Area" localSheetId="6">'Balance Sheet'!$A$1:$G$22</definedName>
    <definedName name="_xlnm.Print_Area" localSheetId="0">Cover!$A$1:$F$29</definedName>
    <definedName name="_xlnm.Print_Area" localSheetId="1">Dashboard!$A$1:$G$63</definedName>
    <definedName name="_xlnm.Print_Area" localSheetId="19">Glossary!$A$1:$C$148</definedName>
    <definedName name="_xlnm.Print_Area" localSheetId="4">'Income Statement'!$A$1:$G$82</definedName>
    <definedName name="_xlnm.Print_Area" localSheetId="2">Input!$A$1:$K$169</definedName>
    <definedName name="_xlnm.Print_Area" localSheetId="7">'Investor Return'!$A$1:$L$25</definedName>
    <definedName name="_xlnm.Print_Area" localSheetId="12">'Medellín Market Data'!$A$1:$X$63</definedName>
    <definedName name="_xlnm.Print_Area" localSheetId="9">'Portfolio Analysis'!$A$1:$M$80</definedName>
    <definedName name="_xlnm.Print_Area" localSheetId="10">Properties!$A$1:$AF$27</definedName>
    <definedName name="_xlnm.Print_Area" localSheetId="11">'Property Detail'!$A$1:$G$245</definedName>
    <definedName name="_xlnm.Print_Area" localSheetId="13">'ServCo Financials'!$A$1:$H$68</definedName>
    <definedName name="_xlnm.Print_Area" localSheetId="15">'ServCo Personnel Colombia'!$A$1:$I$15</definedName>
    <definedName name="_xlnm.Print_Area" localSheetId="8">'Sources &amp; Uses'!$A$1:$C$24</definedName>
    <definedName name="_xlnm.Print_Area" localSheetId="5">'Statement of Cash Flows'!$A$1:$G$68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C25" i="31" l="1"/>
  <c r="C10" i="31"/>
  <c r="C8" i="31"/>
  <c r="C9" i="31"/>
  <c r="C11" i="31"/>
  <c r="C14" i="31"/>
  <c r="C17" i="31"/>
  <c r="C18" i="31"/>
  <c r="C20" i="31"/>
  <c r="C21" i="31"/>
  <c r="C22" i="31"/>
  <c r="C26" i="31"/>
  <c r="C160" i="4"/>
  <c r="D160" i="4"/>
  <c r="E160" i="4"/>
  <c r="F160" i="4"/>
  <c r="G160" i="4"/>
  <c r="H160" i="4"/>
  <c r="I160" i="4"/>
  <c r="J160" i="4"/>
  <c r="K160" i="4"/>
  <c r="L160" i="4"/>
  <c r="G156" i="4"/>
  <c r="H156" i="4"/>
  <c r="I156" i="4"/>
  <c r="J156" i="4"/>
  <c r="K156" i="4"/>
  <c r="L156" i="4"/>
  <c r="C148" i="4"/>
  <c r="D148" i="4"/>
  <c r="E148" i="4"/>
  <c r="F148" i="4"/>
  <c r="G148" i="4"/>
  <c r="H148" i="4"/>
  <c r="I148" i="4"/>
  <c r="J148" i="4"/>
  <c r="K148" i="4"/>
  <c r="L148" i="4"/>
  <c r="B94" i="19"/>
  <c r="C112" i="14"/>
  <c r="C106" i="1"/>
  <c r="E60" i="5"/>
  <c r="I24" i="5"/>
  <c r="J24" i="5"/>
  <c r="K24" i="5"/>
  <c r="L24" i="5"/>
  <c r="C97" i="14"/>
  <c r="C74" i="14"/>
  <c r="B36" i="5"/>
  <c r="B16" i="5"/>
  <c r="D159" i="1"/>
  <c r="AK19" i="2" a="1"/>
  <c r="AK19" i="2" s="1"/>
  <c r="AK18" i="2" a="1"/>
  <c r="AK18" i="2" s="1"/>
  <c r="AK17" i="2" a="1"/>
  <c r="AK17" i="2" s="1"/>
  <c r="AK16" i="2" a="1"/>
  <c r="AK16" i="2" s="1"/>
  <c r="K85" i="19" a="1"/>
  <c r="K85" i="19" s="1"/>
  <c r="K84" i="19" a="1"/>
  <c r="K84" i="19" s="1"/>
  <c r="K83" i="19" a="1"/>
  <c r="K83" i="19" s="1"/>
  <c r="K82" i="19" a="1"/>
  <c r="K82" i="19" s="1"/>
  <c r="K81" i="19" a="1"/>
  <c r="K81" i="19" s="1"/>
  <c r="I53" i="19" a="1"/>
  <c r="I53" i="19" s="1"/>
  <c r="H53" i="19" a="1"/>
  <c r="H53" i="19" s="1"/>
  <c r="G53" i="19" a="1"/>
  <c r="G53" i="19" s="1"/>
  <c r="F53" i="19" a="1"/>
  <c r="F53" i="19" s="1"/>
  <c r="E53" i="19" a="1"/>
  <c r="E53" i="19" s="1"/>
  <c r="D53" i="19" a="1"/>
  <c r="D53" i="19" s="1"/>
  <c r="I52" i="19" a="1"/>
  <c r="I52" i="19" s="1"/>
  <c r="H52" i="19" a="1"/>
  <c r="H52" i="19" s="1"/>
  <c r="G52" i="19" a="1"/>
  <c r="G52" i="19" s="1"/>
  <c r="F52" i="19" a="1"/>
  <c r="F52" i="19" s="1"/>
  <c r="E52" i="19" a="1"/>
  <c r="E52" i="19" s="1"/>
  <c r="D52" i="19" a="1"/>
  <c r="D52" i="19" s="1"/>
  <c r="I51" i="19" a="1"/>
  <c r="I51" i="19" s="1"/>
  <c r="H51" i="19" a="1"/>
  <c r="H51" i="19" s="1"/>
  <c r="G51" i="19" a="1"/>
  <c r="G51" i="19" s="1"/>
  <c r="F51" i="19" a="1"/>
  <c r="F51" i="19" s="1"/>
  <c r="E51" i="19" a="1"/>
  <c r="E51" i="19" s="1"/>
  <c r="D51" i="19" a="1"/>
  <c r="D51" i="19" s="1"/>
  <c r="I50" i="19" a="1"/>
  <c r="I50" i="19" s="1"/>
  <c r="H50" i="19" a="1"/>
  <c r="H50" i="19" s="1"/>
  <c r="G50" i="19" a="1"/>
  <c r="G50" i="19" s="1"/>
  <c r="F50" i="19" a="1"/>
  <c r="F50" i="19" s="1"/>
  <c r="E50" i="19" a="1"/>
  <c r="E50" i="19" s="1"/>
  <c r="D50" i="19" a="1"/>
  <c r="D50" i="19" s="1"/>
  <c r="I49" i="19" a="1"/>
  <c r="I49" i="19" s="1"/>
  <c r="H49" i="19" a="1"/>
  <c r="H49" i="19" s="1"/>
  <c r="G49" i="19" a="1"/>
  <c r="G49" i="19" s="1"/>
  <c r="F49" i="19" a="1"/>
  <c r="F49" i="19" s="1"/>
  <c r="E49" i="19" a="1"/>
  <c r="E49" i="19" s="1"/>
  <c r="D49" i="19" a="1"/>
  <c r="D49" i="19" s="1"/>
  <c r="I39" i="19" a="1"/>
  <c r="I39" i="19" s="1"/>
  <c r="H39" i="19" a="1"/>
  <c r="H39" i="19" s="1"/>
  <c r="G39" i="19" a="1"/>
  <c r="G39" i="19" s="1"/>
  <c r="F39" i="19" a="1"/>
  <c r="F39" i="19" s="1"/>
  <c r="E39" i="19" a="1"/>
  <c r="E39" i="19" s="1"/>
  <c r="D39" i="19" a="1"/>
  <c r="D39" i="19" s="1"/>
  <c r="I38" i="19" a="1"/>
  <c r="I38" i="19" s="1"/>
  <c r="H38" i="19" a="1"/>
  <c r="H38" i="19" s="1"/>
  <c r="G38" i="19" a="1"/>
  <c r="G38" i="19" s="1"/>
  <c r="F38" i="19" a="1"/>
  <c r="F38" i="19" s="1"/>
  <c r="E38" i="19" a="1"/>
  <c r="E38" i="19" s="1"/>
  <c r="D38" i="19" a="1"/>
  <c r="D38" i="19" s="1"/>
  <c r="I37" i="19" a="1"/>
  <c r="I37" i="19" s="1"/>
  <c r="H37" i="19" a="1"/>
  <c r="H37" i="19" s="1"/>
  <c r="G37" i="19" a="1"/>
  <c r="G37" i="19" s="1"/>
  <c r="F37" i="19" a="1"/>
  <c r="F37" i="19" s="1"/>
  <c r="E37" i="19" a="1"/>
  <c r="E37" i="19" s="1"/>
  <c r="D37" i="19" a="1"/>
  <c r="D37" i="19" s="1"/>
  <c r="I36" i="19" a="1"/>
  <c r="I36" i="19" s="1"/>
  <c r="H36" i="19" a="1"/>
  <c r="H36" i="19" s="1"/>
  <c r="G36" i="19" a="1"/>
  <c r="G36" i="19" s="1"/>
  <c r="F36" i="19" a="1"/>
  <c r="F36" i="19" s="1"/>
  <c r="E36" i="19" a="1"/>
  <c r="E36" i="19" s="1"/>
  <c r="D36" i="19" a="1"/>
  <c r="D36" i="19" s="1"/>
  <c r="I35" i="19" a="1"/>
  <c r="I35" i="19" s="1"/>
  <c r="H35" i="19" a="1"/>
  <c r="H35" i="19" s="1"/>
  <c r="G35" i="19" a="1"/>
  <c r="G35" i="19" s="1"/>
  <c r="F35" i="19" a="1"/>
  <c r="F35" i="19" s="1"/>
  <c r="E35" i="19" a="1"/>
  <c r="E35" i="19" s="1"/>
  <c r="D35" i="19" a="1"/>
  <c r="D35" i="19" s="1"/>
  <c r="C5" i="20"/>
  <c r="C7" i="20"/>
  <c r="C14" i="20"/>
  <c r="C16" i="14"/>
  <c r="C73" i="14"/>
  <c r="C75" i="14"/>
  <c r="C80" i="14"/>
  <c r="C85" i="14"/>
  <c r="C86" i="14"/>
  <c r="C92" i="14"/>
  <c r="C93" i="14"/>
  <c r="C95" i="14"/>
  <c r="C96" i="14"/>
  <c r="C101" i="14"/>
  <c r="C103" i="14"/>
  <c r="C104" i="14"/>
  <c r="C105" i="14"/>
  <c r="C106" i="14"/>
  <c r="C108" i="14"/>
  <c r="C111" i="14"/>
  <c r="C113" i="14"/>
  <c r="C114" i="14"/>
  <c r="C118" i="14"/>
  <c r="C123" i="14"/>
  <c r="C142" i="14"/>
  <c r="C143" i="14"/>
  <c r="B2" i="21"/>
  <c r="C33" i="21"/>
  <c r="C39" i="21" s="1"/>
  <c r="C35" i="21"/>
  <c r="C36" i="21"/>
  <c r="C37" i="21"/>
  <c r="C50" i="21"/>
  <c r="C61" i="21"/>
  <c r="D61" i="21"/>
  <c r="E61" i="21"/>
  <c r="F61" i="21"/>
  <c r="C201" i="19" a="1"/>
  <c r="C201" i="19" s="1"/>
  <c r="E201" i="19" a="1"/>
  <c r="E201" i="19" s="1"/>
  <c r="H201" i="19" s="1" a="1"/>
  <c r="H201" i="19" s="1"/>
  <c r="F201" i="19" a="1"/>
  <c r="F201" i="19" s="1"/>
  <c r="C202" i="19" a="1"/>
  <c r="C202" i="19" s="1"/>
  <c r="E202" i="19" a="1"/>
  <c r="E202" i="19" s="1"/>
  <c r="H202" i="19" s="1" a="1"/>
  <c r="H202" i="19" s="1"/>
  <c r="F202" i="19" a="1"/>
  <c r="F202" i="19" s="1"/>
  <c r="C203" i="19" a="1"/>
  <c r="C203" i="19" s="1"/>
  <c r="E203" i="19" a="1"/>
  <c r="E203" i="19" s="1"/>
  <c r="H203" i="19" s="1" a="1"/>
  <c r="H203" i="19" s="1"/>
  <c r="F203" i="19" a="1"/>
  <c r="F203" i="19" s="1"/>
  <c r="C204" i="19" a="1"/>
  <c r="C204" i="19" s="1"/>
  <c r="E204" i="19" a="1"/>
  <c r="E204" i="19" s="1"/>
  <c r="H204" i="19" s="1" a="1"/>
  <c r="H204" i="19" s="1"/>
  <c r="F204" i="19" a="1"/>
  <c r="F204" i="19" s="1"/>
  <c r="C205" i="19" a="1"/>
  <c r="C205" i="19" s="1"/>
  <c r="E205" i="19" a="1"/>
  <c r="E205" i="19" s="1"/>
  <c r="H205" i="19" s="1" a="1"/>
  <c r="H205" i="19" s="1"/>
  <c r="F205" i="19" a="1"/>
  <c r="F205" i="19" s="1"/>
  <c r="C106" i="19" a="1"/>
  <c r="C106" i="19" s="1"/>
  <c r="C107" i="19" a="1"/>
  <c r="C107" i="19" s="1"/>
  <c r="C108" i="19" a="1"/>
  <c r="C108" i="19" s="1"/>
  <c r="C109" i="19" a="1"/>
  <c r="C109" i="19" s="1"/>
  <c r="C110" i="19" a="1"/>
  <c r="C110" i="19" s="1"/>
  <c r="C111" i="19" a="1"/>
  <c r="C111" i="19" s="1"/>
  <c r="C112" i="19" a="1"/>
  <c r="C112" i="19" s="1"/>
  <c r="C113" i="19" a="1"/>
  <c r="C113" i="19" s="1"/>
  <c r="C114" i="19" a="1"/>
  <c r="C114" i="19" s="1"/>
  <c r="C115" i="19" a="1"/>
  <c r="C115" i="19" s="1"/>
  <c r="C123" i="19"/>
  <c r="C125" i="19"/>
  <c r="D154" i="19"/>
  <c r="F154" i="19"/>
  <c r="G155" i="19" s="1"/>
  <c r="F155" i="19"/>
  <c r="C196" i="19" a="1"/>
  <c r="C196" i="19" s="1"/>
  <c r="E196" i="19" a="1"/>
  <c r="E196" i="19" s="1"/>
  <c r="F196" i="19" a="1"/>
  <c r="F196" i="19" s="1"/>
  <c r="C197" i="19" a="1"/>
  <c r="C197" i="19" s="1"/>
  <c r="E197" i="19" a="1"/>
  <c r="E197" i="19" s="1"/>
  <c r="F197" i="19" a="1"/>
  <c r="F197" i="19" s="1"/>
  <c r="C198" i="19" a="1"/>
  <c r="C198" i="19" s="1"/>
  <c r="E198" i="19" a="1"/>
  <c r="E198" i="19" s="1"/>
  <c r="F198" i="19" a="1"/>
  <c r="F198" i="19" s="1"/>
  <c r="C199" i="19" a="1"/>
  <c r="C199" i="19" s="1"/>
  <c r="E199" i="19" a="1"/>
  <c r="E199" i="19" s="1"/>
  <c r="F199" i="19" a="1"/>
  <c r="F199" i="19" s="1"/>
  <c r="C200" i="19" a="1"/>
  <c r="C200" i="19" s="1"/>
  <c r="E200" i="19" a="1"/>
  <c r="E200" i="19" s="1"/>
  <c r="F200" i="19" a="1"/>
  <c r="F200" i="19" s="1"/>
  <c r="D3" i="19"/>
  <c r="F3" i="19"/>
  <c r="I7" i="19" s="1"/>
  <c r="H3" i="19"/>
  <c r="J7" i="19"/>
  <c r="C16" i="19"/>
  <c r="D27" i="19"/>
  <c r="D43" i="19" s="1"/>
  <c r="E27" i="19"/>
  <c r="E43" i="19" s="1"/>
  <c r="F27" i="19"/>
  <c r="F43" i="19" s="1"/>
  <c r="G27" i="19"/>
  <c r="G29" i="19" s="1"/>
  <c r="H27" i="19"/>
  <c r="H29" i="19" s="1"/>
  <c r="I27" i="19"/>
  <c r="C35" i="19" a="1"/>
  <c r="C35" i="19" s="1"/>
  <c r="J35" i="19"/>
  <c r="K35" i="19" a="1"/>
  <c r="K35" i="19" s="1"/>
  <c r="C36" i="19" a="1"/>
  <c r="C36" i="19" s="1"/>
  <c r="J36" i="19"/>
  <c r="K36" i="19" a="1"/>
  <c r="K36" i="19" s="1"/>
  <c r="C37" i="19" a="1"/>
  <c r="C37" i="19" s="1"/>
  <c r="J37" i="19"/>
  <c r="K37" i="19" a="1"/>
  <c r="K37" i="19" s="1"/>
  <c r="C38" i="19" a="1"/>
  <c r="C38" i="19" s="1"/>
  <c r="J38" i="19"/>
  <c r="K38" i="19" a="1"/>
  <c r="K38" i="19" s="1"/>
  <c r="C39" i="19" a="1"/>
  <c r="C39" i="19" s="1"/>
  <c r="J39" i="19"/>
  <c r="K39" i="19" a="1"/>
  <c r="K39" i="19" s="1"/>
  <c r="C49" i="19" a="1"/>
  <c r="C49" i="19" s="1"/>
  <c r="J49" i="19"/>
  <c r="K49" i="19" a="1"/>
  <c r="K49" i="19" s="1"/>
  <c r="C50" i="19" a="1"/>
  <c r="C50" i="19" s="1"/>
  <c r="J50" i="19"/>
  <c r="K50" i="19" a="1"/>
  <c r="K50" i="19" s="1"/>
  <c r="C51" i="19" a="1"/>
  <c r="C51" i="19" s="1"/>
  <c r="J51" i="19"/>
  <c r="K51" i="19" a="1"/>
  <c r="K51" i="19" s="1"/>
  <c r="C52" i="19" a="1"/>
  <c r="C52" i="19" s="1"/>
  <c r="J52" i="19"/>
  <c r="K52" i="19" a="1"/>
  <c r="K52" i="19" s="1"/>
  <c r="C53" i="19" a="1"/>
  <c r="C53" i="19" s="1"/>
  <c r="J53" i="19"/>
  <c r="K53" i="19" a="1"/>
  <c r="K53" i="19" s="1"/>
  <c r="B57" i="19"/>
  <c r="J59" i="19"/>
  <c r="K59" i="19"/>
  <c r="C61" i="19" a="1"/>
  <c r="C61" i="19" s="1"/>
  <c r="D61" i="19"/>
  <c r="F61" i="19" s="1"/>
  <c r="G61" i="19" s="1"/>
  <c r="C62" i="19" a="1"/>
  <c r="C62" i="19" s="1"/>
  <c r="F62" i="19"/>
  <c r="G62" i="19" s="1"/>
  <c r="J62" i="19"/>
  <c r="K62" i="19" s="1"/>
  <c r="Q6" i="2" s="1"/>
  <c r="C63" i="19" a="1"/>
  <c r="C63" i="19" s="1"/>
  <c r="E63" i="19"/>
  <c r="H63" i="19"/>
  <c r="C64" i="19" a="1"/>
  <c r="C64" i="19" s="1"/>
  <c r="E64" i="19"/>
  <c r="H64" i="19"/>
  <c r="C65" i="19" a="1"/>
  <c r="C65" i="19" s="1"/>
  <c r="E65" i="19"/>
  <c r="H65" i="19"/>
  <c r="C66" i="19" a="1"/>
  <c r="C66" i="19" s="1"/>
  <c r="E66" i="19"/>
  <c r="F66" i="19"/>
  <c r="G66" i="19" s="1"/>
  <c r="H66" i="19"/>
  <c r="I66" i="19"/>
  <c r="J66" i="19"/>
  <c r="K66" i="19" s="1"/>
  <c r="C67" i="19" a="1"/>
  <c r="C67" i="19" s="1"/>
  <c r="E67" i="19"/>
  <c r="F67" i="19"/>
  <c r="G67" i="19" s="1"/>
  <c r="H67" i="19"/>
  <c r="I67" i="19"/>
  <c r="J67" i="19"/>
  <c r="K67" i="19" s="1"/>
  <c r="C68" i="19" a="1"/>
  <c r="C68" i="19" s="1"/>
  <c r="E68" i="19"/>
  <c r="F68" i="19"/>
  <c r="G68" i="19" s="1"/>
  <c r="H68" i="19"/>
  <c r="I68" i="19"/>
  <c r="J68" i="19"/>
  <c r="K68" i="19" s="1"/>
  <c r="C69" i="19" a="1"/>
  <c r="C69" i="19" s="1"/>
  <c r="E69" i="19"/>
  <c r="F69" i="19"/>
  <c r="G69" i="19" s="1"/>
  <c r="H69" i="19"/>
  <c r="I69" i="19"/>
  <c r="J69" i="19"/>
  <c r="K69" i="19" s="1"/>
  <c r="C70" i="19" a="1"/>
  <c r="C70" i="19" s="1"/>
  <c r="E70" i="19"/>
  <c r="F70" i="19"/>
  <c r="G70" i="19" s="1"/>
  <c r="H70" i="19"/>
  <c r="I70" i="19"/>
  <c r="J70" i="19"/>
  <c r="K70" i="19" s="1"/>
  <c r="B73" i="19"/>
  <c r="J74" i="19"/>
  <c r="K74" i="19"/>
  <c r="C76" i="19" a="1"/>
  <c r="C76" i="19" s="1"/>
  <c r="E76" i="19"/>
  <c r="L76" i="19"/>
  <c r="C77" i="19" a="1"/>
  <c r="C77" i="19" s="1"/>
  <c r="E77" i="19"/>
  <c r="L77" i="19"/>
  <c r="C78" i="19" a="1"/>
  <c r="C78" i="19" s="1"/>
  <c r="E78" i="19"/>
  <c r="L78" i="19"/>
  <c r="C79" i="19" a="1"/>
  <c r="C79" i="19" s="1"/>
  <c r="E79" i="19"/>
  <c r="L79" i="19"/>
  <c r="C80" i="19" a="1"/>
  <c r="C80" i="19" s="1"/>
  <c r="E80" i="19"/>
  <c r="L80" i="19"/>
  <c r="C81" i="19" a="1"/>
  <c r="C81" i="19" s="1"/>
  <c r="D81" i="19"/>
  <c r="E81" i="19"/>
  <c r="F81" i="19"/>
  <c r="G81" i="19"/>
  <c r="H81" i="19" a="1"/>
  <c r="H81" i="19" s="1"/>
  <c r="I81" i="19"/>
  <c r="J81" i="19"/>
  <c r="L81" i="19"/>
  <c r="C82" i="19" a="1"/>
  <c r="C82" i="19" s="1"/>
  <c r="D82" i="19"/>
  <c r="E82" i="19"/>
  <c r="F82" i="19"/>
  <c r="G82" i="19"/>
  <c r="H82" i="19" a="1"/>
  <c r="H82" i="19" s="1"/>
  <c r="I82" i="19"/>
  <c r="J82" i="19"/>
  <c r="L82" i="19"/>
  <c r="C83" i="19" a="1"/>
  <c r="C83" i="19" s="1"/>
  <c r="D83" i="19"/>
  <c r="E83" i="19"/>
  <c r="F83" i="19"/>
  <c r="G83" i="19"/>
  <c r="H83" i="19" a="1"/>
  <c r="H83" i="19" s="1"/>
  <c r="I83" i="19"/>
  <c r="J83" i="19"/>
  <c r="L83" i="19"/>
  <c r="C84" i="19" a="1"/>
  <c r="C84" i="19" s="1"/>
  <c r="D84" i="19"/>
  <c r="E84" i="19"/>
  <c r="F84" i="19"/>
  <c r="G84" i="19"/>
  <c r="H84" i="19" a="1"/>
  <c r="H84" i="19" s="1"/>
  <c r="I84" i="19"/>
  <c r="J84" i="19"/>
  <c r="L84" i="19"/>
  <c r="C85" i="19" a="1"/>
  <c r="C85" i="19" s="1"/>
  <c r="D85" i="19"/>
  <c r="E85" i="19"/>
  <c r="F85" i="19"/>
  <c r="G85" i="19"/>
  <c r="H85" i="19" a="1"/>
  <c r="H85" i="19" s="1"/>
  <c r="I85" i="19"/>
  <c r="J85" i="19"/>
  <c r="L85" i="19"/>
  <c r="C4" i="4"/>
  <c r="C82" i="16" s="1"/>
  <c r="D4" i="4"/>
  <c r="D5" i="4" s="1"/>
  <c r="E4" i="4"/>
  <c r="E82" i="16" s="1"/>
  <c r="F4" i="4"/>
  <c r="F5" i="4" s="1"/>
  <c r="G4" i="4"/>
  <c r="G82" i="16" s="1"/>
  <c r="H4" i="4"/>
  <c r="H82" i="16" s="1"/>
  <c r="I4" i="4"/>
  <c r="I79" i="16" s="1"/>
  <c r="J4" i="4"/>
  <c r="K4" i="4"/>
  <c r="L4" i="4"/>
  <c r="B80" i="1"/>
  <c r="G80" i="1" s="1"/>
  <c r="U80" i="1"/>
  <c r="B81" i="1"/>
  <c r="G81" i="1" s="1"/>
  <c r="U81" i="1"/>
  <c r="B82" i="1"/>
  <c r="G82" i="1" s="1"/>
  <c r="U82" i="1"/>
  <c r="B83" i="1"/>
  <c r="G83" i="1" s="1"/>
  <c r="U83" i="1"/>
  <c r="B84" i="1"/>
  <c r="L84" i="1" s="1"/>
  <c r="U84" i="1"/>
  <c r="B85" i="1"/>
  <c r="N85" i="1" s="1"/>
  <c r="C85" i="1"/>
  <c r="U85" i="1"/>
  <c r="B86" i="1"/>
  <c r="K86" i="1" s="1"/>
  <c r="C86" i="1"/>
  <c r="U86" i="1"/>
  <c r="B87" i="1"/>
  <c r="K87" i="1" s="1"/>
  <c r="C87" i="1"/>
  <c r="U87" i="1"/>
  <c r="B88" i="1"/>
  <c r="L88" i="1" s="1"/>
  <c r="C88" i="1"/>
  <c r="U88" i="1"/>
  <c r="B89" i="1"/>
  <c r="L89" i="1" s="1"/>
  <c r="C89" i="1"/>
  <c r="U89" i="1"/>
  <c r="D38" i="1"/>
  <c r="C42" i="1"/>
  <c r="C43" i="1"/>
  <c r="C50" i="1"/>
  <c r="C10" i="16" s="1"/>
  <c r="D54" i="1"/>
  <c r="D55" i="1"/>
  <c r="C8" i="16"/>
  <c r="G22" i="16"/>
  <c r="G24" i="16"/>
  <c r="G25" i="16"/>
  <c r="G26" i="16"/>
  <c r="B92" i="16" a="1"/>
  <c r="B92" i="16" s="1"/>
  <c r="C92" i="16" a="1"/>
  <c r="C92" i="16" s="1"/>
  <c r="D92" i="16" a="1"/>
  <c r="D92" i="16" s="1"/>
  <c r="B93" i="16" a="1"/>
  <c r="B93" i="16" s="1"/>
  <c r="C93" i="16" a="1"/>
  <c r="C93" i="16" s="1"/>
  <c r="D93" i="16" a="1"/>
  <c r="D93" i="16" s="1"/>
  <c r="B94" i="16" a="1"/>
  <c r="B94" i="16" s="1"/>
  <c r="C94" i="16" a="1"/>
  <c r="C94" i="16" s="1"/>
  <c r="D94" i="16" a="1"/>
  <c r="D94" i="16" s="1"/>
  <c r="B95" i="16" a="1"/>
  <c r="B95" i="16" s="1"/>
  <c r="C95" i="16" a="1"/>
  <c r="C95" i="16" s="1"/>
  <c r="D95" i="16" a="1"/>
  <c r="D95" i="16" s="1"/>
  <c r="B96" i="16" a="1"/>
  <c r="B96" i="16" s="1"/>
  <c r="C96" i="16" a="1"/>
  <c r="C96" i="16" s="1"/>
  <c r="D96" i="16" a="1"/>
  <c r="D96" i="16" s="1"/>
  <c r="B26" i="30"/>
  <c r="C26" i="30"/>
  <c r="D26" i="30"/>
  <c r="E26" i="30"/>
  <c r="F26" i="30"/>
  <c r="G26" i="30"/>
  <c r="B25" i="30"/>
  <c r="C25" i="30"/>
  <c r="D25" i="30"/>
  <c r="E25" i="30"/>
  <c r="F25" i="30"/>
  <c r="G25" i="30"/>
  <c r="B24" i="30"/>
  <c r="C24" i="30"/>
  <c r="D24" i="30"/>
  <c r="E24" i="30"/>
  <c r="F24" i="30"/>
  <c r="G24" i="30"/>
  <c r="B23" i="30"/>
  <c r="C23" i="30"/>
  <c r="D23" i="30"/>
  <c r="E23" i="30"/>
  <c r="F23" i="30"/>
  <c r="G23" i="30"/>
  <c r="B22" i="30"/>
  <c r="C22" i="30"/>
  <c r="D22" i="30"/>
  <c r="E22" i="30"/>
  <c r="F22" i="30"/>
  <c r="G22" i="30"/>
  <c r="A89" i="22"/>
  <c r="C89" i="22" s="1"/>
  <c r="A90" i="22"/>
  <c r="B90" i="22" s="1"/>
  <c r="A91" i="22"/>
  <c r="B91" i="22" s="1"/>
  <c r="A92" i="22"/>
  <c r="B92" i="22" s="1"/>
  <c r="A93" i="22"/>
  <c r="D93" i="22" s="1"/>
  <c r="A94" i="22"/>
  <c r="C94" i="22" s="1"/>
  <c r="A95" i="22"/>
  <c r="C95" i="22" s="1"/>
  <c r="A96" i="22"/>
  <c r="D96" i="22" s="1"/>
  <c r="A97" i="22"/>
  <c r="B97" i="22" s="1"/>
  <c r="A98" i="22"/>
  <c r="D98" i="22" s="1"/>
  <c r="A99" i="22"/>
  <c r="D99" i="22" s="1"/>
  <c r="A100" i="22"/>
  <c r="A101" i="22"/>
  <c r="D101" i="22" s="1"/>
  <c r="A102" i="22"/>
  <c r="B102" i="22" s="1"/>
  <c r="A103" i="22"/>
  <c r="D103" i="22" s="1"/>
  <c r="A104" i="22"/>
  <c r="D104" i="22" s="1"/>
  <c r="A105" i="22"/>
  <c r="B105" i="22" s="1"/>
  <c r="A106" i="22"/>
  <c r="B106" i="22" s="1"/>
  <c r="A107" i="22"/>
  <c r="B107" i="22" s="1"/>
  <c r="A108" i="22"/>
  <c r="B108" i="22" s="1"/>
  <c r="A109" i="22"/>
  <c r="D109" i="22" s="1"/>
  <c r="A110" i="22"/>
  <c r="C110" i="22" s="1"/>
  <c r="A111" i="22"/>
  <c r="C111" i="22" s="1"/>
  <c r="A112" i="22"/>
  <c r="B112" i="22" s="1"/>
  <c r="A113" i="22"/>
  <c r="B113" i="22" s="1"/>
  <c r="A114" i="22"/>
  <c r="D114" i="22" s="1"/>
  <c r="A115" i="22"/>
  <c r="D115" i="22" s="1"/>
  <c r="A116" i="22"/>
  <c r="A117" i="22"/>
  <c r="B117" i="22" s="1"/>
  <c r="A118" i="22"/>
  <c r="B118" i="22" s="1"/>
  <c r="A119" i="22"/>
  <c r="B119" i="22" s="1"/>
  <c r="A120" i="22"/>
  <c r="B120" i="22" s="1"/>
  <c r="A121" i="22"/>
  <c r="B121" i="22" s="1"/>
  <c r="A122" i="22"/>
  <c r="B122" i="22" s="1"/>
  <c r="A123" i="22"/>
  <c r="B123" i="22" s="1"/>
  <c r="A124" i="22"/>
  <c r="B124" i="22" s="1"/>
  <c r="A125" i="22"/>
  <c r="D125" i="22" s="1"/>
  <c r="Q5" i="22"/>
  <c r="A2" i="22" s="1"/>
  <c r="A6" i="22"/>
  <c r="B6" i="22" s="1"/>
  <c r="Q6" i="22"/>
  <c r="A7" i="22"/>
  <c r="C7" i="22" s="1"/>
  <c r="A8" i="22"/>
  <c r="D8" i="22" s="1"/>
  <c r="A9" i="22"/>
  <c r="B9" i="22" s="1"/>
  <c r="A10" i="22"/>
  <c r="C10" i="22" s="1"/>
  <c r="Q10" i="22"/>
  <c r="A11" i="22"/>
  <c r="D11" i="22" s="1"/>
  <c r="A12" i="22"/>
  <c r="C12" i="22" s="1"/>
  <c r="A13" i="22"/>
  <c r="B13" i="22" s="1"/>
  <c r="A14" i="22"/>
  <c r="B14" i="22" s="1"/>
  <c r="A15" i="22"/>
  <c r="D15" i="22" s="1"/>
  <c r="A16" i="22"/>
  <c r="B16" i="22" s="1"/>
  <c r="A17" i="22"/>
  <c r="A18" i="22"/>
  <c r="B18" i="22" s="1"/>
  <c r="A19" i="22"/>
  <c r="B19" i="22" s="1"/>
  <c r="A20" i="22"/>
  <c r="A21" i="22"/>
  <c r="B21" i="22" s="1"/>
  <c r="A22" i="22"/>
  <c r="A23" i="22"/>
  <c r="B23" i="22" s="1"/>
  <c r="A24" i="22"/>
  <c r="A25" i="22"/>
  <c r="B25" i="22" s="1"/>
  <c r="A26" i="22"/>
  <c r="B26" i="22" s="1"/>
  <c r="A27" i="22"/>
  <c r="B27" i="22" s="1"/>
  <c r="A28" i="22"/>
  <c r="B28" i="22" s="1"/>
  <c r="A29" i="22"/>
  <c r="B29" i="22" s="1"/>
  <c r="A30" i="22"/>
  <c r="C30" i="22" s="1"/>
  <c r="A31" i="22"/>
  <c r="A32" i="22"/>
  <c r="C32" i="22" s="1"/>
  <c r="A33" i="22"/>
  <c r="A34" i="22"/>
  <c r="D34" i="22" s="1"/>
  <c r="A35" i="22"/>
  <c r="A36" i="22"/>
  <c r="D36" i="22" s="1"/>
  <c r="A37" i="22"/>
  <c r="A38" i="22"/>
  <c r="B38" i="22" s="1"/>
  <c r="A39" i="22"/>
  <c r="A40" i="22"/>
  <c r="B40" i="22" s="1"/>
  <c r="A41" i="22"/>
  <c r="B41" i="22" s="1"/>
  <c r="A42" i="22"/>
  <c r="D42" i="22" s="1"/>
  <c r="A43" i="22"/>
  <c r="C43" i="22" s="1"/>
  <c r="A44" i="22"/>
  <c r="C44" i="22" s="1"/>
  <c r="A45" i="22"/>
  <c r="B45" i="22" s="1"/>
  <c r="A46" i="22"/>
  <c r="B46" i="22" s="1"/>
  <c r="A47" i="22"/>
  <c r="B47" i="22" s="1"/>
  <c r="A48" i="22"/>
  <c r="D48" i="22" s="1"/>
  <c r="A49" i="22"/>
  <c r="B49" i="22" s="1"/>
  <c r="A50" i="22"/>
  <c r="B50" i="22" s="1"/>
  <c r="A51" i="22"/>
  <c r="A52" i="22"/>
  <c r="B52" i="22" s="1"/>
  <c r="A53" i="22"/>
  <c r="C53" i="22" s="1"/>
  <c r="A54" i="22"/>
  <c r="B54" i="22" s="1"/>
  <c r="A55" i="22"/>
  <c r="B55" i="22" s="1"/>
  <c r="A56" i="22"/>
  <c r="B56" i="22" s="1"/>
  <c r="A57" i="22"/>
  <c r="B57" i="22" s="1"/>
  <c r="A58" i="22"/>
  <c r="D58" i="22" s="1"/>
  <c r="A59" i="22"/>
  <c r="B59" i="22" s="1"/>
  <c r="A60" i="22"/>
  <c r="D60" i="22" s="1"/>
  <c r="A61" i="22"/>
  <c r="B61" i="22" s="1"/>
  <c r="A62" i="22"/>
  <c r="C62" i="22" s="1"/>
  <c r="A63" i="22"/>
  <c r="B63" i="22" s="1"/>
  <c r="A64" i="22"/>
  <c r="B64" i="22" s="1"/>
  <c r="A65" i="22"/>
  <c r="B65" i="22" s="1"/>
  <c r="A66" i="22"/>
  <c r="B66" i="22" s="1"/>
  <c r="A67" i="22"/>
  <c r="D67" i="22" s="1"/>
  <c r="A68" i="22"/>
  <c r="B68" i="22" s="1"/>
  <c r="A69" i="22"/>
  <c r="D69" i="22" s="1"/>
  <c r="A70" i="22"/>
  <c r="C70" i="22" s="1"/>
  <c r="A71" i="22"/>
  <c r="B71" i="22" s="1"/>
  <c r="A72" i="22"/>
  <c r="A73" i="22"/>
  <c r="B73" i="22" s="1"/>
  <c r="A74" i="22"/>
  <c r="D74" i="22" s="1"/>
  <c r="A75" i="22"/>
  <c r="B75" i="22" s="1"/>
  <c r="A76" i="22"/>
  <c r="C76" i="22" s="1"/>
  <c r="A77" i="22"/>
  <c r="B77" i="22" s="1"/>
  <c r="A78" i="22"/>
  <c r="C78" i="22" s="1"/>
  <c r="A79" i="22"/>
  <c r="B79" i="22" s="1"/>
  <c r="A80" i="22"/>
  <c r="D80" i="22" s="1"/>
  <c r="A81" i="22"/>
  <c r="C81" i="22" s="1"/>
  <c r="A82" i="22"/>
  <c r="B82" i="22" s="1"/>
  <c r="A83" i="22"/>
  <c r="B83" i="22" s="1"/>
  <c r="A84" i="22"/>
  <c r="C84" i="22" s="1"/>
  <c r="A85" i="22"/>
  <c r="D85" i="22" s="1"/>
  <c r="A86" i="22"/>
  <c r="B86" i="22" s="1"/>
  <c r="A87" i="22"/>
  <c r="C87" i="22" s="1"/>
  <c r="A88" i="22"/>
  <c r="C88" i="22" s="1"/>
  <c r="C4" i="11"/>
  <c r="C5" i="11" s="1"/>
  <c r="D4" i="11"/>
  <c r="D5" i="11" s="1"/>
  <c r="E4" i="11"/>
  <c r="E5" i="11" s="1"/>
  <c r="F4" i="11"/>
  <c r="F5" i="11" s="1"/>
  <c r="G4" i="11"/>
  <c r="G5" i="11" s="1"/>
  <c r="H4" i="11"/>
  <c r="H5" i="11" s="1"/>
  <c r="I4" i="11"/>
  <c r="I5" i="11" s="1"/>
  <c r="J4" i="11"/>
  <c r="J5" i="11" s="1"/>
  <c r="K4" i="11"/>
  <c r="K5" i="11" s="1"/>
  <c r="L4" i="11"/>
  <c r="L5" i="11" s="1"/>
  <c r="B10" i="11"/>
  <c r="B18" i="11"/>
  <c r="C4" i="9"/>
  <c r="C5" i="9" s="1"/>
  <c r="D4" i="9"/>
  <c r="D5" i="9" s="1"/>
  <c r="E4" i="9"/>
  <c r="E5" i="9" s="1"/>
  <c r="F4" i="9"/>
  <c r="F5" i="9" s="1"/>
  <c r="G4" i="9"/>
  <c r="G5" i="9" s="1"/>
  <c r="H4" i="9"/>
  <c r="H5" i="9" s="1"/>
  <c r="I4" i="9"/>
  <c r="I5" i="9" s="1"/>
  <c r="J4" i="9"/>
  <c r="J5" i="9" s="1"/>
  <c r="K4" i="9"/>
  <c r="K5" i="9" s="1"/>
  <c r="L4" i="9"/>
  <c r="C9" i="9"/>
  <c r="D9" i="9"/>
  <c r="E9" i="9"/>
  <c r="F9" i="9"/>
  <c r="G9" i="9"/>
  <c r="H9" i="9"/>
  <c r="I9" i="9"/>
  <c r="J9" i="9"/>
  <c r="K9" i="9"/>
  <c r="L9" i="9"/>
  <c r="C13" i="9"/>
  <c r="C14" i="9" s="1"/>
  <c r="D13" i="9"/>
  <c r="D14" i="9" s="1"/>
  <c r="E13" i="9"/>
  <c r="E14" i="9" s="1"/>
  <c r="F13" i="9"/>
  <c r="F14" i="9" s="1"/>
  <c r="G13" i="9"/>
  <c r="G14" i="9" s="1"/>
  <c r="H13" i="9"/>
  <c r="H14" i="9" s="1"/>
  <c r="I13" i="9"/>
  <c r="I14" i="9" s="1"/>
  <c r="J13" i="9"/>
  <c r="J14" i="9" s="1"/>
  <c r="K13" i="9"/>
  <c r="K14" i="9" s="1"/>
  <c r="L13" i="9"/>
  <c r="L14" i="9" s="1"/>
  <c r="C4" i="10"/>
  <c r="C5" i="10" s="1"/>
  <c r="D4" i="10"/>
  <c r="D5" i="10" s="1"/>
  <c r="E4" i="10"/>
  <c r="E5" i="10" s="1"/>
  <c r="F4" i="10"/>
  <c r="F5" i="10" s="1"/>
  <c r="G4" i="10"/>
  <c r="G5" i="10" s="1"/>
  <c r="H4" i="10"/>
  <c r="H5" i="10" s="1"/>
  <c r="I4" i="10"/>
  <c r="I5" i="10" s="1"/>
  <c r="J4" i="10"/>
  <c r="J5" i="10" s="1"/>
  <c r="K4" i="10"/>
  <c r="L4" i="10"/>
  <c r="B40" i="28"/>
  <c r="C40" i="28"/>
  <c r="B41" i="28"/>
  <c r="C41" i="28"/>
  <c r="B42" i="28"/>
  <c r="C42" i="28"/>
  <c r="B43" i="28"/>
  <c r="C43" i="28"/>
  <c r="B44" i="28"/>
  <c r="C44" i="28"/>
  <c r="AN16" i="2"/>
  <c r="AD16" i="2" s="1"/>
  <c r="AN17" i="2"/>
  <c r="AD17" i="2" s="1"/>
  <c r="AN18" i="2"/>
  <c r="AD18" i="2" s="1"/>
  <c r="AN19" i="2"/>
  <c r="AD19" i="2" s="1"/>
  <c r="D6" i="2"/>
  <c r="B8" i="10" s="1" a="1"/>
  <c r="B8" i="10" s="1"/>
  <c r="J6" i="2"/>
  <c r="M6" i="2"/>
  <c r="O6" i="2" s="1"/>
  <c r="N6" i="2"/>
  <c r="R6" i="2" a="1"/>
  <c r="R6" i="2" s="1"/>
  <c r="D77" i="19" s="1"/>
  <c r="Z6" i="2" a="1"/>
  <c r="Z6" i="2" s="1"/>
  <c r="G196" i="19" s="1" a="1"/>
  <c r="G196" i="19" s="1"/>
  <c r="D7" i="2"/>
  <c r="D197" i="19" s="1" a="1"/>
  <c r="D197" i="19" s="1"/>
  <c r="J7" i="2"/>
  <c r="M7" i="2"/>
  <c r="O7" i="2" s="1"/>
  <c r="N7" i="2"/>
  <c r="R7" i="2" a="1"/>
  <c r="R7" i="2" s="1"/>
  <c r="Z7" i="2" a="1"/>
  <c r="Z7" i="2" s="1"/>
  <c r="G197" i="19" s="1" a="1"/>
  <c r="G197" i="19" s="1"/>
  <c r="D8" i="2"/>
  <c r="B10" i="10" s="1" a="1"/>
  <c r="B10" i="10" s="1"/>
  <c r="J8" i="2"/>
  <c r="M8" i="2"/>
  <c r="N8" i="2"/>
  <c r="R8" i="2" a="1"/>
  <c r="R8" i="2" s="1"/>
  <c r="Z8" i="2" a="1"/>
  <c r="Z8" i="2" s="1"/>
  <c r="G198" i="19" s="1" a="1"/>
  <c r="G198" i="19" s="1"/>
  <c r="D9" i="2"/>
  <c r="D199" i="19" s="1" a="1"/>
  <c r="D199" i="19" s="1"/>
  <c r="J9" i="2"/>
  <c r="M9" i="2"/>
  <c r="O9" i="2" s="1"/>
  <c r="N9" i="2"/>
  <c r="R9" i="2" a="1"/>
  <c r="R9" i="2" s="1"/>
  <c r="Z9" i="2" a="1"/>
  <c r="Z9" i="2" s="1"/>
  <c r="G199" i="19" s="1" a="1"/>
  <c r="G199" i="19" s="1"/>
  <c r="D10" i="2"/>
  <c r="B37" i="10" s="1" a="1"/>
  <c r="B37" i="10" s="1"/>
  <c r="J10" i="2"/>
  <c r="M10" i="2"/>
  <c r="O10" i="2" s="1"/>
  <c r="N10" i="2"/>
  <c r="R10" i="2" a="1"/>
  <c r="R10" i="2" s="1"/>
  <c r="Z10" i="2" a="1"/>
  <c r="Z10" i="2" s="1"/>
  <c r="G200" i="19" s="1" a="1"/>
  <c r="G200" i="19" s="1"/>
  <c r="D11" i="2"/>
  <c r="H31" i="26" s="1" a="1"/>
  <c r="H31" i="26" s="1"/>
  <c r="J11" i="2"/>
  <c r="M11" i="2"/>
  <c r="O11" i="2" s="1"/>
  <c r="N11" i="2"/>
  <c r="Q11" i="2"/>
  <c r="R11" i="2" a="1"/>
  <c r="R11" i="2" s="1"/>
  <c r="Z11" i="2" a="1"/>
  <c r="Z11" i="2" s="1"/>
  <c r="G201" i="19" s="1" a="1"/>
  <c r="G201" i="19" s="1"/>
  <c r="D12" i="2"/>
  <c r="B14" i="4" s="1"/>
  <c r="J12" i="2"/>
  <c r="AF12" i="2" s="1"/>
  <c r="M12" i="2"/>
  <c r="O12" i="2" s="1"/>
  <c r="N12" i="2"/>
  <c r="Q12" i="2"/>
  <c r="R12" i="2" a="1"/>
  <c r="R12" i="2" s="1"/>
  <c r="Z12" i="2" a="1"/>
  <c r="Z12" i="2" s="1"/>
  <c r="G202" i="19" s="1" a="1"/>
  <c r="G202" i="19" s="1"/>
  <c r="D13" i="2"/>
  <c r="E33" i="26" s="1" a="1"/>
  <c r="E33" i="26" s="1"/>
  <c r="J13" i="2"/>
  <c r="AF13" i="2" s="1"/>
  <c r="M13" i="2"/>
  <c r="O13" i="2" s="1"/>
  <c r="N13" i="2"/>
  <c r="Q13" i="2"/>
  <c r="R13" i="2" a="1"/>
  <c r="R13" i="2" s="1"/>
  <c r="Z13" i="2" a="1"/>
  <c r="Z13" i="2" s="1"/>
  <c r="G203" i="19" s="1" a="1"/>
  <c r="G203" i="19" s="1"/>
  <c r="D14" i="2"/>
  <c r="A34" i="26" s="1"/>
  <c r="A58" i="26" s="1"/>
  <c r="J14" i="2"/>
  <c r="AF14" i="2" s="1"/>
  <c r="M14" i="2"/>
  <c r="O14" i="2" s="1"/>
  <c r="N14" i="2"/>
  <c r="Q14" i="2"/>
  <c r="R14" i="2" a="1"/>
  <c r="R14" i="2" s="1"/>
  <c r="Z14" i="2" a="1"/>
  <c r="Z14" i="2" s="1"/>
  <c r="G204" i="19" s="1" a="1"/>
  <c r="G204" i="19" s="1"/>
  <c r="D15" i="2"/>
  <c r="D205" i="19" s="1" a="1"/>
  <c r="D205" i="19" s="1"/>
  <c r="J15" i="2"/>
  <c r="AF15" i="2" s="1"/>
  <c r="M15" i="2"/>
  <c r="O15" i="2" s="1"/>
  <c r="N15" i="2"/>
  <c r="Q15" i="2"/>
  <c r="R15" i="2" a="1"/>
  <c r="R15" i="2" s="1"/>
  <c r="Z15" i="2" a="1"/>
  <c r="Z15" i="2" s="1"/>
  <c r="G205" i="19" s="1" a="1"/>
  <c r="G205" i="19" s="1"/>
  <c r="D16" i="2"/>
  <c r="AF16" i="2"/>
  <c r="AH16" i="2"/>
  <c r="AI16" i="2"/>
  <c r="AJ16" i="2"/>
  <c r="AL16" i="2" a="1"/>
  <c r="AL16" i="2" s="1"/>
  <c r="AM16" i="2"/>
  <c r="D17" i="2"/>
  <c r="AF17" i="2"/>
  <c r="AH17" i="2"/>
  <c r="AI17" i="2"/>
  <c r="AJ17" i="2"/>
  <c r="AL17" i="2" a="1"/>
  <c r="AL17" i="2" s="1"/>
  <c r="AM17" i="2"/>
  <c r="D18" i="2"/>
  <c r="AF18" i="2"/>
  <c r="AH18" i="2"/>
  <c r="AI18" i="2"/>
  <c r="AJ18" i="2"/>
  <c r="AL18" i="2" a="1"/>
  <c r="AL18" i="2" s="1"/>
  <c r="AM18" i="2"/>
  <c r="D19" i="2"/>
  <c r="AF19" i="2"/>
  <c r="AH19" i="2"/>
  <c r="AI19" i="2"/>
  <c r="AJ19" i="2"/>
  <c r="AL19" i="2" a="1"/>
  <c r="AL19" i="2" s="1"/>
  <c r="AM19" i="2"/>
  <c r="B20" i="2"/>
  <c r="I20" i="2"/>
  <c r="K20" i="2"/>
  <c r="L20" i="2"/>
  <c r="B128" i="13"/>
  <c r="B135" i="13" a="1"/>
  <c r="B135" i="13" s="1"/>
  <c r="B144" i="13"/>
  <c r="B151" i="13" a="1"/>
  <c r="B151" i="13" s="1"/>
  <c r="B160" i="13"/>
  <c r="B167" i="13" a="1"/>
  <c r="B167" i="13" s="1"/>
  <c r="B176" i="13"/>
  <c r="B183" i="13" a="1"/>
  <c r="B183" i="13" s="1"/>
  <c r="B192" i="13"/>
  <c r="B199" i="13" a="1"/>
  <c r="B199" i="13" s="1"/>
  <c r="B208" i="13"/>
  <c r="B215" i="13" a="1"/>
  <c r="B215" i="13" s="1"/>
  <c r="B224" i="13"/>
  <c r="B240" i="13"/>
  <c r="C4" i="13"/>
  <c r="C5" i="13" s="1"/>
  <c r="D4" i="13"/>
  <c r="D5" i="13" s="1"/>
  <c r="E4" i="13"/>
  <c r="E5" i="13" s="1"/>
  <c r="F4" i="13"/>
  <c r="F5" i="13" s="1"/>
  <c r="G4" i="13"/>
  <c r="G5" i="13" s="1"/>
  <c r="H4" i="13"/>
  <c r="H5" i="13" s="1"/>
  <c r="I4" i="13"/>
  <c r="I5" i="13" s="1"/>
  <c r="J4" i="13"/>
  <c r="J5" i="13" s="1"/>
  <c r="K4" i="13"/>
  <c r="K5" i="13" s="1"/>
  <c r="L4" i="13"/>
  <c r="L5" i="13" s="1"/>
  <c r="B7" i="13" a="1"/>
  <c r="B7" i="13" s="1"/>
  <c r="B16" i="13"/>
  <c r="B23" i="13" a="1"/>
  <c r="B23" i="13" s="1"/>
  <c r="B32" i="13"/>
  <c r="B39" i="13" a="1"/>
  <c r="B39" i="13" s="1"/>
  <c r="B48" i="13"/>
  <c r="B55" i="13" a="1"/>
  <c r="B55" i="13" s="1"/>
  <c r="B64" i="13"/>
  <c r="B71" i="13" a="1"/>
  <c r="B71" i="13" s="1"/>
  <c r="B80" i="13"/>
  <c r="B87" i="13" a="1"/>
  <c r="B87" i="13" s="1"/>
  <c r="B96" i="13"/>
  <c r="B103" i="13" a="1"/>
  <c r="B103" i="13" s="1"/>
  <c r="B112" i="13"/>
  <c r="B119" i="13" a="1"/>
  <c r="B119" i="13" s="1"/>
  <c r="B26" i="26"/>
  <c r="B38" i="26" s="1"/>
  <c r="B27" i="26"/>
  <c r="B39" i="26" s="1"/>
  <c r="B28" i="26"/>
  <c r="B40" i="26" s="1"/>
  <c r="B29" i="26"/>
  <c r="B30" i="26"/>
  <c r="B42" i="26" s="1"/>
  <c r="B31" i="26"/>
  <c r="B43" i="26" s="1"/>
  <c r="B32" i="26"/>
  <c r="B44" i="26" s="1"/>
  <c r="B33" i="26"/>
  <c r="B45" i="26" s="1"/>
  <c r="B34" i="26"/>
  <c r="B58" i="26" s="1"/>
  <c r="B35" i="26"/>
  <c r="B59" i="26" s="1"/>
  <c r="C21" i="26"/>
  <c r="C22" i="26"/>
  <c r="C23" i="26"/>
  <c r="A15" i="26"/>
  <c r="B15" i="26"/>
  <c r="A16" i="26"/>
  <c r="B16" i="26"/>
  <c r="A17" i="26"/>
  <c r="B17" i="26"/>
  <c r="A18" i="26"/>
  <c r="B18" i="26"/>
  <c r="O9" i="26"/>
  <c r="N15" i="26" s="1"/>
  <c r="O10" i="26"/>
  <c r="D16" i="26" s="1"/>
  <c r="O11" i="26"/>
  <c r="F17" i="26" s="1"/>
  <c r="O12" i="26"/>
  <c r="J18" i="26" s="1"/>
  <c r="C6" i="26"/>
  <c r="D6" i="26"/>
  <c r="E6" i="26"/>
  <c r="F6" i="26"/>
  <c r="G6" i="26"/>
  <c r="H6" i="26"/>
  <c r="I6" i="26"/>
  <c r="J6" i="26"/>
  <c r="K6" i="26"/>
  <c r="L6" i="26"/>
  <c r="M6" i="26"/>
  <c r="N6" i="26"/>
  <c r="C5" i="26"/>
  <c r="D5" i="26"/>
  <c r="E5" i="26"/>
  <c r="F5" i="26"/>
  <c r="G5" i="26"/>
  <c r="H5" i="26"/>
  <c r="I5" i="26"/>
  <c r="J5" i="26"/>
  <c r="K5" i="26"/>
  <c r="L5" i="26"/>
  <c r="M5" i="26"/>
  <c r="N5" i="26"/>
  <c r="C5" i="5"/>
  <c r="E23" i="5" s="1"/>
  <c r="E43" i="5" s="1"/>
  <c r="C6" i="5"/>
  <c r="H25" i="5" s="1"/>
  <c r="H45" i="5" s="1"/>
  <c r="B7" i="5"/>
  <c r="C10" i="5"/>
  <c r="C11" i="5" s="1"/>
  <c r="D10" i="5"/>
  <c r="D9" i="5" s="1"/>
  <c r="E10" i="5"/>
  <c r="E11" i="5" s="1"/>
  <c r="F10" i="5"/>
  <c r="F11" i="5" s="1"/>
  <c r="G10" i="5"/>
  <c r="G9" i="5" s="1"/>
  <c r="H10" i="5"/>
  <c r="C33" i="5"/>
  <c r="D33" i="5"/>
  <c r="E33" i="5"/>
  <c r="F33" i="5"/>
  <c r="G33" i="5"/>
  <c r="H33" i="5"/>
  <c r="C34" i="5"/>
  <c r="D34" i="5"/>
  <c r="E34" i="5"/>
  <c r="F34" i="5"/>
  <c r="G34" i="5"/>
  <c r="H34" i="5"/>
  <c r="C38" i="5"/>
  <c r="D38" i="5"/>
  <c r="E38" i="5"/>
  <c r="F38" i="5"/>
  <c r="G38" i="5"/>
  <c r="H38" i="5"/>
  <c r="D54" i="5"/>
  <c r="D55" i="5"/>
  <c r="D56" i="5"/>
  <c r="D57" i="5"/>
  <c r="D58" i="5"/>
  <c r="D59" i="5"/>
  <c r="A110" i="3" a="1"/>
  <c r="A110" i="3" s="1"/>
  <c r="A111" i="3" a="1"/>
  <c r="A111" i="3" s="1"/>
  <c r="A112" i="3" a="1"/>
  <c r="A112" i="3" s="1"/>
  <c r="A113" i="3" a="1"/>
  <c r="A113" i="3" s="1"/>
  <c r="A114" i="3" a="1"/>
  <c r="A114" i="3" s="1"/>
  <c r="A115" i="3" a="1"/>
  <c r="A115" i="3" s="1"/>
  <c r="A116" i="3" a="1"/>
  <c r="A116" i="3" s="1"/>
  <c r="A117" i="3" a="1"/>
  <c r="A117" i="3" s="1"/>
  <c r="A118" i="3" a="1"/>
  <c r="A118" i="3" s="1"/>
  <c r="A119" i="3" a="1"/>
  <c r="A119" i="3" s="1"/>
  <c r="A98" i="3" a="1"/>
  <c r="A98" i="3" s="1"/>
  <c r="A99" i="3" a="1"/>
  <c r="A99" i="3" s="1"/>
  <c r="A100" i="3" a="1"/>
  <c r="A100" i="3" s="1"/>
  <c r="A101" i="3" a="1"/>
  <c r="A101" i="3" s="1"/>
  <c r="A102" i="3" a="1"/>
  <c r="A102" i="3" s="1"/>
  <c r="A103" i="3" a="1"/>
  <c r="A103" i="3" s="1"/>
  <c r="A104" i="3" a="1"/>
  <c r="A104" i="3" s="1"/>
  <c r="A105" i="3" a="1"/>
  <c r="A105" i="3" s="1"/>
  <c r="A106" i="3" a="1"/>
  <c r="A106" i="3" s="1"/>
  <c r="A107" i="3" a="1"/>
  <c r="A107" i="3" s="1"/>
  <c r="A86" i="3" a="1"/>
  <c r="A86" i="3" s="1"/>
  <c r="A87" i="3" a="1"/>
  <c r="A87" i="3" s="1"/>
  <c r="A88" i="3" a="1"/>
  <c r="A88" i="3" s="1"/>
  <c r="A89" i="3" a="1"/>
  <c r="A89" i="3" s="1"/>
  <c r="A90" i="3" a="1"/>
  <c r="A90" i="3" s="1"/>
  <c r="A91" i="3" a="1"/>
  <c r="A91" i="3" s="1"/>
  <c r="A92" i="3" a="1"/>
  <c r="A92" i="3" s="1"/>
  <c r="A93" i="3" a="1"/>
  <c r="A93" i="3" s="1"/>
  <c r="A94" i="3" a="1"/>
  <c r="A94" i="3" s="1"/>
  <c r="A95" i="3" a="1"/>
  <c r="A95" i="3" s="1"/>
  <c r="A73" i="3" a="1"/>
  <c r="A73" i="3" s="1"/>
  <c r="A74" i="3" a="1"/>
  <c r="A74" i="3" s="1"/>
  <c r="A75" i="3" a="1"/>
  <c r="A75" i="3" s="1"/>
  <c r="A76" i="3" a="1"/>
  <c r="A76" i="3" s="1"/>
  <c r="A77" i="3" a="1"/>
  <c r="A77" i="3" s="1"/>
  <c r="A78" i="3" a="1"/>
  <c r="A78" i="3" s="1"/>
  <c r="A79" i="3" a="1"/>
  <c r="A79" i="3" s="1"/>
  <c r="A80" i="3" a="1"/>
  <c r="A80" i="3" s="1"/>
  <c r="A81" i="3" a="1"/>
  <c r="A81" i="3" s="1"/>
  <c r="A82" i="3" a="1"/>
  <c r="A82" i="3" s="1"/>
  <c r="A61" i="3" a="1"/>
  <c r="A61" i="3" s="1"/>
  <c r="A62" i="3" a="1"/>
  <c r="A62" i="3" s="1"/>
  <c r="A63" i="3" a="1"/>
  <c r="A63" i="3" s="1"/>
  <c r="A64" i="3" a="1"/>
  <c r="A64" i="3" s="1"/>
  <c r="A65" i="3" a="1"/>
  <c r="A65" i="3" s="1"/>
  <c r="A66" i="3" a="1"/>
  <c r="A66" i="3" s="1"/>
  <c r="A67" i="3" a="1"/>
  <c r="A67" i="3" s="1"/>
  <c r="A68" i="3" a="1"/>
  <c r="A68" i="3" s="1"/>
  <c r="A69" i="3" a="1"/>
  <c r="A69" i="3" s="1"/>
  <c r="A70" i="3" a="1"/>
  <c r="A70" i="3" s="1"/>
  <c r="A49" i="3" a="1"/>
  <c r="A49" i="3" s="1"/>
  <c r="A50" i="3" a="1"/>
  <c r="A50" i="3" s="1"/>
  <c r="A51" i="3" a="1"/>
  <c r="A51" i="3" s="1"/>
  <c r="A52" i="3" a="1"/>
  <c r="A52" i="3" s="1"/>
  <c r="A53" i="3" a="1"/>
  <c r="A53" i="3" s="1"/>
  <c r="A54" i="3" a="1"/>
  <c r="A54" i="3" s="1"/>
  <c r="A55" i="3" a="1"/>
  <c r="A55" i="3" s="1"/>
  <c r="A56" i="3" a="1"/>
  <c r="A56" i="3" s="1"/>
  <c r="A37" i="3" a="1"/>
  <c r="A37" i="3" s="1"/>
  <c r="A38" i="3" a="1"/>
  <c r="A38" i="3" s="1"/>
  <c r="A39" i="3" a="1"/>
  <c r="A39" i="3" s="1"/>
  <c r="A40" i="3" a="1"/>
  <c r="A40" i="3" s="1"/>
  <c r="A41" i="3" a="1"/>
  <c r="A41" i="3" s="1"/>
  <c r="A42" i="3" a="1"/>
  <c r="A42" i="3" s="1"/>
  <c r="A43" i="3" a="1"/>
  <c r="A43" i="3" s="1"/>
  <c r="A47" i="3" a="1"/>
  <c r="A47" i="3" s="1"/>
  <c r="A48" i="3" a="1"/>
  <c r="A48" i="3" s="1"/>
  <c r="A25" i="3" a="1"/>
  <c r="A25" i="3" s="1"/>
  <c r="A26" i="3" a="1"/>
  <c r="A26" i="3" s="1"/>
  <c r="A27" i="3" a="1"/>
  <c r="A27" i="3" s="1"/>
  <c r="A28" i="3" a="1"/>
  <c r="A28" i="3" s="1"/>
  <c r="A29" i="3" a="1"/>
  <c r="A29" i="3" s="1"/>
  <c r="A30" i="3" a="1"/>
  <c r="A30" i="3" s="1"/>
  <c r="A34" i="3" a="1"/>
  <c r="A34" i="3" s="1"/>
  <c r="A35" i="3" a="1"/>
  <c r="A35" i="3" s="1"/>
  <c r="A36" i="3" a="1"/>
  <c r="A36" i="3" s="1"/>
  <c r="A13" i="3" a="1"/>
  <c r="A13" i="3" s="1"/>
  <c r="A14" i="3" a="1"/>
  <c r="A14" i="3" s="1"/>
  <c r="A15" i="3" a="1"/>
  <c r="A15" i="3" s="1"/>
  <c r="A16" i="3" a="1"/>
  <c r="A16" i="3" s="1"/>
  <c r="A17" i="3" a="1"/>
  <c r="A17" i="3" s="1"/>
  <c r="A21" i="3" a="1"/>
  <c r="A21" i="3" s="1"/>
  <c r="A22" i="3" a="1"/>
  <c r="A22" i="3" s="1"/>
  <c r="A23" i="3" a="1"/>
  <c r="A23" i="3" s="1"/>
  <c r="A24" i="3" a="1"/>
  <c r="A24" i="3" s="1"/>
  <c r="C3" i="3"/>
  <c r="D3" i="3"/>
  <c r="D4" i="3" s="1"/>
  <c r="E3" i="3"/>
  <c r="E4" i="3" s="1"/>
  <c r="F3" i="3"/>
  <c r="F4" i="3" s="1"/>
  <c r="G3" i="3"/>
  <c r="G5" i="3" s="1"/>
  <c r="H3" i="3"/>
  <c r="H5" i="3" s="1"/>
  <c r="I3" i="3"/>
  <c r="I5" i="3" s="1"/>
  <c r="J3" i="3"/>
  <c r="K3" i="3"/>
  <c r="L3" i="3"/>
  <c r="L4" i="3" s="1"/>
  <c r="M3" i="3"/>
  <c r="N3" i="3"/>
  <c r="N4" i="3" s="1"/>
  <c r="O3" i="3"/>
  <c r="P3" i="3"/>
  <c r="Q3" i="3"/>
  <c r="Q5" i="3" s="1"/>
  <c r="R3" i="3"/>
  <c r="R4" i="3" s="1"/>
  <c r="S3" i="3"/>
  <c r="S4" i="3" s="1"/>
  <c r="T3" i="3"/>
  <c r="T4" i="3" s="1"/>
  <c r="U3" i="3"/>
  <c r="V3" i="3"/>
  <c r="V4" i="3" s="1"/>
  <c r="W3" i="3"/>
  <c r="W4" i="3" s="1"/>
  <c r="X3" i="3"/>
  <c r="Y3" i="3"/>
  <c r="Y5" i="3" s="1"/>
  <c r="Z3" i="3"/>
  <c r="AA3" i="3"/>
  <c r="AB3" i="3"/>
  <c r="AB4" i="3" s="1"/>
  <c r="AC3" i="3"/>
  <c r="AD3" i="3"/>
  <c r="AE3" i="3"/>
  <c r="AE4" i="3" s="1"/>
  <c r="AF3" i="3"/>
  <c r="AF4" i="3" s="1"/>
  <c r="AG3" i="3"/>
  <c r="AH3" i="3"/>
  <c r="AH5" i="3" s="1"/>
  <c r="AI3" i="3"/>
  <c r="AI5" i="3" s="1"/>
  <c r="AJ3" i="3"/>
  <c r="AJ5" i="3" s="1"/>
  <c r="AK3" i="3"/>
  <c r="AL3" i="3"/>
  <c r="AL5" i="3" s="1"/>
  <c r="AM3" i="3"/>
  <c r="AN3" i="3"/>
  <c r="AN5" i="3" s="1"/>
  <c r="AO3" i="3"/>
  <c r="AO5" i="3" s="1"/>
  <c r="AP3" i="3"/>
  <c r="AQ3" i="3"/>
  <c r="AR3" i="3"/>
  <c r="AS3" i="3"/>
  <c r="AT3" i="3"/>
  <c r="AU3" i="3"/>
  <c r="AU4" i="3" s="1"/>
  <c r="AV3" i="3"/>
  <c r="AW3" i="3"/>
  <c r="AW5" i="3" s="1"/>
  <c r="AX3" i="3"/>
  <c r="AX4" i="3" s="1"/>
  <c r="AY3" i="3"/>
  <c r="AY4" i="3" s="1"/>
  <c r="AZ3" i="3"/>
  <c r="BA3" i="3"/>
  <c r="BA4" i="3" s="1"/>
  <c r="BB3" i="3"/>
  <c r="BB4" i="3" s="1"/>
  <c r="BC3" i="3"/>
  <c r="BD3" i="3"/>
  <c r="BE3" i="3"/>
  <c r="BE5" i="3" s="1"/>
  <c r="BF3" i="3"/>
  <c r="BG3" i="3"/>
  <c r="BH3" i="3"/>
  <c r="BI3" i="3"/>
  <c r="BJ3" i="3"/>
  <c r="BK3" i="3"/>
  <c r="BL3" i="3"/>
  <c r="BL4" i="3" s="1"/>
  <c r="BM3" i="3"/>
  <c r="BM5" i="3" s="1"/>
  <c r="BN3" i="3"/>
  <c r="BN4" i="3" s="1"/>
  <c r="BO3" i="3"/>
  <c r="BO4" i="3" s="1"/>
  <c r="BP3" i="3"/>
  <c r="BP4" i="3" s="1"/>
  <c r="BQ3" i="3"/>
  <c r="BQ4" i="3" s="1"/>
  <c r="BR3" i="3"/>
  <c r="BR5" i="3" s="1"/>
  <c r="BS3" i="3"/>
  <c r="BS4" i="3" s="1"/>
  <c r="BT3" i="3"/>
  <c r="BU3" i="3"/>
  <c r="BV3" i="3"/>
  <c r="BW3" i="3"/>
  <c r="BX3" i="3"/>
  <c r="BY3" i="3"/>
  <c r="BZ3" i="3"/>
  <c r="CA3" i="3"/>
  <c r="CB3" i="3"/>
  <c r="CC3" i="3"/>
  <c r="CC5" i="3" s="1"/>
  <c r="CD3" i="3"/>
  <c r="CD4" i="3" s="1"/>
  <c r="CE3" i="3"/>
  <c r="CF3" i="3"/>
  <c r="CF4" i="3" s="1"/>
  <c r="CG3" i="3"/>
  <c r="CH3" i="3"/>
  <c r="CH5" i="3" s="1"/>
  <c r="CI3" i="3"/>
  <c r="CI4" i="3" s="1"/>
  <c r="CJ3" i="3"/>
  <c r="CK3" i="3"/>
  <c r="CK5" i="3" s="1"/>
  <c r="CL3" i="3"/>
  <c r="CM3" i="3"/>
  <c r="CN3" i="3"/>
  <c r="CN4" i="3" s="1"/>
  <c r="CO3" i="3"/>
  <c r="CP3" i="3"/>
  <c r="CQ3" i="3"/>
  <c r="CR3" i="3"/>
  <c r="CS3" i="3"/>
  <c r="CS5" i="3" s="1"/>
  <c r="CT3" i="3"/>
  <c r="CT5" i="3" s="1"/>
  <c r="CU3" i="3"/>
  <c r="CV3" i="3"/>
  <c r="CV4" i="3" s="1"/>
  <c r="CW3" i="3"/>
  <c r="CX3" i="3"/>
  <c r="CX4" i="3" s="1"/>
  <c r="CY3" i="3"/>
  <c r="CZ3" i="3"/>
  <c r="CZ5" i="3" s="1"/>
  <c r="DA3" i="3"/>
  <c r="DA5" i="3" s="1"/>
  <c r="DB3" i="3"/>
  <c r="DC3" i="3"/>
  <c r="DD3" i="3"/>
  <c r="DE3" i="3"/>
  <c r="DF3" i="3"/>
  <c r="DF4" i="3" s="1"/>
  <c r="DG3" i="3"/>
  <c r="DG4" i="3" s="1"/>
  <c r="DH3" i="3"/>
  <c r="DH4" i="3" s="1"/>
  <c r="DI3" i="3"/>
  <c r="DI5" i="3" s="1"/>
  <c r="DJ3" i="3"/>
  <c r="DK3" i="3"/>
  <c r="DL3" i="3"/>
  <c r="DL5" i="3" s="1"/>
  <c r="DM3" i="3"/>
  <c r="DN3" i="3"/>
  <c r="DN5" i="3" s="1"/>
  <c r="DO3" i="3"/>
  <c r="DP3" i="3"/>
  <c r="DQ3" i="3"/>
  <c r="DQ5" i="3" s="1"/>
  <c r="DR3" i="3"/>
  <c r="A8" i="3" a="1"/>
  <c r="A8" i="3" s="1"/>
  <c r="A9" i="3" a="1"/>
  <c r="A9" i="3" s="1"/>
  <c r="A10" i="3" a="1"/>
  <c r="A10" i="3" s="1"/>
  <c r="A11" i="3" a="1"/>
  <c r="A11" i="3" s="1"/>
  <c r="A12" i="3" a="1"/>
  <c r="A12" i="3" s="1"/>
  <c r="C21" i="6"/>
  <c r="C106" i="22" l="1"/>
  <c r="I82" i="16"/>
  <c r="E155" i="19"/>
  <c r="D71" i="22"/>
  <c r="B44" i="22"/>
  <c r="C51" i="1"/>
  <c r="G10" i="16" s="1"/>
  <c r="AV13" i="3" a="1"/>
  <c r="AV13" i="3" s="1"/>
  <c r="B115" i="22"/>
  <c r="D76" i="22"/>
  <c r="C71" i="22"/>
  <c r="N81" i="1"/>
  <c r="A26" i="26"/>
  <c r="A50" i="26" s="1"/>
  <c r="C43" i="26" a="1"/>
  <c r="C43" i="26" s="1"/>
  <c r="C34" i="22"/>
  <c r="G32" i="26" a="1"/>
  <c r="G32" i="26" s="1"/>
  <c r="D47" i="26" a="1"/>
  <c r="D47" i="26" s="1"/>
  <c r="C66" i="22"/>
  <c r="C99" i="22"/>
  <c r="C47" i="26" a="1"/>
  <c r="C47" i="26" s="1"/>
  <c r="D94" i="22"/>
  <c r="B34" i="22"/>
  <c r="C45" i="1"/>
  <c r="D21" i="22"/>
  <c r="F82" i="16"/>
  <c r="D68" i="22"/>
  <c r="D57" i="22"/>
  <c r="C68" i="22"/>
  <c r="C57" i="22"/>
  <c r="D30" i="22"/>
  <c r="D113" i="22"/>
  <c r="H79" i="16"/>
  <c r="N83" i="1"/>
  <c r="BO5" i="3"/>
  <c r="G79" i="16"/>
  <c r="C16" i="22"/>
  <c r="B99" i="22"/>
  <c r="D5" i="3"/>
  <c r="BR4" i="3"/>
  <c r="BM4" i="3"/>
  <c r="BB13" i="3" a="1"/>
  <c r="BB13" i="3" s="1"/>
  <c r="F63" i="19"/>
  <c r="F64" i="19" s="1"/>
  <c r="C64" i="22"/>
  <c r="C25" i="22"/>
  <c r="D87" i="22"/>
  <c r="B87" i="22"/>
  <c r="C125" i="22"/>
  <c r="C114" i="22"/>
  <c r="B85" i="22"/>
  <c r="D75" i="22"/>
  <c r="C56" i="22"/>
  <c r="B10" i="22"/>
  <c r="C123" i="22"/>
  <c r="D91" i="22"/>
  <c r="B38" i="10" a="1"/>
  <c r="B38" i="10" s="1"/>
  <c r="F31" i="26" a="1"/>
  <c r="F31" i="26" s="1"/>
  <c r="D84" i="22"/>
  <c r="D65" i="22"/>
  <c r="D55" i="22"/>
  <c r="D9" i="22"/>
  <c r="C122" i="22"/>
  <c r="D112" i="22"/>
  <c r="B84" i="22"/>
  <c r="C9" i="22"/>
  <c r="C112" i="22"/>
  <c r="B89" i="22"/>
  <c r="N89" i="1"/>
  <c r="H18" i="26"/>
  <c r="H30" i="26" s="1" a="1"/>
  <c r="H30" i="26" s="1"/>
  <c r="C82" i="22"/>
  <c r="C26" i="22"/>
  <c r="C8" i="22"/>
  <c r="BP5" i="3"/>
  <c r="C15" i="22"/>
  <c r="C97" i="22"/>
  <c r="D79" i="22"/>
  <c r="D6" i="22"/>
  <c r="C115" i="22"/>
  <c r="C107" i="22"/>
  <c r="C85" i="22"/>
  <c r="B78" i="22"/>
  <c r="B62" i="22"/>
  <c r="D10" i="22"/>
  <c r="C109" i="22"/>
  <c r="C90" i="22"/>
  <c r="D82" i="16"/>
  <c r="D155" i="19"/>
  <c r="B28" i="4"/>
  <c r="B27" i="4"/>
  <c r="DH15" i="3" a="1"/>
  <c r="DH15" i="3" s="1"/>
  <c r="K35" i="26" a="1"/>
  <c r="K35" i="26" s="1"/>
  <c r="B23" i="4"/>
  <c r="O6" i="26"/>
  <c r="F59" i="26"/>
  <c r="J35" i="26" a="1"/>
  <c r="J35" i="26" s="1"/>
  <c r="C46" i="22"/>
  <c r="C104" i="22"/>
  <c r="F79" i="16"/>
  <c r="B19" i="4"/>
  <c r="AV4" i="3"/>
  <c r="G59" i="26"/>
  <c r="B42" i="10" a="1"/>
  <c r="B42" i="10" s="1"/>
  <c r="E79" i="16"/>
  <c r="B12" i="4"/>
  <c r="B88" i="4" s="1"/>
  <c r="E59" i="26"/>
  <c r="I35" i="26" a="1"/>
  <c r="I35" i="26" s="1"/>
  <c r="D59" i="26"/>
  <c r="C119" i="22"/>
  <c r="D79" i="16"/>
  <c r="L35" i="26" a="1"/>
  <c r="L35" i="26" s="1"/>
  <c r="C59" i="26"/>
  <c r="C34" i="26" a="1"/>
  <c r="C34" i="26" s="1"/>
  <c r="B31" i="10" a="1"/>
  <c r="B31" i="10" s="1"/>
  <c r="DQ4" i="3"/>
  <c r="B55" i="26"/>
  <c r="B17" i="10" a="1"/>
  <c r="B17" i="10" s="1"/>
  <c r="C79" i="22"/>
  <c r="C55" i="22"/>
  <c r="C21" i="22"/>
  <c r="C6" i="22"/>
  <c r="C118" i="22"/>
  <c r="C101" i="22"/>
  <c r="K88" i="1"/>
  <c r="L83" i="1"/>
  <c r="B52" i="26"/>
  <c r="C33" i="26" a="1"/>
  <c r="C33" i="26" s="1"/>
  <c r="B12" i="10" a="1"/>
  <c r="B12" i="10" s="1"/>
  <c r="C11" i="22"/>
  <c r="B101" i="22"/>
  <c r="H59" i="26"/>
  <c r="N47" i="26" a="1"/>
  <c r="N47" i="26" s="1"/>
  <c r="B11" i="10" a="1"/>
  <c r="B11" i="10" s="1"/>
  <c r="D70" i="22"/>
  <c r="A35" i="26"/>
  <c r="A59" i="26" s="1"/>
  <c r="M35" i="26" a="1"/>
  <c r="M35" i="26" s="1"/>
  <c r="M47" i="26" a="1"/>
  <c r="M47" i="26" s="1"/>
  <c r="B70" i="22"/>
  <c r="D62" i="22"/>
  <c r="D54" i="22"/>
  <c r="C187" i="19"/>
  <c r="D17" i="26"/>
  <c r="D42" i="26" s="1" a="1"/>
  <c r="D42" i="26" s="1"/>
  <c r="C58" i="26"/>
  <c r="N46" i="26" a="1"/>
  <c r="N46" i="26" s="1"/>
  <c r="A32" i="26"/>
  <c r="A44" i="26" s="1"/>
  <c r="C180" i="19"/>
  <c r="E76" i="16" s="1"/>
  <c r="C91" i="22"/>
  <c r="L86" i="1"/>
  <c r="BN13" i="3" a="1"/>
  <c r="BN13" i="3" s="1"/>
  <c r="M15" i="26"/>
  <c r="M40" i="26" s="1" a="1"/>
  <c r="M40" i="26" s="1"/>
  <c r="B57" i="26"/>
  <c r="M46" i="26" a="1"/>
  <c r="M46" i="26" s="1"/>
  <c r="G31" i="26" a="1"/>
  <c r="G31" i="26" s="1"/>
  <c r="B41" i="10" a="1"/>
  <c r="B41" i="10" s="1"/>
  <c r="C63" i="22"/>
  <c r="C23" i="22"/>
  <c r="C121" i="22"/>
  <c r="C18" i="26"/>
  <c r="C29" i="26" s="1" a="1"/>
  <c r="C29" i="26" s="1"/>
  <c r="C32" i="26" a="1"/>
  <c r="C32" i="26" s="1"/>
  <c r="H15" i="26"/>
  <c r="H38" i="26" s="1" a="1"/>
  <c r="H38" i="26" s="1"/>
  <c r="M56" i="26"/>
  <c r="E31" i="26" a="1"/>
  <c r="E31" i="26" s="1"/>
  <c r="B36" i="10" a="1"/>
  <c r="B36" i="10" s="1"/>
  <c r="D97" i="22"/>
  <c r="D90" i="22"/>
  <c r="K89" i="1"/>
  <c r="E18" i="26"/>
  <c r="E30" i="26" s="1" a="1"/>
  <c r="E30" i="26" s="1"/>
  <c r="N56" i="26"/>
  <c r="D46" i="26" a="1"/>
  <c r="D46" i="26" s="1"/>
  <c r="N44" i="26" a="1"/>
  <c r="N44" i="26" s="1"/>
  <c r="C79" i="16"/>
  <c r="K85" i="1"/>
  <c r="F29" i="19"/>
  <c r="G18" i="26"/>
  <c r="G29" i="26" s="1" a="1"/>
  <c r="G29" i="26" s="1"/>
  <c r="I64" i="19"/>
  <c r="F18" i="26"/>
  <c r="F30" i="26" s="1" a="1"/>
  <c r="F30" i="26" s="1"/>
  <c r="B50" i="26"/>
  <c r="D18" i="26"/>
  <c r="D30" i="26" s="1" a="1"/>
  <c r="D30" i="26" s="1"/>
  <c r="M32" i="26" a="1"/>
  <c r="M32" i="26" s="1"/>
  <c r="B16" i="4"/>
  <c r="L56" i="26"/>
  <c r="AL4" i="3"/>
  <c r="J56" i="26"/>
  <c r="M44" i="26" a="1"/>
  <c r="M44" i="26" s="1"/>
  <c r="B27" i="10" a="1"/>
  <c r="B27" i="10" s="1"/>
  <c r="N80" i="1"/>
  <c r="E29" i="19"/>
  <c r="N38" i="26" a="1"/>
  <c r="N38" i="26" s="1"/>
  <c r="C5" i="4"/>
  <c r="L15" i="26"/>
  <c r="L40" i="26" s="1" a="1"/>
  <c r="L40" i="26" s="1"/>
  <c r="N18" i="26"/>
  <c r="N29" i="26" s="1" a="1"/>
  <c r="N29" i="26" s="1"/>
  <c r="N55" i="26"/>
  <c r="J44" i="26" a="1"/>
  <c r="J44" i="26" s="1"/>
  <c r="N34" i="26" a="1"/>
  <c r="N34" i="26" s="1"/>
  <c r="A30" i="26"/>
  <c r="B22" i="10" a="1"/>
  <c r="B22" i="10" s="1"/>
  <c r="D88" i="22"/>
  <c r="C67" i="22"/>
  <c r="C96" i="22"/>
  <c r="L80" i="1"/>
  <c r="J61" i="19"/>
  <c r="K61" i="19" s="1"/>
  <c r="D29" i="19"/>
  <c r="L18" i="26"/>
  <c r="L30" i="26" s="1" a="1"/>
  <c r="L30" i="26" s="1"/>
  <c r="M55" i="26"/>
  <c r="N43" i="26" a="1"/>
  <c r="N43" i="26" s="1"/>
  <c r="M34" i="26" a="1"/>
  <c r="M34" i="26" s="1"/>
  <c r="D73" i="22"/>
  <c r="B67" i="22"/>
  <c r="D52" i="22"/>
  <c r="D102" i="22"/>
  <c r="B96" i="22"/>
  <c r="D89" i="22"/>
  <c r="N88" i="1"/>
  <c r="K80" i="1"/>
  <c r="H155" i="19"/>
  <c r="J17" i="26"/>
  <c r="J42" i="26" s="1" a="1"/>
  <c r="J42" i="26" s="1"/>
  <c r="I18" i="26"/>
  <c r="I29" i="26" s="1" a="1"/>
  <c r="I29" i="26" s="1"/>
  <c r="D34" i="26" a="1"/>
  <c r="D34" i="26" s="1"/>
  <c r="K55" i="26"/>
  <c r="E43" i="26" a="1"/>
  <c r="E43" i="26" s="1"/>
  <c r="L34" i="26" a="1"/>
  <c r="L34" i="26" s="1"/>
  <c r="B16" i="10" a="1"/>
  <c r="B16" i="10" s="1"/>
  <c r="C80" i="22"/>
  <c r="C73" i="22"/>
  <c r="C59" i="22"/>
  <c r="C52" i="22"/>
  <c r="C117" i="22"/>
  <c r="C102" i="22"/>
  <c r="K84" i="1"/>
  <c r="E17" i="26"/>
  <c r="E42" i="26" s="1" a="1"/>
  <c r="E42" i="26" s="1"/>
  <c r="C45" i="26" a="1"/>
  <c r="C45" i="26" s="1"/>
  <c r="D33" i="26" a="1"/>
  <c r="D33" i="26" s="1"/>
  <c r="B24" i="10" a="1"/>
  <c r="B24" i="10" s="1"/>
  <c r="B69" i="22"/>
  <c r="B53" i="22"/>
  <c r="D46" i="22"/>
  <c r="B32" i="22"/>
  <c r="D122" i="22"/>
  <c r="D118" i="22"/>
  <c r="D107" i="22"/>
  <c r="B103" i="22"/>
  <c r="B98" i="22"/>
  <c r="C93" i="22"/>
  <c r="L85" i="1"/>
  <c r="B13" i="4"/>
  <c r="C188" i="19"/>
  <c r="D114" i="19" a="1"/>
  <c r="D114" i="19" s="1"/>
  <c r="D106" i="19" a="1"/>
  <c r="D106" i="19" s="1"/>
  <c r="C131" i="14"/>
  <c r="C17" i="26"/>
  <c r="C42" i="26" s="1" a="1"/>
  <c r="C42" i="26" s="1"/>
  <c r="K15" i="26"/>
  <c r="K39" i="26" s="1" a="1"/>
  <c r="K39" i="26" s="1"/>
  <c r="B35" i="10" a="1"/>
  <c r="B35" i="10" s="1"/>
  <c r="B11" i="22"/>
  <c r="B11" i="4"/>
  <c r="D111" i="19" a="1"/>
  <c r="D111" i="19" s="1"/>
  <c r="D202" i="19" a="1"/>
  <c r="D202" i="19" s="1"/>
  <c r="C126" i="14"/>
  <c r="J15" i="26"/>
  <c r="J40" i="26" s="1" a="1"/>
  <c r="J40" i="26" s="1"/>
  <c r="A33" i="26"/>
  <c r="A57" i="26" s="1"/>
  <c r="B34" i="10" a="1"/>
  <c r="B34" i="10" s="1"/>
  <c r="B10" i="4"/>
  <c r="C11" i="19"/>
  <c r="B2" i="19"/>
  <c r="C179" i="19"/>
  <c r="D76" i="16" s="1"/>
  <c r="C120" i="19"/>
  <c r="B102" i="19"/>
  <c r="N16" i="26"/>
  <c r="N28" i="26" s="1" a="1"/>
  <c r="N28" i="26" s="1"/>
  <c r="BN5" i="3"/>
  <c r="M16" i="26"/>
  <c r="M28" i="26" s="1" a="1"/>
  <c r="M28" i="26" s="1"/>
  <c r="I15" i="26"/>
  <c r="I40" i="26" s="1" a="1"/>
  <c r="I40" i="26" s="1"/>
  <c r="F33" i="26" a="1"/>
  <c r="F33" i="26" s="1"/>
  <c r="K56" i="26"/>
  <c r="L44" i="26" a="1"/>
  <c r="L44" i="26" s="1"/>
  <c r="N32" i="26" a="1"/>
  <c r="N32" i="26" s="1"/>
  <c r="B33" i="10" a="1"/>
  <c r="B33" i="10" s="1"/>
  <c r="D23" i="22"/>
  <c r="D16" i="22"/>
  <c r="D121" i="22"/>
  <c r="D117" i="22"/>
  <c r="D106" i="22"/>
  <c r="B26" i="4"/>
  <c r="B9" i="4"/>
  <c r="B30" i="19" a="1"/>
  <c r="F186" i="19"/>
  <c r="D108" i="19" a="1"/>
  <c r="D108" i="19" s="1"/>
  <c r="B207" i="19" a="1"/>
  <c r="B207" i="19" s="1"/>
  <c r="D204" i="19" a="1"/>
  <c r="D204" i="19" s="1"/>
  <c r="B25" i="4"/>
  <c r="B8" i="4"/>
  <c r="H198" i="19" a="1"/>
  <c r="H198" i="19" s="1"/>
  <c r="D196" i="19" a="1"/>
  <c r="D196" i="19" s="1"/>
  <c r="E186" i="19"/>
  <c r="H206" i="19" a="1"/>
  <c r="H206" i="19" s="1"/>
  <c r="K16" i="26"/>
  <c r="K28" i="26" s="1" a="1"/>
  <c r="K28" i="26" s="1"/>
  <c r="G15" i="26"/>
  <c r="G38" i="26" s="1" a="1"/>
  <c r="G38" i="26" s="1"/>
  <c r="I56" i="26"/>
  <c r="G44" i="26" a="1"/>
  <c r="G44" i="26" s="1"/>
  <c r="L32" i="26" a="1"/>
  <c r="L32" i="26" s="1"/>
  <c r="C53" i="10"/>
  <c r="B30" i="10" a="1"/>
  <c r="B30" i="10" s="1"/>
  <c r="D56" i="22"/>
  <c r="D44" i="22"/>
  <c r="C36" i="22"/>
  <c r="G84" i="1"/>
  <c r="C84" i="14" s="1"/>
  <c r="B24" i="4"/>
  <c r="H5" i="4"/>
  <c r="I63" i="19"/>
  <c r="J63" i="19" s="1"/>
  <c r="D76" i="19" s="1"/>
  <c r="B44" i="19" a="1"/>
  <c r="D186" i="19"/>
  <c r="C116" i="19"/>
  <c r="D113" i="19" a="1"/>
  <c r="D113" i="19" s="1"/>
  <c r="G206" i="19"/>
  <c r="N17" i="26"/>
  <c r="N42" i="26" s="1" a="1"/>
  <c r="N42" i="26" s="1"/>
  <c r="J16" i="26"/>
  <c r="J27" i="26" s="1" a="1"/>
  <c r="J27" i="26" s="1"/>
  <c r="F15" i="26"/>
  <c r="F39" i="26" s="1" a="1"/>
  <c r="F39" i="26" s="1"/>
  <c r="H56" i="26"/>
  <c r="E44" i="26" a="1"/>
  <c r="E44" i="26" s="1"/>
  <c r="J32" i="26" a="1"/>
  <c r="J32" i="26" s="1"/>
  <c r="A29" i="26"/>
  <c r="A41" i="26" s="1"/>
  <c r="AC17" i="3" a="1"/>
  <c r="AC17" i="3" s="1"/>
  <c r="B15" i="10" a="1"/>
  <c r="B15" i="10" s="1"/>
  <c r="B111" i="22"/>
  <c r="A87" i="16" a="1"/>
  <c r="G5" i="4"/>
  <c r="C8" i="19"/>
  <c r="D200" i="19" a="1"/>
  <c r="D200" i="19" s="1"/>
  <c r="C182" i="19"/>
  <c r="G76" i="16" s="1"/>
  <c r="C178" i="19"/>
  <c r="C76" i="16" s="1"/>
  <c r="F206" i="19"/>
  <c r="AO4" i="3"/>
  <c r="T16" i="3" a="1"/>
  <c r="T16" i="3" s="1"/>
  <c r="B29" i="10" a="1"/>
  <c r="B29" i="10" s="1"/>
  <c r="B14" i="10" a="1"/>
  <c r="B14" i="10" s="1"/>
  <c r="D49" i="22"/>
  <c r="D120" i="22"/>
  <c r="D105" i="22"/>
  <c r="B22" i="4"/>
  <c r="K7" i="19"/>
  <c r="D198" i="19" a="1"/>
  <c r="D198" i="19" s="1"/>
  <c r="D110" i="19" a="1"/>
  <c r="D110" i="19" s="1"/>
  <c r="E206" i="19"/>
  <c r="D201" i="19" a="1"/>
  <c r="D201" i="19" s="1"/>
  <c r="C91" i="14"/>
  <c r="B23" i="10" a="1"/>
  <c r="B23" i="10" s="1"/>
  <c r="DA4" i="3"/>
  <c r="L16" i="26"/>
  <c r="L28" i="26" s="1" a="1"/>
  <c r="L28" i="26" s="1"/>
  <c r="F40" i="26" a="1"/>
  <c r="F40" i="26" s="1"/>
  <c r="M17" i="26"/>
  <c r="M42" i="26" s="1" a="1"/>
  <c r="M42" i="26" s="1"/>
  <c r="D44" i="26" a="1"/>
  <c r="D44" i="26" s="1"/>
  <c r="L17" i="26"/>
  <c r="L42" i="26" s="1" a="1"/>
  <c r="L42" i="26" s="1"/>
  <c r="H16" i="26"/>
  <c r="H26" i="26" s="1" a="1"/>
  <c r="H26" i="26" s="1"/>
  <c r="D15" i="26"/>
  <c r="D40" i="26" s="1" a="1"/>
  <c r="D40" i="26" s="1"/>
  <c r="E56" i="26"/>
  <c r="C44" i="26" a="1"/>
  <c r="C44" i="26" s="1"/>
  <c r="E32" i="26" a="1"/>
  <c r="E32" i="26" s="1"/>
  <c r="A28" i="26"/>
  <c r="B13" i="10" a="1"/>
  <c r="B13" i="10" s="1"/>
  <c r="C49" i="22"/>
  <c r="D43" i="22"/>
  <c r="D27" i="22"/>
  <c r="C120" i="22"/>
  <c r="D110" i="22"/>
  <c r="C105" i="22"/>
  <c r="C10" i="1"/>
  <c r="B21" i="4"/>
  <c r="E5" i="4"/>
  <c r="C206" i="19"/>
  <c r="C88" i="14"/>
  <c r="I16" i="26"/>
  <c r="I27" i="26" s="1" a="1"/>
  <c r="I27" i="26" s="1"/>
  <c r="E15" i="26"/>
  <c r="E38" i="26" s="1" a="1"/>
  <c r="E38" i="26" s="1"/>
  <c r="G56" i="26"/>
  <c r="F32" i="26" a="1"/>
  <c r="F32" i="26" s="1"/>
  <c r="K17" i="26"/>
  <c r="K42" i="26" s="1" a="1"/>
  <c r="K42" i="26" s="1"/>
  <c r="G16" i="26"/>
  <c r="G28" i="26" s="1" a="1"/>
  <c r="G28" i="26" s="1"/>
  <c r="C15" i="26"/>
  <c r="C40" i="26" s="1" a="1"/>
  <c r="C40" i="26" s="1"/>
  <c r="D32" i="26" a="1"/>
  <c r="D32" i="26" s="1"/>
  <c r="B40" i="10" a="1"/>
  <c r="B40" i="10" s="1"/>
  <c r="B28" i="10" a="1"/>
  <c r="B28" i="10" s="1"/>
  <c r="D82" i="22"/>
  <c r="B43" i="22"/>
  <c r="C27" i="22"/>
  <c r="B95" i="22"/>
  <c r="N86" i="1"/>
  <c r="B20" i="4"/>
  <c r="C191" i="19"/>
  <c r="E136" i="19"/>
  <c r="D115" i="19" a="1"/>
  <c r="D115" i="19" s="1"/>
  <c r="D107" i="19" a="1"/>
  <c r="D107" i="19" s="1"/>
  <c r="C190" i="19"/>
  <c r="C181" i="19"/>
  <c r="F76" i="16" s="1"/>
  <c r="E125" i="19"/>
  <c r="A27" i="26"/>
  <c r="A51" i="26" s="1"/>
  <c r="M18" i="26"/>
  <c r="M29" i="26" s="1" a="1"/>
  <c r="M29" i="26" s="1"/>
  <c r="I17" i="26"/>
  <c r="I42" i="26" s="1" a="1"/>
  <c r="I42" i="26" s="1"/>
  <c r="E16" i="26"/>
  <c r="E26" i="26" s="1" a="1"/>
  <c r="E26" i="26" s="1"/>
  <c r="D58" i="26"/>
  <c r="L55" i="26"/>
  <c r="C46" i="26" a="1"/>
  <c r="C46" i="26" s="1"/>
  <c r="D43" i="26" a="1"/>
  <c r="D43" i="26" s="1"/>
  <c r="B39" i="10" a="1"/>
  <c r="B39" i="10" s="1"/>
  <c r="B26" i="10" a="1"/>
  <c r="B26" i="10" s="1"/>
  <c r="D59" i="22"/>
  <c r="C48" i="22"/>
  <c r="D26" i="22"/>
  <c r="D123" i="22"/>
  <c r="D119" i="22"/>
  <c r="G19" i="16"/>
  <c r="K83" i="1"/>
  <c r="B17" i="4"/>
  <c r="I65" i="19"/>
  <c r="D112" i="19" a="1"/>
  <c r="D112" i="19" s="1"/>
  <c r="D203" i="19" a="1"/>
  <c r="D203" i="19" s="1"/>
  <c r="D11" i="5"/>
  <c r="C189" i="19"/>
  <c r="N45" i="26" a="1"/>
  <c r="N45" i="26" s="1"/>
  <c r="N33" i="26" a="1"/>
  <c r="N33" i="26" s="1"/>
  <c r="C32" i="30"/>
  <c r="G17" i="16"/>
  <c r="K18" i="26"/>
  <c r="K30" i="26" s="1" a="1"/>
  <c r="K30" i="26" s="1"/>
  <c r="G17" i="26"/>
  <c r="G42" i="26" s="1" a="1"/>
  <c r="G42" i="26" s="1"/>
  <c r="C16" i="26"/>
  <c r="C27" i="26" s="1" a="1"/>
  <c r="C27" i="26" s="1"/>
  <c r="N57" i="26"/>
  <c r="J55" i="26"/>
  <c r="E45" i="26" a="1"/>
  <c r="E45" i="26" s="1"/>
  <c r="M33" i="26" a="1"/>
  <c r="M33" i="26" s="1"/>
  <c r="I31" i="26" a="1"/>
  <c r="I31" i="26" s="1"/>
  <c r="I14" i="3" a="1"/>
  <c r="I14" i="3" s="1"/>
  <c r="B25" i="10" a="1"/>
  <c r="B25" i="10" s="1"/>
  <c r="D81" i="22"/>
  <c r="C75" i="22"/>
  <c r="C65" i="22"/>
  <c r="D41" i="22"/>
  <c r="D32" i="22"/>
  <c r="D19" i="22"/>
  <c r="D12" i="22"/>
  <c r="B8" i="22"/>
  <c r="B114" i="22"/>
  <c r="C144" i="1" a="1"/>
  <c r="C144" i="1" s="1"/>
  <c r="B15" i="4"/>
  <c r="H199" i="19" a="1"/>
  <c r="H199" i="19" s="1"/>
  <c r="E124" i="19" a="1"/>
  <c r="E124" i="19" s="1"/>
  <c r="D109" i="19" a="1"/>
  <c r="D109" i="19" s="1"/>
  <c r="F16" i="26"/>
  <c r="F26" i="26" s="1" a="1"/>
  <c r="F26" i="26" s="1"/>
  <c r="H17" i="26"/>
  <c r="H42" i="26" s="1" a="1"/>
  <c r="H42" i="26" s="1"/>
  <c r="F5" i="3"/>
  <c r="M57" i="26"/>
  <c r="I55" i="26"/>
  <c r="D45" i="26" a="1"/>
  <c r="D45" i="26" s="1"/>
  <c r="B9" i="10" a="1"/>
  <c r="B9" i="10" s="1"/>
  <c r="C86" i="22"/>
  <c r="C19" i="22"/>
  <c r="C98" i="22"/>
  <c r="C14" i="19"/>
  <c r="C4" i="19"/>
  <c r="G11" i="5"/>
  <c r="H196" i="19" a="1"/>
  <c r="H196" i="19" s="1"/>
  <c r="H200" i="19" a="1"/>
  <c r="H200" i="19" s="1"/>
  <c r="H197" i="19" a="1"/>
  <c r="H197" i="19" s="1"/>
  <c r="F79" i="19"/>
  <c r="H79" i="19" s="1" a="1"/>
  <c r="H79" i="19" s="1"/>
  <c r="J79" i="19" s="1"/>
  <c r="F76" i="19"/>
  <c r="H76" i="19" s="1" a="1"/>
  <c r="H76" i="19" s="1"/>
  <c r="J76" i="19" s="1"/>
  <c r="F80" i="19"/>
  <c r="H80" i="19" s="1" a="1"/>
  <c r="H80" i="19" s="1"/>
  <c r="J80" i="19" s="1"/>
  <c r="F78" i="19"/>
  <c r="H78" i="19" s="1" a="1"/>
  <c r="H78" i="19" s="1"/>
  <c r="J78" i="19" s="1"/>
  <c r="I29" i="19"/>
  <c r="I43" i="19"/>
  <c r="F77" i="19"/>
  <c r="H77" i="19" s="1" a="1"/>
  <c r="H77" i="19" s="1"/>
  <c r="J77" i="19" s="1"/>
  <c r="S15" i="2"/>
  <c r="U15" i="2" s="1"/>
  <c r="H43" i="19"/>
  <c r="G43" i="19"/>
  <c r="S11" i="2"/>
  <c r="V11" i="2" s="1"/>
  <c r="S12" i="2"/>
  <c r="U12" i="2" s="1"/>
  <c r="L5" i="4"/>
  <c r="K5" i="4"/>
  <c r="J5" i="4"/>
  <c r="I5" i="4"/>
  <c r="L81" i="1"/>
  <c r="K81" i="1"/>
  <c r="N87" i="1"/>
  <c r="N82" i="1"/>
  <c r="L87" i="1"/>
  <c r="L82" i="1"/>
  <c r="N84" i="1"/>
  <c r="K82" i="1"/>
  <c r="B104" i="22"/>
  <c r="D116" i="22"/>
  <c r="C113" i="22"/>
  <c r="B110" i="22"/>
  <c r="D100" i="22"/>
  <c r="B94" i="22"/>
  <c r="C116" i="22"/>
  <c r="C100" i="22"/>
  <c r="B116" i="22"/>
  <c r="C103" i="22"/>
  <c r="B100" i="22"/>
  <c r="B125" i="22"/>
  <c r="B109" i="22"/>
  <c r="B93" i="22"/>
  <c r="Q39" i="22"/>
  <c r="D124" i="22"/>
  <c r="D108" i="22"/>
  <c r="D92" i="22"/>
  <c r="C124" i="22"/>
  <c r="D111" i="22"/>
  <c r="C108" i="22"/>
  <c r="D95" i="22"/>
  <c r="C92" i="22"/>
  <c r="D37" i="22"/>
  <c r="B37" i="22"/>
  <c r="B72" i="22"/>
  <c r="C72" i="22"/>
  <c r="D72" i="22"/>
  <c r="B33" i="22"/>
  <c r="C33" i="22"/>
  <c r="D33" i="22"/>
  <c r="C77" i="22"/>
  <c r="D77" i="22"/>
  <c r="D86" i="22"/>
  <c r="C83" i="22"/>
  <c r="D83" i="22"/>
  <c r="D35" i="22"/>
  <c r="B35" i="22"/>
  <c r="C35" i="22"/>
  <c r="B39" i="22"/>
  <c r="C39" i="22"/>
  <c r="D39" i="22"/>
  <c r="D78" i="22"/>
  <c r="B76" i="22"/>
  <c r="B24" i="22"/>
  <c r="C24" i="22"/>
  <c r="D24" i="22"/>
  <c r="C69" i="22"/>
  <c r="C37" i="22"/>
  <c r="D40" i="22"/>
  <c r="B42" i="22"/>
  <c r="C42" i="22"/>
  <c r="C45" i="22"/>
  <c r="D45" i="22"/>
  <c r="D28" i="22"/>
  <c r="C28" i="22"/>
  <c r="D51" i="22"/>
  <c r="D50" i="22"/>
  <c r="C47" i="22"/>
  <c r="D47" i="22"/>
  <c r="B20" i="22"/>
  <c r="C20" i="22"/>
  <c r="D20" i="22"/>
  <c r="D13" i="22"/>
  <c r="B88" i="22"/>
  <c r="B81" i="22"/>
  <c r="C51" i="22"/>
  <c r="C50" i="22"/>
  <c r="C13" i="22"/>
  <c r="D63" i="22"/>
  <c r="B51" i="22"/>
  <c r="C29" i="22"/>
  <c r="D29" i="22"/>
  <c r="B80" i="22"/>
  <c r="D66" i="22"/>
  <c r="D64" i="22"/>
  <c r="B60" i="22"/>
  <c r="C60" i="22"/>
  <c r="B58" i="22"/>
  <c r="C58" i="22"/>
  <c r="D53" i="22"/>
  <c r="B17" i="22"/>
  <c r="C17" i="22"/>
  <c r="D17" i="22"/>
  <c r="C61" i="22"/>
  <c r="D61" i="22"/>
  <c r="B22" i="22"/>
  <c r="C22" i="22"/>
  <c r="D22" i="22"/>
  <c r="B74" i="22"/>
  <c r="C74" i="22"/>
  <c r="D38" i="22"/>
  <c r="D18" i="22"/>
  <c r="C14" i="22"/>
  <c r="D14" i="22"/>
  <c r="C40" i="22"/>
  <c r="C38" i="22"/>
  <c r="D25" i="22"/>
  <c r="C18" i="22"/>
  <c r="B15" i="22"/>
  <c r="B12" i="22"/>
  <c r="D7" i="22"/>
  <c r="B31" i="22"/>
  <c r="C31" i="22"/>
  <c r="D31" i="22"/>
  <c r="B7" i="22"/>
  <c r="C54" i="22"/>
  <c r="B48" i="22"/>
  <c r="C41" i="22"/>
  <c r="B36" i="22"/>
  <c r="B30" i="22"/>
  <c r="CV14" i="3" a="1"/>
  <c r="CV14" i="3" s="1"/>
  <c r="CJ14" i="3" a="1"/>
  <c r="CJ14" i="3" s="1"/>
  <c r="L5" i="9"/>
  <c r="L5" i="10"/>
  <c r="K5" i="10"/>
  <c r="P6" i="2"/>
  <c r="P9" i="2"/>
  <c r="AT17" i="3" a="1"/>
  <c r="AT17" i="3" s="1"/>
  <c r="AD17" i="3" a="1"/>
  <c r="AD17" i="3" s="1"/>
  <c r="O8" i="2"/>
  <c r="O20" i="2" s="1"/>
  <c r="P10" i="2"/>
  <c r="V15" i="3" a="1"/>
  <c r="V15" i="3" s="1"/>
  <c r="S13" i="2"/>
  <c r="V13" i="2" s="1"/>
  <c r="U15" i="3" a="1"/>
  <c r="U15" i="3" s="1"/>
  <c r="DN17" i="3" a="1"/>
  <c r="DN17" i="3" s="1"/>
  <c r="BB17" i="3" a="1"/>
  <c r="BB17" i="3" s="1"/>
  <c r="P11" i="2"/>
  <c r="AN11" i="2" s="1"/>
  <c r="P13" i="2"/>
  <c r="AN13" i="2" s="1"/>
  <c r="DO17" i="3" a="1"/>
  <c r="DO17" i="3" s="1"/>
  <c r="T15" i="2"/>
  <c r="N21" i="2"/>
  <c r="P14" i="2"/>
  <c r="AN14" i="2" s="1"/>
  <c r="T11" i="2"/>
  <c r="AA26" i="3" s="1" a="1"/>
  <c r="AA26" i="3" s="1"/>
  <c r="T13" i="2"/>
  <c r="AN30" i="3" s="1" a="1"/>
  <c r="AN30" i="3" s="1"/>
  <c r="N20" i="2"/>
  <c r="D26" i="26" a="1"/>
  <c r="D26" i="26" s="1"/>
  <c r="J29" i="26" a="1"/>
  <c r="J29" i="26" s="1"/>
  <c r="M20" i="2"/>
  <c r="J20" i="2"/>
  <c r="T12" i="2"/>
  <c r="P7" i="2"/>
  <c r="S14" i="2"/>
  <c r="T14" i="2"/>
  <c r="Z20" i="2"/>
  <c r="T6" i="2"/>
  <c r="P15" i="2"/>
  <c r="AN15" i="2" s="1"/>
  <c r="M21" i="2"/>
  <c r="L21" i="2"/>
  <c r="K21" i="2"/>
  <c r="J21" i="2"/>
  <c r="I21" i="2"/>
  <c r="B21" i="2"/>
  <c r="O60" i="19" s="1"/>
  <c r="Z21" i="2"/>
  <c r="AF11" i="2"/>
  <c r="D27" i="26" a="1"/>
  <c r="D27" i="26" s="1"/>
  <c r="P12" i="2"/>
  <c r="AN12" i="2" s="1"/>
  <c r="AK17" i="3" a="1"/>
  <c r="AK17" i="3" s="1"/>
  <c r="DK13" i="3" a="1"/>
  <c r="DK13" i="3" s="1"/>
  <c r="AI17" i="3" a="1"/>
  <c r="AI17" i="3" s="1"/>
  <c r="J13" i="3" a="1"/>
  <c r="J13" i="3" s="1"/>
  <c r="AB17" i="3" a="1"/>
  <c r="AB17" i="3" s="1"/>
  <c r="T13" i="3" a="1"/>
  <c r="T13" i="3" s="1"/>
  <c r="R16" i="3" a="1"/>
  <c r="R16" i="3" s="1"/>
  <c r="AU13" i="3" a="1"/>
  <c r="AU13" i="3" s="1"/>
  <c r="AJ13" i="3" a="1"/>
  <c r="AJ13" i="3" s="1"/>
  <c r="DJ13" i="3" a="1"/>
  <c r="DJ13" i="3" s="1"/>
  <c r="L16" i="3" a="1"/>
  <c r="L16" i="3" s="1"/>
  <c r="V17" i="3" a="1"/>
  <c r="V17" i="3" s="1"/>
  <c r="CD13" i="3" a="1"/>
  <c r="CD13" i="3" s="1"/>
  <c r="K16" i="3" a="1"/>
  <c r="K16" i="3" s="1"/>
  <c r="BK17" i="3" a="1"/>
  <c r="BK17" i="3" s="1"/>
  <c r="AU17" i="3" a="1"/>
  <c r="AU17" i="3" s="1"/>
  <c r="AE17" i="3" a="1"/>
  <c r="AE17" i="3" s="1"/>
  <c r="AR17" i="3" a="1"/>
  <c r="AR17" i="3" s="1"/>
  <c r="CD17" i="3" a="1"/>
  <c r="CD17" i="3" s="1"/>
  <c r="CM17" i="3" a="1"/>
  <c r="CM17" i="3" s="1"/>
  <c r="BG17" i="3" a="1"/>
  <c r="BG17" i="3" s="1"/>
  <c r="BX17" i="3" a="1"/>
  <c r="BX17" i="3" s="1"/>
  <c r="CY13" i="3" a="1"/>
  <c r="CY13" i="3" s="1"/>
  <c r="CL13" i="3" a="1"/>
  <c r="CL13" i="3" s="1"/>
  <c r="BF17" i="3" a="1"/>
  <c r="BF17" i="3" s="1"/>
  <c r="BW17" i="3" a="1"/>
  <c r="BW17" i="3" s="1"/>
  <c r="CX13" i="3" a="1"/>
  <c r="CX13" i="3" s="1"/>
  <c r="AS17" i="3" a="1"/>
  <c r="AS17" i="3" s="1"/>
  <c r="CY17" i="3" a="1"/>
  <c r="CY17" i="3" s="1"/>
  <c r="DQ13" i="3" a="1"/>
  <c r="DQ13" i="3" s="1"/>
  <c r="CK17" i="3" a="1"/>
  <c r="CK17" i="3" s="1"/>
  <c r="BE13" i="3" a="1"/>
  <c r="BE13" i="3" s="1"/>
  <c r="BD17" i="3" a="1"/>
  <c r="BD17" i="3" s="1"/>
  <c r="CV13" i="3" a="1"/>
  <c r="CV13" i="3" s="1"/>
  <c r="DP17" i="3" a="1"/>
  <c r="DP17" i="3" s="1"/>
  <c r="BT13" i="3" a="1"/>
  <c r="BT13" i="3" s="1"/>
  <c r="F25" i="5"/>
  <c r="F45" i="5" s="1"/>
  <c r="E25" i="5"/>
  <c r="E45" i="5" s="1"/>
  <c r="D25" i="5"/>
  <c r="D45" i="5" s="1"/>
  <c r="D28" i="26" a="1"/>
  <c r="D28" i="26" s="1"/>
  <c r="J30" i="26" a="1"/>
  <c r="J30" i="26" s="1"/>
  <c r="DJ16" i="3" a="1"/>
  <c r="DJ16" i="3" s="1"/>
  <c r="DG16" i="3" a="1"/>
  <c r="DG16" i="3" s="1"/>
  <c r="CP16" i="3" a="1"/>
  <c r="CP16" i="3" s="1"/>
  <c r="CD16" i="3" a="1"/>
  <c r="CD16" i="3" s="1"/>
  <c r="AC16" i="3" a="1"/>
  <c r="AC16" i="3" s="1"/>
  <c r="BW16" i="3" a="1"/>
  <c r="BW16" i="3" s="1"/>
  <c r="CF16" i="3" a="1"/>
  <c r="CF16" i="3" s="1"/>
  <c r="BH16" i="3" a="1"/>
  <c r="BH16" i="3" s="1"/>
  <c r="BP16" i="3" a="1"/>
  <c r="BP16" i="3" s="1"/>
  <c r="BF16" i="3" a="1"/>
  <c r="BF16" i="3" s="1"/>
  <c r="DR16" i="3" a="1"/>
  <c r="DR16" i="3" s="1"/>
  <c r="BV16" i="3" a="1"/>
  <c r="BV16" i="3" s="1"/>
  <c r="J16" i="3" a="1"/>
  <c r="J16" i="3" s="1"/>
  <c r="AY16" i="3" a="1"/>
  <c r="AY16" i="3" s="1"/>
  <c r="AX16" i="3" a="1"/>
  <c r="AX16" i="3" s="1"/>
  <c r="BD16" i="3" a="1"/>
  <c r="BD16" i="3" s="1"/>
  <c r="AO16" i="3" a="1"/>
  <c r="AO16" i="3" s="1"/>
  <c r="BC16" i="3" a="1"/>
  <c r="BC16" i="3" s="1"/>
  <c r="U16" i="3" a="1"/>
  <c r="U16" i="3" s="1"/>
  <c r="CH16" i="3" a="1"/>
  <c r="CH16" i="3" s="1"/>
  <c r="B46" i="26"/>
  <c r="A46" i="26"/>
  <c r="B56" i="26"/>
  <c r="B47" i="26"/>
  <c r="N58" i="26"/>
  <c r="L57" i="26"/>
  <c r="H55" i="26"/>
  <c r="L47" i="26" a="1"/>
  <c r="L47" i="26" s="1"/>
  <c r="L46" i="26" a="1"/>
  <c r="L46" i="26" s="1"/>
  <c r="M45" i="26" a="1"/>
  <c r="M45" i="26" s="1"/>
  <c r="M43" i="26" a="1"/>
  <c r="M43" i="26" s="1"/>
  <c r="H35" i="26" a="1"/>
  <c r="H35" i="26" s="1"/>
  <c r="K34" i="26" a="1"/>
  <c r="K34" i="26" s="1"/>
  <c r="L33" i="26" a="1"/>
  <c r="L33" i="26" s="1"/>
  <c r="D31" i="26" a="1"/>
  <c r="D31" i="26" s="1"/>
  <c r="M58" i="26"/>
  <c r="K57" i="26"/>
  <c r="G55" i="26"/>
  <c r="K47" i="26" a="1"/>
  <c r="K47" i="26" s="1"/>
  <c r="K46" i="26" a="1"/>
  <c r="K46" i="26" s="1"/>
  <c r="L45" i="26" a="1"/>
  <c r="L45" i="26" s="1"/>
  <c r="L43" i="26" a="1"/>
  <c r="L43" i="26" s="1"/>
  <c r="J34" i="26" a="1"/>
  <c r="J34" i="26" s="1"/>
  <c r="K33" i="26" a="1"/>
  <c r="K33" i="26" s="1"/>
  <c r="L58" i="26"/>
  <c r="J57" i="26"/>
  <c r="F55" i="26"/>
  <c r="J47" i="26" a="1"/>
  <c r="J47" i="26" s="1"/>
  <c r="K45" i="26" a="1"/>
  <c r="K45" i="26" s="1"/>
  <c r="K43" i="26" a="1"/>
  <c r="K43" i="26" s="1"/>
  <c r="G35" i="26" a="1"/>
  <c r="G35" i="26" s="1"/>
  <c r="I34" i="26" a="1"/>
  <c r="I34" i="26" s="1"/>
  <c r="N31" i="26" a="1"/>
  <c r="N31" i="26" s="1"/>
  <c r="C31" i="26" a="1"/>
  <c r="C31" i="26" s="1"/>
  <c r="K58" i="26"/>
  <c r="I57" i="26"/>
  <c r="E55" i="26"/>
  <c r="I47" i="26" a="1"/>
  <c r="I47" i="26" s="1"/>
  <c r="J46" i="26" a="1"/>
  <c r="J46" i="26" s="1"/>
  <c r="J45" i="26" a="1"/>
  <c r="J45" i="26" s="1"/>
  <c r="J43" i="26" a="1"/>
  <c r="J43" i="26" s="1"/>
  <c r="H34" i="26" a="1"/>
  <c r="H34" i="26" s="1"/>
  <c r="J33" i="26" a="1"/>
  <c r="J33" i="26" s="1"/>
  <c r="M31" i="26" a="1"/>
  <c r="M31" i="26" s="1"/>
  <c r="N59" i="26"/>
  <c r="J58" i="26"/>
  <c r="H57" i="26"/>
  <c r="F56" i="26"/>
  <c r="D55" i="26"/>
  <c r="H47" i="26" a="1"/>
  <c r="H47" i="26" s="1"/>
  <c r="I45" i="26" a="1"/>
  <c r="I45" i="26" s="1"/>
  <c r="K44" i="26" a="1"/>
  <c r="K44" i="26" s="1"/>
  <c r="F35" i="26" a="1"/>
  <c r="F35" i="26" s="1"/>
  <c r="G34" i="26" a="1"/>
  <c r="G34" i="26" s="1"/>
  <c r="K32" i="26" a="1"/>
  <c r="K32" i="26" s="1"/>
  <c r="A31" i="26"/>
  <c r="M59" i="26"/>
  <c r="I58" i="26"/>
  <c r="G57" i="26"/>
  <c r="C55" i="26"/>
  <c r="G47" i="26" a="1"/>
  <c r="G47" i="26" s="1"/>
  <c r="I46" i="26" a="1"/>
  <c r="I46" i="26" s="1"/>
  <c r="H45" i="26" a="1"/>
  <c r="H45" i="26" s="1"/>
  <c r="I43" i="26" a="1"/>
  <c r="I43" i="26" s="1"/>
  <c r="E35" i="26" a="1"/>
  <c r="E35" i="26" s="1"/>
  <c r="F34" i="26" a="1"/>
  <c r="F34" i="26" s="1"/>
  <c r="I33" i="26" a="1"/>
  <c r="I33" i="26" s="1"/>
  <c r="L31" i="26" a="1"/>
  <c r="L31" i="26" s="1"/>
  <c r="L59" i="26"/>
  <c r="H58" i="26"/>
  <c r="F57" i="26"/>
  <c r="D56" i="26"/>
  <c r="F47" i="26" a="1"/>
  <c r="F47" i="26" s="1"/>
  <c r="H46" i="26" a="1"/>
  <c r="H46" i="26" s="1"/>
  <c r="I44" i="26" a="1"/>
  <c r="I44" i="26" s="1"/>
  <c r="D35" i="26" a="1"/>
  <c r="D35" i="26" s="1"/>
  <c r="I32" i="26" a="1"/>
  <c r="I32" i="26" s="1"/>
  <c r="K59" i="26"/>
  <c r="G58" i="26"/>
  <c r="E57" i="26"/>
  <c r="C56" i="26"/>
  <c r="G46" i="26" a="1"/>
  <c r="G46" i="26" s="1"/>
  <c r="G45" i="26" a="1"/>
  <c r="G45" i="26" s="1"/>
  <c r="H44" i="26" a="1"/>
  <c r="H44" i="26" s="1"/>
  <c r="H43" i="26" a="1"/>
  <c r="H43" i="26" s="1"/>
  <c r="C35" i="26" a="1"/>
  <c r="C35" i="26" s="1"/>
  <c r="E34" i="26" a="1"/>
  <c r="E34" i="26" s="1"/>
  <c r="H33" i="26" a="1"/>
  <c r="H33" i="26" s="1"/>
  <c r="H32" i="26" a="1"/>
  <c r="H32" i="26" s="1"/>
  <c r="K31" i="26" a="1"/>
  <c r="K31" i="26" s="1"/>
  <c r="J59" i="26"/>
  <c r="F58" i="26"/>
  <c r="D57" i="26"/>
  <c r="E47" i="26" a="1"/>
  <c r="E47" i="26" s="1"/>
  <c r="F46" i="26" a="1"/>
  <c r="F46" i="26" s="1"/>
  <c r="G43" i="26" a="1"/>
  <c r="G43" i="26" s="1"/>
  <c r="G33" i="26" a="1"/>
  <c r="G33" i="26" s="1"/>
  <c r="I59" i="26"/>
  <c r="E58" i="26"/>
  <c r="C57" i="26"/>
  <c r="E46" i="26" a="1"/>
  <c r="E46" i="26" s="1"/>
  <c r="F45" i="26" a="1"/>
  <c r="F45" i="26" s="1"/>
  <c r="F44" i="26" a="1"/>
  <c r="F44" i="26" s="1"/>
  <c r="F43" i="26" a="1"/>
  <c r="F43" i="26" s="1"/>
  <c r="N35" i="26" a="1"/>
  <c r="N35" i="26" s="1"/>
  <c r="J31" i="26" a="1"/>
  <c r="J31" i="26" s="1"/>
  <c r="B51" i="26"/>
  <c r="N39" i="26" a="1"/>
  <c r="N39" i="26" s="1"/>
  <c r="F42" i="26" a="1"/>
  <c r="F42" i="26" s="1"/>
  <c r="B53" i="26"/>
  <c r="B41" i="26"/>
  <c r="L29" i="26" a="1"/>
  <c r="L29" i="26" s="1"/>
  <c r="B54" i="26"/>
  <c r="N40" i="26" a="1"/>
  <c r="N40" i="26" s="1"/>
  <c r="CW14" i="3" a="1"/>
  <c r="CW14" i="3" s="1"/>
  <c r="BS14" i="3" a="1"/>
  <c r="BS14" i="3" s="1"/>
  <c r="G14" i="3" a="1"/>
  <c r="G14" i="3" s="1"/>
  <c r="BP15" i="3" a="1"/>
  <c r="BP15" i="3" s="1"/>
  <c r="BR14" i="3" a="1"/>
  <c r="BR14" i="3" s="1"/>
  <c r="BL14" i="3" a="1"/>
  <c r="BL14" i="3" s="1"/>
  <c r="CU14" i="3" a="1"/>
  <c r="CU14" i="3" s="1"/>
  <c r="BQ14" i="3" a="1"/>
  <c r="BQ14" i="3" s="1"/>
  <c r="AW15" i="3" a="1"/>
  <c r="AW15" i="3" s="1"/>
  <c r="AG14" i="3" a="1"/>
  <c r="AG14" i="3" s="1"/>
  <c r="R14" i="3" a="1"/>
  <c r="R14" i="3" s="1"/>
  <c r="CT14" i="3" a="1"/>
  <c r="CT14" i="3" s="1"/>
  <c r="AX8" i="3" a="1"/>
  <c r="AX8" i="3" s="1"/>
  <c r="AV15" i="3" a="1"/>
  <c r="AV15" i="3" s="1"/>
  <c r="Q14" i="3" a="1"/>
  <c r="Q14" i="3" s="1"/>
  <c r="CA15" i="3" a="1"/>
  <c r="CA15" i="3" s="1"/>
  <c r="O14" i="3" a="1"/>
  <c r="O14" i="3" s="1"/>
  <c r="BO8" i="3" a="1"/>
  <c r="BO8" i="3" s="1"/>
  <c r="CT15" i="3" a="1"/>
  <c r="CT15" i="3" s="1"/>
  <c r="DK15" i="3" a="1"/>
  <c r="DK15" i="3" s="1"/>
  <c r="DL15" i="3" a="1"/>
  <c r="DL15" i="3" s="1"/>
  <c r="DD14" i="3" a="1"/>
  <c r="DD14" i="3" s="1"/>
  <c r="BO15" i="3" a="1"/>
  <c r="BO15" i="3" s="1"/>
  <c r="DC14" i="3" a="1"/>
  <c r="DC14" i="3" s="1"/>
  <c r="AA14" i="3" a="1"/>
  <c r="AA14" i="3" s="1"/>
  <c r="O15" i="3" a="1"/>
  <c r="O15" i="3" s="1"/>
  <c r="D62" i="5"/>
  <c r="D31" i="5"/>
  <c r="CS8" i="3" a="1"/>
  <c r="CS8" i="3" s="1"/>
  <c r="AG8" i="3" a="1"/>
  <c r="AG8" i="3" s="1"/>
  <c r="CN8" i="3" a="1"/>
  <c r="CN8" i="3" s="1"/>
  <c r="AU8" i="3" a="1"/>
  <c r="AU8" i="3" s="1"/>
  <c r="DE8" i="3" a="1"/>
  <c r="DE8" i="3" s="1"/>
  <c r="DG8" i="3" a="1"/>
  <c r="DG8" i="3" s="1"/>
  <c r="AA8" i="3" a="1"/>
  <c r="AA8" i="3" s="1"/>
  <c r="O8" i="3" a="1"/>
  <c r="O8" i="3" s="1"/>
  <c r="DA8" i="3" a="1"/>
  <c r="DA8" i="3" s="1"/>
  <c r="CL8" i="3" a="1"/>
  <c r="CL8" i="3" s="1"/>
  <c r="P8" i="3" a="1"/>
  <c r="P8" i="3" s="1"/>
  <c r="BI8" i="3" a="1"/>
  <c r="BI8" i="3" s="1"/>
  <c r="CM8" i="3" a="1"/>
  <c r="CM8" i="3" s="1"/>
  <c r="DQ8" i="3" a="1"/>
  <c r="DQ8" i="3" s="1"/>
  <c r="G62" i="5"/>
  <c r="G31" i="5"/>
  <c r="DP5" i="3"/>
  <c r="AK5" i="3"/>
  <c r="CZ4" i="3"/>
  <c r="U4" i="3"/>
  <c r="DM17" i="3" a="1"/>
  <c r="DM17" i="3" s="1"/>
  <c r="BC17" i="3" a="1"/>
  <c r="BC17" i="3" s="1"/>
  <c r="DJ15" i="3" a="1"/>
  <c r="DJ15" i="3" s="1"/>
  <c r="BN15" i="3" a="1"/>
  <c r="BN15" i="3" s="1"/>
  <c r="DO5" i="3"/>
  <c r="E5" i="3"/>
  <c r="CY4" i="3"/>
  <c r="CZ17" i="3" a="1"/>
  <c r="CZ17" i="3" s="1"/>
  <c r="DA16" i="3" a="1"/>
  <c r="DA16" i="3" s="1"/>
  <c r="BU16" i="3" a="1"/>
  <c r="BU16" i="3" s="1"/>
  <c r="DI15" i="3" a="1"/>
  <c r="DI15" i="3" s="1"/>
  <c r="F15" i="3" a="1"/>
  <c r="F15" i="3" s="1"/>
  <c r="CW13" i="3" a="1"/>
  <c r="CW13" i="3" s="1"/>
  <c r="BA13" i="3" a="1"/>
  <c r="BA13" i="3" s="1"/>
  <c r="S13" i="3" a="1"/>
  <c r="S13" i="3" s="1"/>
  <c r="CZ16" i="3" a="1"/>
  <c r="CZ16" i="3" s="1"/>
  <c r="BA15" i="3" a="1"/>
  <c r="BA15" i="3" s="1"/>
  <c r="DM5" i="3"/>
  <c r="CI5" i="3"/>
  <c r="C5" i="3"/>
  <c r="CW4" i="3"/>
  <c r="AM4" i="3"/>
  <c r="CX17" i="3" a="1"/>
  <c r="CX17" i="3" s="1"/>
  <c r="BU17" i="3" a="1"/>
  <c r="BU17" i="3" s="1"/>
  <c r="BA17" i="3" a="1"/>
  <c r="BA17" i="3" s="1"/>
  <c r="U17" i="3" a="1"/>
  <c r="U17" i="3" s="1"/>
  <c r="BQ16" i="3" a="1"/>
  <c r="BQ16" i="3" s="1"/>
  <c r="DD15" i="3" a="1"/>
  <c r="DD15" i="3" s="1"/>
  <c r="AZ15" i="3" a="1"/>
  <c r="AZ15" i="3" s="1"/>
  <c r="D15" i="3" a="1"/>
  <c r="D15" i="3" s="1"/>
  <c r="BB14" i="3" a="1"/>
  <c r="BB14" i="3" s="1"/>
  <c r="R13" i="3" a="1"/>
  <c r="R13" i="3" s="1"/>
  <c r="CW17" i="3" a="1"/>
  <c r="CW17" i="3" s="1"/>
  <c r="BT17" i="3" a="1"/>
  <c r="BT17" i="3" s="1"/>
  <c r="R17" i="3" a="1"/>
  <c r="R17" i="3" s="1"/>
  <c r="CX16" i="3" a="1"/>
  <c r="CX16" i="3" s="1"/>
  <c r="BO16" i="3" a="1"/>
  <c r="BO16" i="3" s="1"/>
  <c r="AM16" i="3" a="1"/>
  <c r="AM16" i="3" s="1"/>
  <c r="AX15" i="3" a="1"/>
  <c r="AX15" i="3" s="1"/>
  <c r="DO14" i="3" a="1"/>
  <c r="DO14" i="3" s="1"/>
  <c r="CL14" i="3" a="1"/>
  <c r="CL14" i="3" s="1"/>
  <c r="AZ14" i="3" a="1"/>
  <c r="AZ14" i="3" s="1"/>
  <c r="H14" i="3" a="1"/>
  <c r="H14" i="3" s="1"/>
  <c r="CT13" i="3" a="1"/>
  <c r="CT13" i="3" s="1"/>
  <c r="AS13" i="3" a="1"/>
  <c r="AS13" i="3" s="1"/>
  <c r="I13" i="3" a="1"/>
  <c r="I13" i="3" s="1"/>
  <c r="BD5" i="3"/>
  <c r="AN8" i="3" a="1"/>
  <c r="AN8" i="3" s="1"/>
  <c r="DJ5" i="3"/>
  <c r="CF5" i="3"/>
  <c r="BB5" i="3"/>
  <c r="W5" i="3"/>
  <c r="DO4" i="3"/>
  <c r="CT4" i="3"/>
  <c r="AJ4" i="3"/>
  <c r="I4" i="3"/>
  <c r="CV17" i="3" a="1"/>
  <c r="CV17" i="3" s="1"/>
  <c r="BS17" i="3" a="1"/>
  <c r="BS17" i="3" s="1"/>
  <c r="CW16" i="3" a="1"/>
  <c r="CW16" i="3" s="1"/>
  <c r="BN16" i="3" a="1"/>
  <c r="BN16" i="3" s="1"/>
  <c r="I16" i="3" a="1"/>
  <c r="I16" i="3" s="1"/>
  <c r="F14" i="3" a="1"/>
  <c r="F14" i="3" s="1"/>
  <c r="S17" i="3" a="1"/>
  <c r="S17" i="3" s="1"/>
  <c r="CU15" i="3" a="1"/>
  <c r="CU15" i="3" s="1"/>
  <c r="BA14" i="3" a="1"/>
  <c r="BA14" i="3" s="1"/>
  <c r="CG5" i="3"/>
  <c r="DP4" i="3"/>
  <c r="AK4" i="3"/>
  <c r="AM8" i="3" a="1"/>
  <c r="AM8" i="3" s="1"/>
  <c r="X8" i="3" a="1"/>
  <c r="X8" i="3" s="1"/>
  <c r="H8" i="3" a="1"/>
  <c r="H8" i="3" s="1"/>
  <c r="CE5" i="3"/>
  <c r="BA5" i="3"/>
  <c r="V5" i="3"/>
  <c r="DN4" i="3"/>
  <c r="AI4" i="3"/>
  <c r="H4" i="3"/>
  <c r="AF15" i="3" a="1"/>
  <c r="AF15" i="3" s="1"/>
  <c r="CU17" i="3" a="1"/>
  <c r="CU17" i="3" s="1"/>
  <c r="BP17" i="3" a="1"/>
  <c r="BP17" i="3" s="1"/>
  <c r="AN17" i="3" a="1"/>
  <c r="AN17" i="3" s="1"/>
  <c r="C17" i="3" a="1"/>
  <c r="C17" i="3" s="1"/>
  <c r="AL16" i="3" a="1"/>
  <c r="AL16" i="3" s="1"/>
  <c r="E16" i="3" a="1"/>
  <c r="E16" i="3" s="1"/>
  <c r="DN14" i="3" a="1"/>
  <c r="DN14" i="3" s="1"/>
  <c r="CK14" i="3" a="1"/>
  <c r="CK14" i="3" s="1"/>
  <c r="AY14" i="3" a="1"/>
  <c r="AY14" i="3" s="1"/>
  <c r="AM13" i="3" a="1"/>
  <c r="AM13" i="3" s="1"/>
  <c r="CY16" i="3" a="1"/>
  <c r="CY16" i="3" s="1"/>
  <c r="CZ8" i="3" a="1"/>
  <c r="CZ8" i="3" s="1"/>
  <c r="X5" i="3"/>
  <c r="BQ8" i="3" a="1"/>
  <c r="BQ8" i="3" s="1"/>
  <c r="AK8" i="3" a="1"/>
  <c r="AK8" i="3" s="1"/>
  <c r="G8" i="3" a="1"/>
  <c r="G8" i="3" s="1"/>
  <c r="CD5" i="3"/>
  <c r="AZ5" i="3"/>
  <c r="U5" i="3"/>
  <c r="DM4" i="3"/>
  <c r="CK4" i="3"/>
  <c r="BD4" i="3"/>
  <c r="AH4" i="3"/>
  <c r="G4" i="3"/>
  <c r="AM17" i="3" a="1"/>
  <c r="AM17" i="3" s="1"/>
  <c r="CN16" i="3" a="1"/>
  <c r="CN16" i="3" s="1"/>
  <c r="BG16" i="3" a="1"/>
  <c r="BG16" i="3" s="1"/>
  <c r="AK16" i="3" a="1"/>
  <c r="AK16" i="3" s="1"/>
  <c r="CH15" i="3" a="1"/>
  <c r="CH15" i="3" s="1"/>
  <c r="AR15" i="3" a="1"/>
  <c r="AR15" i="3" s="1"/>
  <c r="DM14" i="3" a="1"/>
  <c r="DM14" i="3" s="1"/>
  <c r="AX14" i="3" a="1"/>
  <c r="AX14" i="3" s="1"/>
  <c r="CF13" i="3" a="1"/>
  <c r="CF13" i="3" s="1"/>
  <c r="AL13" i="3" a="1"/>
  <c r="AL13" i="3" s="1"/>
  <c r="CJ5" i="3"/>
  <c r="AN16" i="3" a="1"/>
  <c r="AN16" i="3" s="1"/>
  <c r="DM8" i="3" a="1"/>
  <c r="DM8" i="3" s="1"/>
  <c r="AY5" i="3"/>
  <c r="T5" i="3"/>
  <c r="DL4" i="3"/>
  <c r="CJ4" i="3"/>
  <c r="BC4" i="3"/>
  <c r="BO17" i="3" a="1"/>
  <c r="BO17" i="3" s="1"/>
  <c r="CI16" i="3" a="1"/>
  <c r="CI16" i="3" s="1"/>
  <c r="D16" i="3" a="1"/>
  <c r="D16" i="3" s="1"/>
  <c r="CG15" i="3" a="1"/>
  <c r="CG15" i="3" s="1"/>
  <c r="DL14" i="3" a="1"/>
  <c r="DL14" i="3" s="1"/>
  <c r="AK14" i="3" a="1"/>
  <c r="AK14" i="3" s="1"/>
  <c r="AK13" i="3" a="1"/>
  <c r="AK13" i="3" s="1"/>
  <c r="AN4" i="3"/>
  <c r="E15" i="3" a="1"/>
  <c r="E15" i="3" s="1"/>
  <c r="BD8" i="3" a="1"/>
  <c r="BD8" i="3" s="1"/>
  <c r="DJ8" i="3" a="1"/>
  <c r="DJ8" i="3" s="1"/>
  <c r="AJ8" i="3" a="1"/>
  <c r="AJ8" i="3" s="1"/>
  <c r="U8" i="3" a="1"/>
  <c r="U8" i="3" s="1"/>
  <c r="BU5" i="3"/>
  <c r="AX5" i="3"/>
  <c r="S5" i="3"/>
  <c r="DK4" i="3"/>
  <c r="CH17" i="3" a="1"/>
  <c r="CH17" i="3" s="1"/>
  <c r="BN17" i="3" a="1"/>
  <c r="BN17" i="3" s="1"/>
  <c r="AL17" i="3" a="1"/>
  <c r="AL17" i="3" s="1"/>
  <c r="DQ16" i="3" a="1"/>
  <c r="DQ16" i="3" s="1"/>
  <c r="C16" i="3" a="1"/>
  <c r="C16" i="3" s="1"/>
  <c r="AH15" i="3" a="1"/>
  <c r="AH15" i="3" s="1"/>
  <c r="AI14" i="3" a="1"/>
  <c r="AI14" i="3" s="1"/>
  <c r="CE13" i="3" a="1"/>
  <c r="CE13" i="3" s="1"/>
  <c r="Y8" i="3" a="1"/>
  <c r="Y8" i="3" s="1"/>
  <c r="DK5" i="3"/>
  <c r="BC5" i="3"/>
  <c r="CU4" i="3"/>
  <c r="CV8" i="3" a="1"/>
  <c r="CV8" i="3" s="1"/>
  <c r="CY5" i="3"/>
  <c r="T8" i="3" a="1"/>
  <c r="T8" i="3" s="1"/>
  <c r="CX5" i="3"/>
  <c r="BT5" i="3"/>
  <c r="R5" i="3"/>
  <c r="DJ4" i="3"/>
  <c r="CH4" i="3"/>
  <c r="CG17" i="3" a="1"/>
  <c r="CG17" i="3" s="1"/>
  <c r="BE16" i="3" a="1"/>
  <c r="BE16" i="3" s="1"/>
  <c r="W16" i="3" a="1"/>
  <c r="W16" i="3" s="1"/>
  <c r="AG15" i="3" a="1"/>
  <c r="AG15" i="3" s="1"/>
  <c r="DK14" i="3" a="1"/>
  <c r="DK14" i="3" s="1"/>
  <c r="CD14" i="3" a="1"/>
  <c r="CD14" i="3" s="1"/>
  <c r="AH14" i="3" a="1"/>
  <c r="AH14" i="3" s="1"/>
  <c r="DP13" i="3" a="1"/>
  <c r="DP13" i="3" s="1"/>
  <c r="AI13" i="3" a="1"/>
  <c r="AI13" i="3" s="1"/>
  <c r="C25" i="5"/>
  <c r="C45" i="5" s="1"/>
  <c r="CF8" i="3" a="1"/>
  <c r="CF8" i="3" s="1"/>
  <c r="CW5" i="3"/>
  <c r="BS5" i="3"/>
  <c r="CG4" i="3"/>
  <c r="AZ4" i="3"/>
  <c r="Y4" i="3"/>
  <c r="C4" i="3"/>
  <c r="CF17" i="3" a="1"/>
  <c r="CF17" i="3" s="1"/>
  <c r="DP16" i="3" a="1"/>
  <c r="DP16" i="3" s="1"/>
  <c r="CG16" i="3" a="1"/>
  <c r="CG16" i="3" s="1"/>
  <c r="AE15" i="3" a="1"/>
  <c r="AE15" i="3" s="1"/>
  <c r="DJ14" i="3" a="1"/>
  <c r="DJ14" i="3" s="1"/>
  <c r="BT14" i="3" a="1"/>
  <c r="BT14" i="3" s="1"/>
  <c r="DO13" i="3" a="1"/>
  <c r="DO13" i="3" s="1"/>
  <c r="AH13" i="3" a="1"/>
  <c r="AH13" i="3" s="1"/>
  <c r="AY15" i="3" a="1"/>
  <c r="AY15" i="3" s="1"/>
  <c r="CU13" i="3" a="1"/>
  <c r="CU13" i="3" s="1"/>
  <c r="CT8" i="3" a="1"/>
  <c r="CT8" i="3" s="1"/>
  <c r="BN8" i="3" a="1"/>
  <c r="BN8" i="3" s="1"/>
  <c r="CV5" i="3"/>
  <c r="X4" i="3"/>
  <c r="DO16" i="3" a="1"/>
  <c r="DO16" i="3" s="1"/>
  <c r="V16" i="3" a="1"/>
  <c r="V16" i="3" s="1"/>
  <c r="DM15" i="3" a="1"/>
  <c r="DM15" i="3" s="1"/>
  <c r="BQ15" i="3" a="1"/>
  <c r="BQ15" i="3" s="1"/>
  <c r="DN13" i="3" a="1"/>
  <c r="DN13" i="3" s="1"/>
  <c r="AA13" i="3" a="1"/>
  <c r="AA13" i="3" s="1"/>
  <c r="CU5" i="3"/>
  <c r="BQ5" i="3"/>
  <c r="AM5" i="3"/>
  <c r="CE4" i="3"/>
  <c r="CE17" i="3" a="1"/>
  <c r="CE17" i="3" s="1"/>
  <c r="BE17" i="3" a="1"/>
  <c r="BE17" i="3" s="1"/>
  <c r="DK16" i="3" a="1"/>
  <c r="DK16" i="3" s="1"/>
  <c r="DM13" i="3" a="1"/>
  <c r="DM13" i="3" s="1"/>
  <c r="DI13" i="3" a="1"/>
  <c r="DI13" i="3" s="1"/>
  <c r="DI14" i="3" a="1"/>
  <c r="DI14" i="3" s="1"/>
  <c r="DI4" i="3"/>
  <c r="DI16" i="3" a="1"/>
  <c r="DI16" i="3" s="1"/>
  <c r="CS16" i="3" a="1"/>
  <c r="CS16" i="3" s="1"/>
  <c r="CS13" i="3" a="1"/>
  <c r="CS13" i="3" s="1"/>
  <c r="CS17" i="3" a="1"/>
  <c r="CS17" i="3" s="1"/>
  <c r="CS14" i="3" a="1"/>
  <c r="CS14" i="3" s="1"/>
  <c r="CS4" i="3"/>
  <c r="CS15" i="3" a="1"/>
  <c r="CS15" i="3" s="1"/>
  <c r="CC15" i="3" a="1"/>
  <c r="CC15" i="3" s="1"/>
  <c r="CC16" i="3" a="1"/>
  <c r="CC16" i="3" s="1"/>
  <c r="CC17" i="3" a="1"/>
  <c r="CC17" i="3" s="1"/>
  <c r="CC4" i="3"/>
  <c r="CC13" i="3" a="1"/>
  <c r="CC13" i="3" s="1"/>
  <c r="CC14" i="3" a="1"/>
  <c r="CC14" i="3" s="1"/>
  <c r="BM14" i="3" a="1"/>
  <c r="BM14" i="3" s="1"/>
  <c r="BM15" i="3" a="1"/>
  <c r="BM15" i="3" s="1"/>
  <c r="BM16" i="3" a="1"/>
  <c r="BM16" i="3" s="1"/>
  <c r="BM17" i="3" a="1"/>
  <c r="BM17" i="3" s="1"/>
  <c r="BM13" i="3" a="1"/>
  <c r="BM13" i="3" s="1"/>
  <c r="AW13" i="3" a="1"/>
  <c r="AW13" i="3" s="1"/>
  <c r="AW14" i="3" a="1"/>
  <c r="AW14" i="3" s="1"/>
  <c r="AW17" i="3" a="1"/>
  <c r="AW17" i="3" s="1"/>
  <c r="AW16" i="3" a="1"/>
  <c r="AW16" i="3" s="1"/>
  <c r="AG16" i="3" a="1"/>
  <c r="AG16" i="3" s="1"/>
  <c r="AG13" i="3" a="1"/>
  <c r="AG13" i="3" s="1"/>
  <c r="AG17" i="3" a="1"/>
  <c r="AG17" i="3" s="1"/>
  <c r="Q15" i="3" a="1"/>
  <c r="Q15" i="3" s="1"/>
  <c r="Q16" i="3" a="1"/>
  <c r="Q16" i="3" s="1"/>
  <c r="Q13" i="3" a="1"/>
  <c r="Q13" i="3" s="1"/>
  <c r="Q4" i="3"/>
  <c r="CN17" i="3" a="1"/>
  <c r="CN17" i="3" s="1"/>
  <c r="AG4" i="3"/>
  <c r="DH14" i="3" a="1"/>
  <c r="DH14" i="3" s="1"/>
  <c r="DH16" i="3" a="1"/>
  <c r="DH16" i="3" s="1"/>
  <c r="DH5" i="3"/>
  <c r="DH13" i="3" a="1"/>
  <c r="DH13" i="3" s="1"/>
  <c r="DH17" i="3" a="1"/>
  <c r="DH17" i="3" s="1"/>
  <c r="CR13" i="3" a="1"/>
  <c r="CR13" i="3" s="1"/>
  <c r="CR17" i="3" a="1"/>
  <c r="CR17" i="3" s="1"/>
  <c r="CR14" i="3" a="1"/>
  <c r="CR14" i="3" s="1"/>
  <c r="CR4" i="3"/>
  <c r="CR16" i="3" a="1"/>
  <c r="CR16" i="3" s="1"/>
  <c r="CR8" i="3" a="1"/>
  <c r="CR8" i="3" s="1"/>
  <c r="CR5" i="3"/>
  <c r="CB16" i="3" a="1"/>
  <c r="CB16" i="3" s="1"/>
  <c r="CB13" i="3" a="1"/>
  <c r="CB13" i="3" s="1"/>
  <c r="CB17" i="3" a="1"/>
  <c r="CB17" i="3" s="1"/>
  <c r="CB4" i="3"/>
  <c r="CB14" i="3" a="1"/>
  <c r="CB14" i="3" s="1"/>
  <c r="CB5" i="3"/>
  <c r="CB15" i="3" a="1"/>
  <c r="CB15" i="3" s="1"/>
  <c r="BL15" i="3" a="1"/>
  <c r="BL15" i="3" s="1"/>
  <c r="BL17" i="3" a="1"/>
  <c r="BL17" i="3" s="1"/>
  <c r="BL16" i="3" a="1"/>
  <c r="BL16" i="3" s="1"/>
  <c r="BL5" i="3"/>
  <c r="AV14" i="3" a="1"/>
  <c r="AV14" i="3" s="1"/>
  <c r="AV17" i="3" a="1"/>
  <c r="AV17" i="3" s="1"/>
  <c r="AV8" i="3" a="1"/>
  <c r="AV8" i="3" s="1"/>
  <c r="AV16" i="3" a="1"/>
  <c r="AV16" i="3" s="1"/>
  <c r="AV5" i="3"/>
  <c r="AF13" i="3" a="1"/>
  <c r="AF13" i="3" s="1"/>
  <c r="AF17" i="3" a="1"/>
  <c r="AF17" i="3" s="1"/>
  <c r="AF14" i="3" a="1"/>
  <c r="AF14" i="3" s="1"/>
  <c r="AF16" i="3" a="1"/>
  <c r="AF16" i="3" s="1"/>
  <c r="AF5" i="3"/>
  <c r="P16" i="3" a="1"/>
  <c r="P16" i="3" s="1"/>
  <c r="P13" i="3" a="1"/>
  <c r="P13" i="3" s="1"/>
  <c r="P4" i="3"/>
  <c r="P5" i="3"/>
  <c r="P17" i="3" a="1"/>
  <c r="P17" i="3" s="1"/>
  <c r="DD4" i="3"/>
  <c r="DF15" i="3" a="1"/>
  <c r="DF15" i="3" s="1"/>
  <c r="DF8" i="3" a="1"/>
  <c r="DF8" i="3" s="1"/>
  <c r="DF14" i="3" a="1"/>
  <c r="DF14" i="3" s="1"/>
  <c r="DF17" i="3" a="1"/>
  <c r="DF17" i="3" s="1"/>
  <c r="DF13" i="3" a="1"/>
  <c r="DF13" i="3" s="1"/>
  <c r="DF5" i="3"/>
  <c r="CP14" i="3" a="1"/>
  <c r="CP14" i="3" s="1"/>
  <c r="CP8" i="3" a="1"/>
  <c r="CP8" i="3" s="1"/>
  <c r="CP4" i="3"/>
  <c r="CP17" i="3" a="1"/>
  <c r="CP17" i="3" s="1"/>
  <c r="CP5" i="3"/>
  <c r="CP13" i="3" a="1"/>
  <c r="CP13" i="3" s="1"/>
  <c r="CP15" i="3" a="1"/>
  <c r="CP15" i="3" s="1"/>
  <c r="BZ17" i="3" a="1"/>
  <c r="BZ17" i="3" s="1"/>
  <c r="BZ8" i="3" a="1"/>
  <c r="BZ8" i="3" s="1"/>
  <c r="BZ13" i="3" a="1"/>
  <c r="BZ13" i="3" s="1"/>
  <c r="BZ14" i="3" a="1"/>
  <c r="BZ14" i="3" s="1"/>
  <c r="BZ16" i="3" a="1"/>
  <c r="BZ16" i="3" s="1"/>
  <c r="BZ4" i="3"/>
  <c r="BZ5" i="3"/>
  <c r="BZ15" i="3" a="1"/>
  <c r="BZ15" i="3" s="1"/>
  <c r="BJ16" i="3" a="1"/>
  <c r="BJ16" i="3" s="1"/>
  <c r="BJ8" i="3" a="1"/>
  <c r="BJ8" i="3" s="1"/>
  <c r="BJ13" i="3" a="1"/>
  <c r="BJ13" i="3" s="1"/>
  <c r="BJ4" i="3"/>
  <c r="BJ5" i="3"/>
  <c r="BJ14" i="3" a="1"/>
  <c r="BJ14" i="3" s="1"/>
  <c r="BJ17" i="3" a="1"/>
  <c r="BJ17" i="3" s="1"/>
  <c r="AT15" i="3" a="1"/>
  <c r="AT15" i="3" s="1"/>
  <c r="AT8" i="3" a="1"/>
  <c r="AT8" i="3" s="1"/>
  <c r="AT5" i="3"/>
  <c r="AT13" i="3" a="1"/>
  <c r="AT13" i="3" s="1"/>
  <c r="AD14" i="3" a="1"/>
  <c r="AD14" i="3" s="1"/>
  <c r="AD8" i="3" a="1"/>
  <c r="AD8" i="3" s="1"/>
  <c r="AD16" i="3" a="1"/>
  <c r="AD16" i="3" s="1"/>
  <c r="AD5" i="3"/>
  <c r="AD15" i="3" a="1"/>
  <c r="AD15" i="3" s="1"/>
  <c r="N17" i="3" a="1"/>
  <c r="N17" i="3" s="1"/>
  <c r="N13" i="3" a="1"/>
  <c r="N13" i="3" s="1"/>
  <c r="N14" i="3" a="1"/>
  <c r="N14" i="3" s="1"/>
  <c r="N16" i="3" a="1"/>
  <c r="N16" i="3" s="1"/>
  <c r="N5" i="3"/>
  <c r="DF16" i="3" a="1"/>
  <c r="DF16" i="3" s="1"/>
  <c r="BJ15" i="3" a="1"/>
  <c r="BJ15" i="3" s="1"/>
  <c r="P14" i="3" a="1"/>
  <c r="P14" i="3" s="1"/>
  <c r="BL8" i="3" a="1"/>
  <c r="BL8" i="3" s="1"/>
  <c r="AW4" i="3"/>
  <c r="AD4" i="3"/>
  <c r="DE15" i="3" a="1"/>
  <c r="DE15" i="3" s="1"/>
  <c r="DE16" i="3" a="1"/>
  <c r="DE16" i="3" s="1"/>
  <c r="DE4" i="3"/>
  <c r="DE14" i="3" a="1"/>
  <c r="DE14" i="3" s="1"/>
  <c r="DE17" i="3" a="1"/>
  <c r="DE17" i="3" s="1"/>
  <c r="DE13" i="3" a="1"/>
  <c r="DE13" i="3" s="1"/>
  <c r="DE5" i="3"/>
  <c r="CO14" i="3" a="1"/>
  <c r="CO14" i="3" s="1"/>
  <c r="CO15" i="3" a="1"/>
  <c r="CO15" i="3" s="1"/>
  <c r="CO4" i="3"/>
  <c r="CO17" i="3" a="1"/>
  <c r="CO17" i="3" s="1"/>
  <c r="CO5" i="3"/>
  <c r="CO13" i="3" a="1"/>
  <c r="CO13" i="3" s="1"/>
  <c r="CO16" i="3" a="1"/>
  <c r="CO16" i="3" s="1"/>
  <c r="BY13" i="3" a="1"/>
  <c r="BY13" i="3" s="1"/>
  <c r="BY4" i="3"/>
  <c r="BY14" i="3" a="1"/>
  <c r="BY14" i="3" s="1"/>
  <c r="BY17" i="3" a="1"/>
  <c r="BY17" i="3" s="1"/>
  <c r="BY5" i="3"/>
  <c r="BY15" i="3" a="1"/>
  <c r="BY15" i="3" s="1"/>
  <c r="BY8" i="3" a="1"/>
  <c r="BY8" i="3" s="1"/>
  <c r="BI16" i="3" a="1"/>
  <c r="BI16" i="3" s="1"/>
  <c r="BI17" i="3" a="1"/>
  <c r="BI17" i="3" s="1"/>
  <c r="BI4" i="3"/>
  <c r="BI13" i="3" a="1"/>
  <c r="BI13" i="3" s="1"/>
  <c r="BI5" i="3"/>
  <c r="BI14" i="3" a="1"/>
  <c r="BI14" i="3" s="1"/>
  <c r="BI15" i="3" a="1"/>
  <c r="BI15" i="3" s="1"/>
  <c r="AS15" i="3" a="1"/>
  <c r="AS15" i="3" s="1"/>
  <c r="AS16" i="3" a="1"/>
  <c r="AS16" i="3" s="1"/>
  <c r="AS4" i="3"/>
  <c r="AS5" i="3"/>
  <c r="AS14" i="3" a="1"/>
  <c r="AS14" i="3" s="1"/>
  <c r="AC14" i="3" a="1"/>
  <c r="AC14" i="3" s="1"/>
  <c r="AC15" i="3" a="1"/>
  <c r="AC15" i="3" s="1"/>
  <c r="AC4" i="3"/>
  <c r="AC5" i="3"/>
  <c r="M13" i="3" a="1"/>
  <c r="M13" i="3" s="1"/>
  <c r="M4" i="3"/>
  <c r="M14" i="3" a="1"/>
  <c r="M14" i="3" s="1"/>
  <c r="M16" i="3" a="1"/>
  <c r="M16" i="3" s="1"/>
  <c r="M5" i="3"/>
  <c r="M15" i="3" a="1"/>
  <c r="M15" i="3" s="1"/>
  <c r="Q17" i="3" a="1"/>
  <c r="Q17" i="3" s="1"/>
  <c r="BY16" i="3" a="1"/>
  <c r="BY16" i="3" s="1"/>
  <c r="CR15" i="3" a="1"/>
  <c r="CR15" i="3" s="1"/>
  <c r="M17" i="3" a="1"/>
  <c r="M17" i="3" s="1"/>
  <c r="P15" i="3" a="1"/>
  <c r="P15" i="3" s="1"/>
  <c r="BX13" i="3" a="1"/>
  <c r="BX13" i="3" s="1"/>
  <c r="BX14" i="3" a="1"/>
  <c r="BX14" i="3" s="1"/>
  <c r="BX15" i="3" a="1"/>
  <c r="BX15" i="3" s="1"/>
  <c r="BX4" i="3"/>
  <c r="BX5" i="3"/>
  <c r="BX16" i="3" a="1"/>
  <c r="BX16" i="3" s="1"/>
  <c r="AB14" i="3" a="1"/>
  <c r="AB14" i="3" s="1"/>
  <c r="AB15" i="3" a="1"/>
  <c r="AB15" i="3" s="1"/>
  <c r="AB5" i="3"/>
  <c r="AB16" i="3" a="1"/>
  <c r="AB16" i="3" s="1"/>
  <c r="DI17" i="3" a="1"/>
  <c r="DI17" i="3" s="1"/>
  <c r="BL13" i="3" a="1"/>
  <c r="BL13" i="3" s="1"/>
  <c r="AD13" i="3" a="1"/>
  <c r="AD13" i="3" s="1"/>
  <c r="DD16" i="3" a="1"/>
  <c r="DD16" i="3" s="1"/>
  <c r="DD13" i="3" a="1"/>
  <c r="DD13" i="3" s="1"/>
  <c r="DD5" i="3"/>
  <c r="CN14" i="3" a="1"/>
  <c r="CN14" i="3" s="1"/>
  <c r="CN15" i="3" a="1"/>
  <c r="CN15" i="3" s="1"/>
  <c r="CN5" i="3"/>
  <c r="CN13" i="3" a="1"/>
  <c r="CN13" i="3" s="1"/>
  <c r="BH17" i="3" a="1"/>
  <c r="BH17" i="3" s="1"/>
  <c r="BH13" i="3" a="1"/>
  <c r="BH13" i="3" s="1"/>
  <c r="BH5" i="3"/>
  <c r="BH14" i="3" a="1"/>
  <c r="BH14" i="3" s="1"/>
  <c r="BH4" i="3"/>
  <c r="BH15" i="3" a="1"/>
  <c r="BH15" i="3" s="1"/>
  <c r="AR16" i="3" a="1"/>
  <c r="AR16" i="3" s="1"/>
  <c r="AR13" i="3" a="1"/>
  <c r="AR13" i="3" s="1"/>
  <c r="AR5" i="3"/>
  <c r="AR14" i="3" a="1"/>
  <c r="AR14" i="3" s="1"/>
  <c r="L13" i="3" a="1"/>
  <c r="L13" i="3" s="1"/>
  <c r="L14" i="3" a="1"/>
  <c r="L14" i="3" s="1"/>
  <c r="L15" i="3" a="1"/>
  <c r="L15" i="3" s="1"/>
  <c r="L5" i="3"/>
  <c r="AG5" i="3"/>
  <c r="AT4" i="3"/>
  <c r="DD17" i="3" a="1"/>
  <c r="DD17" i="3" s="1"/>
  <c r="L17" i="3" a="1"/>
  <c r="L17" i="3" s="1"/>
  <c r="AT16" i="3" a="1"/>
  <c r="AT16" i="3" s="1"/>
  <c r="AT14" i="3" a="1"/>
  <c r="AT14" i="3" s="1"/>
  <c r="AC13" i="3" a="1"/>
  <c r="AC13" i="3" s="1"/>
  <c r="AR4" i="3"/>
  <c r="N15" i="3" a="1"/>
  <c r="N15" i="3" s="1"/>
  <c r="AB13" i="3" a="1"/>
  <c r="AB13" i="3" s="1"/>
  <c r="DG14" i="3" a="1"/>
  <c r="DG14" i="3" s="1"/>
  <c r="DG15" i="3" a="1"/>
  <c r="DG15" i="3" s="1"/>
  <c r="CQ13" i="3" a="1"/>
  <c r="CQ13" i="3" s="1"/>
  <c r="CQ14" i="3" a="1"/>
  <c r="CQ14" i="3" s="1"/>
  <c r="CA16" i="3" a="1"/>
  <c r="CA16" i="3" s="1"/>
  <c r="CA13" i="3" a="1"/>
  <c r="CA13" i="3" s="1"/>
  <c r="CA17" i="3" a="1"/>
  <c r="CA17" i="3" s="1"/>
  <c r="BK15" i="3" a="1"/>
  <c r="BK15" i="3" s="1"/>
  <c r="BK16" i="3" a="1"/>
  <c r="BK16" i="3" s="1"/>
  <c r="BK13" i="3" a="1"/>
  <c r="BK13" i="3" s="1"/>
  <c r="AU14" i="3" a="1"/>
  <c r="AU14" i="3" s="1"/>
  <c r="AU15" i="3" a="1"/>
  <c r="AU15" i="3" s="1"/>
  <c r="AE13" i="3" a="1"/>
  <c r="AE13" i="3" s="1"/>
  <c r="AE14" i="3" a="1"/>
  <c r="AE14" i="3" s="1"/>
  <c r="O16" i="3" a="1"/>
  <c r="O16" i="3" s="1"/>
  <c r="O13" i="3" a="1"/>
  <c r="O13" i="3" s="1"/>
  <c r="O17" i="3" a="1"/>
  <c r="O17" i="3" s="1"/>
  <c r="BV17" i="3" a="1"/>
  <c r="BV17" i="3" s="1"/>
  <c r="DB14" i="3" a="1"/>
  <c r="DB14" i="3" s="1"/>
  <c r="BK4" i="3"/>
  <c r="DC16" i="3" a="1"/>
  <c r="DC16" i="3" s="1"/>
  <c r="DC4" i="3"/>
  <c r="DC17" i="3" a="1"/>
  <c r="DC17" i="3" s="1"/>
  <c r="DC13" i="3" a="1"/>
  <c r="DC13" i="3" s="1"/>
  <c r="CM15" i="3" a="1"/>
  <c r="CM15" i="3" s="1"/>
  <c r="CM4" i="3"/>
  <c r="CM16" i="3" a="1"/>
  <c r="CM16" i="3" s="1"/>
  <c r="BW14" i="3" a="1"/>
  <c r="BW14" i="3" s="1"/>
  <c r="BW4" i="3"/>
  <c r="BG13" i="3" a="1"/>
  <c r="BG13" i="3" s="1"/>
  <c r="BG4" i="3"/>
  <c r="BG14" i="3" a="1"/>
  <c r="BG14" i="3" s="1"/>
  <c r="AQ16" i="3" a="1"/>
  <c r="AQ16" i="3" s="1"/>
  <c r="AQ4" i="3"/>
  <c r="AQ17" i="3" a="1"/>
  <c r="AQ17" i="3" s="1"/>
  <c r="AQ13" i="3" a="1"/>
  <c r="AQ13" i="3" s="1"/>
  <c r="AA15" i="3" a="1"/>
  <c r="AA15" i="3" s="1"/>
  <c r="AA4" i="3"/>
  <c r="AA16" i="3" a="1"/>
  <c r="AA16" i="3" s="1"/>
  <c r="K14" i="3" a="1"/>
  <c r="K14" i="3" s="1"/>
  <c r="K4" i="3"/>
  <c r="DC15" i="3" a="1"/>
  <c r="DC15" i="3" s="1"/>
  <c r="CQ15" i="3" a="1"/>
  <c r="CQ15" i="3" s="1"/>
  <c r="AQ15" i="3" a="1"/>
  <c r="AQ15" i="3" s="1"/>
  <c r="BK14" i="3" a="1"/>
  <c r="BK14" i="3" s="1"/>
  <c r="DR13" i="3" a="1"/>
  <c r="DR13" i="3" s="1"/>
  <c r="DR4" i="3"/>
  <c r="DR14" i="3" a="1"/>
  <c r="DR14" i="3" s="1"/>
  <c r="DB16" i="3" a="1"/>
  <c r="DB16" i="3" s="1"/>
  <c r="DB4" i="3"/>
  <c r="DB17" i="3" a="1"/>
  <c r="DB17" i="3" s="1"/>
  <c r="DB13" i="3" a="1"/>
  <c r="DB13" i="3" s="1"/>
  <c r="CL15" i="3" a="1"/>
  <c r="CL15" i="3" s="1"/>
  <c r="CL4" i="3"/>
  <c r="CL16" i="3" a="1"/>
  <c r="CL16" i="3" s="1"/>
  <c r="CL17" i="3" a="1"/>
  <c r="CL17" i="3" s="1"/>
  <c r="BV14" i="3" a="1"/>
  <c r="BV14" i="3" s="1"/>
  <c r="BV4" i="3"/>
  <c r="BV15" i="3" a="1"/>
  <c r="BV15" i="3" s="1"/>
  <c r="BF13" i="3" a="1"/>
  <c r="BF13" i="3" s="1"/>
  <c r="BF4" i="3"/>
  <c r="BF14" i="3" a="1"/>
  <c r="BF14" i="3" s="1"/>
  <c r="AP16" i="3" a="1"/>
  <c r="AP16" i="3" s="1"/>
  <c r="AP4" i="3"/>
  <c r="AP17" i="3" a="1"/>
  <c r="AP17" i="3" s="1"/>
  <c r="AP13" i="3" a="1"/>
  <c r="AP13" i="3" s="1"/>
  <c r="Z15" i="3" a="1"/>
  <c r="Z15" i="3" s="1"/>
  <c r="Z4" i="3"/>
  <c r="Z16" i="3" a="1"/>
  <c r="Z16" i="3" s="1"/>
  <c r="Z17" i="3" a="1"/>
  <c r="Z17" i="3" s="1"/>
  <c r="Z13" i="3" a="1"/>
  <c r="Z13" i="3" s="1"/>
  <c r="J14" i="3" a="1"/>
  <c r="J14" i="3" s="1"/>
  <c r="J4" i="3"/>
  <c r="J15" i="3" a="1"/>
  <c r="J15" i="3" s="1"/>
  <c r="AA17" i="3" a="1"/>
  <c r="AA17" i="3" s="1"/>
  <c r="K17" i="3" a="1"/>
  <c r="K17" i="3" s="1"/>
  <c r="Z14" i="3" a="1"/>
  <c r="Z14" i="3" s="1"/>
  <c r="CQ5" i="3"/>
  <c r="BK5" i="3"/>
  <c r="AE5" i="3"/>
  <c r="DQ14" i="3" a="1"/>
  <c r="DQ14" i="3" s="1"/>
  <c r="DA13" i="3" a="1"/>
  <c r="DA13" i="3" s="1"/>
  <c r="DA17" i="3" a="1"/>
  <c r="DA17" i="3" s="1"/>
  <c r="DA14" i="3" a="1"/>
  <c r="DA14" i="3" s="1"/>
  <c r="CK16" i="3" a="1"/>
  <c r="CK16" i="3" s="1"/>
  <c r="CK13" i="3" a="1"/>
  <c r="CK13" i="3" s="1"/>
  <c r="BU15" i="3" a="1"/>
  <c r="BU15" i="3" s="1"/>
  <c r="BE14" i="3" a="1"/>
  <c r="BE14" i="3" s="1"/>
  <c r="AO13" i="3" a="1"/>
  <c r="AO13" i="3" s="1"/>
  <c r="AO17" i="3" a="1"/>
  <c r="AO17" i="3" s="1"/>
  <c r="AO14" i="3" a="1"/>
  <c r="AO14" i="3" s="1"/>
  <c r="Y16" i="3" a="1"/>
  <c r="Y16" i="3" s="1"/>
  <c r="Y13" i="3" a="1"/>
  <c r="Y13" i="3" s="1"/>
  <c r="I15" i="3" a="1"/>
  <c r="I15" i="3" s="1"/>
  <c r="Y17" i="3" a="1"/>
  <c r="Y17" i="3" s="1"/>
  <c r="J17" i="3" a="1"/>
  <c r="J17" i="3" s="1"/>
  <c r="DB15" i="3" a="1"/>
  <c r="DB15" i="3" s="1"/>
  <c r="BG15" i="3" a="1"/>
  <c r="BG15" i="3" s="1"/>
  <c r="AP15" i="3" a="1"/>
  <c r="AP15" i="3" s="1"/>
  <c r="Y15" i="3" a="1"/>
  <c r="Y15" i="3" s="1"/>
  <c r="K15" i="3" a="1"/>
  <c r="K15" i="3" s="1"/>
  <c r="BW13" i="3" a="1"/>
  <c r="BW13" i="3" s="1"/>
  <c r="DG5" i="3"/>
  <c r="CA5" i="3"/>
  <c r="AU5" i="3"/>
  <c r="CA4" i="3"/>
  <c r="BE4" i="3"/>
  <c r="DP14" i="3" a="1"/>
  <c r="DP14" i="3" s="1"/>
  <c r="DP15" i="3" a="1"/>
  <c r="DP15" i="3" s="1"/>
  <c r="CZ13" i="3" a="1"/>
  <c r="CZ13" i="3" s="1"/>
  <c r="CZ14" i="3" a="1"/>
  <c r="CZ14" i="3" s="1"/>
  <c r="CJ16" i="3" a="1"/>
  <c r="CJ16" i="3" s="1"/>
  <c r="CJ13" i="3" a="1"/>
  <c r="CJ13" i="3" s="1"/>
  <c r="CJ17" i="3" a="1"/>
  <c r="CJ17" i="3" s="1"/>
  <c r="BT15" i="3" a="1"/>
  <c r="BT15" i="3" s="1"/>
  <c r="BT16" i="3" a="1"/>
  <c r="BT16" i="3" s="1"/>
  <c r="BD14" i="3" a="1"/>
  <c r="BD14" i="3" s="1"/>
  <c r="BD15" i="3" a="1"/>
  <c r="BD15" i="3" s="1"/>
  <c r="AN13" i="3" a="1"/>
  <c r="AN13" i="3" s="1"/>
  <c r="AN14" i="3" a="1"/>
  <c r="AN14" i="3" s="1"/>
  <c r="X16" i="3" a="1"/>
  <c r="X16" i="3" s="1"/>
  <c r="X13" i="3" a="1"/>
  <c r="X13" i="3" s="1"/>
  <c r="X17" i="3" a="1"/>
  <c r="X17" i="3" s="1"/>
  <c r="H15" i="3" a="1"/>
  <c r="H15" i="3" s="1"/>
  <c r="H16" i="3" a="1"/>
  <c r="H16" i="3" s="1"/>
  <c r="H13" i="3" a="1"/>
  <c r="H13" i="3" s="1"/>
  <c r="DG17" i="3" a="1"/>
  <c r="DG17" i="3" s="1"/>
  <c r="CQ17" i="3" a="1"/>
  <c r="CQ17" i="3" s="1"/>
  <c r="I17" i="3" a="1"/>
  <c r="I17" i="3" s="1"/>
  <c r="CK15" i="3" a="1"/>
  <c r="CK15" i="3" s="1"/>
  <c r="BW15" i="3" a="1"/>
  <c r="BW15" i="3" s="1"/>
  <c r="AQ14" i="3" a="1"/>
  <c r="AQ14" i="3" s="1"/>
  <c r="Y14" i="3" a="1"/>
  <c r="Y14" i="3" s="1"/>
  <c r="DG13" i="3" a="1"/>
  <c r="DG13" i="3" s="1"/>
  <c r="BD13" i="3" a="1"/>
  <c r="BD13" i="3" s="1"/>
  <c r="DR8" i="3" a="1"/>
  <c r="DR8" i="3" s="1"/>
  <c r="CQ8" i="3" a="1"/>
  <c r="CQ8" i="3" s="1"/>
  <c r="BF8" i="3" a="1"/>
  <c r="BF8" i="3" s="1"/>
  <c r="AE8" i="3" a="1"/>
  <c r="AE8" i="3" s="1"/>
  <c r="DO15" i="3" a="1"/>
  <c r="DO15" i="3" s="1"/>
  <c r="CY14" i="3" a="1"/>
  <c r="CY14" i="3" s="1"/>
  <c r="CI13" i="3" a="1"/>
  <c r="CI13" i="3" s="1"/>
  <c r="CI17" i="3" a="1"/>
  <c r="CI17" i="3" s="1"/>
  <c r="CI14" i="3" a="1"/>
  <c r="CI14" i="3" s="1"/>
  <c r="BS16" i="3" a="1"/>
  <c r="BS16" i="3" s="1"/>
  <c r="BS13" i="3" a="1"/>
  <c r="BS13" i="3" s="1"/>
  <c r="BC15" i="3" a="1"/>
  <c r="BC15" i="3" s="1"/>
  <c r="AM14" i="3" a="1"/>
  <c r="AM14" i="3" s="1"/>
  <c r="W13" i="3" a="1"/>
  <c r="W13" i="3" s="1"/>
  <c r="W17" i="3" a="1"/>
  <c r="W17" i="3" s="1"/>
  <c r="W14" i="3" a="1"/>
  <c r="W14" i="3" s="1"/>
  <c r="G16" i="3" a="1"/>
  <c r="G16" i="3" s="1"/>
  <c r="G13" i="3" a="1"/>
  <c r="G13" i="3" s="1"/>
  <c r="DR15" i="3" a="1"/>
  <c r="DR15" i="3" s="1"/>
  <c r="DA15" i="3" a="1"/>
  <c r="DA15" i="3" s="1"/>
  <c r="BF15" i="3" a="1"/>
  <c r="BF15" i="3" s="1"/>
  <c r="AO15" i="3" a="1"/>
  <c r="AO15" i="3" s="1"/>
  <c r="X15" i="3" a="1"/>
  <c r="X15" i="3" s="1"/>
  <c r="G15" i="3" a="1"/>
  <c r="G15" i="3" s="1"/>
  <c r="CA14" i="3" a="1"/>
  <c r="CA14" i="3" s="1"/>
  <c r="BV13" i="3" a="1"/>
  <c r="BV13" i="3" s="1"/>
  <c r="BG8" i="3" a="1"/>
  <c r="BG8" i="3" s="1"/>
  <c r="O5" i="3"/>
  <c r="DN15" i="3" a="1"/>
  <c r="DN15" i="3" s="1"/>
  <c r="DN8" i="3" a="1"/>
  <c r="DN8" i="3" s="1"/>
  <c r="DN16" i="3" a="1"/>
  <c r="DN16" i="3" s="1"/>
  <c r="CX14" i="3" a="1"/>
  <c r="CX14" i="3" s="1"/>
  <c r="CX8" i="3" a="1"/>
  <c r="CX8" i="3" s="1"/>
  <c r="CX15" i="3" a="1"/>
  <c r="CX15" i="3" s="1"/>
  <c r="CH13" i="3" a="1"/>
  <c r="CH13" i="3" s="1"/>
  <c r="CH8" i="3" a="1"/>
  <c r="CH8" i="3" s="1"/>
  <c r="CH14" i="3" a="1"/>
  <c r="CH14" i="3" s="1"/>
  <c r="BR16" i="3" a="1"/>
  <c r="BR16" i="3" s="1"/>
  <c r="BR8" i="3" a="1"/>
  <c r="BR8" i="3" s="1"/>
  <c r="BR17" i="3" a="1"/>
  <c r="BR17" i="3" s="1"/>
  <c r="BR13" i="3" a="1"/>
  <c r="BR13" i="3" s="1"/>
  <c r="H17" i="3" a="1"/>
  <c r="H17" i="3" s="1"/>
  <c r="AE16" i="3" a="1"/>
  <c r="AE16" i="3" s="1"/>
  <c r="DQ15" i="3" a="1"/>
  <c r="DQ15" i="3" s="1"/>
  <c r="CJ15" i="3" a="1"/>
  <c r="CJ15" i="3" s="1"/>
  <c r="BS15" i="3" a="1"/>
  <c r="BS15" i="3" s="1"/>
  <c r="BE15" i="3" a="1"/>
  <c r="BE15" i="3" s="1"/>
  <c r="AP14" i="3" a="1"/>
  <c r="AP14" i="3" s="1"/>
  <c r="X14" i="3" a="1"/>
  <c r="X14" i="3" s="1"/>
  <c r="BC13" i="3" a="1"/>
  <c r="BC13" i="3" s="1"/>
  <c r="CQ4" i="3"/>
  <c r="BU4" i="3"/>
  <c r="DR17" i="3" a="1"/>
  <c r="DR17" i="3" s="1"/>
  <c r="G17" i="3" a="1"/>
  <c r="G17" i="3" s="1"/>
  <c r="CQ16" i="3" a="1"/>
  <c r="CQ16" i="3" s="1"/>
  <c r="CZ15" i="3" a="1"/>
  <c r="CZ15" i="3" s="1"/>
  <c r="AN15" i="3" a="1"/>
  <c r="AN15" i="3" s="1"/>
  <c r="W15" i="3" a="1"/>
  <c r="W15" i="3" s="1"/>
  <c r="CM14" i="3" a="1"/>
  <c r="CM14" i="3" s="1"/>
  <c r="BU14" i="3" a="1"/>
  <c r="BU14" i="3" s="1"/>
  <c r="BC14" i="3" a="1"/>
  <c r="BC14" i="3" s="1"/>
  <c r="CM13" i="3" a="1"/>
  <c r="CM13" i="3" s="1"/>
  <c r="BU13" i="3" a="1"/>
  <c r="BU13" i="3" s="1"/>
  <c r="K8" i="3" a="1"/>
  <c r="K8" i="3" s="1"/>
  <c r="DC5" i="3"/>
  <c r="CM5" i="3"/>
  <c r="BW5" i="3"/>
  <c r="BG5" i="3"/>
  <c r="AQ5" i="3"/>
  <c r="AA5" i="3"/>
  <c r="K5" i="3"/>
  <c r="DR5" i="3"/>
  <c r="DB5" i="3"/>
  <c r="CL5" i="3"/>
  <c r="BV5" i="3"/>
  <c r="BF5" i="3"/>
  <c r="AP5" i="3"/>
  <c r="Z5" i="3"/>
  <c r="J5" i="3"/>
  <c r="BT4" i="3"/>
  <c r="O4" i="3"/>
  <c r="DL16" i="3" a="1"/>
  <c r="DL16" i="3" s="1"/>
  <c r="DL17" i="3" a="1"/>
  <c r="DL17" i="3" s="1"/>
  <c r="DL13" i="3" a="1"/>
  <c r="DL13" i="3" s="1"/>
  <c r="CV15" i="3" a="1"/>
  <c r="CV15" i="3" s="1"/>
  <c r="CV16" i="3" a="1"/>
  <c r="CV16" i="3" s="1"/>
  <c r="CF14" i="3" a="1"/>
  <c r="CF14" i="3" s="1"/>
  <c r="CF15" i="3" a="1"/>
  <c r="CF15" i="3" s="1"/>
  <c r="BP13" i="3" a="1"/>
  <c r="BP13" i="3" s="1"/>
  <c r="BP14" i="3" a="1"/>
  <c r="BP14" i="3" s="1"/>
  <c r="AZ16" i="3" a="1"/>
  <c r="AZ16" i="3" s="1"/>
  <c r="AZ17" i="3" a="1"/>
  <c r="AZ17" i="3" s="1"/>
  <c r="AZ13" i="3" a="1"/>
  <c r="AZ13" i="3" s="1"/>
  <c r="AJ15" i="3" a="1"/>
  <c r="AJ15" i="3" s="1"/>
  <c r="AJ16" i="3" a="1"/>
  <c r="AJ16" i="3" s="1"/>
  <c r="T14" i="3" a="1"/>
  <c r="T14" i="3" s="1"/>
  <c r="T15" i="3" a="1"/>
  <c r="T15" i="3" s="1"/>
  <c r="A2" i="3"/>
  <c r="D13" i="3" a="1"/>
  <c r="D13" i="3" s="1"/>
  <c r="D14" i="3" a="1"/>
  <c r="D14" i="3" s="1"/>
  <c r="DQ17" i="3" a="1"/>
  <c r="DQ17" i="3" s="1"/>
  <c r="AJ17" i="3" a="1"/>
  <c r="AJ17" i="3" s="1"/>
  <c r="T17" i="3" a="1"/>
  <c r="T17" i="3" s="1"/>
  <c r="D17" i="3" a="1"/>
  <c r="D17" i="3" s="1"/>
  <c r="AU16" i="3" a="1"/>
  <c r="AU16" i="3" s="1"/>
  <c r="CY15" i="3" a="1"/>
  <c r="CY15" i="3" s="1"/>
  <c r="CI15" i="3" a="1"/>
  <c r="CI15" i="3" s="1"/>
  <c r="BR15" i="3" a="1"/>
  <c r="BR15" i="3" s="1"/>
  <c r="AM15" i="3" a="1"/>
  <c r="AM15" i="3" s="1"/>
  <c r="AJ14" i="3" a="1"/>
  <c r="AJ14" i="3" s="1"/>
  <c r="K13" i="3" a="1"/>
  <c r="K13" i="3" s="1"/>
  <c r="CE16" i="3" a="1"/>
  <c r="CE16" i="3" s="1"/>
  <c r="S16" i="3" a="1"/>
  <c r="S16" i="3" s="1"/>
  <c r="E14" i="3" a="1"/>
  <c r="E14" i="3" s="1"/>
  <c r="CT17" i="3" a="1"/>
  <c r="CT17" i="3" s="1"/>
  <c r="AH17" i="3" a="1"/>
  <c r="AH17" i="3" s="1"/>
  <c r="F13" i="3" a="1"/>
  <c r="F13" i="3" s="1"/>
  <c r="F17" i="3" a="1"/>
  <c r="F17" i="3" s="1"/>
  <c r="BB16" i="3" a="1"/>
  <c r="BB16" i="3" s="1"/>
  <c r="CE15" i="3" a="1"/>
  <c r="CE15" i="3" s="1"/>
  <c r="AL15" i="3" a="1"/>
  <c r="AL15" i="3" s="1"/>
  <c r="S15" i="3" a="1"/>
  <c r="S15" i="3" s="1"/>
  <c r="BO14" i="3" a="1"/>
  <c r="BO14" i="3" s="1"/>
  <c r="V14" i="3" a="1"/>
  <c r="V14" i="3" s="1"/>
  <c r="BQ13" i="3" a="1"/>
  <c r="BQ13" i="3" s="1"/>
  <c r="AY13" i="3" a="1"/>
  <c r="AY13" i="3" s="1"/>
  <c r="E13" i="3" a="1"/>
  <c r="E13" i="3" s="1"/>
  <c r="CU16" i="3" a="1"/>
  <c r="CU16" i="3" s="1"/>
  <c r="AI16" i="3" a="1"/>
  <c r="AI16" i="3" s="1"/>
  <c r="CG14" i="3" a="1"/>
  <c r="CG14" i="3" s="1"/>
  <c r="U14" i="3" a="1"/>
  <c r="U14" i="3" s="1"/>
  <c r="BB8" i="3" a="1"/>
  <c r="BB8" i="3" s="1"/>
  <c r="AL8" i="3" a="1"/>
  <c r="AL8" i="3" s="1"/>
  <c r="V8" i="3" a="1"/>
  <c r="V8" i="3" s="1"/>
  <c r="F8" i="3" a="1"/>
  <c r="F8" i="3" s="1"/>
  <c r="DK17" i="3" a="1"/>
  <c r="DK17" i="3" s="1"/>
  <c r="BQ17" i="3" a="1"/>
  <c r="BQ17" i="3" s="1"/>
  <c r="AY17" i="3" a="1"/>
  <c r="AY17" i="3" s="1"/>
  <c r="E17" i="3" a="1"/>
  <c r="E17" i="3" s="1"/>
  <c r="DM16" i="3" a="1"/>
  <c r="DM16" i="3" s="1"/>
  <c r="CT16" i="3" a="1"/>
  <c r="CT16" i="3" s="1"/>
  <c r="BA16" i="3" a="1"/>
  <c r="BA16" i="3" s="1"/>
  <c r="AH16" i="3" a="1"/>
  <c r="AH16" i="3" s="1"/>
  <c r="CW15" i="3" a="1"/>
  <c r="CW15" i="3" s="1"/>
  <c r="CD15" i="3" a="1"/>
  <c r="CD15" i="3" s="1"/>
  <c r="AK15" i="3" a="1"/>
  <c r="AK15" i="3" s="1"/>
  <c r="R15" i="3" a="1"/>
  <c r="R15" i="3" s="1"/>
  <c r="BN14" i="3" a="1"/>
  <c r="BN14" i="3" s="1"/>
  <c r="AX13" i="3" a="1"/>
  <c r="AX13" i="3" s="1"/>
  <c r="DJ17" i="3" a="1"/>
  <c r="DJ17" i="3" s="1"/>
  <c r="AX17" i="3" a="1"/>
  <c r="AX17" i="3" s="1"/>
  <c r="V13" i="3" a="1"/>
  <c r="V13" i="3" s="1"/>
  <c r="F16" i="3" a="1"/>
  <c r="F16" i="3" s="1"/>
  <c r="BB15" i="3" a="1"/>
  <c r="BB15" i="3" s="1"/>
  <c r="AI15" i="3" a="1"/>
  <c r="AI15" i="3" s="1"/>
  <c r="CE14" i="3" a="1"/>
  <c r="CE14" i="3" s="1"/>
  <c r="AL14" i="3" a="1"/>
  <c r="AL14" i="3" s="1"/>
  <c r="S14" i="3" a="1"/>
  <c r="S14" i="3" s="1"/>
  <c r="CG13" i="3" a="1"/>
  <c r="CG13" i="3" s="1"/>
  <c r="BO13" i="3" a="1"/>
  <c r="BO13" i="3" s="1"/>
  <c r="U13" i="3" a="1"/>
  <c r="U13" i="3" s="1"/>
  <c r="C13" i="3" a="1"/>
  <c r="C13" i="3" s="1"/>
  <c r="F9" i="5"/>
  <c r="C9" i="5"/>
  <c r="H9" i="5"/>
  <c r="E9" i="5"/>
  <c r="C23" i="5"/>
  <c r="C43" i="5" s="1"/>
  <c r="D23" i="5"/>
  <c r="D43" i="5" s="1"/>
  <c r="G23" i="5"/>
  <c r="G43" i="5" s="1"/>
  <c r="F23" i="5"/>
  <c r="F43" i="5" s="1"/>
  <c r="H23" i="5"/>
  <c r="H43" i="5" s="1"/>
  <c r="G25" i="5"/>
  <c r="G45" i="5" s="1"/>
  <c r="C15" i="3" a="1"/>
  <c r="C15" i="3" s="1"/>
  <c r="A56" i="12"/>
  <c r="A57" i="12"/>
  <c r="A58" i="12"/>
  <c r="G12" i="25"/>
  <c r="I12" i="25" s="1"/>
  <c r="G11" i="25"/>
  <c r="I11" i="25" s="1"/>
  <c r="G10" i="25"/>
  <c r="I10" i="25" s="1"/>
  <c r="G9" i="25"/>
  <c r="I9" i="25" s="1"/>
  <c r="G8" i="25"/>
  <c r="I8" i="25" s="1"/>
  <c r="G7" i="25"/>
  <c r="I7" i="25" s="1"/>
  <c r="G6" i="25"/>
  <c r="I6" i="25" s="1"/>
  <c r="G8" i="24"/>
  <c r="I8" i="24" s="1"/>
  <c r="G7" i="24"/>
  <c r="I7" i="24" s="1"/>
  <c r="G6" i="24"/>
  <c r="A59" i="12"/>
  <c r="A60" i="12"/>
  <c r="A61" i="12"/>
  <c r="C5" i="6"/>
  <c r="A62" i="12"/>
  <c r="A63" i="12"/>
  <c r="A64" i="12"/>
  <c r="A65" i="12"/>
  <c r="A66" i="12"/>
  <c r="A67" i="12"/>
  <c r="A68" i="12"/>
  <c r="A69" i="12"/>
  <c r="A70" i="12"/>
  <c r="A38" i="26" l="1"/>
  <c r="H40" i="26" a="1"/>
  <c r="H40" i="26" s="1"/>
  <c r="D29" i="26" a="1"/>
  <c r="D29" i="26" s="1"/>
  <c r="A45" i="26"/>
  <c r="C28" i="26" a="1"/>
  <c r="C28" i="26" s="1"/>
  <c r="C26" i="26" a="1"/>
  <c r="C26" i="26" s="1"/>
  <c r="C38" i="26" a="1"/>
  <c r="C38" i="26" s="1"/>
  <c r="G26" i="26" a="1"/>
  <c r="G26" i="26" s="1"/>
  <c r="G50" i="26" s="1"/>
  <c r="G64" i="19"/>
  <c r="F65" i="19"/>
  <c r="G65" i="19" s="1"/>
  <c r="F29" i="26" a="1"/>
  <c r="F29" i="26" s="1"/>
  <c r="A56" i="26"/>
  <c r="N30" i="26" a="1"/>
  <c r="N30" i="26" s="1"/>
  <c r="N54" i="26" s="1"/>
  <c r="H39" i="26" a="1"/>
  <c r="H39" i="26" s="1"/>
  <c r="G63" i="19"/>
  <c r="J26" i="26" a="1"/>
  <c r="J26" i="26" s="1"/>
  <c r="E28" i="26" a="1"/>
  <c r="E28" i="26" s="1"/>
  <c r="M38" i="26" a="1"/>
  <c r="M38" i="26" s="1"/>
  <c r="A47" i="26"/>
  <c r="K29" i="26" a="1"/>
  <c r="K29" i="26" s="1"/>
  <c r="I28" i="26" a="1"/>
  <c r="I28" i="26" s="1"/>
  <c r="H29" i="26" a="1"/>
  <c r="H29" i="26" s="1"/>
  <c r="J39" i="26" a="1"/>
  <c r="J39" i="26" s="1"/>
  <c r="J51" i="26" s="1"/>
  <c r="E27" i="26" a="1"/>
  <c r="E27" i="26" s="1"/>
  <c r="M39" i="26" a="1"/>
  <c r="M39" i="26" s="1"/>
  <c r="I170" i="13"/>
  <c r="D202" i="13"/>
  <c r="K186" i="13"/>
  <c r="H170" i="13"/>
  <c r="E170" i="13"/>
  <c r="F218" i="13"/>
  <c r="C84" i="1"/>
  <c r="J186" i="13"/>
  <c r="C218" i="13"/>
  <c r="I218" i="13"/>
  <c r="D170" i="13"/>
  <c r="G186" i="13"/>
  <c r="C202" i="13"/>
  <c r="K170" i="13"/>
  <c r="AM14" i="2"/>
  <c r="G170" i="13"/>
  <c r="E218" i="13"/>
  <c r="L202" i="13"/>
  <c r="C83" i="1"/>
  <c r="H218" i="13"/>
  <c r="I186" i="13"/>
  <c r="F186" i="13"/>
  <c r="C81" i="1"/>
  <c r="L218" i="13"/>
  <c r="L186" i="13"/>
  <c r="C170" i="13"/>
  <c r="C168" i="13"/>
  <c r="C176" i="13" s="1"/>
  <c r="G202" i="13"/>
  <c r="U11" i="2"/>
  <c r="K24" i="4" s="1"/>
  <c r="F202" i="13"/>
  <c r="F170" i="13"/>
  <c r="J170" i="13"/>
  <c r="I202" i="13"/>
  <c r="D218" i="13"/>
  <c r="C186" i="13"/>
  <c r="E39" i="26" a="1"/>
  <c r="E39" i="26" s="1"/>
  <c r="B120" i="4"/>
  <c r="B128" i="4" s="1"/>
  <c r="H186" i="13"/>
  <c r="K218" i="13"/>
  <c r="K202" i="13"/>
  <c r="J202" i="13"/>
  <c r="H202" i="13"/>
  <c r="E202" i="13"/>
  <c r="J218" i="13"/>
  <c r="G218" i="13"/>
  <c r="E186" i="13"/>
  <c r="D186" i="13"/>
  <c r="L170" i="13"/>
  <c r="L38" i="26" a="1"/>
  <c r="L38" i="26" s="1"/>
  <c r="C30" i="26" a="1"/>
  <c r="C30" i="26" s="1"/>
  <c r="C54" i="26" s="1"/>
  <c r="G30" i="26" a="1"/>
  <c r="G30" i="26" s="1"/>
  <c r="G54" i="26" s="1"/>
  <c r="L39" i="26" a="1"/>
  <c r="L39" i="26" s="1"/>
  <c r="K38" i="26" a="1"/>
  <c r="K38" i="26" s="1"/>
  <c r="K50" i="26" s="1"/>
  <c r="F38" i="26" a="1"/>
  <c r="F38" i="26" s="1"/>
  <c r="F50" i="26" s="1"/>
  <c r="M30" i="26" a="1"/>
  <c r="M30" i="26" s="1"/>
  <c r="L26" i="26" a="1"/>
  <c r="L26" i="26" s="1"/>
  <c r="L27" i="26" a="1"/>
  <c r="L27" i="26" s="1"/>
  <c r="G27" i="26" a="1"/>
  <c r="G27" i="26" s="1"/>
  <c r="J28" i="26" a="1"/>
  <c r="J28" i="26" s="1"/>
  <c r="J52" i="26" s="1"/>
  <c r="H50" i="26"/>
  <c r="E50" i="26"/>
  <c r="H181" i="13" a="1"/>
  <c r="H181" i="13" s="1"/>
  <c r="D220" i="13" a="1"/>
  <c r="D220" i="13" s="1"/>
  <c r="J54" i="26"/>
  <c r="A54" i="26"/>
  <c r="A42" i="26"/>
  <c r="I30" i="26" a="1"/>
  <c r="I30" i="26" s="1"/>
  <c r="I54" i="26" s="1"/>
  <c r="I26" i="26" a="1"/>
  <c r="I26" i="26" s="1"/>
  <c r="M52" i="26"/>
  <c r="E29" i="26" a="1"/>
  <c r="E29" i="26" s="1"/>
  <c r="D54" i="26"/>
  <c r="D78" i="19"/>
  <c r="G78" i="19" s="1"/>
  <c r="I78" i="19" s="1"/>
  <c r="O18" i="26"/>
  <c r="J38" i="26" a="1"/>
  <c r="J38" i="26" s="1"/>
  <c r="B30" i="19"/>
  <c r="C34" i="19" a="1"/>
  <c r="C34" i="19" s="1"/>
  <c r="C32" i="19" a="1"/>
  <c r="C32" i="19" s="1"/>
  <c r="C33" i="19" a="1"/>
  <c r="C33" i="19" s="1"/>
  <c r="C31" i="19" a="1"/>
  <c r="C31" i="19" s="1"/>
  <c r="G209" i="13"/>
  <c r="A87" i="16"/>
  <c r="B87" i="16" s="1" a="1"/>
  <c r="B87" i="16" s="1"/>
  <c r="B88" i="16" a="1"/>
  <c r="B88" i="16" s="1"/>
  <c r="B89" i="16" a="1"/>
  <c r="B89" i="16" s="1"/>
  <c r="B90" i="16" a="1"/>
  <c r="B90" i="16" s="1"/>
  <c r="B91" i="16" a="1"/>
  <c r="B91" i="16" s="1"/>
  <c r="J181" i="13" a="1"/>
  <c r="J181" i="13" s="1"/>
  <c r="C80" i="1"/>
  <c r="C39" i="26" a="1"/>
  <c r="C39" i="26" s="1"/>
  <c r="C51" i="26" s="1"/>
  <c r="K63" i="19"/>
  <c r="Q8" i="2" s="1"/>
  <c r="D38" i="26" a="1"/>
  <c r="D38" i="26" s="1"/>
  <c r="D50" i="26" s="1"/>
  <c r="I39" i="26" a="1"/>
  <c r="I39" i="26" s="1"/>
  <c r="I51" i="26" s="1"/>
  <c r="B117" i="4"/>
  <c r="B125" i="4" s="1"/>
  <c r="B46" i="4"/>
  <c r="M26" i="26" a="1"/>
  <c r="M26" i="26" s="1"/>
  <c r="I38" i="26" a="1"/>
  <c r="I38" i="26" s="1"/>
  <c r="K54" i="26"/>
  <c r="K40" i="26" a="1"/>
  <c r="K40" i="26" s="1"/>
  <c r="K52" i="26" s="1"/>
  <c r="O21" i="2"/>
  <c r="J64" i="19"/>
  <c r="J65" i="19" s="1"/>
  <c r="B116" i="4"/>
  <c r="B124" i="4" s="1"/>
  <c r="B32" i="4"/>
  <c r="B118" i="4"/>
  <c r="B126" i="4" s="1"/>
  <c r="B60" i="4"/>
  <c r="F27" i="26" a="1"/>
  <c r="F27" i="26" s="1"/>
  <c r="F51" i="26" s="1"/>
  <c r="G77" i="19"/>
  <c r="I77" i="19" s="1"/>
  <c r="C157" i="19"/>
  <c r="C158" i="19"/>
  <c r="C159" i="19"/>
  <c r="C160" i="19"/>
  <c r="G20" i="16"/>
  <c r="C169" i="19"/>
  <c r="D10" i="1"/>
  <c r="C156" i="19"/>
  <c r="D39" i="26" a="1"/>
  <c r="D39" i="26" s="1"/>
  <c r="D51" i="26" s="1"/>
  <c r="V12" i="2"/>
  <c r="W12" i="2" s="1" a="1"/>
  <c r="W12" i="2" s="1"/>
  <c r="F112" i="19" s="1" a="1"/>
  <c r="F112" i="19" s="1"/>
  <c r="B119" i="4"/>
  <c r="B127" i="4" s="1"/>
  <c r="B74" i="4"/>
  <c r="B44" i="19"/>
  <c r="C47" i="19" a="1"/>
  <c r="C47" i="19" s="1"/>
  <c r="C48" i="19" a="1"/>
  <c r="C48" i="19" s="1"/>
  <c r="C45" i="19" a="1"/>
  <c r="C45" i="19" s="1"/>
  <c r="C46" i="19" a="1"/>
  <c r="C46" i="19" s="1"/>
  <c r="H28" i="26" a="1"/>
  <c r="H28" i="26" s="1"/>
  <c r="H52" i="26" s="1"/>
  <c r="N26" i="26" a="1"/>
  <c r="N26" i="26" s="1"/>
  <c r="N50" i="26" s="1"/>
  <c r="G184" i="13"/>
  <c r="G191" i="13" s="1" a="1"/>
  <c r="G191" i="13" s="1"/>
  <c r="A40" i="26"/>
  <c r="A52" i="26"/>
  <c r="N27" i="26" a="1"/>
  <c r="N27" i="26" s="1"/>
  <c r="A39" i="26"/>
  <c r="K27" i="26" a="1"/>
  <c r="K27" i="26" s="1"/>
  <c r="K51" i="26" s="1"/>
  <c r="M27" i="26" a="1"/>
  <c r="M27" i="26" s="1"/>
  <c r="G40" i="26" a="1"/>
  <c r="G40" i="26" s="1"/>
  <c r="G39" i="26" a="1"/>
  <c r="G39" i="26" s="1"/>
  <c r="E40" i="26" a="1"/>
  <c r="E40" i="26" s="1"/>
  <c r="H27" i="26" a="1"/>
  <c r="H27" i="26" s="1"/>
  <c r="K26" i="26" a="1"/>
  <c r="K26" i="26" s="1"/>
  <c r="O16" i="26"/>
  <c r="O15" i="26"/>
  <c r="F28" i="26" a="1"/>
  <c r="F28" i="26" s="1"/>
  <c r="F52" i="26" s="1"/>
  <c r="J229" i="13" a="1"/>
  <c r="J229" i="13" s="1"/>
  <c r="O17" i="26"/>
  <c r="A53" i="26"/>
  <c r="C25" i="4"/>
  <c r="D25" i="4"/>
  <c r="F25" i="4"/>
  <c r="G25" i="4"/>
  <c r="H25" i="4"/>
  <c r="J25" i="4"/>
  <c r="I25" i="4"/>
  <c r="L25" i="4"/>
  <c r="K25" i="4"/>
  <c r="H28" i="4"/>
  <c r="C28" i="4"/>
  <c r="G28" i="4"/>
  <c r="F28" i="4"/>
  <c r="D28" i="4"/>
  <c r="I28" i="4"/>
  <c r="L28" i="4"/>
  <c r="K28" i="4"/>
  <c r="J28" i="4"/>
  <c r="I24" i="4"/>
  <c r="J24" i="4"/>
  <c r="G76" i="19"/>
  <c r="I76" i="19" s="1"/>
  <c r="V15" i="2"/>
  <c r="W15" i="2" s="1" a="1"/>
  <c r="W15" i="2" s="1"/>
  <c r="S7" i="2"/>
  <c r="H23" i="30" s="1"/>
  <c r="C90" i="16" a="1"/>
  <c r="C90" i="16" s="1"/>
  <c r="I25" i="30"/>
  <c r="I22" i="30"/>
  <c r="W13" i="2" a="1"/>
  <c r="W13" i="2" s="1"/>
  <c r="F113" i="19" s="1" a="1"/>
  <c r="F113" i="19" s="1"/>
  <c r="AI13" i="2"/>
  <c r="H113" i="19" s="1" a="1"/>
  <c r="H113" i="19" s="1"/>
  <c r="C88" i="16" a="1"/>
  <c r="C88" i="16" s="1"/>
  <c r="I23" i="30"/>
  <c r="AF9" i="2"/>
  <c r="I26" i="30"/>
  <c r="C91" i="16" a="1"/>
  <c r="C91" i="16" s="1"/>
  <c r="AF6" i="2"/>
  <c r="E221" i="13"/>
  <c r="I204" i="13" a="1"/>
  <c r="I204" i="13" s="1"/>
  <c r="C216" i="13"/>
  <c r="C223" i="13" s="1" a="1"/>
  <c r="C223" i="13" s="1"/>
  <c r="L31" i="10"/>
  <c r="H31" i="10"/>
  <c r="I29" i="10"/>
  <c r="L27" i="10"/>
  <c r="E28" i="10"/>
  <c r="H27" i="10"/>
  <c r="H30" i="10"/>
  <c r="G30" i="10"/>
  <c r="F29" i="10"/>
  <c r="G28" i="10"/>
  <c r="K28" i="10"/>
  <c r="K31" i="10"/>
  <c r="E31" i="10"/>
  <c r="F31" i="10"/>
  <c r="E30" i="10"/>
  <c r="C30" i="10"/>
  <c r="I30" i="10"/>
  <c r="E27" i="10"/>
  <c r="C29" i="10"/>
  <c r="F27" i="10"/>
  <c r="F28" i="10"/>
  <c r="J30" i="10"/>
  <c r="L30" i="10"/>
  <c r="D28" i="10"/>
  <c r="C27" i="10"/>
  <c r="G29" i="10"/>
  <c r="D29" i="10"/>
  <c r="L28" i="10"/>
  <c r="K30" i="10"/>
  <c r="D27" i="10"/>
  <c r="K29" i="10"/>
  <c r="K27" i="10"/>
  <c r="J28" i="10"/>
  <c r="D31" i="10"/>
  <c r="C31" i="10"/>
  <c r="I27" i="10"/>
  <c r="F30" i="10"/>
  <c r="J27" i="10"/>
  <c r="I31" i="10"/>
  <c r="H29" i="10"/>
  <c r="G31" i="10"/>
  <c r="L29" i="10"/>
  <c r="H28" i="10"/>
  <c r="G27" i="10"/>
  <c r="J29" i="10"/>
  <c r="I28" i="10"/>
  <c r="U13" i="2"/>
  <c r="CL95" i="3" s="1" a="1"/>
  <c r="CL95" i="3" s="1"/>
  <c r="E29" i="10"/>
  <c r="J31" i="10"/>
  <c r="D30" i="10"/>
  <c r="F54" i="26"/>
  <c r="P8" i="2"/>
  <c r="P21" i="2" s="1"/>
  <c r="W11" i="2" a="1"/>
  <c r="W11" i="2" s="1"/>
  <c r="F111" i="19" s="1" a="1"/>
  <c r="F111" i="19" s="1"/>
  <c r="AI11" i="2"/>
  <c r="H111" i="19" s="1" a="1"/>
  <c r="H111" i="19" s="1"/>
  <c r="CJ26" i="3" a="1"/>
  <c r="CJ26" i="3" s="1"/>
  <c r="AM13" i="2"/>
  <c r="AF10" i="2"/>
  <c r="L52" i="26"/>
  <c r="AM11" i="2"/>
  <c r="I177" i="13"/>
  <c r="I172" i="13" a="1"/>
  <c r="I172" i="13" s="1"/>
  <c r="I225" i="13"/>
  <c r="I173" i="13"/>
  <c r="C187" i="13" a="1"/>
  <c r="C187" i="13" s="1"/>
  <c r="L217" i="13" a="1"/>
  <c r="L217" i="13" s="1"/>
  <c r="C193" i="13"/>
  <c r="L220" i="13" a="1"/>
  <c r="L220" i="13" s="1"/>
  <c r="G193" i="13"/>
  <c r="C201" i="13" a="1"/>
  <c r="C201" i="13" s="1"/>
  <c r="F189" i="13"/>
  <c r="G200" i="13"/>
  <c r="G206" i="13" s="1"/>
  <c r="F197" i="13" a="1"/>
  <c r="F197" i="13" s="1"/>
  <c r="D204" i="13" a="1"/>
  <c r="D204" i="13" s="1"/>
  <c r="I168" i="13"/>
  <c r="I174" i="13" s="1"/>
  <c r="D185" i="13" a="1"/>
  <c r="D185" i="13" s="1"/>
  <c r="F219" i="13" a="1"/>
  <c r="F219" i="13" s="1"/>
  <c r="F169" i="13" a="1"/>
  <c r="F169" i="13" s="1"/>
  <c r="L221" i="13"/>
  <c r="K171" i="13" a="1"/>
  <c r="K171" i="13" s="1"/>
  <c r="J197" i="13" a="1"/>
  <c r="J197" i="13" s="1"/>
  <c r="H205" i="13"/>
  <c r="E205" i="13"/>
  <c r="F213" i="13" a="1"/>
  <c r="F213" i="13" s="1"/>
  <c r="L216" i="13"/>
  <c r="L223" i="13" s="1" a="1"/>
  <c r="L223" i="13" s="1"/>
  <c r="C180" i="13"/>
  <c r="F196" i="13"/>
  <c r="J212" i="13"/>
  <c r="F180" i="13"/>
  <c r="G180" i="13"/>
  <c r="H180" i="13"/>
  <c r="K196" i="13"/>
  <c r="C228" i="13"/>
  <c r="I180" i="13"/>
  <c r="L196" i="13"/>
  <c r="D228" i="13"/>
  <c r="J180" i="13"/>
  <c r="E228" i="13"/>
  <c r="K180" i="13"/>
  <c r="F228" i="13"/>
  <c r="L180" i="13"/>
  <c r="C212" i="13"/>
  <c r="G228" i="13"/>
  <c r="D212" i="13"/>
  <c r="H228" i="13"/>
  <c r="C196" i="13"/>
  <c r="G212" i="13"/>
  <c r="K228" i="13"/>
  <c r="H196" i="13"/>
  <c r="D180" i="13"/>
  <c r="E180" i="13"/>
  <c r="L212" i="13"/>
  <c r="I196" i="13"/>
  <c r="I212" i="13"/>
  <c r="J196" i="13"/>
  <c r="K212" i="13"/>
  <c r="E212" i="13"/>
  <c r="F212" i="13"/>
  <c r="H212" i="13"/>
  <c r="I228" i="13"/>
  <c r="G196" i="13"/>
  <c r="L228" i="13"/>
  <c r="D196" i="13"/>
  <c r="E196" i="13"/>
  <c r="J228" i="13"/>
  <c r="E204" i="13" a="1"/>
  <c r="E204" i="13" s="1"/>
  <c r="L172" i="13" a="1"/>
  <c r="L172" i="13" s="1"/>
  <c r="C173" i="13"/>
  <c r="I197" i="13" a="1"/>
  <c r="I197" i="13" s="1"/>
  <c r="C171" i="13" a="1"/>
  <c r="C171" i="13" s="1"/>
  <c r="L203" i="13" a="1"/>
  <c r="L203" i="13" s="1"/>
  <c r="E217" i="13" a="1"/>
  <c r="E217" i="13" s="1"/>
  <c r="J187" i="13" a="1"/>
  <c r="J187" i="13" s="1"/>
  <c r="K219" i="13" a="1"/>
  <c r="K219" i="13" s="1"/>
  <c r="L173" i="13"/>
  <c r="I203" i="13" a="1"/>
  <c r="I203" i="13" s="1"/>
  <c r="C189" i="13"/>
  <c r="G216" i="13"/>
  <c r="G223" i="13" s="1" a="1"/>
  <c r="G223" i="13" s="1"/>
  <c r="K168" i="13"/>
  <c r="K174" i="13" s="1"/>
  <c r="E200" i="13"/>
  <c r="J217" i="13" a="1"/>
  <c r="J217" i="13" s="1"/>
  <c r="G185" i="13" a="1"/>
  <c r="G185" i="13" s="1"/>
  <c r="D203" i="13" a="1"/>
  <c r="D203" i="13" s="1"/>
  <c r="H217" i="13" a="1"/>
  <c r="H217" i="13" s="1"/>
  <c r="F171" i="13" a="1"/>
  <c r="F171" i="13" s="1"/>
  <c r="I189" i="13"/>
  <c r="C217" i="13" a="1"/>
  <c r="C217" i="13" s="1"/>
  <c r="G169" i="13" a="1"/>
  <c r="G169" i="13" s="1"/>
  <c r="C229" i="13" a="1"/>
  <c r="C229" i="13" s="1"/>
  <c r="F172" i="13" a="1"/>
  <c r="F172" i="13" s="1"/>
  <c r="K213" i="13" a="1"/>
  <c r="K213" i="13" s="1"/>
  <c r="G187" i="13" a="1"/>
  <c r="G187" i="13" s="1"/>
  <c r="D213" i="13" a="1"/>
  <c r="D213" i="13" s="1"/>
  <c r="E193" i="13"/>
  <c r="E216" i="13"/>
  <c r="E223" i="13" s="1" a="1"/>
  <c r="E223" i="13" s="1"/>
  <c r="L225" i="13"/>
  <c r="C177" i="13"/>
  <c r="H201" i="13" a="1"/>
  <c r="H201" i="13" s="1"/>
  <c r="C209" i="13"/>
  <c r="F181" i="13" a="1"/>
  <c r="F181" i="13" s="1"/>
  <c r="E184" i="13"/>
  <c r="K204" i="13" a="1"/>
  <c r="K204" i="13" s="1"/>
  <c r="C204" i="13" a="1"/>
  <c r="C204" i="13" s="1"/>
  <c r="J177" i="13"/>
  <c r="C181" i="13" a="1"/>
  <c r="C181" i="13" s="1"/>
  <c r="I185" i="13" a="1"/>
  <c r="I185" i="13" s="1"/>
  <c r="E185" i="13" a="1"/>
  <c r="E185" i="13" s="1"/>
  <c r="J205" i="13"/>
  <c r="C225" i="13"/>
  <c r="I217" i="13" a="1"/>
  <c r="I217" i="13" s="1"/>
  <c r="J169" i="13" a="1"/>
  <c r="J169" i="13" s="1"/>
  <c r="C188" i="13" a="1"/>
  <c r="C188" i="13" s="1"/>
  <c r="I213" i="13" a="1"/>
  <c r="I213" i="13" s="1"/>
  <c r="K200" i="13"/>
  <c r="K206" i="13" s="1"/>
  <c r="G225" i="13"/>
  <c r="H184" i="13"/>
  <c r="H190" i="13" s="1"/>
  <c r="J216" i="13"/>
  <c r="H200" i="13"/>
  <c r="H208" i="13" s="1"/>
  <c r="K185" i="13" a="1"/>
  <c r="K185" i="13" s="1"/>
  <c r="H209" i="13"/>
  <c r="I229" i="13" a="1"/>
  <c r="I229" i="13" s="1"/>
  <c r="K188" i="13" a="1"/>
  <c r="K188" i="13" s="1"/>
  <c r="F209" i="13"/>
  <c r="K205" i="13"/>
  <c r="F173" i="13"/>
  <c r="H188" i="13" a="1"/>
  <c r="H188" i="13" s="1"/>
  <c r="H204" i="13" a="1"/>
  <c r="H204" i="13" s="1"/>
  <c r="F221" i="13"/>
  <c r="D225" i="13"/>
  <c r="E187" i="13" a="1"/>
  <c r="E187" i="13" s="1"/>
  <c r="C203" i="13" a="1"/>
  <c r="C203" i="13" s="1"/>
  <c r="K184" i="13"/>
  <c r="L219" i="13" a="1"/>
  <c r="L219" i="13" s="1"/>
  <c r="H193" i="13"/>
  <c r="G203" i="13" a="1"/>
  <c r="G203" i="13" s="1"/>
  <c r="F203" i="13" a="1"/>
  <c r="F203" i="13" s="1"/>
  <c r="F185" i="13" a="1"/>
  <c r="F185" i="13" s="1"/>
  <c r="D216" i="13"/>
  <c r="D223" i="13" s="1" a="1"/>
  <c r="D223" i="13" s="1"/>
  <c r="J184" i="13"/>
  <c r="E172" i="13" a="1"/>
  <c r="E172" i="13" s="1"/>
  <c r="C200" i="13"/>
  <c r="C207" i="13" s="1" a="1"/>
  <c r="C207" i="13" s="1"/>
  <c r="D168" i="13"/>
  <c r="D176" i="13" s="1"/>
  <c r="J189" i="13"/>
  <c r="I205" i="13"/>
  <c r="G197" i="13" a="1"/>
  <c r="G197" i="13" s="1"/>
  <c r="K209" i="13"/>
  <c r="D169" i="13" a="1"/>
  <c r="D169" i="13" s="1"/>
  <c r="D197" i="13" a="1"/>
  <c r="D197" i="13" s="1"/>
  <c r="C205" i="13"/>
  <c r="J171" i="13" a="1"/>
  <c r="J171" i="13" s="1"/>
  <c r="L184" i="13"/>
  <c r="K193" i="13"/>
  <c r="F205" i="13"/>
  <c r="C221" i="13"/>
  <c r="L213" i="13" a="1"/>
  <c r="L213" i="13" s="1"/>
  <c r="L229" i="13" a="1"/>
  <c r="L229" i="13" s="1"/>
  <c r="G201" i="13" a="1"/>
  <c r="G201" i="13" s="1"/>
  <c r="I171" i="13" a="1"/>
  <c r="I171" i="13" s="1"/>
  <c r="E229" i="13" a="1"/>
  <c r="E229" i="13" s="1"/>
  <c r="D201" i="13" a="1"/>
  <c r="D201" i="13" s="1"/>
  <c r="C213" i="13" a="1"/>
  <c r="C213" i="13" s="1"/>
  <c r="G217" i="13" a="1"/>
  <c r="G217" i="13" s="1"/>
  <c r="F229" i="13" a="1"/>
  <c r="F229" i="13" s="1"/>
  <c r="I181" i="13" a="1"/>
  <c r="I181" i="13" s="1"/>
  <c r="F188" i="13" a="1"/>
  <c r="F188" i="13" s="1"/>
  <c r="G189" i="13"/>
  <c r="G172" i="13" a="1"/>
  <c r="G172" i="13" s="1"/>
  <c r="J203" i="13" a="1"/>
  <c r="J203" i="13" s="1"/>
  <c r="D189" i="13"/>
  <c r="I219" i="13" a="1"/>
  <c r="I219" i="13" s="1"/>
  <c r="G177" i="13"/>
  <c r="L201" i="13" a="1"/>
  <c r="L201" i="13" s="1"/>
  <c r="C184" i="13"/>
  <c r="C192" i="13" s="1"/>
  <c r="J201" i="13" a="1"/>
  <c r="J201" i="13" s="1"/>
  <c r="I220" i="13" a="1"/>
  <c r="I220" i="13" s="1"/>
  <c r="H168" i="13"/>
  <c r="L181" i="13" a="1"/>
  <c r="L181" i="13" s="1"/>
  <c r="G188" i="13" a="1"/>
  <c r="G188" i="13" s="1"/>
  <c r="E168" i="13"/>
  <c r="K169" i="13" a="1"/>
  <c r="K169" i="13" s="1"/>
  <c r="J225" i="13"/>
  <c r="J172" i="13" a="1"/>
  <c r="J172" i="13" s="1"/>
  <c r="L200" i="13"/>
  <c r="L208" i="13" s="1"/>
  <c r="G220" i="13" a="1"/>
  <c r="G220" i="13" s="1"/>
  <c r="K187" i="13" a="1"/>
  <c r="K187" i="13" s="1"/>
  <c r="K216" i="13"/>
  <c r="K224" i="13" s="1"/>
  <c r="F217" i="13" a="1"/>
  <c r="F217" i="13" s="1"/>
  <c r="H187" i="13" a="1"/>
  <c r="H187" i="13" s="1"/>
  <c r="J173" i="13"/>
  <c r="F200" i="13"/>
  <c r="F207" i="13" s="1" a="1"/>
  <c r="F207" i="13" s="1"/>
  <c r="E177" i="13"/>
  <c r="D200" i="13"/>
  <c r="D207" i="13" s="1" a="1"/>
  <c r="D207" i="13" s="1"/>
  <c r="E219" i="13" a="1"/>
  <c r="E219" i="13" s="1"/>
  <c r="F201" i="13" a="1"/>
  <c r="F201" i="13" s="1"/>
  <c r="E173" i="13"/>
  <c r="L189" i="13"/>
  <c r="G229" i="13" a="1"/>
  <c r="G229" i="13" s="1"/>
  <c r="I221" i="13"/>
  <c r="D171" i="13" a="1"/>
  <c r="D171" i="13" s="1"/>
  <c r="H197" i="13" a="1"/>
  <c r="H197" i="13" s="1"/>
  <c r="K225" i="13"/>
  <c r="G213" i="13" a="1"/>
  <c r="G213" i="13" s="1"/>
  <c r="E169" i="13" a="1"/>
  <c r="E169" i="13" s="1"/>
  <c r="I200" i="13"/>
  <c r="I206" i="13" s="1"/>
  <c r="L185" i="13" a="1"/>
  <c r="L185" i="13" s="1"/>
  <c r="H216" i="13"/>
  <c r="H222" i="13" s="1"/>
  <c r="D172" i="13" a="1"/>
  <c r="D172" i="13" s="1"/>
  <c r="F193" i="13"/>
  <c r="H173" i="13"/>
  <c r="D193" i="13"/>
  <c r="L205" i="13"/>
  <c r="L197" i="13" a="1"/>
  <c r="L197" i="13" s="1"/>
  <c r="K221" i="13"/>
  <c r="D188" i="13" a="1"/>
  <c r="D188" i="13" s="1"/>
  <c r="E220" i="13" a="1"/>
  <c r="E220" i="13" s="1"/>
  <c r="H169" i="13" a="1"/>
  <c r="H169" i="13" s="1"/>
  <c r="L193" i="13"/>
  <c r="D229" i="13" a="1"/>
  <c r="D229" i="13" s="1"/>
  <c r="I184" i="13"/>
  <c r="I191" i="13" s="1" a="1"/>
  <c r="I191" i="13" s="1"/>
  <c r="L209" i="13"/>
  <c r="E197" i="13" a="1"/>
  <c r="E197" i="13" s="1"/>
  <c r="E225" i="13"/>
  <c r="F184" i="13"/>
  <c r="F191" i="13" s="1" a="1"/>
  <c r="F191" i="13" s="1"/>
  <c r="E213" i="13" a="1"/>
  <c r="E213" i="13" s="1"/>
  <c r="L188" i="13" a="1"/>
  <c r="L188" i="13" s="1"/>
  <c r="K220" i="13" a="1"/>
  <c r="K220" i="13" s="1"/>
  <c r="L171" i="13" a="1"/>
  <c r="L171" i="13" s="1"/>
  <c r="J188" i="13" a="1"/>
  <c r="J188" i="13" s="1"/>
  <c r="E209" i="13"/>
  <c r="K181" i="13" a="1"/>
  <c r="K181" i="13" s="1"/>
  <c r="K189" i="13"/>
  <c r="F220" i="13" a="1"/>
  <c r="F220" i="13" s="1"/>
  <c r="C220" i="13" a="1"/>
  <c r="C220" i="13" s="1"/>
  <c r="I187" i="13" a="1"/>
  <c r="I187" i="13" s="1"/>
  <c r="K173" i="13"/>
  <c r="J221" i="13"/>
  <c r="F216" i="13"/>
  <c r="F223" i="13" s="1" a="1"/>
  <c r="F223" i="13" s="1"/>
  <c r="I201" i="13" a="1"/>
  <c r="I201" i="13" s="1"/>
  <c r="H229" i="13" a="1"/>
  <c r="H229" i="13" s="1"/>
  <c r="J200" i="13"/>
  <c r="J208" i="13" s="1"/>
  <c r="G173" i="13"/>
  <c r="E201" i="13" a="1"/>
  <c r="E201" i="13" s="1"/>
  <c r="H189" i="13"/>
  <c r="H225" i="13"/>
  <c r="G181" i="13" a="1"/>
  <c r="G181" i="13" s="1"/>
  <c r="G205" i="13"/>
  <c r="I193" i="13"/>
  <c r="D221" i="13"/>
  <c r="D181" i="13" a="1"/>
  <c r="D181" i="13" s="1"/>
  <c r="I209" i="13"/>
  <c r="L168" i="13"/>
  <c r="L175" i="13" s="1" a="1"/>
  <c r="L175" i="13" s="1"/>
  <c r="F187" i="13" a="1"/>
  <c r="F187" i="13" s="1"/>
  <c r="G219" i="13" a="1"/>
  <c r="G219" i="13" s="1"/>
  <c r="D187" i="13" a="1"/>
  <c r="D187" i="13" s="1"/>
  <c r="J204" i="13" a="1"/>
  <c r="J204" i="13" s="1"/>
  <c r="G168" i="13"/>
  <c r="G176" i="13" s="1"/>
  <c r="D173" i="13"/>
  <c r="I216" i="13"/>
  <c r="I224" i="13" s="1"/>
  <c r="K197" i="13" a="1"/>
  <c r="K197" i="13" s="1"/>
  <c r="K172" i="13" a="1"/>
  <c r="K172" i="13" s="1"/>
  <c r="D217" i="13" a="1"/>
  <c r="D217" i="13" s="1"/>
  <c r="L187" i="13" a="1"/>
  <c r="L187" i="13" s="1"/>
  <c r="G221" i="13"/>
  <c r="K177" i="13"/>
  <c r="K203" i="13" a="1"/>
  <c r="K203" i="13" s="1"/>
  <c r="G171" i="13" a="1"/>
  <c r="G171" i="13" s="1"/>
  <c r="E189" i="13"/>
  <c r="J219" i="13" a="1"/>
  <c r="J219" i="13" s="1"/>
  <c r="H177" i="13"/>
  <c r="D205" i="13"/>
  <c r="F204" i="13" a="1"/>
  <c r="F204" i="13" s="1"/>
  <c r="J185" i="13" a="1"/>
  <c r="J185" i="13" s="1"/>
  <c r="K217" i="13" a="1"/>
  <c r="K217" i="13" s="1"/>
  <c r="J168" i="13"/>
  <c r="J175" i="13" s="1" a="1"/>
  <c r="J175" i="13" s="1"/>
  <c r="H185" i="13" a="1"/>
  <c r="H185" i="13" s="1"/>
  <c r="E203" i="13" a="1"/>
  <c r="E203" i="13" s="1"/>
  <c r="K229" i="13" a="1"/>
  <c r="K229" i="13" s="1"/>
  <c r="H171" i="13" a="1"/>
  <c r="H171" i="13" s="1"/>
  <c r="E171" i="13" a="1"/>
  <c r="E171" i="13" s="1"/>
  <c r="J213" i="13" a="1"/>
  <c r="J213" i="13" s="1"/>
  <c r="H172" i="13" a="1"/>
  <c r="H172" i="13" s="1"/>
  <c r="H203" i="13" a="1"/>
  <c r="H203" i="13" s="1"/>
  <c r="D184" i="13"/>
  <c r="D191" i="13" s="1" a="1"/>
  <c r="D191" i="13" s="1"/>
  <c r="D177" i="13"/>
  <c r="D219" i="13" a="1"/>
  <c r="D219" i="13" s="1"/>
  <c r="L169" i="13" a="1"/>
  <c r="L169" i="13" s="1"/>
  <c r="I169" i="13" a="1"/>
  <c r="I169" i="13" s="1"/>
  <c r="G204" i="13" a="1"/>
  <c r="G204" i="13" s="1"/>
  <c r="E188" i="13" a="1"/>
  <c r="E188" i="13" s="1"/>
  <c r="F177" i="13"/>
  <c r="F168" i="13"/>
  <c r="C185" i="13" a="1"/>
  <c r="C185" i="13" s="1"/>
  <c r="H221" i="13"/>
  <c r="L177" i="13"/>
  <c r="H213" i="13" a="1"/>
  <c r="H213" i="13" s="1"/>
  <c r="J193" i="13"/>
  <c r="F225" i="13"/>
  <c r="E181" i="13" a="1"/>
  <c r="E181" i="13" s="1"/>
  <c r="J209" i="13"/>
  <c r="C169" i="13" a="1"/>
  <c r="C169" i="13" s="1"/>
  <c r="C197" i="13" a="1"/>
  <c r="C197" i="13" s="1"/>
  <c r="H219" i="13" a="1"/>
  <c r="H219" i="13" s="1"/>
  <c r="C172" i="13" a="1"/>
  <c r="C172" i="13" s="1"/>
  <c r="L204" i="13" a="1"/>
  <c r="L204" i="13" s="1"/>
  <c r="J220" i="13" a="1"/>
  <c r="J220" i="13" s="1"/>
  <c r="I188" i="13" a="1"/>
  <c r="I188" i="13" s="1"/>
  <c r="D209" i="13"/>
  <c r="H220" i="13" a="1"/>
  <c r="H220" i="13" s="1"/>
  <c r="C219" i="13" a="1"/>
  <c r="C219" i="13" s="1"/>
  <c r="K201" i="13" a="1"/>
  <c r="K201" i="13" s="1"/>
  <c r="CV26" i="3" a="1"/>
  <c r="CV26" i="3" s="1"/>
  <c r="Q7" i="2"/>
  <c r="AX26" i="3" a="1"/>
  <c r="AX26" i="3" s="1"/>
  <c r="H26" i="3" a="1"/>
  <c r="H26" i="3" s="1"/>
  <c r="CP26" i="3" a="1"/>
  <c r="CP26" i="3" s="1"/>
  <c r="DC26" i="3" a="1"/>
  <c r="DC26" i="3" s="1"/>
  <c r="BE26" i="3" a="1"/>
  <c r="BE26" i="3" s="1"/>
  <c r="BH26" i="3" a="1"/>
  <c r="BH26" i="3" s="1"/>
  <c r="E54" i="26"/>
  <c r="N52" i="26"/>
  <c r="CF26" i="3" a="1"/>
  <c r="CF26" i="3" s="1"/>
  <c r="W26" i="3" a="1"/>
  <c r="W26" i="3" s="1"/>
  <c r="CA26" i="3" a="1"/>
  <c r="CA26" i="3" s="1"/>
  <c r="DB26" i="3" a="1"/>
  <c r="DB26" i="3" s="1"/>
  <c r="AS26" i="3" a="1"/>
  <c r="AS26" i="3" s="1"/>
  <c r="DE26" i="3" a="1"/>
  <c r="DE26" i="3" s="1"/>
  <c r="CR26" i="3" a="1"/>
  <c r="CR26" i="3" s="1"/>
  <c r="AG26" i="3" a="1"/>
  <c r="AG26" i="3" s="1"/>
  <c r="DO26" i="3" a="1"/>
  <c r="DO26" i="3" s="1"/>
  <c r="D26" i="3" a="1"/>
  <c r="D26" i="3" s="1"/>
  <c r="CO26" i="3" a="1"/>
  <c r="CO26" i="3" s="1"/>
  <c r="BQ26" i="3" a="1"/>
  <c r="BQ26" i="3" s="1"/>
  <c r="DR26" i="3" a="1"/>
  <c r="DR26" i="3" s="1"/>
  <c r="I26" i="3" a="1"/>
  <c r="I26" i="3" s="1"/>
  <c r="X26" i="3" a="1"/>
  <c r="X26" i="3" s="1"/>
  <c r="J26" i="3" a="1"/>
  <c r="J26" i="3" s="1"/>
  <c r="BG26" i="3" a="1"/>
  <c r="BG26" i="3" s="1"/>
  <c r="DG26" i="3" a="1"/>
  <c r="DG26" i="3" s="1"/>
  <c r="DH26" i="3" a="1"/>
  <c r="DH26" i="3" s="1"/>
  <c r="AZ26" i="3" a="1"/>
  <c r="AZ26" i="3" s="1"/>
  <c r="CU26" i="3" a="1"/>
  <c r="CU26" i="3" s="1"/>
  <c r="CB26" i="3" a="1"/>
  <c r="CB26" i="3" s="1"/>
  <c r="Z26" i="3" a="1"/>
  <c r="Z26" i="3" s="1"/>
  <c r="AY26" i="3" a="1"/>
  <c r="AY26" i="3" s="1"/>
  <c r="BF26" i="3" a="1"/>
  <c r="BF26" i="3" s="1"/>
  <c r="CG26" i="3" a="1"/>
  <c r="CG26" i="3" s="1"/>
  <c r="CM26" i="3" a="1"/>
  <c r="CM26" i="3" s="1"/>
  <c r="F26" i="3" a="1"/>
  <c r="F26" i="3" s="1"/>
  <c r="AM26" i="3" a="1"/>
  <c r="AM26" i="3" s="1"/>
  <c r="S26" i="3" a="1"/>
  <c r="S26" i="3" s="1"/>
  <c r="AJ26" i="3" a="1"/>
  <c r="AJ26" i="3" s="1"/>
  <c r="BR26" i="3" a="1"/>
  <c r="BR26" i="3" s="1"/>
  <c r="AQ26" i="3" a="1"/>
  <c r="AQ26" i="3" s="1"/>
  <c r="BW26" i="3" a="1"/>
  <c r="BW26" i="3" s="1"/>
  <c r="L26" i="3" a="1"/>
  <c r="L26" i="3" s="1"/>
  <c r="M26" i="3" a="1"/>
  <c r="M26" i="3" s="1"/>
  <c r="BI26" i="3" a="1"/>
  <c r="BI26" i="3" s="1"/>
  <c r="AT26" i="3" a="1"/>
  <c r="AT26" i="3" s="1"/>
  <c r="DF26" i="3" a="1"/>
  <c r="DF26" i="3" s="1"/>
  <c r="Y26" i="3" a="1"/>
  <c r="Y26" i="3" s="1"/>
  <c r="AL26" i="3" a="1"/>
  <c r="AL26" i="3" s="1"/>
  <c r="BA26" i="3" a="1"/>
  <c r="BA26" i="3" s="1"/>
  <c r="BU26" i="3" a="1"/>
  <c r="BU26" i="3" s="1"/>
  <c r="T26" i="3" a="1"/>
  <c r="T26" i="3" s="1"/>
  <c r="BC26" i="3" a="1"/>
  <c r="BC26" i="3" s="1"/>
  <c r="AE26" i="3" a="1"/>
  <c r="AE26" i="3" s="1"/>
  <c r="CS26" i="3" a="1"/>
  <c r="CS26" i="3" s="1"/>
  <c r="DN26" i="3" a="1"/>
  <c r="DN26" i="3" s="1"/>
  <c r="R26" i="3" a="1"/>
  <c r="R26" i="3" s="1"/>
  <c r="CZ26" i="3" a="1"/>
  <c r="CZ26" i="3" s="1"/>
  <c r="CH26" i="3" a="1"/>
  <c r="CH26" i="3" s="1"/>
  <c r="DD26" i="3" a="1"/>
  <c r="DD26" i="3" s="1"/>
  <c r="N26" i="3" a="1"/>
  <c r="N26" i="3" s="1"/>
  <c r="E26" i="3" a="1"/>
  <c r="E26" i="3" s="1"/>
  <c r="BV26" i="3" a="1"/>
  <c r="BV26" i="3" s="1"/>
  <c r="AU26" i="3" a="1"/>
  <c r="AU26" i="3" s="1"/>
  <c r="O26" i="3" a="1"/>
  <c r="O26" i="3" s="1"/>
  <c r="U26" i="3" a="1"/>
  <c r="U26" i="3" s="1"/>
  <c r="AD26" i="3" a="1"/>
  <c r="AD26" i="3" s="1"/>
  <c r="CK26" i="3" a="1"/>
  <c r="CK26" i="3" s="1"/>
  <c r="AK26" i="3" a="1"/>
  <c r="AK26" i="3" s="1"/>
  <c r="AN26" i="3" a="1"/>
  <c r="AN26" i="3" s="1"/>
  <c r="DP26" i="3" a="1"/>
  <c r="DP26" i="3" s="1"/>
  <c r="CE26" i="3" a="1"/>
  <c r="CE26" i="3" s="1"/>
  <c r="CY26" i="3" a="1"/>
  <c r="CY26" i="3" s="1"/>
  <c r="BS26" i="3" a="1"/>
  <c r="BS26" i="3" s="1"/>
  <c r="BX26" i="3" a="1"/>
  <c r="BX26" i="3" s="1"/>
  <c r="BB26" i="3" a="1"/>
  <c r="BB26" i="3" s="1"/>
  <c r="CQ26" i="3" a="1"/>
  <c r="CQ26" i="3" s="1"/>
  <c r="AO26" i="3" a="1"/>
  <c r="AO26" i="3" s="1"/>
  <c r="AH26" i="3" a="1"/>
  <c r="AH26" i="3" s="1"/>
  <c r="AR26" i="3" a="1"/>
  <c r="AR26" i="3" s="1"/>
  <c r="AC26" i="3" a="1"/>
  <c r="AC26" i="3" s="1"/>
  <c r="DI26" i="3" a="1"/>
  <c r="DI26" i="3" s="1"/>
  <c r="CW26" i="3" a="1"/>
  <c r="CW26" i="3" s="1"/>
  <c r="CN26" i="3" a="1"/>
  <c r="CN26" i="3" s="1"/>
  <c r="AF26" i="3" a="1"/>
  <c r="AF26" i="3" s="1"/>
  <c r="CX26" i="3" a="1"/>
  <c r="CX26" i="3" s="1"/>
  <c r="DQ26" i="3" a="1"/>
  <c r="DQ26" i="3" s="1"/>
  <c r="AV26" i="3" a="1"/>
  <c r="AV26" i="3" s="1"/>
  <c r="DM26" i="3" a="1"/>
  <c r="DM26" i="3" s="1"/>
  <c r="AI26" i="3" a="1"/>
  <c r="AI26" i="3" s="1"/>
  <c r="CI26" i="3" a="1"/>
  <c r="CI26" i="3" s="1"/>
  <c r="BD26" i="3" a="1"/>
  <c r="BD26" i="3" s="1"/>
  <c r="BL26" i="3" a="1"/>
  <c r="BL26" i="3" s="1"/>
  <c r="Q26" i="3" a="1"/>
  <c r="Q26" i="3" s="1"/>
  <c r="CT26" i="3" a="1"/>
  <c r="CT26" i="3" s="1"/>
  <c r="BK26" i="3" a="1"/>
  <c r="BK26" i="3" s="1"/>
  <c r="S8" i="2"/>
  <c r="BP26" i="3" a="1"/>
  <c r="BP26" i="3" s="1"/>
  <c r="BZ26" i="3" a="1"/>
  <c r="BZ26" i="3" s="1"/>
  <c r="AW26" i="3" a="1"/>
  <c r="AW26" i="3" s="1"/>
  <c r="DA26" i="3" a="1"/>
  <c r="DA26" i="3" s="1"/>
  <c r="CC26" i="3" a="1"/>
  <c r="CC26" i="3" s="1"/>
  <c r="V26" i="3" a="1"/>
  <c r="V26" i="3" s="1"/>
  <c r="DL26" i="3" a="1"/>
  <c r="DL26" i="3" s="1"/>
  <c r="C26" i="3" a="1"/>
  <c r="C26" i="3" s="1"/>
  <c r="DJ26" i="3" a="1"/>
  <c r="DJ26" i="3" s="1"/>
  <c r="G26" i="3" a="1"/>
  <c r="G26" i="3" s="1"/>
  <c r="CL26" i="3" a="1"/>
  <c r="CL26" i="3" s="1"/>
  <c r="DK26" i="3" a="1"/>
  <c r="DK26" i="3" s="1"/>
  <c r="BM26" i="3" a="1"/>
  <c r="BM26" i="3" s="1"/>
  <c r="BO26" i="3" a="1"/>
  <c r="BO26" i="3" s="1"/>
  <c r="BJ26" i="3" a="1"/>
  <c r="BJ26" i="3" s="1"/>
  <c r="AF8" i="2"/>
  <c r="BN26" i="3" a="1"/>
  <c r="BN26" i="3" s="1"/>
  <c r="BY26" i="3" a="1"/>
  <c r="BY26" i="3" s="1"/>
  <c r="CD26" i="3" a="1"/>
  <c r="CD26" i="3" s="1"/>
  <c r="BT26" i="3" a="1"/>
  <c r="BT26" i="3" s="1"/>
  <c r="K26" i="3" a="1"/>
  <c r="K26" i="3" s="1"/>
  <c r="AP26" i="3" a="1"/>
  <c r="AP26" i="3" s="1"/>
  <c r="AB26" i="3" a="1"/>
  <c r="AB26" i="3" s="1"/>
  <c r="P26" i="3" a="1"/>
  <c r="P26" i="3" s="1"/>
  <c r="D52" i="26"/>
  <c r="AI14" i="2"/>
  <c r="H114" i="19" s="1" a="1"/>
  <c r="H114" i="19" s="1"/>
  <c r="CJ30" i="3" a="1"/>
  <c r="CJ30" i="3" s="1"/>
  <c r="CU30" i="3" a="1"/>
  <c r="CU30" i="3" s="1"/>
  <c r="C100" i="13"/>
  <c r="S9" i="2"/>
  <c r="H25" i="30" s="1"/>
  <c r="U14" i="2"/>
  <c r="V14" i="2"/>
  <c r="W14" i="2" s="1" a="1"/>
  <c r="W14" i="2" s="1"/>
  <c r="F114" i="19" s="1" a="1"/>
  <c r="F114" i="19" s="1"/>
  <c r="AM15" i="2"/>
  <c r="AI15" i="2"/>
  <c r="H115" i="19" s="1" a="1"/>
  <c r="H115" i="19" s="1"/>
  <c r="AF7" i="2"/>
  <c r="S10" i="2"/>
  <c r="H26" i="30" s="1"/>
  <c r="AI12" i="2"/>
  <c r="H112" i="19" s="1" a="1"/>
  <c r="H112" i="19" s="1"/>
  <c r="AM12" i="2"/>
  <c r="S6" i="2"/>
  <c r="I132" i="13"/>
  <c r="C148" i="13"/>
  <c r="L8" i="3" a="1"/>
  <c r="L8" i="3" s="1"/>
  <c r="N8" i="3" a="1"/>
  <c r="N8" i="3" s="1"/>
  <c r="DI8" i="3" a="1"/>
  <c r="DI8" i="3" s="1"/>
  <c r="BP8" i="3" a="1"/>
  <c r="BP8" i="3" s="1"/>
  <c r="E8" i="3" a="1"/>
  <c r="E8" i="3" s="1"/>
  <c r="CI8" i="3" a="1"/>
  <c r="CI8" i="3" s="1"/>
  <c r="AZ8" i="3" a="1"/>
  <c r="AZ8" i="3" s="1"/>
  <c r="BV8" i="3" a="1"/>
  <c r="BV8" i="3" s="1"/>
  <c r="AS8" i="3" a="1"/>
  <c r="AS8" i="3" s="1"/>
  <c r="R8" i="3" a="1"/>
  <c r="R8" i="3" s="1"/>
  <c r="K164" i="13"/>
  <c r="M8" i="3" a="1"/>
  <c r="M8" i="3" s="1"/>
  <c r="W8" i="3" a="1"/>
  <c r="W8" i="3" s="1"/>
  <c r="DK8" i="3" a="1"/>
  <c r="DK8" i="3" s="1"/>
  <c r="BS8" i="3" a="1"/>
  <c r="BS8" i="3" s="1"/>
  <c r="BE8" i="3" a="1"/>
  <c r="BE8" i="3" s="1"/>
  <c r="AP8" i="3" a="1"/>
  <c r="AP8" i="3" s="1"/>
  <c r="D8" i="3" a="1"/>
  <c r="D8" i="3" s="1"/>
  <c r="AY8" i="3" a="1"/>
  <c r="AY8" i="3" s="1"/>
  <c r="CW8" i="3" a="1"/>
  <c r="CW8" i="3" s="1"/>
  <c r="I8" i="3" a="1"/>
  <c r="I8" i="3" s="1"/>
  <c r="Z8" i="3" a="1"/>
  <c r="Z8" i="3" s="1"/>
  <c r="DD8" i="3" a="1"/>
  <c r="DD8" i="3" s="1"/>
  <c r="Q8" i="3" a="1"/>
  <c r="Q8" i="3" s="1"/>
  <c r="BW8" i="3" a="1"/>
  <c r="BW8" i="3" s="1"/>
  <c r="L116" i="13"/>
  <c r="BX8" i="3" a="1"/>
  <c r="BX8" i="3" s="1"/>
  <c r="H132" i="13"/>
  <c r="CE8" i="3" a="1"/>
  <c r="CE8" i="3" s="1"/>
  <c r="BA8" i="3" a="1"/>
  <c r="BA8" i="3" s="1"/>
  <c r="DO8" i="3" a="1"/>
  <c r="DO8" i="3" s="1"/>
  <c r="CC8" i="3" a="1"/>
  <c r="CC8" i="3" s="1"/>
  <c r="G132" i="13"/>
  <c r="L100" i="13"/>
  <c r="AF8" i="3" a="1"/>
  <c r="AF8" i="3" s="1"/>
  <c r="AI8" i="3" a="1"/>
  <c r="AI8" i="3" s="1"/>
  <c r="CU8" i="3" a="1"/>
  <c r="CU8" i="3" s="1"/>
  <c r="BT8" i="3" a="1"/>
  <c r="BT8" i="3" s="1"/>
  <c r="AR8" i="3" a="1"/>
  <c r="AR8" i="3" s="1"/>
  <c r="CA8" i="3" a="1"/>
  <c r="CA8" i="3" s="1"/>
  <c r="BM8" i="3" a="1"/>
  <c r="BM8" i="3" s="1"/>
  <c r="G100" i="13"/>
  <c r="I116" i="13"/>
  <c r="CD8" i="3" a="1"/>
  <c r="CD8" i="3" s="1"/>
  <c r="DP8" i="3" a="1"/>
  <c r="DP8" i="3" s="1"/>
  <c r="BC8" i="3" a="1"/>
  <c r="BC8" i="3" s="1"/>
  <c r="CJ8" i="3" a="1"/>
  <c r="CJ8" i="3" s="1"/>
  <c r="CB8" i="3" a="1"/>
  <c r="CB8" i="3" s="1"/>
  <c r="AO8" i="3" a="1"/>
  <c r="AO8" i="3" s="1"/>
  <c r="AH8" i="3" a="1"/>
  <c r="AH8" i="3" s="1"/>
  <c r="CY8" i="3" a="1"/>
  <c r="CY8" i="3" s="1"/>
  <c r="BK8" i="3" a="1"/>
  <c r="BK8" i="3" s="1"/>
  <c r="CK8" i="3" a="1"/>
  <c r="CK8" i="3" s="1"/>
  <c r="J116" i="13"/>
  <c r="CO8" i="3" a="1"/>
  <c r="CO8" i="3" s="1"/>
  <c r="DL8" i="3" a="1"/>
  <c r="DL8" i="3" s="1"/>
  <c r="AQ8" i="3" a="1"/>
  <c r="AQ8" i="3" s="1"/>
  <c r="BH8" i="3" a="1"/>
  <c r="BH8" i="3" s="1"/>
  <c r="BU8" i="3" a="1"/>
  <c r="BU8" i="3" s="1"/>
  <c r="J132" i="13"/>
  <c r="E164" i="13"/>
  <c r="AC8" i="3" a="1"/>
  <c r="AC8" i="3" s="1"/>
  <c r="DH8" i="3" a="1"/>
  <c r="DH8" i="3" s="1"/>
  <c r="AW8" i="3" a="1"/>
  <c r="AW8" i="3" s="1"/>
  <c r="AB8" i="3" a="1"/>
  <c r="AB8" i="3" s="1"/>
  <c r="J8" i="3" a="1"/>
  <c r="J8" i="3" s="1"/>
  <c r="L54" i="26"/>
  <c r="AA30" i="3" a="1"/>
  <c r="AA30" i="3" s="1"/>
  <c r="G30" i="3" a="1"/>
  <c r="G30" i="3" s="1"/>
  <c r="G148" i="13"/>
  <c r="C164" i="13"/>
  <c r="C132" i="13"/>
  <c r="I164" i="13"/>
  <c r="I148" i="13"/>
  <c r="E100" i="13"/>
  <c r="F132" i="13"/>
  <c r="G164" i="13"/>
  <c r="J100" i="13"/>
  <c r="K132" i="13"/>
  <c r="F164" i="13"/>
  <c r="H100" i="13"/>
  <c r="L132" i="13"/>
  <c r="E148" i="13"/>
  <c r="H164" i="13"/>
  <c r="H148" i="13"/>
  <c r="K148" i="13"/>
  <c r="J164" i="13"/>
  <c r="K116" i="13"/>
  <c r="L164" i="13"/>
  <c r="E132" i="13"/>
  <c r="D116" i="13"/>
  <c r="F148" i="13"/>
  <c r="F116" i="13"/>
  <c r="I100" i="13"/>
  <c r="C8" i="3" a="1"/>
  <c r="C8" i="3" s="1"/>
  <c r="CS39" i="3" a="1"/>
  <c r="CS39" i="3" s="1"/>
  <c r="F100" i="13"/>
  <c r="DB8" i="3" a="1"/>
  <c r="DB8" i="3" s="1"/>
  <c r="DC8" i="3" a="1"/>
  <c r="DC8" i="3" s="1"/>
  <c r="S8" i="3" a="1"/>
  <c r="S8" i="3" s="1"/>
  <c r="J148" i="13"/>
  <c r="D132" i="13"/>
  <c r="G116" i="13"/>
  <c r="D148" i="13"/>
  <c r="CG8" i="3" a="1"/>
  <c r="CG8" i="3" s="1"/>
  <c r="H116" i="13"/>
  <c r="D100" i="13"/>
  <c r="L148" i="13"/>
  <c r="E116" i="13"/>
  <c r="D164" i="13"/>
  <c r="K100" i="13"/>
  <c r="AZ39" i="3" a="1"/>
  <c r="AZ39" i="3" s="1"/>
  <c r="CX39" i="3" a="1"/>
  <c r="CX39" i="3" s="1"/>
  <c r="F39" i="3" a="1"/>
  <c r="F39" i="3" s="1"/>
  <c r="AQ39" i="3" a="1"/>
  <c r="AQ39" i="3" s="1"/>
  <c r="DE39" i="3" a="1"/>
  <c r="DE39" i="3" s="1"/>
  <c r="N39" i="3" a="1"/>
  <c r="N39" i="3" s="1"/>
  <c r="BP39" i="3" a="1"/>
  <c r="BP39" i="3" s="1"/>
  <c r="DN39" i="3" a="1"/>
  <c r="DN39" i="3" s="1"/>
  <c r="AO39" i="3" a="1"/>
  <c r="AO39" i="3" s="1"/>
  <c r="BG39" i="3" a="1"/>
  <c r="BG39" i="3" s="1"/>
  <c r="P39" i="3" a="1"/>
  <c r="P39" i="3" s="1"/>
  <c r="AA39" i="3" a="1"/>
  <c r="AA39" i="3" s="1"/>
  <c r="CF39" i="3" a="1"/>
  <c r="CF39" i="3" s="1"/>
  <c r="D39" i="3" a="1"/>
  <c r="D39" i="3" s="1"/>
  <c r="BE39" i="3" a="1"/>
  <c r="BE39" i="3" s="1"/>
  <c r="BW39" i="3" a="1"/>
  <c r="BW39" i="3" s="1"/>
  <c r="AT39" i="3" a="1"/>
  <c r="AT39" i="3" s="1"/>
  <c r="AV39" i="3" a="1"/>
  <c r="AV39" i="3" s="1"/>
  <c r="CV39" i="3" a="1"/>
  <c r="CV39" i="3" s="1"/>
  <c r="AM39" i="3" a="1"/>
  <c r="AM39" i="3" s="1"/>
  <c r="BU39" i="3" a="1"/>
  <c r="BU39" i="3" s="1"/>
  <c r="CM39" i="3" a="1"/>
  <c r="CM39" i="3" s="1"/>
  <c r="BJ39" i="3" a="1"/>
  <c r="BJ39" i="3" s="1"/>
  <c r="BL39" i="3" a="1"/>
  <c r="BL39" i="3" s="1"/>
  <c r="DL39" i="3" a="1"/>
  <c r="DL39" i="3" s="1"/>
  <c r="BC39" i="3" a="1"/>
  <c r="BC39" i="3" s="1"/>
  <c r="CK39" i="3" a="1"/>
  <c r="CK39" i="3" s="1"/>
  <c r="DC39" i="3" a="1"/>
  <c r="DC39" i="3" s="1"/>
  <c r="BZ39" i="3" a="1"/>
  <c r="BZ39" i="3" s="1"/>
  <c r="CB39" i="3" a="1"/>
  <c r="CB39" i="3" s="1"/>
  <c r="Y39" i="3" a="1"/>
  <c r="Y39" i="3" s="1"/>
  <c r="AK39" i="3" a="1"/>
  <c r="AK39" i="3" s="1"/>
  <c r="BS39" i="3" a="1"/>
  <c r="BS39" i="3" s="1"/>
  <c r="DA39" i="3" a="1"/>
  <c r="DA39" i="3" s="1"/>
  <c r="L39" i="3" a="1"/>
  <c r="L39" i="3" s="1"/>
  <c r="CP39" i="3" a="1"/>
  <c r="CP39" i="3" s="1"/>
  <c r="CR39" i="3" a="1"/>
  <c r="CR39" i="3" s="1"/>
  <c r="AX27" i="3" a="1"/>
  <c r="AX27" i="3" s="1"/>
  <c r="Z39" i="3" a="1"/>
  <c r="Z39" i="3" s="1"/>
  <c r="BA39" i="3" a="1"/>
  <c r="BA39" i="3" s="1"/>
  <c r="CI39" i="3" a="1"/>
  <c r="CI39" i="3" s="1"/>
  <c r="DQ39" i="3" a="1"/>
  <c r="DQ39" i="3" s="1"/>
  <c r="AR39" i="3" a="1"/>
  <c r="AR39" i="3" s="1"/>
  <c r="DF39" i="3" a="1"/>
  <c r="DF39" i="3" s="1"/>
  <c r="DH39" i="3" a="1"/>
  <c r="DH39" i="3" s="1"/>
  <c r="BQ39" i="3" a="1"/>
  <c r="BQ39" i="3" s="1"/>
  <c r="CY39" i="3" a="1"/>
  <c r="CY39" i="3" s="1"/>
  <c r="G39" i="3" a="1"/>
  <c r="G39" i="3" s="1"/>
  <c r="BH39" i="3" a="1"/>
  <c r="BH39" i="3" s="1"/>
  <c r="AG39" i="3" a="1"/>
  <c r="AG39" i="3" s="1"/>
  <c r="CG39" i="3" a="1"/>
  <c r="CG39" i="3" s="1"/>
  <c r="DO39" i="3" a="1"/>
  <c r="DO39" i="3" s="1"/>
  <c r="AP39" i="3" a="1"/>
  <c r="AP39" i="3" s="1"/>
  <c r="BX39" i="3" a="1"/>
  <c r="BX39" i="3" s="1"/>
  <c r="M39" i="3" a="1"/>
  <c r="M39" i="3" s="1"/>
  <c r="AW39" i="3" a="1"/>
  <c r="AW39" i="3" s="1"/>
  <c r="CW39" i="3" a="1"/>
  <c r="CW39" i="3" s="1"/>
  <c r="E39" i="3" a="1"/>
  <c r="E39" i="3" s="1"/>
  <c r="BF39" i="3" a="1"/>
  <c r="BF39" i="3" s="1"/>
  <c r="CN39" i="3" a="1"/>
  <c r="CN39" i="3" s="1"/>
  <c r="BM39" i="3" a="1"/>
  <c r="BM39" i="3" s="1"/>
  <c r="DM39" i="3" a="1"/>
  <c r="DM39" i="3" s="1"/>
  <c r="AN39" i="3" a="1"/>
  <c r="AN39" i="3" s="1"/>
  <c r="BV39" i="3" a="1"/>
  <c r="BV39" i="3" s="1"/>
  <c r="DD39" i="3" a="1"/>
  <c r="DD39" i="3" s="1"/>
  <c r="X39" i="3" a="1"/>
  <c r="X39" i="3" s="1"/>
  <c r="CC39" i="3" a="1"/>
  <c r="CC39" i="3" s="1"/>
  <c r="Q39" i="3" a="1"/>
  <c r="Q39" i="3" s="1"/>
  <c r="C39" i="3" a="1"/>
  <c r="C39" i="3" s="1"/>
  <c r="BD39" i="3" a="1"/>
  <c r="BD39" i="3" s="1"/>
  <c r="CL39" i="3" a="1"/>
  <c r="CL39" i="3" s="1"/>
  <c r="O39" i="3" a="1"/>
  <c r="O39" i="3" s="1"/>
  <c r="AU39" i="3" a="1"/>
  <c r="AU39" i="3" s="1"/>
  <c r="BW103" i="3" a="1"/>
  <c r="BW103" i="3" s="1"/>
  <c r="AH39" i="3" a="1"/>
  <c r="AH39" i="3" s="1"/>
  <c r="AX39" i="3" a="1"/>
  <c r="AX39" i="3" s="1"/>
  <c r="BN39" i="3" a="1"/>
  <c r="BN39" i="3" s="1"/>
  <c r="CD39" i="3" a="1"/>
  <c r="CD39" i="3" s="1"/>
  <c r="CT39" i="3" a="1"/>
  <c r="CT39" i="3" s="1"/>
  <c r="DJ39" i="3" a="1"/>
  <c r="DJ39" i="3" s="1"/>
  <c r="AI39" i="3" a="1"/>
  <c r="AI39" i="3" s="1"/>
  <c r="AY39" i="3" a="1"/>
  <c r="AY39" i="3" s="1"/>
  <c r="BO39" i="3" a="1"/>
  <c r="BO39" i="3" s="1"/>
  <c r="CE39" i="3" a="1"/>
  <c r="CE39" i="3" s="1"/>
  <c r="CU39" i="3" a="1"/>
  <c r="CU39" i="3" s="1"/>
  <c r="DK39" i="3" a="1"/>
  <c r="DK39" i="3" s="1"/>
  <c r="AL39" i="3" a="1"/>
  <c r="AL39" i="3" s="1"/>
  <c r="BT39" i="3" a="1"/>
  <c r="BT39" i="3" s="1"/>
  <c r="DB39" i="3" a="1"/>
  <c r="DB39" i="3" s="1"/>
  <c r="AS39" i="3" a="1"/>
  <c r="AS39" i="3" s="1"/>
  <c r="BK39" i="3" a="1"/>
  <c r="BK39" i="3" s="1"/>
  <c r="DI39" i="3" a="1"/>
  <c r="DI39" i="3" s="1"/>
  <c r="CB29" i="3" a="1"/>
  <c r="CB29" i="3" s="1"/>
  <c r="CH28" i="3" a="1"/>
  <c r="CH28" i="3" s="1"/>
  <c r="AQ30" i="3" a="1"/>
  <c r="AQ30" i="3" s="1"/>
  <c r="BB39" i="3" a="1"/>
  <c r="BB39" i="3" s="1"/>
  <c r="CJ39" i="3" a="1"/>
  <c r="CJ39" i="3" s="1"/>
  <c r="DR39" i="3" a="1"/>
  <c r="DR39" i="3" s="1"/>
  <c r="BI39" i="3" a="1"/>
  <c r="BI39" i="3" s="1"/>
  <c r="CA39" i="3" a="1"/>
  <c r="CA39" i="3" s="1"/>
  <c r="AB39" i="3" a="1"/>
  <c r="AB39" i="3" s="1"/>
  <c r="BR39" i="3" a="1"/>
  <c r="BR39" i="3" s="1"/>
  <c r="CZ39" i="3" a="1"/>
  <c r="CZ39" i="3" s="1"/>
  <c r="BY39" i="3" a="1"/>
  <c r="BY39" i="3" s="1"/>
  <c r="CQ39" i="3" a="1"/>
  <c r="CQ39" i="3" s="1"/>
  <c r="AC39" i="3" a="1"/>
  <c r="AC39" i="3" s="1"/>
  <c r="AJ39" i="3" a="1"/>
  <c r="AJ39" i="3" s="1"/>
  <c r="CH39" i="3" a="1"/>
  <c r="CH39" i="3" s="1"/>
  <c r="DP39" i="3" a="1"/>
  <c r="DP39" i="3" s="1"/>
  <c r="H39" i="3" a="1"/>
  <c r="H39" i="3" s="1"/>
  <c r="CO39" i="3" a="1"/>
  <c r="CO39" i="3" s="1"/>
  <c r="DG39" i="3" a="1"/>
  <c r="DG39" i="3" s="1"/>
  <c r="H54" i="26"/>
  <c r="O47" i="26"/>
  <c r="O57" i="26"/>
  <c r="Y13" i="2" s="1"/>
  <c r="X13" i="2" s="1" a="1"/>
  <c r="X13" i="2" s="1"/>
  <c r="O44" i="26"/>
  <c r="O43" i="26"/>
  <c r="O31" i="26"/>
  <c r="O32" i="26"/>
  <c r="O45" i="26"/>
  <c r="O46" i="26"/>
  <c r="O34" i="26"/>
  <c r="O35" i="26"/>
  <c r="O33" i="26"/>
  <c r="AD39" i="3" a="1"/>
  <c r="AD39" i="3" s="1"/>
  <c r="O55" i="26"/>
  <c r="Y11" i="2" s="1"/>
  <c r="X11" i="2" s="1" a="1"/>
  <c r="X11" i="2" s="1"/>
  <c r="R39" i="3" a="1"/>
  <c r="R39" i="3" s="1"/>
  <c r="U39" i="3" a="1"/>
  <c r="U39" i="3" s="1"/>
  <c r="I39" i="3" a="1"/>
  <c r="I39" i="3" s="1"/>
  <c r="O58" i="26"/>
  <c r="Y14" i="2" s="1"/>
  <c r="X14" i="2" s="1" a="1"/>
  <c r="X14" i="2" s="1"/>
  <c r="A55" i="26"/>
  <c r="A43" i="26"/>
  <c r="O59" i="26"/>
  <c r="Y15" i="2" s="1"/>
  <c r="W39" i="3" a="1"/>
  <c r="W39" i="3" s="1"/>
  <c r="K39" i="3" a="1"/>
  <c r="K39" i="3" s="1"/>
  <c r="AF39" i="3" a="1"/>
  <c r="AF39" i="3" s="1"/>
  <c r="T39" i="3" a="1"/>
  <c r="T39" i="3" s="1"/>
  <c r="AE39" i="3" a="1"/>
  <c r="AE39" i="3" s="1"/>
  <c r="S39" i="3" a="1"/>
  <c r="S39" i="3" s="1"/>
  <c r="V39" i="3" a="1"/>
  <c r="V39" i="3" s="1"/>
  <c r="J39" i="3" a="1"/>
  <c r="J39" i="3" s="1"/>
  <c r="O56" i="26"/>
  <c r="Y12" i="2" s="1"/>
  <c r="I41" i="26" a="1"/>
  <c r="I41" i="26" s="1"/>
  <c r="I53" i="26" s="1"/>
  <c r="J41" i="26" a="1"/>
  <c r="J41" i="26" s="1"/>
  <c r="J53" i="26" s="1"/>
  <c r="C41" i="26" a="1"/>
  <c r="C41" i="26" s="1"/>
  <c r="K41" i="26" a="1"/>
  <c r="K41" i="26" s="1"/>
  <c r="K53" i="26" s="1"/>
  <c r="D41" i="26" a="1"/>
  <c r="D41" i="26" s="1"/>
  <c r="D53" i="26" s="1"/>
  <c r="L41" i="26" a="1"/>
  <c r="L41" i="26" s="1"/>
  <c r="L53" i="26" s="1"/>
  <c r="E41" i="26" a="1"/>
  <c r="E41" i="26" s="1"/>
  <c r="M41" i="26" a="1"/>
  <c r="M41" i="26" s="1"/>
  <c r="M53" i="26" s="1"/>
  <c r="F41" i="26" a="1"/>
  <c r="F41" i="26" s="1"/>
  <c r="N41" i="26" a="1"/>
  <c r="N41" i="26" s="1"/>
  <c r="N53" i="26" s="1"/>
  <c r="H41" i="26" a="1"/>
  <c r="H41" i="26" s="1"/>
  <c r="H53" i="26" s="1"/>
  <c r="G41" i="26" a="1"/>
  <c r="G41" i="26" s="1"/>
  <c r="G53" i="26" s="1"/>
  <c r="C50" i="26"/>
  <c r="N51" i="26"/>
  <c r="O42" i="26"/>
  <c r="I52" i="26"/>
  <c r="C52" i="26"/>
  <c r="CP30" i="3" a="1"/>
  <c r="CP30" i="3" s="1"/>
  <c r="DO30" i="3" a="1"/>
  <c r="DO30" i="3" s="1"/>
  <c r="BU30" i="3" a="1"/>
  <c r="BU30" i="3" s="1"/>
  <c r="CB30" i="3" a="1"/>
  <c r="CB30" i="3" s="1"/>
  <c r="AK29" i="3" a="1"/>
  <c r="AK29" i="3" s="1"/>
  <c r="DL29" i="3" a="1"/>
  <c r="DL29" i="3" s="1"/>
  <c r="AR29" i="3" a="1"/>
  <c r="AR29" i="3" s="1"/>
  <c r="J30" i="3" a="1"/>
  <c r="J30" i="3" s="1"/>
  <c r="CA30" i="3" a="1"/>
  <c r="CA30" i="3" s="1"/>
  <c r="DD30" i="3" a="1"/>
  <c r="DD30" i="3" s="1"/>
  <c r="DG30" i="3" a="1"/>
  <c r="DG30" i="3" s="1"/>
  <c r="CA29" i="3" a="1"/>
  <c r="CA29" i="3" s="1"/>
  <c r="BP29" i="3" a="1"/>
  <c r="BP29" i="3" s="1"/>
  <c r="BP30" i="3" a="1"/>
  <c r="BP30" i="3" s="1"/>
  <c r="D29" i="3" a="1"/>
  <c r="D29" i="3" s="1"/>
  <c r="BS30" i="3" a="1"/>
  <c r="BS30" i="3" s="1"/>
  <c r="D30" i="3" a="1"/>
  <c r="D30" i="3" s="1"/>
  <c r="DN29" i="3" a="1"/>
  <c r="DN29" i="3" s="1"/>
  <c r="DG29" i="3" a="1"/>
  <c r="DG29" i="3" s="1"/>
  <c r="DH29" i="3" a="1"/>
  <c r="DH29" i="3" s="1"/>
  <c r="E29" i="3" a="1"/>
  <c r="E29" i="3" s="1"/>
  <c r="BY30" i="3" a="1"/>
  <c r="BY30" i="3" s="1"/>
  <c r="AG29" i="3" a="1"/>
  <c r="AG29" i="3" s="1"/>
  <c r="CC30" i="3" a="1"/>
  <c r="CC30" i="3" s="1"/>
  <c r="AY29" i="3" a="1"/>
  <c r="AY29" i="3" s="1"/>
  <c r="CK29" i="3" a="1"/>
  <c r="CK29" i="3" s="1"/>
  <c r="CU29" i="3" a="1"/>
  <c r="CU29" i="3" s="1"/>
  <c r="T30" i="3" a="1"/>
  <c r="T30" i="3" s="1"/>
  <c r="BX29" i="3" a="1"/>
  <c r="BX29" i="3" s="1"/>
  <c r="BI30" i="3" a="1"/>
  <c r="BI30" i="3" s="1"/>
  <c r="DJ29" i="3" a="1"/>
  <c r="DJ29" i="3" s="1"/>
  <c r="CE29" i="3" a="1"/>
  <c r="CE29" i="3" s="1"/>
  <c r="Y30" i="3" a="1"/>
  <c r="Y30" i="3" s="1"/>
  <c r="S30" i="3" a="1"/>
  <c r="S30" i="3" s="1"/>
  <c r="J29" i="3" a="1"/>
  <c r="J29" i="3" s="1"/>
  <c r="CI29" i="3" a="1"/>
  <c r="CI29" i="3" s="1"/>
  <c r="I30" i="3" a="1"/>
  <c r="I30" i="3" s="1"/>
  <c r="CK30" i="3" a="1"/>
  <c r="CK30" i="3" s="1"/>
  <c r="DB29" i="3" a="1"/>
  <c r="DB29" i="3" s="1"/>
  <c r="K29" i="3" a="1"/>
  <c r="K29" i="3" s="1"/>
  <c r="AE30" i="3" a="1"/>
  <c r="AE30" i="3" s="1"/>
  <c r="CQ30" i="3" a="1"/>
  <c r="CQ30" i="3" s="1"/>
  <c r="DJ30" i="3" a="1"/>
  <c r="DJ30" i="3" s="1"/>
  <c r="CT30" i="3" a="1"/>
  <c r="CT30" i="3" s="1"/>
  <c r="BG29" i="3" a="1"/>
  <c r="BG29" i="3" s="1"/>
  <c r="CZ29" i="3" a="1"/>
  <c r="CZ29" i="3" s="1"/>
  <c r="CH30" i="3" a="1"/>
  <c r="CH30" i="3" s="1"/>
  <c r="W29" i="3" a="1"/>
  <c r="W29" i="3" s="1"/>
  <c r="AA29" i="3" a="1"/>
  <c r="AA29" i="3" s="1"/>
  <c r="BW30" i="3" a="1"/>
  <c r="BW30" i="3" s="1"/>
  <c r="BH29" i="3" a="1"/>
  <c r="BH29" i="3" s="1"/>
  <c r="AD30" i="3" a="1"/>
  <c r="AD30" i="3" s="1"/>
  <c r="CX30" i="3" a="1"/>
  <c r="CX30" i="3" s="1"/>
  <c r="CF29" i="3" a="1"/>
  <c r="CF29" i="3" s="1"/>
  <c r="CY29" i="3" a="1"/>
  <c r="CY29" i="3" s="1"/>
  <c r="DB30" i="3" a="1"/>
  <c r="DB30" i="3" s="1"/>
  <c r="CM30" i="3" a="1"/>
  <c r="CM30" i="3" s="1"/>
  <c r="CE30" i="3" a="1"/>
  <c r="CE30" i="3" s="1"/>
  <c r="E30" i="3" a="1"/>
  <c r="E30" i="3" s="1"/>
  <c r="C29" i="3" a="1"/>
  <c r="C29" i="3" s="1"/>
  <c r="AJ29" i="3" a="1"/>
  <c r="AJ29" i="3" s="1"/>
  <c r="BC29" i="3" a="1"/>
  <c r="BC29" i="3" s="1"/>
  <c r="DA30" i="3" a="1"/>
  <c r="DA30" i="3" s="1"/>
  <c r="AC29" i="3" a="1"/>
  <c r="AC29" i="3" s="1"/>
  <c r="Q29" i="3" a="1"/>
  <c r="Q29" i="3" s="1"/>
  <c r="AI30" i="3" a="1"/>
  <c r="AI30" i="3" s="1"/>
  <c r="AI29" i="3" a="1"/>
  <c r="AI29" i="3" s="1"/>
  <c r="BT30" i="3" a="1"/>
  <c r="BT30" i="3" s="1"/>
  <c r="DQ29" i="3" a="1"/>
  <c r="DQ29" i="3" s="1"/>
  <c r="Z29" i="3" a="1"/>
  <c r="Z29" i="3" s="1"/>
  <c r="CN30" i="3" a="1"/>
  <c r="CN30" i="3" s="1"/>
  <c r="DF30" i="3" a="1"/>
  <c r="DF30" i="3" s="1"/>
  <c r="BB29" i="3" a="1"/>
  <c r="BB29" i="3" s="1"/>
  <c r="BN29" i="3" a="1"/>
  <c r="BN29" i="3" s="1"/>
  <c r="AJ30" i="3" a="1"/>
  <c r="AJ30" i="3" s="1"/>
  <c r="AR30" i="3" a="1"/>
  <c r="AR30" i="3" s="1"/>
  <c r="AF30" i="3" a="1"/>
  <c r="AF30" i="3" s="1"/>
  <c r="BL29" i="3" a="1"/>
  <c r="BL29" i="3" s="1"/>
  <c r="CV29" i="3" a="1"/>
  <c r="CV29" i="3" s="1"/>
  <c r="CG29" i="3" a="1"/>
  <c r="CG29" i="3" s="1"/>
  <c r="CT29" i="3" a="1"/>
  <c r="CT29" i="3" s="1"/>
  <c r="BC30" i="3" a="1"/>
  <c r="BC30" i="3" s="1"/>
  <c r="BE30" i="3" a="1"/>
  <c r="BE30" i="3" s="1"/>
  <c r="CL29" i="3" a="1"/>
  <c r="CL29" i="3" s="1"/>
  <c r="BK29" i="3" a="1"/>
  <c r="BK29" i="3" s="1"/>
  <c r="AC30" i="3" a="1"/>
  <c r="AC30" i="3" s="1"/>
  <c r="AT29" i="3" a="1"/>
  <c r="AT29" i="3" s="1"/>
  <c r="Q30" i="3" a="1"/>
  <c r="Q30" i="3" s="1"/>
  <c r="BO29" i="3" a="1"/>
  <c r="BO29" i="3" s="1"/>
  <c r="DM29" i="3" a="1"/>
  <c r="DM29" i="3" s="1"/>
  <c r="BO30" i="3" a="1"/>
  <c r="BO30" i="3" s="1"/>
  <c r="BQ29" i="3" a="1"/>
  <c r="BQ29" i="3" s="1"/>
  <c r="Z30" i="3" a="1"/>
  <c r="Z30" i="3" s="1"/>
  <c r="CM29" i="3" a="1"/>
  <c r="CM29" i="3" s="1"/>
  <c r="AB30" i="3" a="1"/>
  <c r="AB30" i="3" s="1"/>
  <c r="CX29" i="3" a="1"/>
  <c r="CX29" i="3" s="1"/>
  <c r="BA29" i="3" a="1"/>
  <c r="BA29" i="3" s="1"/>
  <c r="CG30" i="3" a="1"/>
  <c r="CG30" i="3" s="1"/>
  <c r="BQ30" i="3" a="1"/>
  <c r="BQ30" i="3" s="1"/>
  <c r="DL30" i="3" a="1"/>
  <c r="DL30" i="3" s="1"/>
  <c r="AO30" i="3" a="1"/>
  <c r="AO30" i="3" s="1"/>
  <c r="BM30" i="3" a="1"/>
  <c r="BM30" i="3" s="1"/>
  <c r="DK30" i="3" a="1"/>
  <c r="DK30" i="3" s="1"/>
  <c r="R30" i="3" a="1"/>
  <c r="R30" i="3" s="1"/>
  <c r="CF30" i="3" a="1"/>
  <c r="CF30" i="3" s="1"/>
  <c r="I29" i="3" a="1"/>
  <c r="I29" i="3" s="1"/>
  <c r="X29" i="3" a="1"/>
  <c r="X29" i="3" s="1"/>
  <c r="CJ29" i="3" a="1"/>
  <c r="CJ29" i="3" s="1"/>
  <c r="BE29" i="3" a="1"/>
  <c r="BE29" i="3" s="1"/>
  <c r="N29" i="3" a="1"/>
  <c r="N29" i="3" s="1"/>
  <c r="CR29" i="3" a="1"/>
  <c r="CR29" i="3" s="1"/>
  <c r="W30" i="3" a="1"/>
  <c r="W30" i="3" s="1"/>
  <c r="X30" i="3" a="1"/>
  <c r="X30" i="3" s="1"/>
  <c r="F29" i="3" a="1"/>
  <c r="F29" i="3" s="1"/>
  <c r="DP30" i="3" a="1"/>
  <c r="DP30" i="3" s="1"/>
  <c r="CH29" i="3" a="1"/>
  <c r="CH29" i="3" s="1"/>
  <c r="DA29" i="3" a="1"/>
  <c r="DA29" i="3" s="1"/>
  <c r="O30" i="3" a="1"/>
  <c r="O30" i="3" s="1"/>
  <c r="DC30" i="3" a="1"/>
  <c r="DC30" i="3" s="1"/>
  <c r="AU29" i="3" a="1"/>
  <c r="AU29" i="3" s="1"/>
  <c r="CQ29" i="3" a="1"/>
  <c r="CQ29" i="3" s="1"/>
  <c r="M29" i="3" a="1"/>
  <c r="M29" i="3" s="1"/>
  <c r="AG30" i="3" a="1"/>
  <c r="AG30" i="3" s="1"/>
  <c r="DI29" i="3" a="1"/>
  <c r="DI29" i="3" s="1"/>
  <c r="V29" i="3" a="1"/>
  <c r="V29" i="3" s="1"/>
  <c r="AK30" i="3" a="1"/>
  <c r="AK30" i="3" s="1"/>
  <c r="AL30" i="3" a="1"/>
  <c r="AL30" i="3" s="1"/>
  <c r="U30" i="3" a="1"/>
  <c r="U30" i="3" s="1"/>
  <c r="AM30" i="3" a="1"/>
  <c r="AM30" i="3" s="1"/>
  <c r="DP29" i="3" a="1"/>
  <c r="DP29" i="3" s="1"/>
  <c r="AQ29" i="3" a="1"/>
  <c r="AQ29" i="3" s="1"/>
  <c r="DE30" i="3" a="1"/>
  <c r="DE30" i="3" s="1"/>
  <c r="AV29" i="3" a="1"/>
  <c r="AV29" i="3" s="1"/>
  <c r="U29" i="3" a="1"/>
  <c r="U29" i="3" s="1"/>
  <c r="F30" i="3" a="1"/>
  <c r="F30" i="3" s="1"/>
  <c r="BB30" i="3" a="1"/>
  <c r="BB30" i="3" s="1"/>
  <c r="AX30" i="3" a="1"/>
  <c r="AX30" i="3" s="1"/>
  <c r="DO29" i="3" a="1"/>
  <c r="DO29" i="3" s="1"/>
  <c r="BD29" i="3" a="1"/>
  <c r="BD29" i="3" s="1"/>
  <c r="BG30" i="3" a="1"/>
  <c r="BG30" i="3" s="1"/>
  <c r="DC29" i="3" a="1"/>
  <c r="DC29" i="3" s="1"/>
  <c r="AU30" i="3" a="1"/>
  <c r="AU30" i="3" s="1"/>
  <c r="L29" i="3" a="1"/>
  <c r="L29" i="3" s="1"/>
  <c r="AV30" i="3" a="1"/>
  <c r="AV30" i="3" s="1"/>
  <c r="AL27" i="3" a="1"/>
  <c r="AL27" i="3" s="1"/>
  <c r="V30" i="3" a="1"/>
  <c r="V30" i="3" s="1"/>
  <c r="BK30" i="3" a="1"/>
  <c r="BK30" i="3" s="1"/>
  <c r="CD30" i="3" a="1"/>
  <c r="CD30" i="3" s="1"/>
  <c r="CL30" i="3" a="1"/>
  <c r="CL30" i="3" s="1"/>
  <c r="CV30" i="3" a="1"/>
  <c r="CV30" i="3" s="1"/>
  <c r="AH66" i="3" a="1"/>
  <c r="AH66" i="3" s="1"/>
  <c r="CU27" i="3" a="1"/>
  <c r="CU27" i="3" s="1"/>
  <c r="BH30" i="3" a="1"/>
  <c r="BH30" i="3" s="1"/>
  <c r="AT30" i="3" a="1"/>
  <c r="AT30" i="3" s="1"/>
  <c r="CW30" i="3" a="1"/>
  <c r="CW30" i="3" s="1"/>
  <c r="BA30" i="3" a="1"/>
  <c r="BA30" i="3" s="1"/>
  <c r="CR30" i="3" a="1"/>
  <c r="CR30" i="3" s="1"/>
  <c r="AW30" i="3" a="1"/>
  <c r="AW30" i="3" s="1"/>
  <c r="CS30" i="3" a="1"/>
  <c r="CS30" i="3" s="1"/>
  <c r="DI30" i="3" a="1"/>
  <c r="DI30" i="3" s="1"/>
  <c r="AP30" i="3" a="1"/>
  <c r="AP30" i="3" s="1"/>
  <c r="BR30" i="3" a="1"/>
  <c r="BR30" i="3" s="1"/>
  <c r="CO30" i="3" a="1"/>
  <c r="CO30" i="3" s="1"/>
  <c r="N30" i="3" a="1"/>
  <c r="N30" i="3" s="1"/>
  <c r="BL30" i="3" a="1"/>
  <c r="BL30" i="3" s="1"/>
  <c r="CW103" i="3" a="1"/>
  <c r="CW103" i="3" s="1"/>
  <c r="AY30" i="3" a="1"/>
  <c r="AY30" i="3" s="1"/>
  <c r="CH27" i="3" a="1"/>
  <c r="CH27" i="3" s="1"/>
  <c r="DM30" i="3" a="1"/>
  <c r="DM30" i="3" s="1"/>
  <c r="CM27" i="3" a="1"/>
  <c r="CM27" i="3" s="1"/>
  <c r="BR21" i="3" a="1"/>
  <c r="BR21" i="3" s="1"/>
  <c r="P30" i="3" a="1"/>
  <c r="P30" i="3" s="1"/>
  <c r="BJ30" i="3" a="1"/>
  <c r="BJ30" i="3" s="1"/>
  <c r="AZ30" i="3" a="1"/>
  <c r="AZ30" i="3" s="1"/>
  <c r="C30" i="3" a="1"/>
  <c r="C30" i="3" s="1"/>
  <c r="BN30" i="3" a="1"/>
  <c r="BN30" i="3" s="1"/>
  <c r="CG52" i="3" a="1"/>
  <c r="CG52" i="3" s="1"/>
  <c r="K30" i="3" a="1"/>
  <c r="K30" i="3" s="1"/>
  <c r="DR30" i="3" a="1"/>
  <c r="DR30" i="3" s="1"/>
  <c r="L30" i="3" a="1"/>
  <c r="L30" i="3" s="1"/>
  <c r="BX30" i="3" a="1"/>
  <c r="BX30" i="3" s="1"/>
  <c r="CY30" i="3" a="1"/>
  <c r="CY30" i="3" s="1"/>
  <c r="BV30" i="3" a="1"/>
  <c r="BV30" i="3" s="1"/>
  <c r="DN30" i="3" a="1"/>
  <c r="DN30" i="3" s="1"/>
  <c r="CI30" i="3" a="1"/>
  <c r="CI30" i="3" s="1"/>
  <c r="BD30" i="3" a="1"/>
  <c r="BD30" i="3" s="1"/>
  <c r="CZ30" i="3" a="1"/>
  <c r="CZ30" i="3" s="1"/>
  <c r="BF30" i="3" a="1"/>
  <c r="BF30" i="3" s="1"/>
  <c r="AS30" i="3" a="1"/>
  <c r="AS30" i="3" s="1"/>
  <c r="DH30" i="3" a="1"/>
  <c r="DH30" i="3" s="1"/>
  <c r="BN91" i="3" a="1"/>
  <c r="BN91" i="3" s="1"/>
  <c r="DQ30" i="3" a="1"/>
  <c r="DQ30" i="3" s="1"/>
  <c r="H30" i="3" a="1"/>
  <c r="H30" i="3" s="1"/>
  <c r="M30" i="3" a="1"/>
  <c r="M30" i="3" s="1"/>
  <c r="BZ30" i="3" a="1"/>
  <c r="BZ30" i="3" s="1"/>
  <c r="AH30" i="3" a="1"/>
  <c r="AH30" i="3" s="1"/>
  <c r="BO78" i="3" a="1"/>
  <c r="BO78" i="3" s="1"/>
  <c r="CY21" i="3" a="1"/>
  <c r="CY21" i="3" s="1"/>
  <c r="BW21" i="3" a="1"/>
  <c r="BW21" i="3" s="1"/>
  <c r="AL29" i="3" a="1"/>
  <c r="AL29" i="3" s="1"/>
  <c r="BO52" i="3" a="1"/>
  <c r="BO52" i="3" s="1"/>
  <c r="BT21" i="3" a="1"/>
  <c r="BT21" i="3" s="1"/>
  <c r="Y103" i="3" a="1"/>
  <c r="Y103" i="3" s="1"/>
  <c r="CD29" i="3" a="1"/>
  <c r="CD29" i="3" s="1"/>
  <c r="R29" i="3" a="1"/>
  <c r="R29" i="3" s="1"/>
  <c r="BS29" i="3" a="1"/>
  <c r="BS29" i="3" s="1"/>
  <c r="CT103" i="3" a="1"/>
  <c r="CT103" i="3" s="1"/>
  <c r="CV91" i="3" a="1"/>
  <c r="CV91" i="3" s="1"/>
  <c r="AW29" i="3" a="1"/>
  <c r="AW29" i="3" s="1"/>
  <c r="AX29" i="3" a="1"/>
  <c r="AX29" i="3" s="1"/>
  <c r="AM29" i="3" a="1"/>
  <c r="AM29" i="3" s="1"/>
  <c r="BB21" i="3" a="1"/>
  <c r="BB21" i="3" s="1"/>
  <c r="AY52" i="3" a="1"/>
  <c r="AY52" i="3" s="1"/>
  <c r="BI29" i="3" a="1"/>
  <c r="BI29" i="3" s="1"/>
  <c r="CO29" i="3" a="1"/>
  <c r="CO29" i="3" s="1"/>
  <c r="BJ29" i="3" a="1"/>
  <c r="BJ29" i="3" s="1"/>
  <c r="CC29" i="3" a="1"/>
  <c r="CC29" i="3" s="1"/>
  <c r="CS29" i="3" a="1"/>
  <c r="CS29" i="3" s="1"/>
  <c r="AN29" i="3" a="1"/>
  <c r="AN29" i="3" s="1"/>
  <c r="AY91" i="3" a="1"/>
  <c r="AY91" i="3" s="1"/>
  <c r="CT27" i="3" a="1"/>
  <c r="CT27" i="3" s="1"/>
  <c r="AZ52" i="3" a="1"/>
  <c r="AZ52" i="3" s="1"/>
  <c r="AF29" i="3" a="1"/>
  <c r="AF29" i="3" s="1"/>
  <c r="BM29" i="3" a="1"/>
  <c r="BM29" i="3" s="1"/>
  <c r="S103" i="3" a="1"/>
  <c r="S103" i="3" s="1"/>
  <c r="CU78" i="3" a="1"/>
  <c r="CU78" i="3" s="1"/>
  <c r="F78" i="3" a="1"/>
  <c r="F78" i="3" s="1"/>
  <c r="E27" i="3" a="1"/>
  <c r="E27" i="3" s="1"/>
  <c r="CQ52" i="3" a="1"/>
  <c r="CQ52" i="3" s="1"/>
  <c r="AE21" i="3" a="1"/>
  <c r="AE21" i="3" s="1"/>
  <c r="G29" i="3" a="1"/>
  <c r="G29" i="3" s="1"/>
  <c r="BQ66" i="3" a="1"/>
  <c r="BQ66" i="3" s="1"/>
  <c r="BA27" i="3" a="1"/>
  <c r="BA27" i="3" s="1"/>
  <c r="BT29" i="3" a="1"/>
  <c r="BT29" i="3" s="1"/>
  <c r="BU29" i="3" a="1"/>
  <c r="BU29" i="3" s="1"/>
  <c r="CE52" i="3" a="1"/>
  <c r="CE52" i="3" s="1"/>
  <c r="CV27" i="3" a="1"/>
  <c r="CV27" i="3" s="1"/>
  <c r="AS29" i="3" a="1"/>
  <c r="AS29" i="3" s="1"/>
  <c r="BY29" i="3" a="1"/>
  <c r="BY29" i="3" s="1"/>
  <c r="DE29" i="3" a="1"/>
  <c r="DE29" i="3" s="1"/>
  <c r="H29" i="3" a="1"/>
  <c r="H29" i="3" s="1"/>
  <c r="D27" i="3" a="1"/>
  <c r="D27" i="3" s="1"/>
  <c r="BW29" i="3" a="1"/>
  <c r="BW29" i="3" s="1"/>
  <c r="AE29" i="3" a="1"/>
  <c r="AE29" i="3" s="1"/>
  <c r="AB29" i="3" a="1"/>
  <c r="AB29" i="3" s="1"/>
  <c r="BZ29" i="3" a="1"/>
  <c r="BZ29" i="3" s="1"/>
  <c r="DF29" i="3" a="1"/>
  <c r="DF29" i="3" s="1"/>
  <c r="CW29" i="3" a="1"/>
  <c r="CW29" i="3" s="1"/>
  <c r="CN29" i="3" a="1"/>
  <c r="CN29" i="3" s="1"/>
  <c r="F91" i="3" a="1"/>
  <c r="F91" i="3" s="1"/>
  <c r="BF21" i="3" a="1"/>
  <c r="BF21" i="3" s="1"/>
  <c r="Y29" i="3" a="1"/>
  <c r="Y29" i="3" s="1"/>
  <c r="CM21" i="3" a="1"/>
  <c r="CM21" i="3" s="1"/>
  <c r="DF27" i="3" a="1"/>
  <c r="DF27" i="3" s="1"/>
  <c r="P29" i="3" a="1"/>
  <c r="P29" i="3" s="1"/>
  <c r="AO29" i="3" a="1"/>
  <c r="AO29" i="3" s="1"/>
  <c r="AH29" i="3" a="1"/>
  <c r="AH29" i="3" s="1"/>
  <c r="AP29" i="3" a="1"/>
  <c r="AP29" i="3" s="1"/>
  <c r="BF29" i="3" a="1"/>
  <c r="BF29" i="3" s="1"/>
  <c r="BV29" i="3" a="1"/>
  <c r="BV29" i="3" s="1"/>
  <c r="DD29" i="3" a="1"/>
  <c r="DD29" i="3" s="1"/>
  <c r="AD29" i="3" a="1"/>
  <c r="AD29" i="3" s="1"/>
  <c r="AZ29" i="3" a="1"/>
  <c r="AZ29" i="3" s="1"/>
  <c r="BR29" i="3" a="1"/>
  <c r="BR29" i="3" s="1"/>
  <c r="DR29" i="3" a="1"/>
  <c r="DR29" i="3" s="1"/>
  <c r="AK27" i="3" a="1"/>
  <c r="AK27" i="3" s="1"/>
  <c r="R115" i="3" a="1"/>
  <c r="R115" i="3" s="1"/>
  <c r="CW52" i="3" a="1"/>
  <c r="CW52" i="3" s="1"/>
  <c r="O29" i="3" a="1"/>
  <c r="O29" i="3" s="1"/>
  <c r="DJ78" i="3" a="1"/>
  <c r="DJ78" i="3" s="1"/>
  <c r="CP29" i="3" a="1"/>
  <c r="CP29" i="3" s="1"/>
  <c r="DK29" i="3" a="1"/>
  <c r="DK29" i="3" s="1"/>
  <c r="S29" i="3" a="1"/>
  <c r="S29" i="3" s="1"/>
  <c r="T29" i="3" a="1"/>
  <c r="T29" i="3" s="1"/>
  <c r="CP52" i="3" a="1"/>
  <c r="CP52" i="3" s="1"/>
  <c r="DI115" i="3" a="1"/>
  <c r="DI115" i="3" s="1"/>
  <c r="CS91" i="3" a="1"/>
  <c r="CS91" i="3" s="1"/>
  <c r="AW66" i="3" a="1"/>
  <c r="AW66" i="3" s="1"/>
  <c r="AG78" i="3" a="1"/>
  <c r="AG78" i="3" s="1"/>
  <c r="DH115" i="3" a="1"/>
  <c r="DH115" i="3" s="1"/>
  <c r="CB115" i="3" a="1"/>
  <c r="CB115" i="3" s="1"/>
  <c r="AF52" i="3" a="1"/>
  <c r="AF52" i="3" s="1"/>
  <c r="AT115" i="3" a="1"/>
  <c r="AT115" i="3" s="1"/>
  <c r="AD91" i="3" a="1"/>
  <c r="AD91" i="3" s="1"/>
  <c r="AD66" i="3" a="1"/>
  <c r="AD66" i="3" s="1"/>
  <c r="BI78" i="3" a="1"/>
  <c r="BI78" i="3" s="1"/>
  <c r="M115" i="3" a="1"/>
  <c r="M115" i="3" s="1"/>
  <c r="AW78" i="3" a="1"/>
  <c r="AW78" i="3" s="1"/>
  <c r="AG103" i="3" a="1"/>
  <c r="AG103" i="3" s="1"/>
  <c r="BL78" i="3" a="1"/>
  <c r="BL78" i="3" s="1"/>
  <c r="AV91" i="3" a="1"/>
  <c r="AV91" i="3" s="1"/>
  <c r="AV52" i="3" a="1"/>
  <c r="AV52" i="3" s="1"/>
  <c r="AF66" i="3" a="1"/>
  <c r="AF66" i="3" s="1"/>
  <c r="P66" i="3" a="1"/>
  <c r="P66" i="3" s="1"/>
  <c r="CP78" i="3" a="1"/>
  <c r="CP78" i="3" s="1"/>
  <c r="BZ52" i="3" a="1"/>
  <c r="BZ52" i="3" s="1"/>
  <c r="DE52" i="3" a="1"/>
  <c r="DE52" i="3" s="1"/>
  <c r="AS66" i="3" a="1"/>
  <c r="AS66" i="3" s="1"/>
  <c r="AC78" i="3" a="1"/>
  <c r="AC78" i="3" s="1"/>
  <c r="M103" i="3" a="1"/>
  <c r="M103" i="3" s="1"/>
  <c r="M91" i="3" a="1"/>
  <c r="M91" i="3" s="1"/>
  <c r="BX103" i="3" a="1"/>
  <c r="BX103" i="3" s="1"/>
  <c r="BX91" i="3" a="1"/>
  <c r="BX91" i="3" s="1"/>
  <c r="CS115" i="3" a="1"/>
  <c r="CS115" i="3" s="1"/>
  <c r="CS66" i="3" a="1"/>
  <c r="CS66" i="3" s="1"/>
  <c r="CC91" i="3" a="1"/>
  <c r="CC91" i="3" s="1"/>
  <c r="CC78" i="3" a="1"/>
  <c r="CC78" i="3" s="1"/>
  <c r="CB66" i="3" a="1"/>
  <c r="CB66" i="3" s="1"/>
  <c r="BL115" i="3" a="1"/>
  <c r="BL115" i="3" s="1"/>
  <c r="AF115" i="3" a="1"/>
  <c r="AF115" i="3" s="1"/>
  <c r="AF78" i="3" a="1"/>
  <c r="AF78" i="3" s="1"/>
  <c r="DI52" i="3" a="1"/>
  <c r="DI52" i="3" s="1"/>
  <c r="CC103" i="3" a="1"/>
  <c r="CC103" i="3" s="1"/>
  <c r="CC52" i="3" a="1"/>
  <c r="CC52" i="3" s="1"/>
  <c r="CB91" i="3" a="1"/>
  <c r="CB91" i="3" s="1"/>
  <c r="CB78" i="3" a="1"/>
  <c r="CB78" i="3" s="1"/>
  <c r="P115" i="3" a="1"/>
  <c r="P115" i="3" s="1"/>
  <c r="BM103" i="3" a="1"/>
  <c r="BM103" i="3" s="1"/>
  <c r="DH52" i="3" a="1"/>
  <c r="DH52" i="3" s="1"/>
  <c r="BL66" i="3" a="1"/>
  <c r="BL66" i="3" s="1"/>
  <c r="CC115" i="3" a="1"/>
  <c r="CC115" i="3" s="1"/>
  <c r="DI78" i="3" a="1"/>
  <c r="DI78" i="3" s="1"/>
  <c r="CS103" i="3" a="1"/>
  <c r="CS103" i="3" s="1"/>
  <c r="BM78" i="3" a="1"/>
  <c r="BM78" i="3" s="1"/>
  <c r="Q103" i="3" a="1"/>
  <c r="Q103" i="3" s="1"/>
  <c r="DH91" i="3" a="1"/>
  <c r="DH91" i="3" s="1"/>
  <c r="CR66" i="3" a="1"/>
  <c r="CR66" i="3" s="1"/>
  <c r="CB103" i="3" a="1"/>
  <c r="CB103" i="3" s="1"/>
  <c r="P52" i="3" a="1"/>
  <c r="P52" i="3" s="1"/>
  <c r="BJ66" i="3" a="1"/>
  <c r="BJ66" i="3" s="1"/>
  <c r="AD52" i="3" a="1"/>
  <c r="AD52" i="3" s="1"/>
  <c r="AW91" i="3" a="1"/>
  <c r="AW91" i="3" s="1"/>
  <c r="Q52" i="3" a="1"/>
  <c r="Q52" i="3" s="1"/>
  <c r="AV78" i="3" a="1"/>
  <c r="AV78" i="3" s="1"/>
  <c r="DF115" i="3" a="1"/>
  <c r="DF115" i="3" s="1"/>
  <c r="CS52" i="3" a="1"/>
  <c r="CS52" i="3" s="1"/>
  <c r="BL103" i="3" a="1"/>
  <c r="BL103" i="3" s="1"/>
  <c r="DI91" i="3" a="1"/>
  <c r="DI91" i="3" s="1"/>
  <c r="DI103" i="3" a="1"/>
  <c r="DI103" i="3" s="1"/>
  <c r="AV103" i="3" a="1"/>
  <c r="AV103" i="3" s="1"/>
  <c r="BZ103" i="3" a="1"/>
  <c r="BZ103" i="3" s="1"/>
  <c r="DI66" i="3" a="1"/>
  <c r="DI66" i="3" s="1"/>
  <c r="CC66" i="3" a="1"/>
  <c r="CC66" i="3" s="1"/>
  <c r="BM66" i="3" a="1"/>
  <c r="BM66" i="3" s="1"/>
  <c r="AG115" i="3" a="1"/>
  <c r="AG115" i="3" s="1"/>
  <c r="Q115" i="3" a="1"/>
  <c r="Q115" i="3" s="1"/>
  <c r="CR115" i="3" a="1"/>
  <c r="CR115" i="3" s="1"/>
  <c r="AF103" i="3" a="1"/>
  <c r="AF103" i="3" s="1"/>
  <c r="DF103" i="3" a="1"/>
  <c r="DF103" i="3" s="1"/>
  <c r="BM115" i="3" a="1"/>
  <c r="BM115" i="3" s="1"/>
  <c r="AG66" i="3" a="1"/>
  <c r="AG66" i="3" s="1"/>
  <c r="Q66" i="3" a="1"/>
  <c r="Q66" i="3" s="1"/>
  <c r="DH78" i="3" a="1"/>
  <c r="DH78" i="3" s="1"/>
  <c r="CB52" i="3" a="1"/>
  <c r="CB52" i="3" s="1"/>
  <c r="AW103" i="3" a="1"/>
  <c r="AW103" i="3" s="1"/>
  <c r="BJ52" i="3" a="1"/>
  <c r="BJ52" i="3" s="1"/>
  <c r="CO52" i="3" a="1"/>
  <c r="CO52" i="3" s="1"/>
  <c r="BI52" i="3" a="1"/>
  <c r="BI52" i="3" s="1"/>
  <c r="M66" i="3" a="1"/>
  <c r="M66" i="3" s="1"/>
  <c r="BX66" i="3" a="1"/>
  <c r="BX66" i="3" s="1"/>
  <c r="AB52" i="3" a="1"/>
  <c r="AB52" i="3" s="1"/>
  <c r="BH115" i="3" a="1"/>
  <c r="BH115" i="3" s="1"/>
  <c r="L66" i="3" a="1"/>
  <c r="L66" i="3" s="1"/>
  <c r="CA91" i="3" a="1"/>
  <c r="CA91" i="3" s="1"/>
  <c r="BK52" i="3" a="1"/>
  <c r="BK52" i="3" s="1"/>
  <c r="AE66" i="3" a="1"/>
  <c r="AE66" i="3" s="1"/>
  <c r="CM52" i="3" a="1"/>
  <c r="CM52" i="3" s="1"/>
  <c r="DF91" i="3" a="1"/>
  <c r="DF91" i="3" s="1"/>
  <c r="BY115" i="3" a="1"/>
  <c r="BY115" i="3" s="1"/>
  <c r="BH52" i="3" a="1"/>
  <c r="BH52" i="3" s="1"/>
  <c r="BK78" i="3" a="1"/>
  <c r="BK78" i="3" s="1"/>
  <c r="AE103" i="3" a="1"/>
  <c r="AE103" i="3" s="1"/>
  <c r="O66" i="3" a="1"/>
  <c r="O66" i="3" s="1"/>
  <c r="DC66" i="3" a="1"/>
  <c r="DC66" i="3" s="1"/>
  <c r="CM115" i="3" a="1"/>
  <c r="CM115" i="3" s="1"/>
  <c r="BG91" i="3" a="1"/>
  <c r="BG91" i="3" s="1"/>
  <c r="BG78" i="3" a="1"/>
  <c r="BG78" i="3" s="1"/>
  <c r="AQ52" i="3" a="1"/>
  <c r="AQ52" i="3" s="1"/>
  <c r="DB78" i="3" a="1"/>
  <c r="DB78" i="3" s="1"/>
  <c r="DB52" i="3" a="1"/>
  <c r="DB52" i="3" s="1"/>
  <c r="CL91" i="3" a="1"/>
  <c r="CL91" i="3" s="1"/>
  <c r="BF52" i="3" a="1"/>
  <c r="BF52" i="3" s="1"/>
  <c r="AG52" i="3" a="1"/>
  <c r="AG52" i="3" s="1"/>
  <c r="P78" i="3" a="1"/>
  <c r="P78" i="3" s="1"/>
  <c r="BJ103" i="3" a="1"/>
  <c r="BJ103" i="3" s="1"/>
  <c r="AT78" i="3" a="1"/>
  <c r="AT78" i="3" s="1"/>
  <c r="AT52" i="3" a="1"/>
  <c r="AT52" i="3" s="1"/>
  <c r="BI115" i="3" a="1"/>
  <c r="BI115" i="3" s="1"/>
  <c r="CN66" i="3" a="1"/>
  <c r="CN66" i="3" s="1"/>
  <c r="BH91" i="3" a="1"/>
  <c r="BH91" i="3" s="1"/>
  <c r="DG66" i="3" a="1"/>
  <c r="DG66" i="3" s="1"/>
  <c r="CQ66" i="3" a="1"/>
  <c r="CQ66" i="3" s="1"/>
  <c r="AU52" i="3" a="1"/>
  <c r="AU52" i="3" s="1"/>
  <c r="CM66" i="3" a="1"/>
  <c r="CM66" i="3" s="1"/>
  <c r="BG115" i="3" a="1"/>
  <c r="BG115" i="3" s="1"/>
  <c r="K103" i="3" a="1"/>
  <c r="K103" i="3" s="1"/>
  <c r="CL103" i="3" a="1"/>
  <c r="CL103" i="3" s="1"/>
  <c r="CL78" i="3" a="1"/>
  <c r="CL78" i="3" s="1"/>
  <c r="BV52" i="3" a="1"/>
  <c r="BV52" i="3" s="1"/>
  <c r="CO66" i="3" a="1"/>
  <c r="CO66" i="3" s="1"/>
  <c r="BY66" i="3" a="1"/>
  <c r="BY66" i="3" s="1"/>
  <c r="AS78" i="3" a="1"/>
  <c r="AS78" i="3" s="1"/>
  <c r="AS52" i="3" a="1"/>
  <c r="AS52" i="3" s="1"/>
  <c r="AC66" i="3" a="1"/>
  <c r="AC66" i="3" s="1"/>
  <c r="BX115" i="3" a="1"/>
  <c r="BX115" i="3" s="1"/>
  <c r="BX52" i="3" a="1"/>
  <c r="BX52" i="3" s="1"/>
  <c r="DG52" i="3" a="1"/>
  <c r="DG52" i="3" s="1"/>
  <c r="AU78" i="3" a="1"/>
  <c r="AU78" i="3" s="1"/>
  <c r="DC91" i="3" a="1"/>
  <c r="DC91" i="3" s="1"/>
  <c r="BW78" i="3" a="1"/>
  <c r="BW78" i="3" s="1"/>
  <c r="AA115" i="3" a="1"/>
  <c r="AA115" i="3" s="1"/>
  <c r="K91" i="3" a="1"/>
  <c r="K91" i="3" s="1"/>
  <c r="CL115" i="3" a="1"/>
  <c r="CL115" i="3" s="1"/>
  <c r="CP91" i="3" a="1"/>
  <c r="CP91" i="3" s="1"/>
  <c r="CP66" i="3" a="1"/>
  <c r="CP66" i="3" s="1"/>
  <c r="N115" i="3" a="1"/>
  <c r="N115" i="3" s="1"/>
  <c r="CO91" i="3" a="1"/>
  <c r="CO91" i="3" s="1"/>
  <c r="CN115" i="3" a="1"/>
  <c r="CN115" i="3" s="1"/>
  <c r="BH103" i="3" a="1"/>
  <c r="BH103" i="3" s="1"/>
  <c r="L78" i="3" a="1"/>
  <c r="L78" i="3" s="1"/>
  <c r="CQ103" i="3" a="1"/>
  <c r="CQ103" i="3" s="1"/>
  <c r="CA66" i="3" a="1"/>
  <c r="CA66" i="3" s="1"/>
  <c r="O115" i="3" a="1"/>
  <c r="O115" i="3" s="1"/>
  <c r="O78" i="3" a="1"/>
  <c r="O78" i="3" s="1"/>
  <c r="DR78" i="3" a="1"/>
  <c r="DR78" i="3" s="1"/>
  <c r="CR52" i="3" a="1"/>
  <c r="CR52" i="3" s="1"/>
  <c r="DH103" i="3" a="1"/>
  <c r="DH103" i="3" s="1"/>
  <c r="DH66" i="3" a="1"/>
  <c r="DH66" i="3" s="1"/>
  <c r="P91" i="3" a="1"/>
  <c r="P91" i="3" s="1"/>
  <c r="BZ91" i="3" a="1"/>
  <c r="BZ91" i="3" s="1"/>
  <c r="N78" i="3" a="1"/>
  <c r="N78" i="3" s="1"/>
  <c r="DE91" i="3" a="1"/>
  <c r="DE91" i="3" s="1"/>
  <c r="BY103" i="3" a="1"/>
  <c r="BY103" i="3" s="1"/>
  <c r="BH78" i="3" a="1"/>
  <c r="BH78" i="3" s="1"/>
  <c r="AR91" i="3" a="1"/>
  <c r="AR91" i="3" s="1"/>
  <c r="L52" i="3" a="1"/>
  <c r="L52" i="3" s="1"/>
  <c r="CA78" i="3" a="1"/>
  <c r="CA78" i="3" s="1"/>
  <c r="BK91" i="3" a="1"/>
  <c r="BK91" i="3" s="1"/>
  <c r="AU103" i="3" a="1"/>
  <c r="AU103" i="3" s="1"/>
  <c r="AE52" i="3" a="1"/>
  <c r="AE52" i="3" s="1"/>
  <c r="BW115" i="3" a="1"/>
  <c r="BW115" i="3" s="1"/>
  <c r="AQ66" i="3" a="1"/>
  <c r="AQ66" i="3" s="1"/>
  <c r="AA91" i="3" a="1"/>
  <c r="AA91" i="3" s="1"/>
  <c r="K115" i="3" a="1"/>
  <c r="K115" i="3" s="1"/>
  <c r="K66" i="3" a="1"/>
  <c r="K66" i="3" s="1"/>
  <c r="AP66" i="3" a="1"/>
  <c r="AP66" i="3" s="1"/>
  <c r="J91" i="3" a="1"/>
  <c r="J91" i="3" s="1"/>
  <c r="AW52" i="3" a="1"/>
  <c r="AW52" i="3" s="1"/>
  <c r="Q78" i="3" a="1"/>
  <c r="Q78" i="3" s="1"/>
  <c r="AV66" i="3" a="1"/>
  <c r="AV66" i="3" s="1"/>
  <c r="DF78" i="3" a="1"/>
  <c r="DF78" i="3" s="1"/>
  <c r="CP115" i="3" a="1"/>
  <c r="CP115" i="3" s="1"/>
  <c r="BZ78" i="3" a="1"/>
  <c r="BZ78" i="3" s="1"/>
  <c r="BJ115" i="3" a="1"/>
  <c r="BJ115" i="3" s="1"/>
  <c r="AT103" i="3" a="1"/>
  <c r="AT103" i="3" s="1"/>
  <c r="DE66" i="3" a="1"/>
  <c r="DE66" i="3" s="1"/>
  <c r="AV115" i="3" a="1"/>
  <c r="AV115" i="3" s="1"/>
  <c r="BZ115" i="3" a="1"/>
  <c r="BZ115" i="3" s="1"/>
  <c r="AD115" i="3" a="1"/>
  <c r="AD115" i="3" s="1"/>
  <c r="N52" i="3" a="1"/>
  <c r="N52" i="3" s="1"/>
  <c r="CO103" i="3" a="1"/>
  <c r="CO103" i="3" s="1"/>
  <c r="DD78" i="3" a="1"/>
  <c r="DD78" i="3" s="1"/>
  <c r="CN103" i="3" a="1"/>
  <c r="CN103" i="3" s="1"/>
  <c r="AR78" i="3" a="1"/>
  <c r="AR78" i="3" s="1"/>
  <c r="CQ91" i="3" a="1"/>
  <c r="CQ91" i="3" s="1"/>
  <c r="CA115" i="3" a="1"/>
  <c r="CA115" i="3" s="1"/>
  <c r="CA103" i="3" a="1"/>
  <c r="CA103" i="3" s="1"/>
  <c r="AQ115" i="3" a="1"/>
  <c r="AQ115" i="3" s="1"/>
  <c r="BM52" i="3" a="1"/>
  <c r="BM52" i="3" s="1"/>
  <c r="AW115" i="3" a="1"/>
  <c r="AW115" i="3" s="1"/>
  <c r="DE115" i="3" a="1"/>
  <c r="DE115" i="3" s="1"/>
  <c r="BY91" i="3" a="1"/>
  <c r="BY91" i="3" s="1"/>
  <c r="AB78" i="3" a="1"/>
  <c r="AB78" i="3" s="1"/>
  <c r="DD115" i="3" a="1"/>
  <c r="DD115" i="3" s="1"/>
  <c r="O91" i="3" a="1"/>
  <c r="O91" i="3" s="1"/>
  <c r="DC78" i="3" a="1"/>
  <c r="DC78" i="3" s="1"/>
  <c r="BI66" i="3" a="1"/>
  <c r="BI66" i="3" s="1"/>
  <c r="DD52" i="3" a="1"/>
  <c r="DD52" i="3" s="1"/>
  <c r="CN52" i="3" a="1"/>
  <c r="CN52" i="3" s="1"/>
  <c r="BH66" i="3" a="1"/>
  <c r="BH66" i="3" s="1"/>
  <c r="L115" i="3" a="1"/>
  <c r="L115" i="3" s="1"/>
  <c r="DG115" i="3" a="1"/>
  <c r="DG115" i="3" s="1"/>
  <c r="AU91" i="3" a="1"/>
  <c r="AU91" i="3" s="1"/>
  <c r="DC103" i="3" a="1"/>
  <c r="DC103" i="3" s="1"/>
  <c r="DR66" i="3" a="1"/>
  <c r="DR66" i="3" s="1"/>
  <c r="DB103" i="3" a="1"/>
  <c r="DB103" i="3" s="1"/>
  <c r="Z66" i="3" a="1"/>
  <c r="Z66" i="3" s="1"/>
  <c r="J52" i="3" a="1"/>
  <c r="J52" i="3" s="1"/>
  <c r="DQ115" i="3" a="1"/>
  <c r="DQ115" i="3" s="1"/>
  <c r="DQ78" i="3" a="1"/>
  <c r="DQ78" i="3" s="1"/>
  <c r="I103" i="3" a="1"/>
  <c r="I103" i="3" s="1"/>
  <c r="BI103" i="3" a="1"/>
  <c r="BI103" i="3" s="1"/>
  <c r="DG78" i="3" a="1"/>
  <c r="DG78" i="3" s="1"/>
  <c r="CQ78" i="3" a="1"/>
  <c r="CQ78" i="3" s="1"/>
  <c r="BG52" i="3" a="1"/>
  <c r="BG52" i="3" s="1"/>
  <c r="Z91" i="3" a="1"/>
  <c r="Z91" i="3" s="1"/>
  <c r="DA91" i="3" a="1"/>
  <c r="DA91" i="3" s="1"/>
  <c r="BE91" i="3" a="1"/>
  <c r="BE91" i="3" s="1"/>
  <c r="DP115" i="3" a="1"/>
  <c r="DP115" i="3" s="1"/>
  <c r="CZ78" i="3" a="1"/>
  <c r="CZ78" i="3" s="1"/>
  <c r="CJ103" i="3" a="1"/>
  <c r="CJ103" i="3" s="1"/>
  <c r="BT103" i="3" a="1"/>
  <c r="BT103" i="3" s="1"/>
  <c r="BT66" i="3" a="1"/>
  <c r="BT66" i="3" s="1"/>
  <c r="BD66" i="3" a="1"/>
  <c r="BD66" i="3" s="1"/>
  <c r="X103" i="3" a="1"/>
  <c r="X103" i="3" s="1"/>
  <c r="BL52" i="3" a="1"/>
  <c r="BL52" i="3" s="1"/>
  <c r="CO78" i="3" a="1"/>
  <c r="CO78" i="3" s="1"/>
  <c r="BY52" i="3" a="1"/>
  <c r="BY52" i="3" s="1"/>
  <c r="AS91" i="3" a="1"/>
  <c r="AS91" i="3" s="1"/>
  <c r="BX78" i="3" a="1"/>
  <c r="BX78" i="3" s="1"/>
  <c r="AB115" i="3" a="1"/>
  <c r="AB115" i="3" s="1"/>
  <c r="AB66" i="3" a="1"/>
  <c r="AB66" i="3" s="1"/>
  <c r="BK115" i="3" a="1"/>
  <c r="BK115" i="3" s="1"/>
  <c r="Z52" i="3" a="1"/>
  <c r="Z52" i="3" s="1"/>
  <c r="Y91" i="3" a="1"/>
  <c r="Y91" i="3" s="1"/>
  <c r="Y52" i="3" a="1"/>
  <c r="Y52" i="3" s="1"/>
  <c r="I115" i="3" a="1"/>
  <c r="I115" i="3" s="1"/>
  <c r="AN115" i="3" a="1"/>
  <c r="AN115" i="3" s="1"/>
  <c r="AN78" i="3" a="1"/>
  <c r="AN78" i="3" s="1"/>
  <c r="X115" i="3" a="1"/>
  <c r="X115" i="3" s="1"/>
  <c r="AC52" i="3" a="1"/>
  <c r="AC52" i="3" s="1"/>
  <c r="AR103" i="3" a="1"/>
  <c r="AR103" i="3" s="1"/>
  <c r="L91" i="3" a="1"/>
  <c r="L91" i="3" s="1"/>
  <c r="DC115" i="3" a="1"/>
  <c r="DC115" i="3" s="1"/>
  <c r="CM78" i="3" a="1"/>
  <c r="CM78" i="3" s="1"/>
  <c r="BG103" i="3" a="1"/>
  <c r="BG103" i="3" s="1"/>
  <c r="AA52" i="3" a="1"/>
  <c r="AA52" i="3" s="1"/>
  <c r="K52" i="3" a="1"/>
  <c r="K52" i="3" s="1"/>
  <c r="BV78" i="3" a="1"/>
  <c r="BV78" i="3" s="1"/>
  <c r="AP103" i="3" a="1"/>
  <c r="AP103" i="3" s="1"/>
  <c r="Z115" i="3" a="1"/>
  <c r="Z115" i="3" s="1"/>
  <c r="J66" i="3" a="1"/>
  <c r="J66" i="3" s="1"/>
  <c r="CK115" i="3" a="1"/>
  <c r="CK115" i="3" s="1"/>
  <c r="BU103" i="3" a="1"/>
  <c r="BU103" i="3" s="1"/>
  <c r="AO115" i="3" a="1"/>
  <c r="AO115" i="3" s="1"/>
  <c r="DP78" i="3" a="1"/>
  <c r="DP78" i="3" s="1"/>
  <c r="CZ52" i="3" a="1"/>
  <c r="CZ52" i="3" s="1"/>
  <c r="H66" i="3" a="1"/>
  <c r="H66" i="3" s="1"/>
  <c r="H78" i="3" a="1"/>
  <c r="H78" i="3" s="1"/>
  <c r="CY66" i="3" a="1"/>
  <c r="CY66" i="3" s="1"/>
  <c r="CS78" i="3" a="1"/>
  <c r="CS78" i="3" s="1"/>
  <c r="BL91" i="3" a="1"/>
  <c r="BL91" i="3" s="1"/>
  <c r="AF91" i="3" a="1"/>
  <c r="AF91" i="3" s="1"/>
  <c r="BZ66" i="3" a="1"/>
  <c r="BZ66" i="3" s="1"/>
  <c r="AD103" i="3" a="1"/>
  <c r="AD103" i="3" s="1"/>
  <c r="M78" i="3" a="1"/>
  <c r="M78" i="3" s="1"/>
  <c r="AB103" i="3" a="1"/>
  <c r="AB103" i="3" s="1"/>
  <c r="AR66" i="3" a="1"/>
  <c r="AR66" i="3" s="1"/>
  <c r="L103" i="3" a="1"/>
  <c r="L103" i="3" s="1"/>
  <c r="BW52" i="3" a="1"/>
  <c r="BW52" i="3" s="1"/>
  <c r="BF66" i="3" a="1"/>
  <c r="BF66" i="3" s="1"/>
  <c r="Z103" i="3" a="1"/>
  <c r="Z103" i="3" s="1"/>
  <c r="J115" i="3" a="1"/>
  <c r="J115" i="3" s="1"/>
  <c r="BU78" i="3" a="1"/>
  <c r="BU78" i="3" s="1"/>
  <c r="BE66" i="3" a="1"/>
  <c r="BE66" i="3" s="1"/>
  <c r="AO78" i="3" a="1"/>
  <c r="AO78" i="3" s="1"/>
  <c r="I66" i="3" a="1"/>
  <c r="I66" i="3" s="1"/>
  <c r="CJ115" i="3" a="1"/>
  <c r="CJ115" i="3" s="1"/>
  <c r="CY78" i="3" a="1"/>
  <c r="CY78" i="3" s="1"/>
  <c r="CI66" i="3" a="1"/>
  <c r="CI66" i="3" s="1"/>
  <c r="P103" i="3" a="1"/>
  <c r="P103" i="3" s="1"/>
  <c r="DF66" i="3" a="1"/>
  <c r="DF66" i="3" s="1"/>
  <c r="BJ78" i="3" a="1"/>
  <c r="BJ78" i="3" s="1"/>
  <c r="DE78" i="3" a="1"/>
  <c r="DE78" i="3" s="1"/>
  <c r="CO115" i="3" a="1"/>
  <c r="CO115" i="3" s="1"/>
  <c r="AC91" i="3" a="1"/>
  <c r="AC91" i="3" s="1"/>
  <c r="AQ103" i="3" a="1"/>
  <c r="AQ103" i="3" s="1"/>
  <c r="CL66" i="3" a="1"/>
  <c r="CL66" i="3" s="1"/>
  <c r="BF91" i="3" a="1"/>
  <c r="BF91" i="3" s="1"/>
  <c r="AP91" i="3" a="1"/>
  <c r="AP91" i="3" s="1"/>
  <c r="DQ52" i="3" a="1"/>
  <c r="DQ52" i="3" s="1"/>
  <c r="BU52" i="3" a="1"/>
  <c r="BU52" i="3" s="1"/>
  <c r="AO103" i="3" a="1"/>
  <c r="AO103" i="3" s="1"/>
  <c r="CZ91" i="3" a="1"/>
  <c r="CZ91" i="3" s="1"/>
  <c r="BT115" i="3" a="1"/>
  <c r="BT115" i="3" s="1"/>
  <c r="AN91" i="3" a="1"/>
  <c r="AN91" i="3" s="1"/>
  <c r="BV66" i="3" a="1"/>
  <c r="BV66" i="3" s="1"/>
  <c r="BF103" i="3" a="1"/>
  <c r="BF103" i="3" s="1"/>
  <c r="Y115" i="3" a="1"/>
  <c r="Y115" i="3" s="1"/>
  <c r="BM91" i="3" a="1"/>
  <c r="BM91" i="3" s="1"/>
  <c r="CR103" i="3" a="1"/>
  <c r="CR103" i="3" s="1"/>
  <c r="DF52" i="3" a="1"/>
  <c r="DF52" i="3" s="1"/>
  <c r="N103" i="3" a="1"/>
  <c r="N103" i="3" s="1"/>
  <c r="AB91" i="3" a="1"/>
  <c r="AB91" i="3" s="1"/>
  <c r="CR78" i="3" a="1"/>
  <c r="CR78" i="3" s="1"/>
  <c r="CP103" i="3" a="1"/>
  <c r="CP103" i="3" s="1"/>
  <c r="Q91" i="3" a="1"/>
  <c r="Q91" i="3" s="1"/>
  <c r="AT66" i="3" a="1"/>
  <c r="AT66" i="3" s="1"/>
  <c r="AC103" i="3" a="1"/>
  <c r="AC103" i="3" s="1"/>
  <c r="AU66" i="3" a="1"/>
  <c r="AU66" i="3" s="1"/>
  <c r="O52" i="3" a="1"/>
  <c r="O52" i="3" s="1"/>
  <c r="CM91" i="3" a="1"/>
  <c r="CM91" i="3" s="1"/>
  <c r="BW66" i="3" a="1"/>
  <c r="BW66" i="3" s="1"/>
  <c r="AQ91" i="3" a="1"/>
  <c r="AQ91" i="3" s="1"/>
  <c r="DR115" i="3" a="1"/>
  <c r="DR115" i="3" s="1"/>
  <c r="BV91" i="3" a="1"/>
  <c r="BV91" i="3" s="1"/>
  <c r="BE115" i="3" a="1"/>
  <c r="BE115" i="3" s="1"/>
  <c r="BE78" i="3" a="1"/>
  <c r="BE78" i="3" s="1"/>
  <c r="AO52" i="3" a="1"/>
  <c r="AO52" i="3" s="1"/>
  <c r="BD78" i="3" a="1"/>
  <c r="BD78" i="3" s="1"/>
  <c r="X91" i="3" a="1"/>
  <c r="X91" i="3" s="1"/>
  <c r="X52" i="3" a="1"/>
  <c r="X52" i="3" s="1"/>
  <c r="H103" i="3" a="1"/>
  <c r="H103" i="3" s="1"/>
  <c r="AG91" i="3" a="1"/>
  <c r="AG91" i="3" s="1"/>
  <c r="AD78" i="3" a="1"/>
  <c r="AD78" i="3" s="1"/>
  <c r="N91" i="3" a="1"/>
  <c r="N91" i="3" s="1"/>
  <c r="AA103" i="3" a="1"/>
  <c r="AA103" i="3" s="1"/>
  <c r="K78" i="3" a="1"/>
  <c r="K78" i="3" s="1"/>
  <c r="DB66" i="3" a="1"/>
  <c r="DB66" i="3" s="1"/>
  <c r="BV103" i="3" a="1"/>
  <c r="BV103" i="3" s="1"/>
  <c r="Z78" i="3" a="1"/>
  <c r="Z78" i="3" s="1"/>
  <c r="J103" i="3" a="1"/>
  <c r="J103" i="3" s="1"/>
  <c r="BT78" i="3" a="1"/>
  <c r="BT78" i="3" s="1"/>
  <c r="DO115" i="3" a="1"/>
  <c r="DO115" i="3" s="1"/>
  <c r="DN115" i="3" a="1"/>
  <c r="DN115" i="3" s="1"/>
  <c r="CX115" i="3" a="1"/>
  <c r="CX115" i="3" s="1"/>
  <c r="CH103" i="3" a="1"/>
  <c r="CH103" i="3" s="1"/>
  <c r="DL115" i="3" a="1"/>
  <c r="DL115" i="3" s="1"/>
  <c r="DL91" i="3" a="1"/>
  <c r="DL91" i="3" s="1"/>
  <c r="CV66" i="3" a="1"/>
  <c r="CV66" i="3" s="1"/>
  <c r="BP66" i="3" a="1"/>
  <c r="BP66" i="3" s="1"/>
  <c r="CN78" i="3" a="1"/>
  <c r="CN78" i="3" s="1"/>
  <c r="AP52" i="3" a="1"/>
  <c r="AP52" i="3" s="1"/>
  <c r="BT52" i="3" a="1"/>
  <c r="BT52" i="3" s="1"/>
  <c r="AN66" i="3" a="1"/>
  <c r="AN66" i="3" s="1"/>
  <c r="CI103" i="3" a="1"/>
  <c r="CI103" i="3" s="1"/>
  <c r="CH78" i="3" a="1"/>
  <c r="CH78" i="3" s="1"/>
  <c r="CV78" i="3" a="1"/>
  <c r="CV78" i="3" s="1"/>
  <c r="AZ103" i="3" a="1"/>
  <c r="AZ103" i="3" s="1"/>
  <c r="AZ91" i="3" a="1"/>
  <c r="AZ91" i="3" s="1"/>
  <c r="BJ91" i="3" a="1"/>
  <c r="BJ91" i="3" s="1"/>
  <c r="N66" i="3" a="1"/>
  <c r="N66" i="3" s="1"/>
  <c r="BY78" i="3" a="1"/>
  <c r="BY78" i="3" s="1"/>
  <c r="DD91" i="3" a="1"/>
  <c r="DD91" i="3" s="1"/>
  <c r="CQ115" i="3" a="1"/>
  <c r="CQ115" i="3" s="1"/>
  <c r="BK66" i="3" a="1"/>
  <c r="BK66" i="3" s="1"/>
  <c r="DB115" i="3" a="1"/>
  <c r="DB115" i="3" s="1"/>
  <c r="CK52" i="3" a="1"/>
  <c r="CK52" i="3" s="1"/>
  <c r="I78" i="3" a="1"/>
  <c r="I78" i="3" s="1"/>
  <c r="DO78" i="3" a="1"/>
  <c r="DO78" i="3" s="1"/>
  <c r="CY115" i="3" a="1"/>
  <c r="CY115" i="3" s="1"/>
  <c r="CY91" i="3" a="1"/>
  <c r="CY91" i="3" s="1"/>
  <c r="BC91" i="3" a="1"/>
  <c r="BC91" i="3" s="1"/>
  <c r="DD66" i="3" a="1"/>
  <c r="DD66" i="3" s="1"/>
  <c r="AE78" i="3" a="1"/>
  <c r="AE78" i="3" s="1"/>
  <c r="J78" i="3" a="1"/>
  <c r="J78" i="3" s="1"/>
  <c r="I91" i="3" a="1"/>
  <c r="I91" i="3" s="1"/>
  <c r="CJ91" i="3" a="1"/>
  <c r="CJ91" i="3" s="1"/>
  <c r="CJ66" i="3" a="1"/>
  <c r="CJ66" i="3" s="1"/>
  <c r="BT91" i="3" a="1"/>
  <c r="BT91" i="3" s="1"/>
  <c r="AN52" i="3" a="1"/>
  <c r="AN52" i="3" s="1"/>
  <c r="X78" i="3" a="1"/>
  <c r="X78" i="3" s="1"/>
  <c r="BU115" i="3" a="1"/>
  <c r="BU115" i="3" s="1"/>
  <c r="BD52" i="3" a="1"/>
  <c r="BD52" i="3" s="1"/>
  <c r="AM52" i="3" a="1"/>
  <c r="AM52" i="3" s="1"/>
  <c r="G52" i="3" a="1"/>
  <c r="G52" i="3" s="1"/>
  <c r="CX78" i="3" a="1"/>
  <c r="CX78" i="3" s="1"/>
  <c r="CF103" i="3" a="1"/>
  <c r="CF103" i="3" s="1"/>
  <c r="BP103" i="3" a="1"/>
  <c r="BP103" i="3" s="1"/>
  <c r="AS115" i="3" a="1"/>
  <c r="AS115" i="3" s="1"/>
  <c r="AR115" i="3" a="1"/>
  <c r="AR115" i="3" s="1"/>
  <c r="AR52" i="3" a="1"/>
  <c r="AR52" i="3" s="1"/>
  <c r="BK103" i="3" a="1"/>
  <c r="BK103" i="3" s="1"/>
  <c r="DC52" i="3" a="1"/>
  <c r="DC52" i="3" s="1"/>
  <c r="DA103" i="3" a="1"/>
  <c r="DA103" i="3" s="1"/>
  <c r="DA52" i="3" a="1"/>
  <c r="DA52" i="3" s="1"/>
  <c r="BE52" i="3" a="1"/>
  <c r="BE52" i="3" s="1"/>
  <c r="I52" i="3" a="1"/>
  <c r="I52" i="3" s="1"/>
  <c r="DP52" i="3" a="1"/>
  <c r="DP52" i="3" s="1"/>
  <c r="BD115" i="3" a="1"/>
  <c r="BD115" i="3" s="1"/>
  <c r="X66" i="3" a="1"/>
  <c r="X66" i="3" s="1"/>
  <c r="DO103" i="3" a="1"/>
  <c r="DO103" i="3" s="1"/>
  <c r="BS103" i="3" a="1"/>
  <c r="BS103" i="3" s="1"/>
  <c r="AM78" i="3" a="1"/>
  <c r="AM78" i="3" s="1"/>
  <c r="W66" i="3" a="1"/>
  <c r="W66" i="3" s="1"/>
  <c r="CH91" i="3" a="1"/>
  <c r="CH91" i="3" s="1"/>
  <c r="CH66" i="3" a="1"/>
  <c r="CH66" i="3" s="1"/>
  <c r="BR103" i="3" a="1"/>
  <c r="BR103" i="3" s="1"/>
  <c r="AT91" i="3" a="1"/>
  <c r="AT91" i="3" s="1"/>
  <c r="DE103" i="3" a="1"/>
  <c r="DE103" i="3" s="1"/>
  <c r="DA66" i="3" a="1"/>
  <c r="DA66" i="3" s="1"/>
  <c r="Y78" i="3" a="1"/>
  <c r="Y78" i="3" s="1"/>
  <c r="CJ52" i="3" a="1"/>
  <c r="CJ52" i="3" s="1"/>
  <c r="H52" i="3" a="1"/>
  <c r="H52" i="3" s="1"/>
  <c r="DO66" i="3" a="1"/>
  <c r="DO66" i="3" s="1"/>
  <c r="CI78" i="3" a="1"/>
  <c r="CI78" i="3" s="1"/>
  <c r="DN52" i="3" a="1"/>
  <c r="DN52" i="3" s="1"/>
  <c r="AE91" i="3" a="1"/>
  <c r="AE91" i="3" s="1"/>
  <c r="BW91" i="3" a="1"/>
  <c r="BW91" i="3" s="1"/>
  <c r="DA115" i="3" a="1"/>
  <c r="DA115" i="3" s="1"/>
  <c r="CJ78" i="3" a="1"/>
  <c r="CJ78" i="3" s="1"/>
  <c r="H91" i="3" a="1"/>
  <c r="H91" i="3" s="1"/>
  <c r="BF115" i="3" a="1"/>
  <c r="BF115" i="3" s="1"/>
  <c r="DQ103" i="3" a="1"/>
  <c r="DQ103" i="3" s="1"/>
  <c r="BE103" i="3" a="1"/>
  <c r="BE103" i="3" s="1"/>
  <c r="DP66" i="3" a="1"/>
  <c r="DP66" i="3" s="1"/>
  <c r="CY103" i="3" a="1"/>
  <c r="CY103" i="3" s="1"/>
  <c r="CI91" i="3" a="1"/>
  <c r="CI91" i="3" s="1"/>
  <c r="AM115" i="3" a="1"/>
  <c r="AM115" i="3" s="1"/>
  <c r="W115" i="3" a="1"/>
  <c r="W115" i="3" s="1"/>
  <c r="W52" i="3" a="1"/>
  <c r="W52" i="3" s="1"/>
  <c r="CH52" i="3" a="1"/>
  <c r="CH52" i="3" s="1"/>
  <c r="CV115" i="3" a="1"/>
  <c r="CV115" i="3" s="1"/>
  <c r="CW66" i="3" a="1"/>
  <c r="CW66" i="3" s="1"/>
  <c r="BA103" i="3" a="1"/>
  <c r="BA103" i="3" s="1"/>
  <c r="AK103" i="3" a="1"/>
  <c r="AK103" i="3" s="1"/>
  <c r="U103" i="3" a="1"/>
  <c r="U103" i="3" s="1"/>
  <c r="CU91" i="3" a="1"/>
  <c r="CU91" i="3" s="1"/>
  <c r="AI52" i="3" a="1"/>
  <c r="AI52" i="3" s="1"/>
  <c r="S115" i="3" a="1"/>
  <c r="S115" i="3" s="1"/>
  <c r="S91" i="3" a="1"/>
  <c r="S91" i="3" s="1"/>
  <c r="AX52" i="3" a="1"/>
  <c r="AX52" i="3" s="1"/>
  <c r="R103" i="3" a="1"/>
  <c r="R103" i="3" s="1"/>
  <c r="R52" i="3" a="1"/>
  <c r="R52" i="3" s="1"/>
  <c r="CK91" i="3" a="1"/>
  <c r="CK91" i="3" s="1"/>
  <c r="BC52" i="3" a="1"/>
  <c r="BC52" i="3" s="1"/>
  <c r="DL52" i="3" a="1"/>
  <c r="DL52" i="3" s="1"/>
  <c r="AZ78" i="3" a="1"/>
  <c r="AZ78" i="3" s="1"/>
  <c r="T115" i="3" a="1"/>
  <c r="T115" i="3" s="1"/>
  <c r="T103" i="3" a="1"/>
  <c r="T103" i="3" s="1"/>
  <c r="F103" i="3" a="1"/>
  <c r="F103" i="3" s="1"/>
  <c r="F52" i="3" a="1"/>
  <c r="F52" i="3" s="1"/>
  <c r="CG66" i="3" a="1"/>
  <c r="CG66" i="3" s="1"/>
  <c r="BA78" i="3" a="1"/>
  <c r="BA78" i="3" s="1"/>
  <c r="BA52" i="3" a="1"/>
  <c r="BA52" i="3" s="1"/>
  <c r="U52" i="3" a="1"/>
  <c r="U52" i="3" s="1"/>
  <c r="C66" i="3" a="1"/>
  <c r="C66" i="3" s="1"/>
  <c r="CT78" i="3" a="1"/>
  <c r="CT78" i="3" s="1"/>
  <c r="DG103" i="3" a="1"/>
  <c r="DG103" i="3" s="1"/>
  <c r="CK103" i="3" a="1"/>
  <c r="CK103" i="3" s="1"/>
  <c r="BU91" i="3" a="1"/>
  <c r="BU91" i="3" s="1"/>
  <c r="DO91" i="3" a="1"/>
  <c r="DO91" i="3" s="1"/>
  <c r="G115" i="3" a="1"/>
  <c r="G115" i="3" s="1"/>
  <c r="G78" i="3" a="1"/>
  <c r="G78" i="3" s="1"/>
  <c r="CX103" i="3" a="1"/>
  <c r="CX103" i="3" s="1"/>
  <c r="CF66" i="3" a="1"/>
  <c r="CF66" i="3" s="1"/>
  <c r="D52" i="3" a="1"/>
  <c r="D52" i="3" s="1"/>
  <c r="V91" i="3" a="1"/>
  <c r="V91" i="3" s="1"/>
  <c r="V66" i="3" a="1"/>
  <c r="V66" i="3" s="1"/>
  <c r="CW91" i="3" a="1"/>
  <c r="CW91" i="3" s="1"/>
  <c r="AK78" i="3" a="1"/>
  <c r="AK78" i="3" s="1"/>
  <c r="E103" i="3" a="1"/>
  <c r="E103" i="3" s="1"/>
  <c r="CU66" i="3" a="1"/>
  <c r="CU66" i="3" s="1"/>
  <c r="CE115" i="3" a="1"/>
  <c r="CE115" i="3" s="1"/>
  <c r="C103" i="3" a="1"/>
  <c r="C103" i="3" s="1"/>
  <c r="DJ91" i="3" a="1"/>
  <c r="DJ91" i="3" s="1"/>
  <c r="CT115" i="3" a="1"/>
  <c r="CT115" i="3" s="1"/>
  <c r="CD91" i="3" a="1"/>
  <c r="CD91" i="3" s="1"/>
  <c r="AH115" i="3" a="1"/>
  <c r="AH115" i="3" s="1"/>
  <c r="O103" i="3" a="1"/>
  <c r="O103" i="3" s="1"/>
  <c r="CZ103" i="3" a="1"/>
  <c r="CZ103" i="3" s="1"/>
  <c r="BC103" i="3" a="1"/>
  <c r="BC103" i="3" s="1"/>
  <c r="DN103" i="3" a="1"/>
  <c r="DN103" i="3" s="1"/>
  <c r="DN66" i="3" a="1"/>
  <c r="DN66" i="3" s="1"/>
  <c r="CF115" i="3" a="1"/>
  <c r="CF115" i="3" s="1"/>
  <c r="D103" i="3" a="1"/>
  <c r="D103" i="3" s="1"/>
  <c r="BB103" i="3" a="1"/>
  <c r="BB103" i="3" s="1"/>
  <c r="BB78" i="3" a="1"/>
  <c r="BB78" i="3" s="1"/>
  <c r="DM52" i="3" a="1"/>
  <c r="DM52" i="3" s="1"/>
  <c r="BQ52" i="3" a="1"/>
  <c r="BQ52" i="3" s="1"/>
  <c r="E66" i="3" a="1"/>
  <c r="E66" i="3" s="1"/>
  <c r="DK103" i="3" a="1"/>
  <c r="DK103" i="3" s="1"/>
  <c r="DK66" i="3" a="1"/>
  <c r="DK66" i="3" s="1"/>
  <c r="AY66" i="3" a="1"/>
  <c r="AY66" i="3" s="1"/>
  <c r="DJ103" i="3" a="1"/>
  <c r="DJ103" i="3" s="1"/>
  <c r="BN78" i="3" a="1"/>
  <c r="BN78" i="3" s="1"/>
  <c r="AH52" i="3" a="1"/>
  <c r="AH52" i="3" s="1"/>
  <c r="CR91" i="3" a="1"/>
  <c r="CR91" i="3" s="1"/>
  <c r="AC115" i="3" a="1"/>
  <c r="AC115" i="3" s="1"/>
  <c r="DD103" i="3" a="1"/>
  <c r="DD103" i="3" s="1"/>
  <c r="BU66" i="3" a="1"/>
  <c r="BU66" i="3" s="1"/>
  <c r="AO91" i="3" a="1"/>
  <c r="AO91" i="3" s="1"/>
  <c r="CZ115" i="3" a="1"/>
  <c r="CZ115" i="3" s="1"/>
  <c r="BC66" i="3" a="1"/>
  <c r="BC66" i="3" s="1"/>
  <c r="CH115" i="3" a="1"/>
  <c r="CH115" i="3" s="1"/>
  <c r="CV52" i="3" a="1"/>
  <c r="CV52" i="3" s="1"/>
  <c r="AJ115" i="3" a="1"/>
  <c r="AJ115" i="3" s="1"/>
  <c r="D66" i="3" a="1"/>
  <c r="D66" i="3" s="1"/>
  <c r="BB52" i="3" a="1"/>
  <c r="BB52" i="3" s="1"/>
  <c r="AL52" i="3" a="1"/>
  <c r="AL52" i="3" s="1"/>
  <c r="BQ78" i="3" a="1"/>
  <c r="BQ78" i="3" s="1"/>
  <c r="DK52" i="3" a="1"/>
  <c r="DK52" i="3" s="1"/>
  <c r="CE66" i="3" a="1"/>
  <c r="CE66" i="3" s="1"/>
  <c r="S66" i="3" a="1"/>
  <c r="S66" i="3" s="1"/>
  <c r="CT91" i="3" a="1"/>
  <c r="CT91" i="3" s="1"/>
  <c r="CD52" i="3" a="1"/>
  <c r="CD52" i="3" s="1"/>
  <c r="AH91" i="3" a="1"/>
  <c r="AH91" i="3" s="1"/>
  <c r="R91" i="3" a="1"/>
  <c r="R91" i="3" s="1"/>
  <c r="AQ78" i="3" a="1"/>
  <c r="AQ78" i="3" s="1"/>
  <c r="DR52" i="3" a="1"/>
  <c r="DR52" i="3" s="1"/>
  <c r="BD91" i="3" a="1"/>
  <c r="BD91" i="3" s="1"/>
  <c r="CY52" i="3" a="1"/>
  <c r="CY52" i="3" s="1"/>
  <c r="CI115" i="3" a="1"/>
  <c r="CI115" i="3" s="1"/>
  <c r="AM66" i="3" a="1"/>
  <c r="AM66" i="3" s="1"/>
  <c r="G103" i="3" a="1"/>
  <c r="G103" i="3" s="1"/>
  <c r="DN91" i="3" a="1"/>
  <c r="DN91" i="3" s="1"/>
  <c r="CX52" i="3" a="1"/>
  <c r="CX52" i="3" s="1"/>
  <c r="CF91" i="3" a="1"/>
  <c r="CF91" i="3" s="1"/>
  <c r="CW78" i="3" a="1"/>
  <c r="CW78" i="3" s="1"/>
  <c r="CG78" i="3" a="1"/>
  <c r="CG78" i="3" s="1"/>
  <c r="U66" i="3" a="1"/>
  <c r="U66" i="3" s="1"/>
  <c r="E52" i="3" a="1"/>
  <c r="E52" i="3" s="1"/>
  <c r="CE91" i="3" a="1"/>
  <c r="CE91" i="3" s="1"/>
  <c r="AY103" i="3" a="1"/>
  <c r="AY103" i="3" s="1"/>
  <c r="AI78" i="3" a="1"/>
  <c r="AI78" i="3" s="1"/>
  <c r="CT66" i="3" a="1"/>
  <c r="CT66" i="3" s="1"/>
  <c r="CD115" i="3" a="1"/>
  <c r="CD115" i="3" s="1"/>
  <c r="BN52" i="3" a="1"/>
  <c r="BN52" i="3" s="1"/>
  <c r="AX115" i="3" a="1"/>
  <c r="AX115" i="3" s="1"/>
  <c r="AX66" i="3" a="1"/>
  <c r="AX66" i="3" s="1"/>
  <c r="AH103" i="3" a="1"/>
  <c r="AH103" i="3" s="1"/>
  <c r="R66" i="3" a="1"/>
  <c r="R66" i="3" s="1"/>
  <c r="DG91" i="3" a="1"/>
  <c r="DG91" i="3" s="1"/>
  <c r="DR91" i="3" a="1"/>
  <c r="DR91" i="3" s="1"/>
  <c r="G66" i="3" a="1"/>
  <c r="G66" i="3" s="1"/>
  <c r="BR91" i="3" a="1"/>
  <c r="BR91" i="3" s="1"/>
  <c r="CF78" i="3" a="1"/>
  <c r="CF78" i="3" s="1"/>
  <c r="BP91" i="3" a="1"/>
  <c r="BP91" i="3" s="1"/>
  <c r="AJ52" i="3" a="1"/>
  <c r="AJ52" i="3" s="1"/>
  <c r="T66" i="3" a="1"/>
  <c r="T66" i="3" s="1"/>
  <c r="D78" i="3" a="1"/>
  <c r="D78" i="3" s="1"/>
  <c r="BB115" i="3" a="1"/>
  <c r="BB115" i="3" s="1"/>
  <c r="BB66" i="3" a="1"/>
  <c r="BB66" i="3" s="1"/>
  <c r="AL78" i="3" a="1"/>
  <c r="AL78" i="3" s="1"/>
  <c r="DM91" i="3" a="1"/>
  <c r="DM91" i="3" s="1"/>
  <c r="BQ115" i="3" a="1"/>
  <c r="BQ115" i="3" s="1"/>
  <c r="AK52" i="3" a="1"/>
  <c r="AK52" i="3" s="1"/>
  <c r="AI103" i="3" a="1"/>
  <c r="AI103" i="3" s="1"/>
  <c r="C52" i="3" a="1"/>
  <c r="C52" i="3" s="1"/>
  <c r="BG66" i="3" a="1"/>
  <c r="BG66" i="3" s="1"/>
  <c r="DR103" i="3" a="1"/>
  <c r="DR103" i="3" s="1"/>
  <c r="BV115" i="3" a="1"/>
  <c r="BV115" i="3" s="1"/>
  <c r="DP91" i="3" a="1"/>
  <c r="DP91" i="3" s="1"/>
  <c r="BD103" i="3" a="1"/>
  <c r="BD103" i="3" s="1"/>
  <c r="BS91" i="3" a="1"/>
  <c r="BS91" i="3" s="1"/>
  <c r="CX91" i="3" a="1"/>
  <c r="CX91" i="3" s="1"/>
  <c r="CV103" i="3" a="1"/>
  <c r="CV103" i="3" s="1"/>
  <c r="BP115" i="3" a="1"/>
  <c r="BP115" i="3" s="1"/>
  <c r="D115" i="3" a="1"/>
  <c r="D115" i="3" s="1"/>
  <c r="V78" i="3" a="1"/>
  <c r="V78" i="3" s="1"/>
  <c r="F66" i="3" a="1"/>
  <c r="F66" i="3" s="1"/>
  <c r="DM78" i="3" a="1"/>
  <c r="DM78" i="3" s="1"/>
  <c r="CG91" i="3" a="1"/>
  <c r="CG91" i="3" s="1"/>
  <c r="DJ66" i="3" a="1"/>
  <c r="DJ66" i="3" s="1"/>
  <c r="AX78" i="3" a="1"/>
  <c r="AX78" i="3" s="1"/>
  <c r="AP78" i="3" a="1"/>
  <c r="AP78" i="3" s="1"/>
  <c r="CI52" i="3" a="1"/>
  <c r="CI52" i="3" s="1"/>
  <c r="BC115" i="3" a="1"/>
  <c r="BC115" i="3" s="1"/>
  <c r="W103" i="3" a="1"/>
  <c r="W103" i="3" s="1"/>
  <c r="AJ66" i="3" a="1"/>
  <c r="AJ66" i="3" s="1"/>
  <c r="D91" i="3" a="1"/>
  <c r="D91" i="3" s="1"/>
  <c r="BB91" i="3" a="1"/>
  <c r="BB91" i="3" s="1"/>
  <c r="AL115" i="3" a="1"/>
  <c r="AL115" i="3" s="1"/>
  <c r="F115" i="3" a="1"/>
  <c r="F115" i="3" s="1"/>
  <c r="DM115" i="3" a="1"/>
  <c r="DM115" i="3" s="1"/>
  <c r="BA66" i="3" a="1"/>
  <c r="BA66" i="3" s="1"/>
  <c r="CE78" i="3" a="1"/>
  <c r="CE78" i="3" s="1"/>
  <c r="BO91" i="3" a="1"/>
  <c r="BO91" i="3" s="1"/>
  <c r="BO66" i="3" a="1"/>
  <c r="BO66" i="3" s="1"/>
  <c r="C91" i="3" a="1"/>
  <c r="C91" i="3" s="1"/>
  <c r="BN115" i="3" a="1"/>
  <c r="BN115" i="3" s="1"/>
  <c r="AP115" i="3" a="1"/>
  <c r="AP115" i="3" s="1"/>
  <c r="CK78" i="3" a="1"/>
  <c r="CK78" i="3" s="1"/>
  <c r="DP103" i="3" a="1"/>
  <c r="DP103" i="3" s="1"/>
  <c r="AM91" i="3" a="1"/>
  <c r="AM91" i="3" s="1"/>
  <c r="BR66" i="3" a="1"/>
  <c r="BR66" i="3" s="1"/>
  <c r="T78" i="3" a="1"/>
  <c r="T78" i="3" s="1"/>
  <c r="DM103" i="3" a="1"/>
  <c r="DM103" i="3" s="1"/>
  <c r="CW115" i="3" a="1"/>
  <c r="CW115" i="3" s="1"/>
  <c r="CG115" i="3" a="1"/>
  <c r="CG115" i="3" s="1"/>
  <c r="BA91" i="3" a="1"/>
  <c r="BA91" i="3" s="1"/>
  <c r="U78" i="3" a="1"/>
  <c r="U78" i="3" s="1"/>
  <c r="E78" i="3" a="1"/>
  <c r="E78" i="3" s="1"/>
  <c r="C78" i="3" a="1"/>
  <c r="C78" i="3" s="1"/>
  <c r="CD66" i="3" a="1"/>
  <c r="CD66" i="3" s="1"/>
  <c r="AX103" i="3" a="1"/>
  <c r="AX103" i="3" s="1"/>
  <c r="AH78" i="3" a="1"/>
  <c r="AH78" i="3" s="1"/>
  <c r="BI91" i="3" a="1"/>
  <c r="BI91" i="3" s="1"/>
  <c r="AU115" i="3" a="1"/>
  <c r="AU115" i="3" s="1"/>
  <c r="AA78" i="3" a="1"/>
  <c r="AA78" i="3" s="1"/>
  <c r="BF78" i="3" a="1"/>
  <c r="BF78" i="3" s="1"/>
  <c r="DQ66" i="3" a="1"/>
  <c r="DQ66" i="3" s="1"/>
  <c r="W78" i="3" a="1"/>
  <c r="W78" i="3" s="1"/>
  <c r="DN78" i="3" a="1"/>
  <c r="DN78" i="3" s="1"/>
  <c r="CX66" i="3" a="1"/>
  <c r="CX66" i="3" s="1"/>
  <c r="AZ115" i="3" a="1"/>
  <c r="AZ115" i="3" s="1"/>
  <c r="AZ66" i="3" a="1"/>
  <c r="AZ66" i="3" s="1"/>
  <c r="V52" i="3" a="1"/>
  <c r="V52" i="3" s="1"/>
  <c r="AK91" i="3" a="1"/>
  <c r="AK91" i="3" s="1"/>
  <c r="U115" i="3" a="1"/>
  <c r="U115" i="3" s="1"/>
  <c r="E91" i="3" a="1"/>
  <c r="E91" i="3" s="1"/>
  <c r="DK78" i="3" a="1"/>
  <c r="DK78" i="3" s="1"/>
  <c r="CU103" i="3" a="1"/>
  <c r="CU103" i="3" s="1"/>
  <c r="BO103" i="3" a="1"/>
  <c r="BO103" i="3" s="1"/>
  <c r="AY115" i="3" a="1"/>
  <c r="AY115" i="3" s="1"/>
  <c r="AI66" i="3" a="1"/>
  <c r="AI66" i="3" s="1"/>
  <c r="S78" i="3" a="1"/>
  <c r="S78" i="3" s="1"/>
  <c r="M52" i="3" a="1"/>
  <c r="M52" i="3" s="1"/>
  <c r="H115" i="3" a="1"/>
  <c r="H115" i="3" s="1"/>
  <c r="BS78" i="3" a="1"/>
  <c r="BS78" i="3" s="1"/>
  <c r="BC78" i="3" a="1"/>
  <c r="BC78" i="3" s="1"/>
  <c r="W91" i="3" a="1"/>
  <c r="W91" i="3" s="1"/>
  <c r="G91" i="3" a="1"/>
  <c r="G91" i="3" s="1"/>
  <c r="BR115" i="3" a="1"/>
  <c r="BR115" i="3" s="1"/>
  <c r="DL78" i="3" a="1"/>
  <c r="DL78" i="3" s="1"/>
  <c r="CF52" i="3" a="1"/>
  <c r="CF52" i="3" s="1"/>
  <c r="AL103" i="3" a="1"/>
  <c r="AL103" i="3" s="1"/>
  <c r="DM66" i="3" a="1"/>
  <c r="DM66" i="3" s="1"/>
  <c r="BA115" i="3" a="1"/>
  <c r="BA115" i="3" s="1"/>
  <c r="AK66" i="3" a="1"/>
  <c r="AK66" i="3" s="1"/>
  <c r="U91" i="3" a="1"/>
  <c r="U91" i="3" s="1"/>
  <c r="DK91" i="3" a="1"/>
  <c r="DK91" i="3" s="1"/>
  <c r="CU52" i="3" a="1"/>
  <c r="CU52" i="3" s="1"/>
  <c r="AI91" i="3" a="1"/>
  <c r="AI91" i="3" s="1"/>
  <c r="C115" i="3" a="1"/>
  <c r="C115" i="3" s="1"/>
  <c r="DJ115" i="3" a="1"/>
  <c r="DJ115" i="3" s="1"/>
  <c r="DA78" i="3" a="1"/>
  <c r="DA78" i="3" s="1"/>
  <c r="AN103" i="3" a="1"/>
  <c r="AN103" i="3" s="1"/>
  <c r="BS115" i="3" a="1"/>
  <c r="BS115" i="3" s="1"/>
  <c r="BS52" i="3" a="1"/>
  <c r="BS52" i="3" s="1"/>
  <c r="AM103" i="3" a="1"/>
  <c r="AM103" i="3" s="1"/>
  <c r="BP78" i="3" a="1"/>
  <c r="BP78" i="3" s="1"/>
  <c r="AJ91" i="3" a="1"/>
  <c r="AJ91" i="3" s="1"/>
  <c r="AJ103" i="3" a="1"/>
  <c r="AJ103" i="3" s="1"/>
  <c r="T91" i="3" a="1"/>
  <c r="T91" i="3" s="1"/>
  <c r="T52" i="3" a="1"/>
  <c r="T52" i="3" s="1"/>
  <c r="AL91" i="3" a="1"/>
  <c r="AL91" i="3" s="1"/>
  <c r="AL66" i="3" a="1"/>
  <c r="AL66" i="3" s="1"/>
  <c r="CG103" i="3" a="1"/>
  <c r="CG103" i="3" s="1"/>
  <c r="BQ103" i="3" a="1"/>
  <c r="BQ103" i="3" s="1"/>
  <c r="BQ91" i="3" a="1"/>
  <c r="BQ91" i="3" s="1"/>
  <c r="E115" i="3" a="1"/>
  <c r="E115" i="3" s="1"/>
  <c r="DJ52" i="3" a="1"/>
  <c r="DJ52" i="3" s="1"/>
  <c r="CD78" i="3" a="1"/>
  <c r="CD78" i="3" s="1"/>
  <c r="DL66" i="3" a="1"/>
  <c r="DL66" i="3" s="1"/>
  <c r="CK66" i="3" a="1"/>
  <c r="CK66" i="3" s="1"/>
  <c r="DQ91" i="3" a="1"/>
  <c r="DQ91" i="3" s="1"/>
  <c r="CL52" i="3" a="1"/>
  <c r="CL52" i="3" s="1"/>
  <c r="DB91" i="3" a="1"/>
  <c r="DB91" i="3" s="1"/>
  <c r="CA52" i="3" a="1"/>
  <c r="CA52" i="3" s="1"/>
  <c r="BN103" i="3" a="1"/>
  <c r="BN103" i="3" s="1"/>
  <c r="U28" i="3" a="1"/>
  <c r="U28" i="3" s="1"/>
  <c r="DL103" i="3" a="1"/>
  <c r="DL103" i="3" s="1"/>
  <c r="CZ66" i="3" a="1"/>
  <c r="CZ66" i="3" s="1"/>
  <c r="CD103" i="3" a="1"/>
  <c r="CD103" i="3" s="1"/>
  <c r="CU115" i="3" a="1"/>
  <c r="CU115" i="3" s="1"/>
  <c r="V103" i="3" a="1"/>
  <c r="V103" i="3" s="1"/>
  <c r="DK28" i="3" a="1"/>
  <c r="DK28" i="3" s="1"/>
  <c r="BR78" i="3" a="1"/>
  <c r="BR78" i="3" s="1"/>
  <c r="AO66" i="3" a="1"/>
  <c r="AO66" i="3" s="1"/>
  <c r="AE115" i="3" a="1"/>
  <c r="AE115" i="3" s="1"/>
  <c r="AK28" i="3" a="1"/>
  <c r="AK28" i="3" s="1"/>
  <c r="BN28" i="3" a="1"/>
  <c r="BN28" i="3" s="1"/>
  <c r="BO28" i="3" a="1"/>
  <c r="BO28" i="3" s="1"/>
  <c r="DN28" i="3" a="1"/>
  <c r="DN28" i="3" s="1"/>
  <c r="BP28" i="3" a="1"/>
  <c r="BP28" i="3" s="1"/>
  <c r="D28" i="3" a="1"/>
  <c r="D28" i="3" s="1"/>
  <c r="E28" i="3" a="1"/>
  <c r="E28" i="3" s="1"/>
  <c r="AH28" i="3" a="1"/>
  <c r="AH28" i="3" s="1"/>
  <c r="BD28" i="3" a="1"/>
  <c r="BD28" i="3" s="1"/>
  <c r="F28" i="3" a="1"/>
  <c r="F28" i="3" s="1"/>
  <c r="AI28" i="3" a="1"/>
  <c r="AI28" i="3" s="1"/>
  <c r="BE28" i="3" a="1"/>
  <c r="BE28" i="3" s="1"/>
  <c r="DC28" i="3" a="1"/>
  <c r="DC28" i="3" s="1"/>
  <c r="AV28" i="3" a="1"/>
  <c r="AV28" i="3" s="1"/>
  <c r="C28" i="3" a="1"/>
  <c r="C28" i="3" s="1"/>
  <c r="CA28" i="3" a="1"/>
  <c r="CA28" i="3" s="1"/>
  <c r="DQ28" i="3" a="1"/>
  <c r="DQ28" i="3" s="1"/>
  <c r="Y28" i="3" a="1"/>
  <c r="Y28" i="3" s="1"/>
  <c r="CT28" i="3" a="1"/>
  <c r="CT28" i="3" s="1"/>
  <c r="Z28" i="3" a="1"/>
  <c r="Z28" i="3" s="1"/>
  <c r="CU28" i="3" a="1"/>
  <c r="CU28" i="3" s="1"/>
  <c r="AU28" i="3" a="1"/>
  <c r="AU28" i="3" s="1"/>
  <c r="CV28" i="3" a="1"/>
  <c r="CV28" i="3" s="1"/>
  <c r="DO28" i="3" a="1"/>
  <c r="DO28" i="3" s="1"/>
  <c r="DP28" i="3" a="1"/>
  <c r="DP28" i="3" s="1"/>
  <c r="BC28" i="3" a="1"/>
  <c r="BC28" i="3" s="1"/>
  <c r="BM28" i="3" a="1"/>
  <c r="BM28" i="3" s="1"/>
  <c r="AS28" i="3" a="1"/>
  <c r="AS28" i="3" s="1"/>
  <c r="DE28" i="3" a="1"/>
  <c r="DE28" i="3" s="1"/>
  <c r="CD28" i="3" a="1"/>
  <c r="CD28" i="3" s="1"/>
  <c r="AX28" i="3" a="1"/>
  <c r="AX28" i="3" s="1"/>
  <c r="CC28" i="3" a="1"/>
  <c r="CC28" i="3" s="1"/>
  <c r="CB28" i="3" a="1"/>
  <c r="CB28" i="3" s="1"/>
  <c r="AF28" i="3" a="1"/>
  <c r="AF28" i="3" s="1"/>
  <c r="AW28" i="3" a="1"/>
  <c r="AW28" i="3" s="1"/>
  <c r="CR28" i="3" a="1"/>
  <c r="CR28" i="3" s="1"/>
  <c r="DD28" i="3" a="1"/>
  <c r="DD28" i="3" s="1"/>
  <c r="DH28" i="3" a="1"/>
  <c r="DH28" i="3" s="1"/>
  <c r="BL28" i="3" a="1"/>
  <c r="BL28" i="3" s="1"/>
  <c r="P28" i="3" a="1"/>
  <c r="P28" i="3" s="1"/>
  <c r="DF28" i="3" a="1"/>
  <c r="DF28" i="3" s="1"/>
  <c r="CO28" i="3" a="1"/>
  <c r="CO28" i="3" s="1"/>
  <c r="BY28" i="3" a="1"/>
  <c r="BY28" i="3" s="1"/>
  <c r="CP28" i="3" a="1"/>
  <c r="CP28" i="3" s="1"/>
  <c r="BI28" i="3" a="1"/>
  <c r="BI28" i="3" s="1"/>
  <c r="DG28" i="3" a="1"/>
  <c r="DG28" i="3" s="1"/>
  <c r="BK28" i="3" a="1"/>
  <c r="BK28" i="3" s="1"/>
  <c r="BV28" i="3" a="1"/>
  <c r="BV28" i="3" s="1"/>
  <c r="AT28" i="3" a="1"/>
  <c r="AT28" i="3" s="1"/>
  <c r="BH28" i="3" a="1"/>
  <c r="BH28" i="3" s="1"/>
  <c r="L28" i="3" a="1"/>
  <c r="L28" i="3" s="1"/>
  <c r="N28" i="3" a="1"/>
  <c r="N28" i="3" s="1"/>
  <c r="CS28" i="3" a="1"/>
  <c r="CS28" i="3" s="1"/>
  <c r="AG28" i="3" a="1"/>
  <c r="AG28" i="3" s="1"/>
  <c r="W28" i="3" a="1"/>
  <c r="W28" i="3" s="1"/>
  <c r="DI28" i="3" a="1"/>
  <c r="DI28" i="3" s="1"/>
  <c r="AA28" i="3" a="1"/>
  <c r="AA28" i="3" s="1"/>
  <c r="AE28" i="3" a="1"/>
  <c r="AE28" i="3" s="1"/>
  <c r="AC28" i="3" a="1"/>
  <c r="AC28" i="3" s="1"/>
  <c r="BW28" i="3" a="1"/>
  <c r="BW28" i="3" s="1"/>
  <c r="AB28" i="3" a="1"/>
  <c r="AB28" i="3" s="1"/>
  <c r="BX28" i="3" a="1"/>
  <c r="BX28" i="3" s="1"/>
  <c r="AP28" i="3" a="1"/>
  <c r="AP28" i="3" s="1"/>
  <c r="H28" i="3" a="1"/>
  <c r="H28" i="3" s="1"/>
  <c r="J28" i="3" a="1"/>
  <c r="J28" i="3" s="1"/>
  <c r="AR28" i="3" a="1"/>
  <c r="AR28" i="3" s="1"/>
  <c r="CY28" i="3" a="1"/>
  <c r="CY28" i="3" s="1"/>
  <c r="CM28" i="3" a="1"/>
  <c r="CM28" i="3" s="1"/>
  <c r="CQ28" i="3" a="1"/>
  <c r="CQ28" i="3" s="1"/>
  <c r="BT28" i="3" a="1"/>
  <c r="BT28" i="3" s="1"/>
  <c r="BZ28" i="3" a="1"/>
  <c r="BZ28" i="3" s="1"/>
  <c r="BJ28" i="3" a="1"/>
  <c r="BJ28" i="3" s="1"/>
  <c r="BU28" i="3" a="1"/>
  <c r="BU28" i="3" s="1"/>
  <c r="I28" i="3" a="1"/>
  <c r="I28" i="3" s="1"/>
  <c r="CJ28" i="3" a="1"/>
  <c r="CJ28" i="3" s="1"/>
  <c r="K28" i="3" a="1"/>
  <c r="K28" i="3" s="1"/>
  <c r="BS28" i="3" a="1"/>
  <c r="BS28" i="3" s="1"/>
  <c r="DB28" i="3" a="1"/>
  <c r="DB28" i="3" s="1"/>
  <c r="DA28" i="3" a="1"/>
  <c r="DA28" i="3" s="1"/>
  <c r="Q28" i="3" a="1"/>
  <c r="Q28" i="3" s="1"/>
  <c r="CI28" i="3" a="1"/>
  <c r="CI28" i="3" s="1"/>
  <c r="DL28" i="3" a="1"/>
  <c r="DL28" i="3" s="1"/>
  <c r="BG28" i="3" a="1"/>
  <c r="BG28" i="3" s="1"/>
  <c r="CL28" i="3" a="1"/>
  <c r="CL28" i="3" s="1"/>
  <c r="CK28" i="3" a="1"/>
  <c r="CK28" i="3" s="1"/>
  <c r="X28" i="3" a="1"/>
  <c r="X28" i="3" s="1"/>
  <c r="M28" i="3" a="1"/>
  <c r="M28" i="3" s="1"/>
  <c r="AQ28" i="3" a="1"/>
  <c r="AQ28" i="3" s="1"/>
  <c r="BA28" i="3" a="1"/>
  <c r="BA28" i="3" s="1"/>
  <c r="T28" i="3" a="1"/>
  <c r="T28" i="3" s="1"/>
  <c r="DM28" i="3" a="1"/>
  <c r="DM28" i="3" s="1"/>
  <c r="CW28" i="3" a="1"/>
  <c r="CW28" i="3" s="1"/>
  <c r="CG28" i="3" a="1"/>
  <c r="CG28" i="3" s="1"/>
  <c r="BQ28" i="3" a="1"/>
  <c r="BQ28" i="3" s="1"/>
  <c r="CN28" i="3" a="1"/>
  <c r="CN28" i="3" s="1"/>
  <c r="BB28" i="3" a="1"/>
  <c r="BB28" i="3" s="1"/>
  <c r="AL28" i="3" a="1"/>
  <c r="AL28" i="3" s="1"/>
  <c r="AM28" i="3" a="1"/>
  <c r="AM28" i="3" s="1"/>
  <c r="V28" i="3" a="1"/>
  <c r="V28" i="3" s="1"/>
  <c r="R28" i="3" a="1"/>
  <c r="R28" i="3" s="1"/>
  <c r="DR28" i="3" a="1"/>
  <c r="DR28" i="3" s="1"/>
  <c r="AN28" i="3" a="1"/>
  <c r="AN28" i="3" s="1"/>
  <c r="BF28" i="3" a="1"/>
  <c r="BF28" i="3" s="1"/>
  <c r="DJ28" i="3" a="1"/>
  <c r="DJ28" i="3" s="1"/>
  <c r="AD28" i="3" a="1"/>
  <c r="AD28" i="3" s="1"/>
  <c r="G28" i="3" a="1"/>
  <c r="G28" i="3" s="1"/>
  <c r="O28" i="3" a="1"/>
  <c r="O28" i="3" s="1"/>
  <c r="AJ28" i="3" a="1"/>
  <c r="AJ28" i="3" s="1"/>
  <c r="CE28" i="3" a="1"/>
  <c r="CE28" i="3" s="1"/>
  <c r="AO28" i="3" a="1"/>
  <c r="AO28" i="3" s="1"/>
  <c r="CX28" i="3" a="1"/>
  <c r="CX28" i="3" s="1"/>
  <c r="AY28" i="3" a="1"/>
  <c r="AY28" i="3" s="1"/>
  <c r="CZ28" i="3" a="1"/>
  <c r="CZ28" i="3" s="1"/>
  <c r="S28" i="3" a="1"/>
  <c r="S28" i="3" s="1"/>
  <c r="CF28" i="3" a="1"/>
  <c r="CF28" i="3" s="1"/>
  <c r="BR28" i="3" a="1"/>
  <c r="BR28" i="3" s="1"/>
  <c r="AI115" i="3" a="1"/>
  <c r="AI115" i="3" s="1"/>
  <c r="DO52" i="3" a="1"/>
  <c r="DO52" i="3" s="1"/>
  <c r="CN91" i="3" a="1"/>
  <c r="CN91" i="3" s="1"/>
  <c r="S52" i="3" a="1"/>
  <c r="S52" i="3" s="1"/>
  <c r="V115" i="3" a="1"/>
  <c r="V115" i="3" s="1"/>
  <c r="Y66" i="3" a="1"/>
  <c r="Y66" i="3" s="1"/>
  <c r="R78" i="3" a="1"/>
  <c r="R78" i="3" s="1"/>
  <c r="BN66" i="3" a="1"/>
  <c r="BN66" i="3" s="1"/>
  <c r="CT52" i="3" a="1"/>
  <c r="CT52" i="3" s="1"/>
  <c r="BP52" i="3" a="1"/>
  <c r="BP52" i="3" s="1"/>
  <c r="AS103" i="3" a="1"/>
  <c r="AS103" i="3" s="1"/>
  <c r="E31" i="5"/>
  <c r="E62" i="5"/>
  <c r="DK115" i="3" a="1"/>
  <c r="DK115" i="3" s="1"/>
  <c r="CM103" i="3" a="1"/>
  <c r="CM103" i="3" s="1"/>
  <c r="AX91" i="3" a="1"/>
  <c r="AX91" i="3" s="1"/>
  <c r="BO115" i="3" a="1"/>
  <c r="BO115" i="3" s="1"/>
  <c r="AJ78" i="3" a="1"/>
  <c r="AJ78" i="3" s="1"/>
  <c r="BS66" i="3" a="1"/>
  <c r="BS66" i="3" s="1"/>
  <c r="AY78" i="3" a="1"/>
  <c r="AY78" i="3" s="1"/>
  <c r="CE103" i="3" a="1"/>
  <c r="CE103" i="3" s="1"/>
  <c r="AK115" i="3" a="1"/>
  <c r="AK115" i="3" s="1"/>
  <c r="AZ28" i="3" a="1"/>
  <c r="AZ28" i="3" s="1"/>
  <c r="BR52" i="3" a="1"/>
  <c r="BR52" i="3" s="1"/>
  <c r="CW27" i="3" a="1"/>
  <c r="CW27" i="3" s="1"/>
  <c r="DP21" i="3" a="1"/>
  <c r="DP21" i="3" s="1"/>
  <c r="AZ27" i="3" a="1"/>
  <c r="AZ27" i="3" s="1"/>
  <c r="I27" i="3" a="1"/>
  <c r="I27" i="3" s="1"/>
  <c r="C27" i="3" a="1"/>
  <c r="C27" i="3" s="1"/>
  <c r="BF27" i="3" a="1"/>
  <c r="BF27" i="3" s="1"/>
  <c r="BG21" i="3" a="1"/>
  <c r="BG21" i="3" s="1"/>
  <c r="BC21" i="3" a="1"/>
  <c r="BC21" i="3" s="1"/>
  <c r="DO21" i="3" a="1"/>
  <c r="DO21" i="3" s="1"/>
  <c r="AO27" i="3" a="1"/>
  <c r="AO27" i="3" s="1"/>
  <c r="R27" i="3" a="1"/>
  <c r="R27" i="3" s="1"/>
  <c r="CF27" i="3" a="1"/>
  <c r="CF27" i="3" s="1"/>
  <c r="AM27" i="3" a="1"/>
  <c r="AM27" i="3" s="1"/>
  <c r="AN27" i="3" a="1"/>
  <c r="AN27" i="3" s="1"/>
  <c r="J118" i="3" a="1"/>
  <c r="J118" i="3" s="1"/>
  <c r="Y118" i="3" a="1"/>
  <c r="Y118" i="3" s="1"/>
  <c r="CG27" i="3" a="1"/>
  <c r="CG27" i="3" s="1"/>
  <c r="BB27" i="3" a="1"/>
  <c r="BB27" i="3" s="1"/>
  <c r="AM21" i="3" a="1"/>
  <c r="AM21" i="3" s="1"/>
  <c r="BU21" i="3" a="1"/>
  <c r="BU21" i="3" s="1"/>
  <c r="DM27" i="3" a="1"/>
  <c r="DM27" i="3" s="1"/>
  <c r="BO27" i="3" a="1"/>
  <c r="BO27" i="3" s="1"/>
  <c r="F27" i="3" a="1"/>
  <c r="F27" i="3" s="1"/>
  <c r="DJ27" i="3" a="1"/>
  <c r="DJ27" i="3" s="1"/>
  <c r="AH27" i="3" a="1"/>
  <c r="AH27" i="3" s="1"/>
  <c r="DK27" i="3" a="1"/>
  <c r="DK27" i="3" s="1"/>
  <c r="AI27" i="3" a="1"/>
  <c r="AI27" i="3" s="1"/>
  <c r="DL27" i="3" a="1"/>
  <c r="DL27" i="3" s="1"/>
  <c r="BQ27" i="3" a="1"/>
  <c r="BQ27" i="3" s="1"/>
  <c r="U27" i="3" a="1"/>
  <c r="U27" i="3" s="1"/>
  <c r="BC27" i="3" a="1"/>
  <c r="BC27" i="3" s="1"/>
  <c r="W27" i="3" a="1"/>
  <c r="W27" i="3" s="1"/>
  <c r="BD27" i="3" a="1"/>
  <c r="BD27" i="3" s="1"/>
  <c r="CD27" i="3" a="1"/>
  <c r="CD27" i="3" s="1"/>
  <c r="DB27" i="3" a="1"/>
  <c r="DB27" i="3" s="1"/>
  <c r="S27" i="3" a="1"/>
  <c r="S27" i="3" s="1"/>
  <c r="T27" i="3" a="1"/>
  <c r="T27" i="3" s="1"/>
  <c r="BE27" i="3" a="1"/>
  <c r="BE27" i="3" s="1"/>
  <c r="BR27" i="3" a="1"/>
  <c r="BR27" i="3" s="1"/>
  <c r="BS27" i="3" a="1"/>
  <c r="BS27" i="3" s="1"/>
  <c r="CE27" i="3" a="1"/>
  <c r="CE27" i="3" s="1"/>
  <c r="CQ27" i="3" a="1"/>
  <c r="CQ27" i="3" s="1"/>
  <c r="CY27" i="3" a="1"/>
  <c r="CY27" i="3" s="1"/>
  <c r="CZ27" i="3" a="1"/>
  <c r="CZ27" i="3" s="1"/>
  <c r="V27" i="3" a="1"/>
  <c r="V27" i="3" s="1"/>
  <c r="AE27" i="3" a="1"/>
  <c r="AE27" i="3" s="1"/>
  <c r="CC27" i="3" a="1"/>
  <c r="CC27" i="3" s="1"/>
  <c r="BM27" i="3" a="1"/>
  <c r="BM27" i="3" s="1"/>
  <c r="CS27" i="3" a="1"/>
  <c r="CS27" i="3" s="1"/>
  <c r="DH27" i="3" a="1"/>
  <c r="DH27" i="3" s="1"/>
  <c r="DI27" i="3" a="1"/>
  <c r="DI27" i="3" s="1"/>
  <c r="Q27" i="3" a="1"/>
  <c r="Q27" i="3" s="1"/>
  <c r="BL27" i="3" a="1"/>
  <c r="BL27" i="3" s="1"/>
  <c r="AY27" i="3" a="1"/>
  <c r="AY27" i="3" s="1"/>
  <c r="P27" i="3" a="1"/>
  <c r="P27" i="3" s="1"/>
  <c r="CP27" i="3" a="1"/>
  <c r="CP27" i="3" s="1"/>
  <c r="BZ27" i="3" a="1"/>
  <c r="BZ27" i="3" s="1"/>
  <c r="BY27" i="3" a="1"/>
  <c r="BY27" i="3" s="1"/>
  <c r="AT27" i="3" a="1"/>
  <c r="AT27" i="3" s="1"/>
  <c r="DR27" i="3" a="1"/>
  <c r="DR27" i="3" s="1"/>
  <c r="CB27" i="3" a="1"/>
  <c r="CB27" i="3" s="1"/>
  <c r="BP27" i="3" a="1"/>
  <c r="BP27" i="3" s="1"/>
  <c r="AC27" i="3" a="1"/>
  <c r="AC27" i="3" s="1"/>
  <c r="AD27" i="3" a="1"/>
  <c r="AD27" i="3" s="1"/>
  <c r="AG27" i="3" a="1"/>
  <c r="AG27" i="3" s="1"/>
  <c r="O27" i="3" a="1"/>
  <c r="O27" i="3" s="1"/>
  <c r="CA27" i="3" a="1"/>
  <c r="CA27" i="3" s="1"/>
  <c r="AA27" i="3" a="1"/>
  <c r="AA27" i="3" s="1"/>
  <c r="CL27" i="3" a="1"/>
  <c r="CL27" i="3" s="1"/>
  <c r="AP27" i="3" a="1"/>
  <c r="AP27" i="3" s="1"/>
  <c r="AV27" i="3" a="1"/>
  <c r="AV27" i="3" s="1"/>
  <c r="AF27" i="3" a="1"/>
  <c r="AF27" i="3" s="1"/>
  <c r="N27" i="3" a="1"/>
  <c r="N27" i="3" s="1"/>
  <c r="AS27" i="3" a="1"/>
  <c r="AS27" i="3" s="1"/>
  <c r="AR27" i="3" a="1"/>
  <c r="AR27" i="3" s="1"/>
  <c r="DC27" i="3" a="1"/>
  <c r="DC27" i="3" s="1"/>
  <c r="CO27" i="3" a="1"/>
  <c r="CO27" i="3" s="1"/>
  <c r="AU27" i="3" a="1"/>
  <c r="AU27" i="3" s="1"/>
  <c r="BW27" i="3" a="1"/>
  <c r="BW27" i="3" s="1"/>
  <c r="AQ27" i="3" a="1"/>
  <c r="AQ27" i="3" s="1"/>
  <c r="AW27" i="3" a="1"/>
  <c r="AW27" i="3" s="1"/>
  <c r="CR27" i="3" a="1"/>
  <c r="CR27" i="3" s="1"/>
  <c r="CN27" i="3" a="1"/>
  <c r="CN27" i="3" s="1"/>
  <c r="M27" i="3" a="1"/>
  <c r="M27" i="3" s="1"/>
  <c r="BV27" i="3" a="1"/>
  <c r="BV27" i="3" s="1"/>
  <c r="BU27" i="3" a="1"/>
  <c r="BU27" i="3" s="1"/>
  <c r="BX27" i="3" a="1"/>
  <c r="BX27" i="3" s="1"/>
  <c r="AB27" i="3" a="1"/>
  <c r="AB27" i="3" s="1"/>
  <c r="DG27" i="3" a="1"/>
  <c r="DG27" i="3" s="1"/>
  <c r="Y27" i="3" a="1"/>
  <c r="Y27" i="3" s="1"/>
  <c r="DP27" i="3" a="1"/>
  <c r="DP27" i="3" s="1"/>
  <c r="CI27" i="3" a="1"/>
  <c r="CI27" i="3" s="1"/>
  <c r="BH27" i="3" a="1"/>
  <c r="BH27" i="3" s="1"/>
  <c r="CK27" i="3" a="1"/>
  <c r="CK27" i="3" s="1"/>
  <c r="BK27" i="3" a="1"/>
  <c r="BK27" i="3" s="1"/>
  <c r="BI27" i="3" a="1"/>
  <c r="BI27" i="3" s="1"/>
  <c r="DD27" i="3" a="1"/>
  <c r="DD27" i="3" s="1"/>
  <c r="J27" i="3" a="1"/>
  <c r="J27" i="3" s="1"/>
  <c r="H27" i="3" a="1"/>
  <c r="H27" i="3" s="1"/>
  <c r="CX27" i="3" a="1"/>
  <c r="CX27" i="3" s="1"/>
  <c r="BT27" i="3" a="1"/>
  <c r="BT27" i="3" s="1"/>
  <c r="DE27" i="3" a="1"/>
  <c r="DE27" i="3" s="1"/>
  <c r="L27" i="3" a="1"/>
  <c r="L27" i="3" s="1"/>
  <c r="DA27" i="3" a="1"/>
  <c r="DA27" i="3" s="1"/>
  <c r="DO27" i="3" a="1"/>
  <c r="DO27" i="3" s="1"/>
  <c r="G27" i="3" a="1"/>
  <c r="G27" i="3" s="1"/>
  <c r="K27" i="3" a="1"/>
  <c r="K27" i="3" s="1"/>
  <c r="E21" i="3" a="1"/>
  <c r="E21" i="3" s="1"/>
  <c r="S21" i="3" a="1"/>
  <c r="S21" i="3" s="1"/>
  <c r="BQ21" i="3" a="1"/>
  <c r="BQ21" i="3" s="1"/>
  <c r="CE21" i="3" a="1"/>
  <c r="CE21" i="3" s="1"/>
  <c r="T21" i="3" a="1"/>
  <c r="T21" i="3" s="1"/>
  <c r="AH21" i="3" a="1"/>
  <c r="AH21" i="3" s="1"/>
  <c r="CF21" i="3" a="1"/>
  <c r="CF21" i="3" s="1"/>
  <c r="CT21" i="3" a="1"/>
  <c r="CT21" i="3" s="1"/>
  <c r="U21" i="3" a="1"/>
  <c r="U21" i="3" s="1"/>
  <c r="AI21" i="3" a="1"/>
  <c r="AI21" i="3" s="1"/>
  <c r="CG21" i="3" a="1"/>
  <c r="CG21" i="3" s="1"/>
  <c r="CU21" i="3" a="1"/>
  <c r="CU21" i="3" s="1"/>
  <c r="AJ21" i="3" a="1"/>
  <c r="AJ21" i="3" s="1"/>
  <c r="AX21" i="3" a="1"/>
  <c r="AX21" i="3" s="1"/>
  <c r="CV21" i="3" a="1"/>
  <c r="CV21" i="3" s="1"/>
  <c r="DJ21" i="3" a="1"/>
  <c r="DJ21" i="3" s="1"/>
  <c r="AZ21" i="3" a="1"/>
  <c r="AZ21" i="3" s="1"/>
  <c r="BN21" i="3" a="1"/>
  <c r="BN21" i="3" s="1"/>
  <c r="DL21" i="3" a="1"/>
  <c r="DL21" i="3" s="1"/>
  <c r="C21" i="3" a="1"/>
  <c r="C21" i="3" s="1"/>
  <c r="DB21" i="3" a="1"/>
  <c r="DB21" i="3" s="1"/>
  <c r="CL21" i="3" a="1"/>
  <c r="CL21" i="3" s="1"/>
  <c r="DM21" i="3" a="1"/>
  <c r="DM21" i="3" s="1"/>
  <c r="AK21" i="3" a="1"/>
  <c r="AK21" i="3" s="1"/>
  <c r="BA21" i="3" a="1"/>
  <c r="BA21" i="3" s="1"/>
  <c r="BO21" i="3" a="1"/>
  <c r="BO21" i="3" s="1"/>
  <c r="CO21" i="3" a="1"/>
  <c r="CO21" i="3" s="1"/>
  <c r="CD21" i="3" a="1"/>
  <c r="CD21" i="3" s="1"/>
  <c r="D21" i="3" a="1"/>
  <c r="D21" i="3" s="1"/>
  <c r="AP21" i="3" a="1"/>
  <c r="AP21" i="3" s="1"/>
  <c r="BP21" i="3" a="1"/>
  <c r="BP21" i="3" s="1"/>
  <c r="CW21" i="3" a="1"/>
  <c r="CW21" i="3" s="1"/>
  <c r="DK21" i="3" a="1"/>
  <c r="DK21" i="3" s="1"/>
  <c r="AQ21" i="3" a="1"/>
  <c r="AQ21" i="3" s="1"/>
  <c r="BX21" i="3" a="1"/>
  <c r="BX21" i="3" s="1"/>
  <c r="AY21" i="3" a="1"/>
  <c r="AY21" i="3" s="1"/>
  <c r="Z21" i="3" a="1"/>
  <c r="Z21" i="3" s="1"/>
  <c r="R21" i="3" a="1"/>
  <c r="R21" i="3" s="1"/>
  <c r="DC21" i="3" a="1"/>
  <c r="DC21" i="3" s="1"/>
  <c r="L21" i="3" a="1"/>
  <c r="L21" i="3" s="1"/>
  <c r="DH21" i="3" a="1"/>
  <c r="DH21" i="3" s="1"/>
  <c r="N21" i="3" a="1"/>
  <c r="N21" i="3" s="1"/>
  <c r="M21" i="3" a="1"/>
  <c r="M21" i="3" s="1"/>
  <c r="AW21" i="3" a="1"/>
  <c r="AW21" i="3" s="1"/>
  <c r="AT21" i="3" a="1"/>
  <c r="AT21" i="3" s="1"/>
  <c r="AG21" i="3" a="1"/>
  <c r="AG21" i="3" s="1"/>
  <c r="AF21" i="3" a="1"/>
  <c r="AF21" i="3" s="1"/>
  <c r="DI21" i="3" a="1"/>
  <c r="DI21" i="3" s="1"/>
  <c r="Q21" i="3" a="1"/>
  <c r="Q21" i="3" s="1"/>
  <c r="P21" i="3" a="1"/>
  <c r="P21" i="3" s="1"/>
  <c r="AD21" i="3" a="1"/>
  <c r="AD21" i="3" s="1"/>
  <c r="BL21" i="3" a="1"/>
  <c r="BL21" i="3" s="1"/>
  <c r="CR21" i="3" a="1"/>
  <c r="CR21" i="3" s="1"/>
  <c r="CP21" i="3" a="1"/>
  <c r="CP21" i="3" s="1"/>
  <c r="CC21" i="3" a="1"/>
  <c r="CC21" i="3" s="1"/>
  <c r="CB21" i="3" a="1"/>
  <c r="CB21" i="3" s="1"/>
  <c r="BY21" i="3" a="1"/>
  <c r="BY21" i="3" s="1"/>
  <c r="AA21" i="3" a="1"/>
  <c r="AA21" i="3" s="1"/>
  <c r="DE21" i="3" a="1"/>
  <c r="DE21" i="3" s="1"/>
  <c r="BH21" i="3" a="1"/>
  <c r="BH21" i="3" s="1"/>
  <c r="AR21" i="3" a="1"/>
  <c r="AR21" i="3" s="1"/>
  <c r="CQ21" i="3" a="1"/>
  <c r="CQ21" i="3" s="1"/>
  <c r="BM21" i="3" a="1"/>
  <c r="BM21" i="3" s="1"/>
  <c r="DF21" i="3" a="1"/>
  <c r="DF21" i="3" s="1"/>
  <c r="AB21" i="3" a="1"/>
  <c r="AB21" i="3" s="1"/>
  <c r="O21" i="3" a="1"/>
  <c r="O21" i="3" s="1"/>
  <c r="BZ21" i="3" a="1"/>
  <c r="BZ21" i="3" s="1"/>
  <c r="BK21" i="3" a="1"/>
  <c r="BK21" i="3" s="1"/>
  <c r="AV21" i="3" a="1"/>
  <c r="AV21" i="3" s="1"/>
  <c r="DG21" i="3" a="1"/>
  <c r="DG21" i="3" s="1"/>
  <c r="K21" i="3" a="1"/>
  <c r="K21" i="3" s="1"/>
  <c r="AC21" i="3" a="1"/>
  <c r="AC21" i="3" s="1"/>
  <c r="CZ21" i="3" a="1"/>
  <c r="CZ21" i="3" s="1"/>
  <c r="CS21" i="3" a="1"/>
  <c r="CS21" i="3" s="1"/>
  <c r="CI21" i="3" a="1"/>
  <c r="CI21" i="3" s="1"/>
  <c r="BD21" i="3" a="1"/>
  <c r="BD21" i="3" s="1"/>
  <c r="BJ21" i="3" a="1"/>
  <c r="BJ21" i="3" s="1"/>
  <c r="AS21" i="3" a="1"/>
  <c r="AS21" i="3" s="1"/>
  <c r="CK21" i="3" a="1"/>
  <c r="CK21" i="3" s="1"/>
  <c r="CN21" i="3" a="1"/>
  <c r="CN21" i="3" s="1"/>
  <c r="DA21" i="3" a="1"/>
  <c r="DA21" i="3" s="1"/>
  <c r="CJ21" i="3" a="1"/>
  <c r="CJ21" i="3" s="1"/>
  <c r="AO21" i="3" a="1"/>
  <c r="AO21" i="3" s="1"/>
  <c r="CH21" i="3" a="1"/>
  <c r="CH21" i="3" s="1"/>
  <c r="DD21" i="3" a="1"/>
  <c r="DD21" i="3" s="1"/>
  <c r="AN21" i="3" a="1"/>
  <c r="AN21" i="3" s="1"/>
  <c r="G21" i="3" a="1"/>
  <c r="G21" i="3" s="1"/>
  <c r="BI21" i="3" a="1"/>
  <c r="BI21" i="3" s="1"/>
  <c r="AU21" i="3" a="1"/>
  <c r="AU21" i="3" s="1"/>
  <c r="BE21" i="3" a="1"/>
  <c r="BE21" i="3" s="1"/>
  <c r="I21" i="3" a="1"/>
  <c r="I21" i="3" s="1"/>
  <c r="X21" i="3" a="1"/>
  <c r="X21" i="3" s="1"/>
  <c r="W21" i="3" a="1"/>
  <c r="W21" i="3" s="1"/>
  <c r="CX21" i="3" a="1"/>
  <c r="CX21" i="3" s="1"/>
  <c r="DR21" i="3" a="1"/>
  <c r="DR21" i="3" s="1"/>
  <c r="BS21" i="3" a="1"/>
  <c r="BS21" i="3" s="1"/>
  <c r="H21" i="3" a="1"/>
  <c r="H21" i="3" s="1"/>
  <c r="X27" i="3" a="1"/>
  <c r="X27" i="3" s="1"/>
  <c r="V55" i="3" a="1"/>
  <c r="V55" i="3" s="1"/>
  <c r="CJ27" i="3" a="1"/>
  <c r="CJ27" i="3" s="1"/>
  <c r="Y21" i="3" a="1"/>
  <c r="Y21" i="3" s="1"/>
  <c r="DQ21" i="3" a="1"/>
  <c r="DQ21" i="3" s="1"/>
  <c r="F31" i="5"/>
  <c r="F62" i="5"/>
  <c r="F21" i="3" a="1"/>
  <c r="F21" i="3" s="1"/>
  <c r="DQ27" i="3" a="1"/>
  <c r="DQ27" i="3" s="1"/>
  <c r="CA21" i="3" a="1"/>
  <c r="CA21" i="3" s="1"/>
  <c r="H62" i="5"/>
  <c r="H31" i="5"/>
  <c r="V21" i="3" a="1"/>
  <c r="V21" i="3" s="1"/>
  <c r="J21" i="3" a="1"/>
  <c r="J21" i="3" s="1"/>
  <c r="Z27" i="3" a="1"/>
  <c r="Z27" i="3" s="1"/>
  <c r="BJ27" i="3" a="1"/>
  <c r="BJ27" i="3" s="1"/>
  <c r="AL21" i="3" a="1"/>
  <c r="AL21" i="3" s="1"/>
  <c r="C14" i="3" a="1"/>
  <c r="C14" i="3" s="1"/>
  <c r="C28" i="10" s="1"/>
  <c r="DN21" i="3" a="1"/>
  <c r="DN21" i="3" s="1"/>
  <c r="BV21" i="3" a="1"/>
  <c r="BV21" i="3" s="1"/>
  <c r="C62" i="5"/>
  <c r="C31" i="5"/>
  <c r="BN27" i="3" a="1"/>
  <c r="BN27" i="3" s="1"/>
  <c r="AJ27" i="3" a="1"/>
  <c r="AJ27" i="3" s="1"/>
  <c r="BG27" i="3" a="1"/>
  <c r="BG27" i="3" s="1"/>
  <c r="DN27" i="3" a="1"/>
  <c r="DN27" i="3" s="1"/>
  <c r="G13" i="25"/>
  <c r="G9" i="24"/>
  <c r="I14" i="25"/>
  <c r="I6" i="24"/>
  <c r="C10" i="6"/>
  <c r="C12" i="6"/>
  <c r="P20" i="2" l="1"/>
  <c r="C115" i="14"/>
  <c r="O29" i="26"/>
  <c r="L51" i="26"/>
  <c r="L50" i="26"/>
  <c r="E52" i="26"/>
  <c r="H51" i="26"/>
  <c r="F53" i="26"/>
  <c r="F60" i="26" s="1"/>
  <c r="E53" i="26"/>
  <c r="J50" i="26"/>
  <c r="M50" i="26"/>
  <c r="E51" i="26"/>
  <c r="C175" i="13" a="1"/>
  <c r="C175" i="13" s="1"/>
  <c r="C174" i="13"/>
  <c r="AJ13" i="2"/>
  <c r="AH13" i="2"/>
  <c r="G113" i="19" s="1" a="1"/>
  <c r="G113" i="19" s="1"/>
  <c r="AA13" i="2"/>
  <c r="AB13" i="2" s="1"/>
  <c r="AD13" i="2" s="1"/>
  <c r="AJ11" i="2"/>
  <c r="AH11" i="2"/>
  <c r="G111" i="19" s="1" a="1"/>
  <c r="G111" i="19" s="1"/>
  <c r="D24" i="4"/>
  <c r="L24" i="4"/>
  <c r="H24" i="4"/>
  <c r="G24" i="4"/>
  <c r="G190" i="13"/>
  <c r="C24" i="4"/>
  <c r="K90" i="13"/>
  <c r="L90" i="13"/>
  <c r="G192" i="13"/>
  <c r="O30" i="26"/>
  <c r="O27" i="26"/>
  <c r="M54" i="26"/>
  <c r="O54" i="26" s="1"/>
  <c r="Y10" i="2" s="1"/>
  <c r="X10" i="2" s="1" a="1"/>
  <c r="X10" i="2" s="1"/>
  <c r="M51" i="26"/>
  <c r="H90" i="13"/>
  <c r="G90" i="13"/>
  <c r="F90" i="13"/>
  <c r="E90" i="13"/>
  <c r="J90" i="13"/>
  <c r="I90" i="13"/>
  <c r="D90" i="13"/>
  <c r="C90" i="13"/>
  <c r="CY119" i="3" a="1"/>
  <c r="CY119" i="3" s="1"/>
  <c r="D79" i="19"/>
  <c r="G79" i="19" s="1"/>
  <c r="I79" i="19" s="1"/>
  <c r="K64" i="19"/>
  <c r="Q10" i="2" s="1"/>
  <c r="F24" i="4"/>
  <c r="C87" i="16" a="1"/>
  <c r="C87" i="16" s="1"/>
  <c r="G51" i="26"/>
  <c r="E137" i="19" a="1"/>
  <c r="E137" i="19" s="1"/>
  <c r="O26" i="26"/>
  <c r="I50" i="26"/>
  <c r="O40" i="26"/>
  <c r="AA66" i="3" a="1"/>
  <c r="AA66" i="3" s="1"/>
  <c r="E101" i="13" s="1" a="1"/>
  <c r="E101" i="13" s="1"/>
  <c r="AA11" i="2"/>
  <c r="AB11" i="2" s="1"/>
  <c r="AC11" i="2" s="1"/>
  <c r="O39" i="26"/>
  <c r="E141" i="19"/>
  <c r="C82" i="14" a="1"/>
  <c r="C82" i="14" s="1"/>
  <c r="C44" i="19" a="1"/>
  <c r="C44" i="19" s="1"/>
  <c r="O38" i="26"/>
  <c r="O28" i="26"/>
  <c r="G52" i="26"/>
  <c r="O52" i="26" s="1"/>
  <c r="Y8" i="2" s="1"/>
  <c r="C224" i="13"/>
  <c r="AW70" i="3" a="1"/>
  <c r="AW70" i="3" s="1"/>
  <c r="CU82" i="3" a="1"/>
  <c r="CU82" i="3" s="1"/>
  <c r="N107" i="3" a="1"/>
  <c r="N107" i="3" s="1"/>
  <c r="BJ82" i="3" a="1"/>
  <c r="BJ82" i="3" s="1"/>
  <c r="V7" i="2"/>
  <c r="W7" i="2" s="1" a="1"/>
  <c r="W7" i="2" s="1"/>
  <c r="F107" i="19" s="1" a="1"/>
  <c r="F107" i="19" s="1"/>
  <c r="Q30" i="22"/>
  <c r="C82" i="1"/>
  <c r="C102" i="14" s="1"/>
  <c r="C14" i="16"/>
  <c r="D4" i="19"/>
  <c r="C54" i="1"/>
  <c r="C30" i="19" a="1"/>
  <c r="C30" i="19" s="1"/>
  <c r="E25" i="4"/>
  <c r="E28" i="4"/>
  <c r="F115" i="19" a="1"/>
  <c r="F115" i="19" s="1"/>
  <c r="I176" i="13"/>
  <c r="H191" i="13" a="1"/>
  <c r="H191" i="13" s="1"/>
  <c r="D80" i="19"/>
  <c r="G80" i="19" s="1"/>
  <c r="I80" i="19" s="1"/>
  <c r="K65" i="19"/>
  <c r="CI43" i="3" a="1"/>
  <c r="CI43" i="3" s="1"/>
  <c r="K26" i="4"/>
  <c r="E26" i="4"/>
  <c r="L26" i="4"/>
  <c r="C26" i="4"/>
  <c r="D26" i="4"/>
  <c r="F26" i="4"/>
  <c r="G26" i="4"/>
  <c r="H26" i="4"/>
  <c r="I26" i="4"/>
  <c r="J26" i="4"/>
  <c r="CL56" i="3" a="1"/>
  <c r="CL56" i="3" s="1"/>
  <c r="AR82" i="3" a="1"/>
  <c r="AR82" i="3" s="1"/>
  <c r="CZ95" i="3" a="1"/>
  <c r="CZ95" i="3" s="1"/>
  <c r="CR95" i="3" a="1"/>
  <c r="CR95" i="3" s="1"/>
  <c r="C191" i="13" a="1"/>
  <c r="C191" i="13" s="1"/>
  <c r="CO70" i="3" a="1"/>
  <c r="CO70" i="3" s="1"/>
  <c r="C27" i="4"/>
  <c r="J27" i="4"/>
  <c r="D27" i="4"/>
  <c r="F27" i="4"/>
  <c r="G27" i="4"/>
  <c r="H27" i="4"/>
  <c r="L27" i="4"/>
  <c r="K27" i="4"/>
  <c r="I27" i="4"/>
  <c r="E27" i="4"/>
  <c r="L176" i="13"/>
  <c r="K223" i="13" a="1"/>
  <c r="K223" i="13" s="1"/>
  <c r="G175" i="13" a="1"/>
  <c r="G175" i="13" s="1"/>
  <c r="CJ107" i="3" a="1"/>
  <c r="CJ107" i="3" s="1"/>
  <c r="BR56" i="3" a="1"/>
  <c r="BR56" i="3" s="1"/>
  <c r="AA95" i="3" a="1"/>
  <c r="AA95" i="3" s="1"/>
  <c r="CB56" i="3" a="1"/>
  <c r="CB56" i="3" s="1"/>
  <c r="DI70" i="3" a="1"/>
  <c r="DI70" i="3" s="1"/>
  <c r="C208" i="13"/>
  <c r="DM82" i="3" a="1"/>
  <c r="DM82" i="3" s="1"/>
  <c r="CY95" i="3" a="1"/>
  <c r="CY95" i="3" s="1"/>
  <c r="DP119" i="3" a="1"/>
  <c r="DP119" i="3" s="1"/>
  <c r="I175" i="13" a="1"/>
  <c r="I175" i="13" s="1"/>
  <c r="C222" i="13"/>
  <c r="BA43" i="3" a="1"/>
  <c r="BA43" i="3" s="1"/>
  <c r="C190" i="13"/>
  <c r="J23" i="30"/>
  <c r="U119" i="3" a="1"/>
  <c r="U119" i="3" s="1"/>
  <c r="AQ119" i="3" a="1"/>
  <c r="AQ119" i="3" s="1"/>
  <c r="F22" i="10"/>
  <c r="K222" i="13"/>
  <c r="H192" i="13"/>
  <c r="E24" i="4"/>
  <c r="DE70" i="3" a="1"/>
  <c r="DE70" i="3" s="1"/>
  <c r="DC95" i="3" a="1"/>
  <c r="DC95" i="3" s="1"/>
  <c r="AC70" i="3" a="1"/>
  <c r="AC70" i="3" s="1"/>
  <c r="CI56" i="3" a="1"/>
  <c r="CI56" i="3" s="1"/>
  <c r="AW107" i="3" a="1"/>
  <c r="AW107" i="3" s="1"/>
  <c r="DG43" i="3" a="1"/>
  <c r="DG43" i="3" s="1"/>
  <c r="DA119" i="3" a="1"/>
  <c r="DA119" i="3" s="1"/>
  <c r="L22" i="10"/>
  <c r="T56" i="3" a="1"/>
  <c r="T56" i="3" s="1"/>
  <c r="CQ107" i="3" a="1"/>
  <c r="CQ107" i="3" s="1"/>
  <c r="AK107" i="3" a="1"/>
  <c r="AK107" i="3" s="1"/>
  <c r="AR70" i="3" a="1"/>
  <c r="AR70" i="3" s="1"/>
  <c r="AE70" i="3" a="1"/>
  <c r="AE70" i="3" s="1"/>
  <c r="C206" i="13"/>
  <c r="J206" i="13"/>
  <c r="V8" i="2"/>
  <c r="W8" i="2" s="1" a="1"/>
  <c r="W8" i="2" s="1"/>
  <c r="AA8" i="2" s="1"/>
  <c r="AB8" i="2" s="1"/>
  <c r="AC8" i="2" s="1"/>
  <c r="H24" i="30"/>
  <c r="I207" i="13" a="1"/>
  <c r="I207" i="13" s="1"/>
  <c r="J25" i="30"/>
  <c r="J26" i="30"/>
  <c r="H22" i="30"/>
  <c r="J22" i="30" s="1"/>
  <c r="F56" i="3" a="1"/>
  <c r="F56" i="3" s="1"/>
  <c r="G119" i="3" a="1"/>
  <c r="G119" i="3" s="1"/>
  <c r="L82" i="3" a="1"/>
  <c r="L82" i="3" s="1"/>
  <c r="CK107" i="3" a="1"/>
  <c r="CK107" i="3" s="1"/>
  <c r="CO56" i="3" a="1"/>
  <c r="CO56" i="3" s="1"/>
  <c r="BI70" i="3" a="1"/>
  <c r="BI70" i="3" s="1"/>
  <c r="Q56" i="3" a="1"/>
  <c r="Q56" i="3" s="1"/>
  <c r="E39" i="10"/>
  <c r="CF56" i="3" a="1"/>
  <c r="CF56" i="3" s="1"/>
  <c r="K42" i="10"/>
  <c r="L40" i="10"/>
  <c r="CQ43" i="3" a="1"/>
  <c r="CQ43" i="3" s="1"/>
  <c r="C22" i="10"/>
  <c r="G22" i="10"/>
  <c r="CW56" i="3" a="1"/>
  <c r="CW56" i="3" s="1"/>
  <c r="DO70" i="3" a="1"/>
  <c r="DO70" i="3" s="1"/>
  <c r="AS119" i="3" a="1"/>
  <c r="AS119" i="3" s="1"/>
  <c r="DQ107" i="3" a="1"/>
  <c r="DQ107" i="3" s="1"/>
  <c r="AT70" i="3" a="1"/>
  <c r="AT70" i="3" s="1"/>
  <c r="N95" i="3" a="1"/>
  <c r="N95" i="3" s="1"/>
  <c r="DI95" i="3" a="1"/>
  <c r="DI95" i="3" s="1"/>
  <c r="AY107" i="3" a="1"/>
  <c r="AY107" i="3" s="1"/>
  <c r="U82" i="3" a="1"/>
  <c r="U82" i="3" s="1"/>
  <c r="AZ95" i="3" a="1"/>
  <c r="AZ95" i="3" s="1"/>
  <c r="E22" i="10"/>
  <c r="J13" i="10"/>
  <c r="CG119" i="3" a="1"/>
  <c r="CG119" i="3" s="1"/>
  <c r="CX119" i="3" a="1"/>
  <c r="CX119" i="3" s="1"/>
  <c r="DP56" i="3" a="1"/>
  <c r="DP56" i="3" s="1"/>
  <c r="AI56" i="3" a="1"/>
  <c r="AI56" i="3" s="1"/>
  <c r="CP56" i="3" a="1"/>
  <c r="CP56" i="3" s="1"/>
  <c r="Z43" i="3" a="1"/>
  <c r="Z43" i="3" s="1"/>
  <c r="CH95" i="3" a="1"/>
  <c r="CH95" i="3" s="1"/>
  <c r="DL82" i="3" a="1"/>
  <c r="DL82" i="3" s="1"/>
  <c r="V82" i="3" a="1"/>
  <c r="V82" i="3" s="1"/>
  <c r="CV119" i="3" a="1"/>
  <c r="CV119" i="3" s="1"/>
  <c r="DN70" i="3" a="1"/>
  <c r="DN70" i="3" s="1"/>
  <c r="I119" i="3" a="1"/>
  <c r="I119" i="3" s="1"/>
  <c r="I70" i="3" a="1"/>
  <c r="I70" i="3" s="1"/>
  <c r="DD82" i="3" a="1"/>
  <c r="DD82" i="3" s="1"/>
  <c r="AC82" i="3" a="1"/>
  <c r="AC82" i="3" s="1"/>
  <c r="P82" i="3" a="1"/>
  <c r="P82" i="3" s="1"/>
  <c r="AI107" i="3" a="1"/>
  <c r="AI107" i="3" s="1"/>
  <c r="N43" i="3" a="1"/>
  <c r="N43" i="3" s="1"/>
  <c r="E38" i="10"/>
  <c r="T107" i="3" a="1"/>
  <c r="T107" i="3" s="1"/>
  <c r="C107" i="3" a="1"/>
  <c r="C107" i="3" s="1"/>
  <c r="AY82" i="3" a="1"/>
  <c r="AY82" i="3" s="1"/>
  <c r="DP82" i="3" a="1"/>
  <c r="DP82" i="3" s="1"/>
  <c r="AU95" i="3" a="1"/>
  <c r="AU95" i="3" s="1"/>
  <c r="AT107" i="3" a="1"/>
  <c r="AT107" i="3" s="1"/>
  <c r="BF70" i="3" a="1"/>
  <c r="BF70" i="3" s="1"/>
  <c r="C13" i="10"/>
  <c r="J42" i="10"/>
  <c r="DA107" i="3" a="1"/>
  <c r="DA107" i="3" s="1"/>
  <c r="BH95" i="3" a="1"/>
  <c r="BH95" i="3" s="1"/>
  <c r="AI119" i="3" a="1"/>
  <c r="AI119" i="3" s="1"/>
  <c r="AO107" i="3" a="1"/>
  <c r="AO107" i="3" s="1"/>
  <c r="U56" i="3" a="1"/>
  <c r="U56" i="3" s="1"/>
  <c r="BC95" i="3" a="1"/>
  <c r="BC95" i="3" s="1"/>
  <c r="BM119" i="3" a="1"/>
  <c r="BM119" i="3" s="1"/>
  <c r="CX95" i="3" a="1"/>
  <c r="CX95" i="3" s="1"/>
  <c r="AO56" i="3" a="1"/>
  <c r="AO56" i="3" s="1"/>
  <c r="BV70" i="3" a="1"/>
  <c r="BV70" i="3" s="1"/>
  <c r="BR119" i="3" a="1"/>
  <c r="BR119" i="3" s="1"/>
  <c r="Z70" i="3" a="1"/>
  <c r="Z70" i="3" s="1"/>
  <c r="DN56" i="3" a="1"/>
  <c r="DN56" i="3" s="1"/>
  <c r="DQ56" i="3" a="1"/>
  <c r="DQ56" i="3" s="1"/>
  <c r="W119" i="3" a="1"/>
  <c r="W119" i="3" s="1"/>
  <c r="BF56" i="3" a="1"/>
  <c r="BF56" i="3" s="1"/>
  <c r="BE82" i="3" a="1"/>
  <c r="BE82" i="3" s="1"/>
  <c r="AP95" i="3" a="1"/>
  <c r="AP95" i="3" s="1"/>
  <c r="BH70" i="3" a="1"/>
  <c r="BH70" i="3" s="1"/>
  <c r="D56" i="3" a="1"/>
  <c r="D56" i="3" s="1"/>
  <c r="DK95" i="3" a="1"/>
  <c r="DK95" i="3" s="1"/>
  <c r="DM56" i="3" a="1"/>
  <c r="DM56" i="3" s="1"/>
  <c r="AR43" i="3" a="1"/>
  <c r="AR43" i="3" s="1"/>
  <c r="I24" i="30"/>
  <c r="C89" i="16" a="1"/>
  <c r="C89" i="16" s="1"/>
  <c r="DP95" i="3" a="1"/>
  <c r="DP95" i="3" s="1"/>
  <c r="M82" i="3" a="1"/>
  <c r="M82" i="3" s="1"/>
  <c r="W82" i="3" a="1"/>
  <c r="W82" i="3" s="1"/>
  <c r="AK56" i="3" a="1"/>
  <c r="AK56" i="3" s="1"/>
  <c r="K56" i="3" a="1"/>
  <c r="K56" i="3" s="1"/>
  <c r="X56" i="3" a="1"/>
  <c r="X56" i="3" s="1"/>
  <c r="J119" i="3" a="1"/>
  <c r="J119" i="3" s="1"/>
  <c r="DG119" i="3" a="1"/>
  <c r="DG119" i="3" s="1"/>
  <c r="AN119" i="3" a="1"/>
  <c r="AN119" i="3" s="1"/>
  <c r="J95" i="3" a="1"/>
  <c r="J95" i="3" s="1"/>
  <c r="AM119" i="3" a="1"/>
  <c r="AM119" i="3" s="1"/>
  <c r="BW107" i="3" a="1"/>
  <c r="BW107" i="3" s="1"/>
  <c r="Z119" i="3" a="1"/>
  <c r="Z119" i="3" s="1"/>
  <c r="BF82" i="3" a="1"/>
  <c r="BF82" i="3" s="1"/>
  <c r="BH107" i="3" a="1"/>
  <c r="BH107" i="3" s="1"/>
  <c r="DM107" i="3" a="1"/>
  <c r="DM107" i="3" s="1"/>
  <c r="E119" i="3" a="1"/>
  <c r="E119" i="3" s="1"/>
  <c r="G43" i="3" a="1"/>
  <c r="G43" i="3" s="1"/>
  <c r="CZ56" i="3" a="1"/>
  <c r="CZ56" i="3" s="1"/>
  <c r="DL95" i="3" a="1"/>
  <c r="DL95" i="3" s="1"/>
  <c r="G107" i="3" a="1"/>
  <c r="G107" i="3" s="1"/>
  <c r="CF82" i="3" a="1"/>
  <c r="CF82" i="3" s="1"/>
  <c r="CN107" i="3" a="1"/>
  <c r="CN107" i="3" s="1"/>
  <c r="DA43" i="3" a="1"/>
  <c r="DA43" i="3" s="1"/>
  <c r="D22" i="10"/>
  <c r="D175" i="13" a="1"/>
  <c r="D175" i="13" s="1"/>
  <c r="CM107" i="3" a="1"/>
  <c r="CM107" i="3" s="1"/>
  <c r="CE70" i="3" a="1"/>
  <c r="CE70" i="3" s="1"/>
  <c r="DR70" i="3" a="1"/>
  <c r="DR70" i="3" s="1"/>
  <c r="AQ70" i="3" a="1"/>
  <c r="AQ70" i="3" s="1"/>
  <c r="CO95" i="3" a="1"/>
  <c r="CO95" i="3" s="1"/>
  <c r="CQ95" i="3" a="1"/>
  <c r="CQ95" i="3" s="1"/>
  <c r="AS95" i="3" a="1"/>
  <c r="AS95" i="3" s="1"/>
  <c r="BJ107" i="3" a="1"/>
  <c r="BJ107" i="3" s="1"/>
  <c r="AN107" i="3" a="1"/>
  <c r="AN107" i="3" s="1"/>
  <c r="CV43" i="3" a="1"/>
  <c r="CV43" i="3" s="1"/>
  <c r="D174" i="13"/>
  <c r="BX70" i="3" a="1"/>
  <c r="BX70" i="3" s="1"/>
  <c r="BD95" i="3" a="1"/>
  <c r="BD95" i="3" s="1"/>
  <c r="AC107" i="3" a="1"/>
  <c r="AC107" i="3" s="1"/>
  <c r="N56" i="3" a="1"/>
  <c r="N56" i="3" s="1"/>
  <c r="V107" i="3" a="1"/>
  <c r="V107" i="3" s="1"/>
  <c r="R107" i="3" a="1"/>
  <c r="R107" i="3" s="1"/>
  <c r="BI119" i="3" a="1"/>
  <c r="BI119" i="3" s="1"/>
  <c r="AU70" i="3" a="1"/>
  <c r="AU70" i="3" s="1"/>
  <c r="CI119" i="3" a="1"/>
  <c r="CI119" i="3" s="1"/>
  <c r="L107" i="3" a="1"/>
  <c r="L107" i="3" s="1"/>
  <c r="BY70" i="3" a="1"/>
  <c r="BY70" i="3" s="1"/>
  <c r="DH82" i="3" a="1"/>
  <c r="DH82" i="3" s="1"/>
  <c r="AX43" i="3" a="1"/>
  <c r="AX43" i="3" s="1"/>
  <c r="L174" i="13"/>
  <c r="H223" i="13" a="1"/>
  <c r="H223" i="13" s="1"/>
  <c r="H224" i="13"/>
  <c r="D222" i="13"/>
  <c r="D224" i="13"/>
  <c r="F190" i="13"/>
  <c r="K60" i="26"/>
  <c r="D206" i="13"/>
  <c r="G174" i="13"/>
  <c r="E41" i="10"/>
  <c r="E13" i="10"/>
  <c r="I42" i="10"/>
  <c r="D39" i="10"/>
  <c r="G13" i="10"/>
  <c r="J40" i="10"/>
  <c r="G42" i="10"/>
  <c r="L38" i="10"/>
  <c r="L33" i="10"/>
  <c r="K39" i="10"/>
  <c r="L13" i="10"/>
  <c r="K13" i="10"/>
  <c r="G40" i="10"/>
  <c r="K40" i="10"/>
  <c r="I33" i="10"/>
  <c r="G33" i="10"/>
  <c r="C33" i="10"/>
  <c r="H39" i="10"/>
  <c r="I39" i="10"/>
  <c r="K41" i="10"/>
  <c r="D40" i="10"/>
  <c r="F38" i="10"/>
  <c r="J207" i="13" a="1"/>
  <c r="J207" i="13" s="1"/>
  <c r="H33" i="10"/>
  <c r="F33" i="10"/>
  <c r="D42" i="10"/>
  <c r="F42" i="10"/>
  <c r="H42" i="10"/>
  <c r="H40" i="10"/>
  <c r="L42" i="10"/>
  <c r="D38" i="10"/>
  <c r="I38" i="10"/>
  <c r="D33" i="10"/>
  <c r="F41" i="10"/>
  <c r="D13" i="10"/>
  <c r="F40" i="10"/>
  <c r="E42" i="10"/>
  <c r="I22" i="10"/>
  <c r="H38" i="10"/>
  <c r="C39" i="10"/>
  <c r="L39" i="10"/>
  <c r="H41" i="10"/>
  <c r="C41" i="10"/>
  <c r="E40" i="10"/>
  <c r="G38" i="10"/>
  <c r="L41" i="10"/>
  <c r="C40" i="10"/>
  <c r="C38" i="10"/>
  <c r="J38" i="10"/>
  <c r="J39" i="10"/>
  <c r="G41" i="10"/>
  <c r="K33" i="10"/>
  <c r="J22" i="10"/>
  <c r="F224" i="13"/>
  <c r="I13" i="10"/>
  <c r="I40" i="10"/>
  <c r="J33" i="10"/>
  <c r="G39" i="10"/>
  <c r="F39" i="10"/>
  <c r="I41" i="10"/>
  <c r="K22" i="10"/>
  <c r="J41" i="10"/>
  <c r="E33" i="10"/>
  <c r="D41" i="10"/>
  <c r="F13" i="10"/>
  <c r="H13" i="10"/>
  <c r="C42" i="10"/>
  <c r="H22" i="10"/>
  <c r="K38" i="10"/>
  <c r="D208" i="13"/>
  <c r="U8" i="2"/>
  <c r="D190" i="13"/>
  <c r="D192" i="13"/>
  <c r="L207" i="13" a="1"/>
  <c r="L207" i="13" s="1"/>
  <c r="L224" i="13"/>
  <c r="L222" i="13"/>
  <c r="F192" i="13"/>
  <c r="L206" i="13"/>
  <c r="F222" i="13"/>
  <c r="I222" i="13"/>
  <c r="H206" i="13"/>
  <c r="K175" i="13" a="1"/>
  <c r="K175" i="13" s="1"/>
  <c r="K176" i="13"/>
  <c r="I208" i="13"/>
  <c r="I210" i="13" s="1"/>
  <c r="I211" i="13" s="1"/>
  <c r="H207" i="13" a="1"/>
  <c r="H207" i="13" s="1"/>
  <c r="I190" i="13"/>
  <c r="F206" i="13"/>
  <c r="I192" i="13"/>
  <c r="F208" i="13"/>
  <c r="I223" i="13" a="1"/>
  <c r="I223" i="13" s="1"/>
  <c r="K191" i="13" a="1"/>
  <c r="K191" i="13" s="1"/>
  <c r="K190" i="13"/>
  <c r="K192" i="13"/>
  <c r="J223" i="13" a="1"/>
  <c r="J223" i="13" s="1"/>
  <c r="J222" i="13"/>
  <c r="J224" i="13"/>
  <c r="G222" i="13"/>
  <c r="K208" i="13"/>
  <c r="K207" i="13" a="1"/>
  <c r="K207" i="13" s="1"/>
  <c r="J176" i="13"/>
  <c r="E191" i="13" a="1"/>
  <c r="E191" i="13" s="1"/>
  <c r="E190" i="13"/>
  <c r="E192" i="13"/>
  <c r="J174" i="13"/>
  <c r="F175" i="13" a="1"/>
  <c r="F175" i="13" s="1"/>
  <c r="F174" i="13"/>
  <c r="F176" i="13"/>
  <c r="J192" i="13"/>
  <c r="J190" i="13"/>
  <c r="J191" i="13" a="1"/>
  <c r="J191" i="13" s="1"/>
  <c r="E222" i="13"/>
  <c r="E224" i="13"/>
  <c r="E175" i="13" a="1"/>
  <c r="E175" i="13" s="1"/>
  <c r="E174" i="13"/>
  <c r="E176" i="13"/>
  <c r="L191" i="13" a="1"/>
  <c r="L191" i="13" s="1"/>
  <c r="L192" i="13"/>
  <c r="L190" i="13"/>
  <c r="G207" i="13" a="1"/>
  <c r="G207" i="13" s="1"/>
  <c r="G208" i="13"/>
  <c r="G224" i="13"/>
  <c r="E207" i="13" a="1"/>
  <c r="E207" i="13" s="1"/>
  <c r="E208" i="13"/>
  <c r="E206" i="13"/>
  <c r="H174" i="13"/>
  <c r="H176" i="13"/>
  <c r="H175" i="13" a="1"/>
  <c r="H175" i="13" s="1"/>
  <c r="T7" i="2"/>
  <c r="C116" i="13"/>
  <c r="U7" i="2"/>
  <c r="BO48" i="3" s="1" a="1"/>
  <c r="BO48" i="3" s="1"/>
  <c r="T8" i="2"/>
  <c r="H20" i="13"/>
  <c r="C20" i="13"/>
  <c r="D20" i="13"/>
  <c r="AA15" i="2"/>
  <c r="AB15" i="2" s="1"/>
  <c r="AH15" i="2"/>
  <c r="G115" i="19" s="1" a="1"/>
  <c r="G115" i="19" s="1"/>
  <c r="AJ15" i="2"/>
  <c r="AA14" i="2"/>
  <c r="AB14" i="2" s="1"/>
  <c r="AH14" i="2"/>
  <c r="G114" i="19" s="1" a="1"/>
  <c r="G114" i="19" s="1"/>
  <c r="AJ14" i="2"/>
  <c r="V9" i="2"/>
  <c r="AF21" i="2"/>
  <c r="AL14" i="2" a="1"/>
  <c r="AL14" i="2" s="1"/>
  <c r="AL13" i="2" a="1"/>
  <c r="AL13" i="2" s="1"/>
  <c r="X15" i="2" a="1"/>
  <c r="X15" i="2" s="1"/>
  <c r="AL15" i="2" a="1"/>
  <c r="AL15" i="2" s="1"/>
  <c r="AA12" i="2"/>
  <c r="AB12" i="2" s="1"/>
  <c r="AH12" i="2"/>
  <c r="G112" i="19" s="1" a="1"/>
  <c r="G112" i="19" s="1"/>
  <c r="AJ12" i="2"/>
  <c r="AL11" i="2" a="1"/>
  <c r="AL11" i="2" s="1"/>
  <c r="V10" i="2"/>
  <c r="X12" i="2" a="1"/>
  <c r="X12" i="2" s="1"/>
  <c r="AL12" i="2" a="1"/>
  <c r="AL12" i="2" s="1"/>
  <c r="E20" i="13"/>
  <c r="G20" i="13"/>
  <c r="U6" i="2"/>
  <c r="BA34" i="3" s="1" a="1"/>
  <c r="BA34" i="3" s="1"/>
  <c r="V6" i="2"/>
  <c r="AF20" i="2"/>
  <c r="BP82" i="3" a="1"/>
  <c r="BP82" i="3" s="1"/>
  <c r="CD70" i="3" a="1"/>
  <c r="CD70" i="3" s="1"/>
  <c r="AL119" i="3" a="1"/>
  <c r="AL119" i="3" s="1"/>
  <c r="CE82" i="3" a="1"/>
  <c r="CE82" i="3" s="1"/>
  <c r="DA95" i="3" a="1"/>
  <c r="DA95" i="3" s="1"/>
  <c r="DO119" i="3" a="1"/>
  <c r="DO119" i="3" s="1"/>
  <c r="DK70" i="3" a="1"/>
  <c r="DK70" i="3" s="1"/>
  <c r="DM70" i="3" a="1"/>
  <c r="DM70" i="3" s="1"/>
  <c r="DQ43" i="3" a="1"/>
  <c r="DQ43" i="3" s="1"/>
  <c r="Z118" i="3" a="1"/>
  <c r="Z118" i="3" s="1"/>
  <c r="E55" i="3" a="1"/>
  <c r="E55" i="3" s="1"/>
  <c r="P55" i="3" a="1"/>
  <c r="P55" i="3" s="1"/>
  <c r="U55" i="3" a="1"/>
  <c r="U55" i="3" s="1"/>
  <c r="BM106" i="3" a="1"/>
  <c r="BM106" i="3" s="1"/>
  <c r="AB55" i="3" a="1"/>
  <c r="AB55" i="3" s="1"/>
  <c r="G55" i="3" a="1"/>
  <c r="G55" i="3" s="1"/>
  <c r="AG81" i="3" a="1"/>
  <c r="AG81" i="3" s="1"/>
  <c r="AF55" i="3" a="1"/>
  <c r="AF55" i="3" s="1"/>
  <c r="Z55" i="3" a="1"/>
  <c r="Z55" i="3" s="1"/>
  <c r="R118" i="3" a="1"/>
  <c r="R118" i="3" s="1"/>
  <c r="AF118" i="3" a="1"/>
  <c r="AF118" i="3" s="1"/>
  <c r="T118" i="3" a="1"/>
  <c r="T118" i="3" s="1"/>
  <c r="K55" i="3" a="1"/>
  <c r="K55" i="3" s="1"/>
  <c r="AC118" i="3" a="1"/>
  <c r="AC118" i="3" s="1"/>
  <c r="AC55" i="3" a="1"/>
  <c r="AC55" i="3" s="1"/>
  <c r="O118" i="3" a="1"/>
  <c r="O118" i="3" s="1"/>
  <c r="C55" i="3" a="1"/>
  <c r="C55" i="3" s="1"/>
  <c r="Q118" i="3" a="1"/>
  <c r="Q118" i="3" s="1"/>
  <c r="N55" i="3" a="1"/>
  <c r="N55" i="3" s="1"/>
  <c r="CH82" i="3" a="1"/>
  <c r="CH82" i="3" s="1"/>
  <c r="DL119" i="3" a="1"/>
  <c r="DL119" i="3" s="1"/>
  <c r="CY43" i="3" a="1"/>
  <c r="CY43" i="3" s="1"/>
  <c r="Q43" i="3" a="1"/>
  <c r="Q43" i="3" s="1"/>
  <c r="CG43" i="3" a="1"/>
  <c r="CG43" i="3" s="1"/>
  <c r="BN43" i="3" a="1"/>
  <c r="BN43" i="3" s="1"/>
  <c r="DL43" i="3" a="1"/>
  <c r="DL43" i="3" s="1"/>
  <c r="DO43" i="3" a="1"/>
  <c r="DO43" i="3" s="1"/>
  <c r="DE43" i="3" a="1"/>
  <c r="DE43" i="3" s="1"/>
  <c r="BH43" i="3" a="1"/>
  <c r="BH43" i="3" s="1"/>
  <c r="AD43" i="3" a="1"/>
  <c r="AD43" i="3" s="1"/>
  <c r="AE43" i="3" a="1"/>
  <c r="AE43" i="3" s="1"/>
  <c r="CT82" i="3" a="1"/>
  <c r="CT82" i="3" s="1"/>
  <c r="DQ70" i="3" a="1"/>
  <c r="DQ70" i="3" s="1"/>
  <c r="CY107" i="3" a="1"/>
  <c r="CY107" i="3" s="1"/>
  <c r="V95" i="3" a="1"/>
  <c r="V95" i="3" s="1"/>
  <c r="CE119" i="3" a="1"/>
  <c r="CE119" i="3" s="1"/>
  <c r="BT56" i="3" a="1"/>
  <c r="BT56" i="3" s="1"/>
  <c r="BQ107" i="3" a="1"/>
  <c r="BQ107" i="3" s="1"/>
  <c r="Y70" i="3" a="1"/>
  <c r="Y70" i="3" s="1"/>
  <c r="AK95" i="3" a="1"/>
  <c r="AK95" i="3" s="1"/>
  <c r="BE56" i="3" a="1"/>
  <c r="BE56" i="3" s="1"/>
  <c r="BZ56" i="3" a="1"/>
  <c r="BZ56" i="3" s="1"/>
  <c r="DI119" i="3" a="1"/>
  <c r="DI119" i="3" s="1"/>
  <c r="CS95" i="3" a="1"/>
  <c r="CS95" i="3" s="1"/>
  <c r="BL56" i="3" a="1"/>
  <c r="BL56" i="3" s="1"/>
  <c r="BY95" i="3" a="1"/>
  <c r="BY95" i="3" s="1"/>
  <c r="AU119" i="3" a="1"/>
  <c r="AU119" i="3" s="1"/>
  <c r="BH56" i="3" a="1"/>
  <c r="BH56" i="3" s="1"/>
  <c r="BX56" i="3" a="1"/>
  <c r="BX56" i="3" s="1"/>
  <c r="AC119" i="3" a="1"/>
  <c r="AC119" i="3" s="1"/>
  <c r="Z56" i="3" a="1"/>
  <c r="Z56" i="3" s="1"/>
  <c r="BG56" i="3" a="1"/>
  <c r="BG56" i="3" s="1"/>
  <c r="BY56" i="3" a="1"/>
  <c r="BY56" i="3" s="1"/>
  <c r="BK119" i="3" a="1"/>
  <c r="BK119" i="3" s="1"/>
  <c r="I82" i="3" a="1"/>
  <c r="I82" i="3" s="1"/>
  <c r="BT107" i="3" a="1"/>
  <c r="BT107" i="3" s="1"/>
  <c r="I56" i="3" a="1"/>
  <c r="I56" i="3" s="1"/>
  <c r="CQ119" i="3" a="1"/>
  <c r="CQ119" i="3" s="1"/>
  <c r="CK95" i="3" a="1"/>
  <c r="CK95" i="3" s="1"/>
  <c r="BT82" i="3" a="1"/>
  <c r="BT82" i="3" s="1"/>
  <c r="CA82" i="3" a="1"/>
  <c r="CA82" i="3" s="1"/>
  <c r="CK70" i="3" a="1"/>
  <c r="CK70" i="3" s="1"/>
  <c r="BP95" i="3" a="1"/>
  <c r="BP95" i="3" s="1"/>
  <c r="AU82" i="3" a="1"/>
  <c r="AU82" i="3" s="1"/>
  <c r="AT119" i="3" a="1"/>
  <c r="AT119" i="3" s="1"/>
  <c r="CL119" i="3" a="1"/>
  <c r="CL119" i="3" s="1"/>
  <c r="T119" i="3" a="1"/>
  <c r="T119" i="3" s="1"/>
  <c r="AZ82" i="3" a="1"/>
  <c r="AZ82" i="3" s="1"/>
  <c r="AX95" i="3" a="1"/>
  <c r="AX95" i="3" s="1"/>
  <c r="D70" i="3" a="1"/>
  <c r="D70" i="3" s="1"/>
  <c r="AZ70" i="3" a="1"/>
  <c r="AZ70" i="3" s="1"/>
  <c r="BR82" i="3" a="1"/>
  <c r="BR82" i="3" s="1"/>
  <c r="CC95" i="3" a="1"/>
  <c r="CC95" i="3" s="1"/>
  <c r="O95" i="3" a="1"/>
  <c r="O95" i="3" s="1"/>
  <c r="O82" i="3" a="1"/>
  <c r="O82" i="3" s="1"/>
  <c r="BI107" i="3" a="1"/>
  <c r="BI107" i="3" s="1"/>
  <c r="K95" i="3" a="1"/>
  <c r="K95" i="3" s="1"/>
  <c r="CX70" i="3" a="1"/>
  <c r="CX70" i="3" s="1"/>
  <c r="S56" i="3" a="1"/>
  <c r="S56" i="3" s="1"/>
  <c r="AB56" i="3" a="1"/>
  <c r="AB56" i="3" s="1"/>
  <c r="BG82" i="3" a="1"/>
  <c r="BG82" i="3" s="1"/>
  <c r="DF70" i="3" a="1"/>
  <c r="DF70" i="3" s="1"/>
  <c r="CM82" i="3" a="1"/>
  <c r="CM82" i="3" s="1"/>
  <c r="DB119" i="3" a="1"/>
  <c r="DB119" i="3" s="1"/>
  <c r="DB82" i="3" a="1"/>
  <c r="DB82" i="3" s="1"/>
  <c r="DD119" i="3" a="1"/>
  <c r="DD119" i="3" s="1"/>
  <c r="O56" i="3" a="1"/>
  <c r="O56" i="3" s="1"/>
  <c r="AT56" i="3" a="1"/>
  <c r="AT56" i="3" s="1"/>
  <c r="CY82" i="3" a="1"/>
  <c r="CY82" i="3" s="1"/>
  <c r="AQ95" i="3" a="1"/>
  <c r="AQ95" i="3" s="1"/>
  <c r="X70" i="3" a="1"/>
  <c r="X70" i="3" s="1"/>
  <c r="BC119" i="3" a="1"/>
  <c r="BC119" i="3" s="1"/>
  <c r="DB43" i="3" a="1"/>
  <c r="DB43" i="3" s="1"/>
  <c r="O43" i="3" a="1"/>
  <c r="O43" i="3" s="1"/>
  <c r="CV56" i="3" a="1"/>
  <c r="CV56" i="3" s="1"/>
  <c r="CV95" i="3" a="1"/>
  <c r="CV95" i="3" s="1"/>
  <c r="AF56" i="3" a="1"/>
  <c r="AF56" i="3" s="1"/>
  <c r="AV70" i="3" a="1"/>
  <c r="AV70" i="3" s="1"/>
  <c r="DF43" i="3" a="1"/>
  <c r="DF43" i="3" s="1"/>
  <c r="CD43" i="3" a="1"/>
  <c r="CD43" i="3" s="1"/>
  <c r="CW43" i="3" a="1"/>
  <c r="CW43" i="3" s="1"/>
  <c r="CP43" i="3" a="1"/>
  <c r="CP43" i="3" s="1"/>
  <c r="E43" i="3" a="1"/>
  <c r="E43" i="3" s="1"/>
  <c r="BX43" i="3" a="1"/>
  <c r="BX43" i="3" s="1"/>
  <c r="R43" i="3" a="1"/>
  <c r="R43" i="3" s="1"/>
  <c r="S43" i="3" a="1"/>
  <c r="S43" i="3" s="1"/>
  <c r="CW95" i="3" a="1"/>
  <c r="CW95" i="3" s="1"/>
  <c r="DK107" i="3" a="1"/>
  <c r="DK107" i="3" s="1"/>
  <c r="D95" i="3" a="1"/>
  <c r="D95" i="3" s="1"/>
  <c r="AM107" i="3" a="1"/>
  <c r="AM107" i="3" s="1"/>
  <c r="CQ56" i="3" a="1"/>
  <c r="CQ56" i="3" s="1"/>
  <c r="D119" i="3" a="1"/>
  <c r="D119" i="3" s="1"/>
  <c r="BR95" i="3" a="1"/>
  <c r="BR95" i="3" s="1"/>
  <c r="BA82" i="3" a="1"/>
  <c r="BA82" i="3" s="1"/>
  <c r="E56" i="3" a="1"/>
  <c r="E56" i="3" s="1"/>
  <c r="CG70" i="3" a="1"/>
  <c r="CG70" i="3" s="1"/>
  <c r="BE107" i="3" a="1"/>
  <c r="BE107" i="3" s="1"/>
  <c r="CE107" i="3" a="1"/>
  <c r="CE107" i="3" s="1"/>
  <c r="U95" i="3" a="1"/>
  <c r="U95" i="3" s="1"/>
  <c r="AR119" i="3" a="1"/>
  <c r="AR119" i="3" s="1"/>
  <c r="BM107" i="3" a="1"/>
  <c r="BM107" i="3" s="1"/>
  <c r="AD95" i="3" a="1"/>
  <c r="AD95" i="3" s="1"/>
  <c r="BM95" i="3" a="1"/>
  <c r="BM95" i="3" s="1"/>
  <c r="AW95" i="3" a="1"/>
  <c r="AW95" i="3" s="1"/>
  <c r="DF95" i="3" a="1"/>
  <c r="DF95" i="3" s="1"/>
  <c r="DG70" i="3" a="1"/>
  <c r="DG70" i="3" s="1"/>
  <c r="AE82" i="3" a="1"/>
  <c r="AE82" i="3" s="1"/>
  <c r="AR107" i="3" a="1"/>
  <c r="AR107" i="3" s="1"/>
  <c r="AR56" i="3" a="1"/>
  <c r="AR56" i="3" s="1"/>
  <c r="BX95" i="3" a="1"/>
  <c r="BX95" i="3" s="1"/>
  <c r="Q82" i="3" a="1"/>
  <c r="Q82" i="3" s="1"/>
  <c r="K119" i="3" a="1"/>
  <c r="K119" i="3" s="1"/>
  <c r="M107" i="3" a="1"/>
  <c r="M107" i="3" s="1"/>
  <c r="BK70" i="3" a="1"/>
  <c r="BK70" i="3" s="1"/>
  <c r="BM56" i="3" a="1"/>
  <c r="BM56" i="3" s="1"/>
  <c r="BD70" i="3" a="1"/>
  <c r="BD70" i="3" s="1"/>
  <c r="CZ119" i="3" a="1"/>
  <c r="CZ119" i="3" s="1"/>
  <c r="CQ70" i="3" a="1"/>
  <c r="CQ70" i="3" s="1"/>
  <c r="AF95" i="3" a="1"/>
  <c r="AF95" i="3" s="1"/>
  <c r="BT70" i="3" a="1"/>
  <c r="BT70" i="3" s="1"/>
  <c r="BK56" i="3" a="1"/>
  <c r="BK56" i="3" s="1"/>
  <c r="BU119" i="3" a="1"/>
  <c r="BU119" i="3" s="1"/>
  <c r="CS82" i="3" a="1"/>
  <c r="CS82" i="3" s="1"/>
  <c r="BW82" i="3" a="1"/>
  <c r="BW82" i="3" s="1"/>
  <c r="BH119" i="3" a="1"/>
  <c r="BH119" i="3" s="1"/>
  <c r="Y107" i="3" a="1"/>
  <c r="Y107" i="3" s="1"/>
  <c r="BP107" i="3" a="1"/>
  <c r="BP107" i="3" s="1"/>
  <c r="DJ82" i="3" a="1"/>
  <c r="DJ82" i="3" s="1"/>
  <c r="BG119" i="3" a="1"/>
  <c r="BG119" i="3" s="1"/>
  <c r="CV82" i="3" a="1"/>
  <c r="CV82" i="3" s="1"/>
  <c r="C95" i="3" a="1"/>
  <c r="C95" i="3" s="1"/>
  <c r="BZ70" i="3" a="1"/>
  <c r="BZ70" i="3" s="1"/>
  <c r="DR82" i="3" a="1"/>
  <c r="DR82" i="3" s="1"/>
  <c r="AB70" i="3" a="1"/>
  <c r="AB70" i="3" s="1"/>
  <c r="L56" i="3" a="1"/>
  <c r="L56" i="3" s="1"/>
  <c r="AB95" i="3" a="1"/>
  <c r="AB95" i="3" s="1"/>
  <c r="AN82" i="3" a="1"/>
  <c r="AN82" i="3" s="1"/>
  <c r="K70" i="3" a="1"/>
  <c r="K70" i="3" s="1"/>
  <c r="X95" i="3" a="1"/>
  <c r="X95" i="3" s="1"/>
  <c r="CX56" i="3" a="1"/>
  <c r="CX56" i="3" s="1"/>
  <c r="CF107" i="3" a="1"/>
  <c r="CF107" i="3" s="1"/>
  <c r="CS107" i="3" a="1"/>
  <c r="CS107" i="3" s="1"/>
  <c r="DD95" i="3" a="1"/>
  <c r="DD95" i="3" s="1"/>
  <c r="DE82" i="3" a="1"/>
  <c r="DE82" i="3" s="1"/>
  <c r="AN70" i="3" a="1"/>
  <c r="AN70" i="3" s="1"/>
  <c r="AO119" i="3" a="1"/>
  <c r="AO119" i="3" s="1"/>
  <c r="CX107" i="3" a="1"/>
  <c r="CX107" i="3" s="1"/>
  <c r="AS70" i="3" a="1"/>
  <c r="AS70" i="3" s="1"/>
  <c r="AV119" i="3" a="1"/>
  <c r="AV119" i="3" s="1"/>
  <c r="BZ82" i="3" a="1"/>
  <c r="BZ82" i="3" s="1"/>
  <c r="AS56" i="3" a="1"/>
  <c r="AS56" i="3" s="1"/>
  <c r="CF119" i="3" a="1"/>
  <c r="CF119" i="3" s="1"/>
  <c r="CR43" i="3" a="1"/>
  <c r="CR43" i="3" s="1"/>
  <c r="CJ43" i="3" a="1"/>
  <c r="CJ43" i="3" s="1"/>
  <c r="BY43" i="3" a="1"/>
  <c r="BY43" i="3" s="1"/>
  <c r="DN82" i="3" a="1"/>
  <c r="DN82" i="3" s="1"/>
  <c r="R82" i="3" a="1"/>
  <c r="R82" i="3" s="1"/>
  <c r="AC95" i="3" a="1"/>
  <c r="AC95" i="3" s="1"/>
  <c r="BL119" i="3" a="1"/>
  <c r="BL119" i="3" s="1"/>
  <c r="AG43" i="3" a="1"/>
  <c r="AG43" i="3" s="1"/>
  <c r="CT43" i="3" a="1"/>
  <c r="CT43" i="3" s="1"/>
  <c r="BQ43" i="3" a="1"/>
  <c r="BQ43" i="3" s="1"/>
  <c r="C43" i="3" a="1"/>
  <c r="C43" i="3" s="1"/>
  <c r="AP43" i="3" a="1"/>
  <c r="AP43" i="3" s="1"/>
  <c r="CN43" i="3" a="1"/>
  <c r="CN43" i="3" s="1"/>
  <c r="W43" i="3" a="1"/>
  <c r="W43" i="3" s="1"/>
  <c r="AK82" i="3" a="1"/>
  <c r="AK82" i="3" s="1"/>
  <c r="BN56" i="3" a="1"/>
  <c r="BN56" i="3" s="1"/>
  <c r="CG56" i="3" a="1"/>
  <c r="CG56" i="3" s="1"/>
  <c r="BA95" i="3" a="1"/>
  <c r="BA95" i="3" s="1"/>
  <c r="DN107" i="3" a="1"/>
  <c r="DN107" i="3" s="1"/>
  <c r="G70" i="3" a="1"/>
  <c r="G70" i="3" s="1"/>
  <c r="AX82" i="3" a="1"/>
  <c r="AX82" i="3" s="1"/>
  <c r="AL70" i="3" a="1"/>
  <c r="AL70" i="3" s="1"/>
  <c r="BP56" i="3" a="1"/>
  <c r="BP56" i="3" s="1"/>
  <c r="BQ70" i="3" a="1"/>
  <c r="BQ70" i="3" s="1"/>
  <c r="J56" i="3" a="1"/>
  <c r="J56" i="3" s="1"/>
  <c r="CW70" i="3" a="1"/>
  <c r="CW70" i="3" s="1"/>
  <c r="BF95" i="3" a="1"/>
  <c r="BF95" i="3" s="1"/>
  <c r="CG82" i="3" a="1"/>
  <c r="CG82" i="3" s="1"/>
  <c r="AG119" i="3" a="1"/>
  <c r="AG119" i="3" s="1"/>
  <c r="N70" i="3" a="1"/>
  <c r="N70" i="3" s="1"/>
  <c r="AG95" i="3" a="1"/>
  <c r="AG95" i="3" s="1"/>
  <c r="DF56" i="3" a="1"/>
  <c r="DF56" i="3" s="1"/>
  <c r="CP119" i="3" a="1"/>
  <c r="CP119" i="3" s="1"/>
  <c r="O70" i="3" a="1"/>
  <c r="O70" i="3" s="1"/>
  <c r="AA70" i="3" a="1"/>
  <c r="AA70" i="3" s="1"/>
  <c r="L119" i="3" a="1"/>
  <c r="L119" i="3" s="1"/>
  <c r="DG95" i="3" a="1"/>
  <c r="DG95" i="3" s="1"/>
  <c r="AB107" i="3" a="1"/>
  <c r="AB107" i="3" s="1"/>
  <c r="AV56" i="3" a="1"/>
  <c r="AV56" i="3" s="1"/>
  <c r="DB95" i="3" a="1"/>
  <c r="DB95" i="3" s="1"/>
  <c r="CN70" i="3" a="1"/>
  <c r="CN70" i="3" s="1"/>
  <c r="BW56" i="3" a="1"/>
  <c r="BW56" i="3" s="1"/>
  <c r="AE95" i="3" a="1"/>
  <c r="AE95" i="3" s="1"/>
  <c r="DO107" i="3" a="1"/>
  <c r="DO107" i="3" s="1"/>
  <c r="CP70" i="3" a="1"/>
  <c r="CP70" i="3" s="1"/>
  <c r="AU56" i="3" a="1"/>
  <c r="AU56" i="3" s="1"/>
  <c r="AT82" i="3" a="1"/>
  <c r="AT82" i="3" s="1"/>
  <c r="BD107" i="3" a="1"/>
  <c r="BD107" i="3" s="1"/>
  <c r="K107" i="3" a="1"/>
  <c r="K107" i="3" s="1"/>
  <c r="CJ95" i="3" a="1"/>
  <c r="CJ95" i="3" s="1"/>
  <c r="BW95" i="3" a="1"/>
  <c r="BW95" i="3" s="1"/>
  <c r="DR95" i="3" a="1"/>
  <c r="DR95" i="3" s="1"/>
  <c r="BG70" i="3" a="1"/>
  <c r="BG70" i="3" s="1"/>
  <c r="CZ82" i="3" a="1"/>
  <c r="CZ82" i="3" s="1"/>
  <c r="CH119" i="3" a="1"/>
  <c r="CH119" i="3" s="1"/>
  <c r="BR107" i="3" a="1"/>
  <c r="BR107" i="3" s="1"/>
  <c r="DL56" i="3" a="1"/>
  <c r="DL56" i="3" s="1"/>
  <c r="BL95" i="3" a="1"/>
  <c r="BL95" i="3" s="1"/>
  <c r="DG107" i="3" a="1"/>
  <c r="DG107" i="3" s="1"/>
  <c r="P70" i="3" a="1"/>
  <c r="P70" i="3" s="1"/>
  <c r="AA119" i="3" a="1"/>
  <c r="AA119" i="3" s="1"/>
  <c r="O119" i="3" a="1"/>
  <c r="O119" i="3" s="1"/>
  <c r="AP70" i="3" a="1"/>
  <c r="AP70" i="3" s="1"/>
  <c r="DA82" i="3" a="1"/>
  <c r="DA82" i="3" s="1"/>
  <c r="AI95" i="3" a="1"/>
  <c r="AI95" i="3" s="1"/>
  <c r="G82" i="3" a="1"/>
  <c r="G82" i="3" s="1"/>
  <c r="DL107" i="3" a="1"/>
  <c r="DL107" i="3" s="1"/>
  <c r="AL95" i="3" a="1"/>
  <c r="AL95" i="3" s="1"/>
  <c r="T82" i="3" a="1"/>
  <c r="T82" i="3" s="1"/>
  <c r="AR95" i="3" a="1"/>
  <c r="AR95" i="3" s="1"/>
  <c r="DR56" i="3" a="1"/>
  <c r="DR56" i="3" s="1"/>
  <c r="P107" i="3" a="1"/>
  <c r="P107" i="3" s="1"/>
  <c r="DA56" i="3" a="1"/>
  <c r="DA56" i="3" s="1"/>
  <c r="H95" i="3" a="1"/>
  <c r="H95" i="3" s="1"/>
  <c r="AY56" i="3" a="1"/>
  <c r="AY56" i="3" s="1"/>
  <c r="BV95" i="3" a="1"/>
  <c r="BV95" i="3" s="1"/>
  <c r="BJ95" i="3" a="1"/>
  <c r="BJ95" i="3" s="1"/>
  <c r="J70" i="3" a="1"/>
  <c r="J70" i="3" s="1"/>
  <c r="BE119" i="3" a="1"/>
  <c r="BE119" i="3" s="1"/>
  <c r="W70" i="3" a="1"/>
  <c r="W70" i="3" s="1"/>
  <c r="AH70" i="3" a="1"/>
  <c r="AH70" i="3" s="1"/>
  <c r="AV43" i="3" a="1"/>
  <c r="AV43" i="3" s="1"/>
  <c r="DJ43" i="3" a="1"/>
  <c r="DJ43" i="3" s="1"/>
  <c r="DM43" i="3" a="1"/>
  <c r="DM43" i="3" s="1"/>
  <c r="AN43" i="3" a="1"/>
  <c r="AN43" i="3" s="1"/>
  <c r="BF43" i="3" a="1"/>
  <c r="BF43" i="3" s="1"/>
  <c r="DD43" i="3" a="1"/>
  <c r="DD43" i="3" s="1"/>
  <c r="K43" i="3" a="1"/>
  <c r="K43" i="3" s="1"/>
  <c r="E70" i="3" a="1"/>
  <c r="E70" i="3" s="1"/>
  <c r="AL107" i="3" a="1"/>
  <c r="AL107" i="3" s="1"/>
  <c r="CH70" i="3" a="1"/>
  <c r="CH70" i="3" s="1"/>
  <c r="I95" i="3" a="1"/>
  <c r="I95" i="3" s="1"/>
  <c r="H56" i="3" a="1"/>
  <c r="H56" i="3" s="1"/>
  <c r="BN119" i="3" a="1"/>
  <c r="BN119" i="3" s="1"/>
  <c r="DN95" i="3" a="1"/>
  <c r="DN95" i="3" s="1"/>
  <c r="BP119" i="3" a="1"/>
  <c r="BP119" i="3" s="1"/>
  <c r="F119" i="3" a="1"/>
  <c r="F119" i="3" s="1"/>
  <c r="T70" i="3" a="1"/>
  <c r="T70" i="3" s="1"/>
  <c r="BK95" i="3" a="1"/>
  <c r="BK95" i="3" s="1"/>
  <c r="F82" i="3" a="1"/>
  <c r="F82" i="3" s="1"/>
  <c r="CL82" i="3" a="1"/>
  <c r="CL82" i="3" s="1"/>
  <c r="T95" i="3" a="1"/>
  <c r="T95" i="3" s="1"/>
  <c r="CW107" i="3" a="1"/>
  <c r="CW107" i="3" s="1"/>
  <c r="AC56" i="3" a="1"/>
  <c r="AC56" i="3" s="1"/>
  <c r="CR119" i="3" a="1"/>
  <c r="CR119" i="3" s="1"/>
  <c r="DC119" i="3" a="1"/>
  <c r="DC119" i="3" s="1"/>
  <c r="BF107" i="3" a="1"/>
  <c r="BF107" i="3" s="1"/>
  <c r="P95" i="3" a="1"/>
  <c r="P95" i="3" s="1"/>
  <c r="BS70" i="3" a="1"/>
  <c r="BS70" i="3" s="1"/>
  <c r="X82" i="3" a="1"/>
  <c r="X82" i="3" s="1"/>
  <c r="AV82" i="3" a="1"/>
  <c r="AV82" i="3" s="1"/>
  <c r="BK82" i="3" a="1"/>
  <c r="BK82" i="3" s="1"/>
  <c r="DH70" i="3" a="1"/>
  <c r="DH70" i="3" s="1"/>
  <c r="CA107" i="3" a="1"/>
  <c r="CA107" i="3" s="1"/>
  <c r="G95" i="3" a="1"/>
  <c r="G95" i="3" s="1"/>
  <c r="BO107" i="3" a="1"/>
  <c r="BO107" i="3" s="1"/>
  <c r="BS95" i="3" a="1"/>
  <c r="BS95" i="3" s="1"/>
  <c r="AW82" i="3" a="1"/>
  <c r="AW82" i="3" s="1"/>
  <c r="AA82" i="3" a="1"/>
  <c r="AA82" i="3" s="1"/>
  <c r="BG107" i="3" a="1"/>
  <c r="BG107" i="3" s="1"/>
  <c r="BK107" i="3" a="1"/>
  <c r="BK107" i="3" s="1"/>
  <c r="AO82" i="3" a="1"/>
  <c r="AO82" i="3" s="1"/>
  <c r="C119" i="3" a="1"/>
  <c r="C119" i="3" s="1"/>
  <c r="BO43" i="3" a="1"/>
  <c r="BO43" i="3" s="1"/>
  <c r="BB119" i="3" a="1"/>
  <c r="BB119" i="3" s="1"/>
  <c r="DI56" i="3" a="1"/>
  <c r="DI56" i="3" s="1"/>
  <c r="AV107" i="3" a="1"/>
  <c r="AV107" i="3" s="1"/>
  <c r="BL43" i="3" a="1"/>
  <c r="BL43" i="3" s="1"/>
  <c r="AI43" i="3" a="1"/>
  <c r="AI43" i="3" s="1"/>
  <c r="AS43" i="3" a="1"/>
  <c r="AS43" i="3" s="1"/>
  <c r="BD43" i="3" a="1"/>
  <c r="BD43" i="3" s="1"/>
  <c r="BV43" i="3" a="1"/>
  <c r="BV43" i="3" s="1"/>
  <c r="H43" i="3" a="1"/>
  <c r="H43" i="3" s="1"/>
  <c r="V43" i="3" a="1"/>
  <c r="V43" i="3" s="1"/>
  <c r="CF70" i="3" a="1"/>
  <c r="CF70" i="3" s="1"/>
  <c r="BU95" i="3" a="1"/>
  <c r="BU95" i="3" s="1"/>
  <c r="AJ107" i="3" a="1"/>
  <c r="AJ107" i="3" s="1"/>
  <c r="W56" i="3" a="1"/>
  <c r="W56" i="3" s="1"/>
  <c r="BA56" i="3" a="1"/>
  <c r="BA56" i="3" s="1"/>
  <c r="DD70" i="3" a="1"/>
  <c r="DD70" i="3" s="1"/>
  <c r="CA119" i="3" a="1"/>
  <c r="CA119" i="3" s="1"/>
  <c r="AJ119" i="3" a="1"/>
  <c r="AJ119" i="3" s="1"/>
  <c r="BB82" i="3" a="1"/>
  <c r="BB82" i="3" s="1"/>
  <c r="CO119" i="3" a="1"/>
  <c r="CO119" i="3" s="1"/>
  <c r="BL82" i="3" a="1"/>
  <c r="BL82" i="3" s="1"/>
  <c r="DC70" i="3" a="1"/>
  <c r="DC70" i="3" s="1"/>
  <c r="CA70" i="3" a="1"/>
  <c r="CA70" i="3" s="1"/>
  <c r="DG56" i="3" a="1"/>
  <c r="DG56" i="3" s="1"/>
  <c r="DB70" i="3" a="1"/>
  <c r="DB70" i="3" s="1"/>
  <c r="DJ119" i="3" a="1"/>
  <c r="DJ119" i="3" s="1"/>
  <c r="AF119" i="3" a="1"/>
  <c r="AF119" i="3" s="1"/>
  <c r="DD56" i="3" a="1"/>
  <c r="DD56" i="3" s="1"/>
  <c r="BW70" i="3" a="1"/>
  <c r="BW70" i="3" s="1"/>
  <c r="BU56" i="3" a="1"/>
  <c r="BU56" i="3" s="1"/>
  <c r="DK82" i="3" a="1"/>
  <c r="DK82" i="3" s="1"/>
  <c r="BO70" i="3" a="1"/>
  <c r="BO70" i="3" s="1"/>
  <c r="BB43" i="3" a="1"/>
  <c r="BB43" i="3" s="1"/>
  <c r="AJ95" i="3" a="1"/>
  <c r="AJ95" i="3" s="1"/>
  <c r="CB43" i="3" a="1"/>
  <c r="CB43" i="3" s="1"/>
  <c r="AY43" i="3" a="1"/>
  <c r="AY43" i="3" s="1"/>
  <c r="AL43" i="3" a="1"/>
  <c r="AL43" i="3" s="1"/>
  <c r="BT43" i="3" a="1"/>
  <c r="BT43" i="3" s="1"/>
  <c r="CL43" i="3" a="1"/>
  <c r="CL43" i="3" s="1"/>
  <c r="BI43" i="3" a="1"/>
  <c r="BI43" i="3" s="1"/>
  <c r="J43" i="3" a="1"/>
  <c r="J43" i="3" s="1"/>
  <c r="CV70" i="3" a="1"/>
  <c r="CV70" i="3" s="1"/>
  <c r="BU107" i="3" a="1"/>
  <c r="BU107" i="3" s="1"/>
  <c r="CW119" i="3" a="1"/>
  <c r="CW119" i="3" s="1"/>
  <c r="CH107" i="3" a="1"/>
  <c r="CH107" i="3" s="1"/>
  <c r="BB95" i="3" a="1"/>
  <c r="BB95" i="3" s="1"/>
  <c r="AJ56" i="3" a="1"/>
  <c r="AJ56" i="3" s="1"/>
  <c r="CN119" i="3" a="1"/>
  <c r="CN119" i="3" s="1"/>
  <c r="AL82" i="3" a="1"/>
  <c r="AL82" i="3" s="1"/>
  <c r="BP70" i="3" a="1"/>
  <c r="BP70" i="3" s="1"/>
  <c r="R56" i="3" a="1"/>
  <c r="R56" i="3" s="1"/>
  <c r="DI107" i="3" a="1"/>
  <c r="DI107" i="3" s="1"/>
  <c r="CC119" i="3" a="1"/>
  <c r="CC119" i="3" s="1"/>
  <c r="CA56" i="3" a="1"/>
  <c r="CA56" i="3" s="1"/>
  <c r="AM95" i="3" a="1"/>
  <c r="AM95" i="3" s="1"/>
  <c r="CD119" i="3" a="1"/>
  <c r="CD119" i="3" s="1"/>
  <c r="AF43" i="3" a="1"/>
  <c r="AF43" i="3" s="1"/>
  <c r="DH43" i="3" a="1"/>
  <c r="DH43" i="3" s="1"/>
  <c r="CE43" i="3" a="1"/>
  <c r="CE43" i="3" s="1"/>
  <c r="BR43" i="3" a="1"/>
  <c r="BR43" i="3" s="1"/>
  <c r="CZ43" i="3" a="1"/>
  <c r="CZ43" i="3" s="1"/>
  <c r="DR43" i="3" a="1"/>
  <c r="DR43" i="3" s="1"/>
  <c r="CO43" i="3" a="1"/>
  <c r="CO43" i="3" s="1"/>
  <c r="T43" i="3" a="1"/>
  <c r="T43" i="3" s="1"/>
  <c r="AA43" i="3" a="1"/>
  <c r="AA43" i="3" s="1"/>
  <c r="BD82" i="3" a="1"/>
  <c r="BD82" i="3" s="1"/>
  <c r="BN95" i="3" a="1"/>
  <c r="BN95" i="3" s="1"/>
  <c r="CE56" i="3" a="1"/>
  <c r="CE56" i="3" s="1"/>
  <c r="AX70" i="3" a="1"/>
  <c r="AX70" i="3" s="1"/>
  <c r="CL70" i="3" a="1"/>
  <c r="CL70" i="3" s="1"/>
  <c r="AZ119" i="3" a="1"/>
  <c r="AZ119" i="3" s="1"/>
  <c r="CI107" i="3" a="1"/>
  <c r="CI107" i="3" s="1"/>
  <c r="AZ107" i="3" a="1"/>
  <c r="AZ107" i="3" s="1"/>
  <c r="AH107" i="3" a="1"/>
  <c r="AH107" i="3" s="1"/>
  <c r="CV107" i="3" a="1"/>
  <c r="CV107" i="3" s="1"/>
  <c r="AB82" i="3" a="1"/>
  <c r="AB82" i="3" s="1"/>
  <c r="CS70" i="3" a="1"/>
  <c r="CS70" i="3" s="1"/>
  <c r="CC82" i="3" a="1"/>
  <c r="CC82" i="3" s="1"/>
  <c r="AF82" i="3" a="1"/>
  <c r="AF82" i="3" s="1"/>
  <c r="AF107" i="3" a="1"/>
  <c r="AF107" i="3" s="1"/>
  <c r="BZ95" i="3" a="1"/>
  <c r="BZ95" i="3" s="1"/>
  <c r="CP95" i="3" a="1"/>
  <c r="CP95" i="3" s="1"/>
  <c r="AQ56" i="3" a="1"/>
  <c r="AQ56" i="3" s="1"/>
  <c r="AG82" i="3" a="1"/>
  <c r="AG82" i="3" s="1"/>
  <c r="L70" i="3" a="1"/>
  <c r="L70" i="3" s="1"/>
  <c r="AT95" i="3" a="1"/>
  <c r="AT95" i="3" s="1"/>
  <c r="AD119" i="3" a="1"/>
  <c r="AD119" i="3" s="1"/>
  <c r="AG107" i="3" a="1"/>
  <c r="AG107" i="3" s="1"/>
  <c r="AB119" i="3" a="1"/>
  <c r="AB119" i="3" s="1"/>
  <c r="AP82" i="3" a="1"/>
  <c r="AP82" i="3" s="1"/>
  <c r="AE107" i="3" a="1"/>
  <c r="AE107" i="3" s="1"/>
  <c r="DR119" i="3" a="1"/>
  <c r="DR119" i="3" s="1"/>
  <c r="H119" i="3" a="1"/>
  <c r="H119" i="3" s="1"/>
  <c r="DC107" i="3" a="1"/>
  <c r="DC107" i="3" s="1"/>
  <c r="BS107" i="3" a="1"/>
  <c r="BS107" i="3" s="1"/>
  <c r="CJ119" i="3" a="1"/>
  <c r="CJ119" i="3" s="1"/>
  <c r="CO107" i="3" a="1"/>
  <c r="CO107" i="3" s="1"/>
  <c r="DP70" i="3" a="1"/>
  <c r="DP70" i="3" s="1"/>
  <c r="DB107" i="3" a="1"/>
  <c r="DB107" i="3" s="1"/>
  <c r="BT95" i="3" a="1"/>
  <c r="BT95" i="3" s="1"/>
  <c r="G56" i="3" a="1"/>
  <c r="G56" i="3" s="1"/>
  <c r="BQ82" i="3" a="1"/>
  <c r="BQ82" i="3" s="1"/>
  <c r="AX56" i="3" a="1"/>
  <c r="AX56" i="3" s="1"/>
  <c r="CU70" i="3" a="1"/>
  <c r="CU70" i="3" s="1"/>
  <c r="AK119" i="3" a="1"/>
  <c r="AK119" i="3" s="1"/>
  <c r="Y95" i="3" a="1"/>
  <c r="Y95" i="3" s="1"/>
  <c r="H107" i="3" a="1"/>
  <c r="H107" i="3" s="1"/>
  <c r="M43" i="3" a="1"/>
  <c r="M43" i="3" s="1"/>
  <c r="CN56" i="3" a="1"/>
  <c r="CN56" i="3" s="1"/>
  <c r="DD107" i="3" a="1"/>
  <c r="DD107" i="3" s="1"/>
  <c r="BV82" i="3" a="1"/>
  <c r="BV82" i="3" s="1"/>
  <c r="CN95" i="3" a="1"/>
  <c r="CN95" i="3" s="1"/>
  <c r="CX82" i="3" a="1"/>
  <c r="CX82" i="3" s="1"/>
  <c r="F95" i="3" a="1"/>
  <c r="F95" i="3" s="1"/>
  <c r="AH43" i="3" a="1"/>
  <c r="AH43" i="3" s="1"/>
  <c r="CU43" i="3" a="1"/>
  <c r="CU43" i="3" s="1"/>
  <c r="CH43" i="3" a="1"/>
  <c r="CH43" i="3" s="1"/>
  <c r="DP43" i="3" a="1"/>
  <c r="DP43" i="3" s="1"/>
  <c r="F43" i="3" a="1"/>
  <c r="F43" i="3" s="1"/>
  <c r="P43" i="3" a="1"/>
  <c r="P43" i="3" s="1"/>
  <c r="X43" i="3" a="1"/>
  <c r="X43" i="3" s="1"/>
  <c r="AH95" i="3" a="1"/>
  <c r="AH95" i="3" s="1"/>
  <c r="R70" i="3" a="1"/>
  <c r="R70" i="3" s="1"/>
  <c r="CD107" i="3" a="1"/>
  <c r="CD107" i="3" s="1"/>
  <c r="R95" i="3" a="1"/>
  <c r="R95" i="3" s="1"/>
  <c r="CT56" i="3" a="1"/>
  <c r="CT56" i="3" s="1"/>
  <c r="DN119" i="3" a="1"/>
  <c r="DN119" i="3" s="1"/>
  <c r="AH119" i="3" a="1"/>
  <c r="AH119" i="3" s="1"/>
  <c r="D82" i="3" a="1"/>
  <c r="D82" i="3" s="1"/>
  <c r="CT70" i="3" a="1"/>
  <c r="CT70" i="3" s="1"/>
  <c r="BC82" i="3" a="1"/>
  <c r="BC82" i="3" s="1"/>
  <c r="AH82" i="3" a="1"/>
  <c r="AH82" i="3" s="1"/>
  <c r="DL70" i="3" a="1"/>
  <c r="DL70" i="3" s="1"/>
  <c r="BM70" i="3" a="1"/>
  <c r="BM70" i="3" s="1"/>
  <c r="CC70" i="3" a="1"/>
  <c r="CC70" i="3" s="1"/>
  <c r="AW56" i="3" a="1"/>
  <c r="AW56" i="3" s="1"/>
  <c r="CP107" i="3" a="1"/>
  <c r="CP107" i="3" s="1"/>
  <c r="DI82" i="3" a="1"/>
  <c r="DI82" i="3" s="1"/>
  <c r="N119" i="3" a="1"/>
  <c r="N119" i="3" s="1"/>
  <c r="BJ56" i="3" a="1"/>
  <c r="BJ56" i="3" s="1"/>
  <c r="BV56" i="3" a="1"/>
  <c r="BV56" i="3" s="1"/>
  <c r="DH119" i="3" a="1"/>
  <c r="DH119" i="3" s="1"/>
  <c r="DB56" i="3" a="1"/>
  <c r="DB56" i="3" s="1"/>
  <c r="AD70" i="3" a="1"/>
  <c r="AD70" i="3" s="1"/>
  <c r="DH107" i="3" a="1"/>
  <c r="DH107" i="3" s="1"/>
  <c r="Q107" i="3" a="1"/>
  <c r="Q107" i="3" s="1"/>
  <c r="DG82" i="3" a="1"/>
  <c r="DG82" i="3" s="1"/>
  <c r="J82" i="3" a="1"/>
  <c r="J82" i="3" s="1"/>
  <c r="DC82" i="3" a="1"/>
  <c r="DC82" i="3" s="1"/>
  <c r="DR107" i="3" a="1"/>
  <c r="DR107" i="3" s="1"/>
  <c r="DO95" i="3" a="1"/>
  <c r="DO95" i="3" s="1"/>
  <c r="AA56" i="3" a="1"/>
  <c r="AA56" i="3" s="1"/>
  <c r="DE119" i="3" a="1"/>
  <c r="DE119" i="3" s="1"/>
  <c r="BD119" i="3" a="1"/>
  <c r="BD119" i="3" s="1"/>
  <c r="BH82" i="3" a="1"/>
  <c r="BH82" i="3" s="1"/>
  <c r="CJ70" i="3" a="1"/>
  <c r="CJ70" i="3" s="1"/>
  <c r="DQ95" i="3" a="1"/>
  <c r="DQ95" i="3" s="1"/>
  <c r="X119" i="3" a="1"/>
  <c r="X119" i="3" s="1"/>
  <c r="DE56" i="3" a="1"/>
  <c r="DE56" i="3" s="1"/>
  <c r="CG107" i="3" a="1"/>
  <c r="CG107" i="3" s="1"/>
  <c r="AI82" i="3" a="1"/>
  <c r="AI82" i="3" s="1"/>
  <c r="Y82" i="3" a="1"/>
  <c r="Y82" i="3" s="1"/>
  <c r="E95" i="3" a="1"/>
  <c r="E95" i="3" s="1"/>
  <c r="BE95" i="3" a="1"/>
  <c r="BE95" i="3" s="1"/>
  <c r="BA107" i="3" a="1"/>
  <c r="BA107" i="3" s="1"/>
  <c r="CU119" i="3" a="1"/>
  <c r="CU119" i="3" s="1"/>
  <c r="AO70" i="3" a="1"/>
  <c r="AO70" i="3" s="1"/>
  <c r="CZ70" i="3" a="1"/>
  <c r="CZ70" i="3" s="1"/>
  <c r="AZ43" i="3" a="1"/>
  <c r="AZ43" i="3" s="1"/>
  <c r="BC43" i="3" a="1"/>
  <c r="BC43" i="3" s="1"/>
  <c r="CM43" i="3" a="1"/>
  <c r="CM43" i="3" s="1"/>
  <c r="DF82" i="3" a="1"/>
  <c r="DF82" i="3" s="1"/>
  <c r="AD56" i="3" a="1"/>
  <c r="AD56" i="3" s="1"/>
  <c r="BX107" i="3" a="1"/>
  <c r="BX107" i="3" s="1"/>
  <c r="DO56" i="3" a="1"/>
  <c r="DO56" i="3" s="1"/>
  <c r="CJ56" i="3" a="1"/>
  <c r="CJ56" i="3" s="1"/>
  <c r="AJ70" i="3" a="1"/>
  <c r="AJ70" i="3" s="1"/>
  <c r="BS43" i="3" a="1"/>
  <c r="BS43" i="3" s="1"/>
  <c r="D107" i="3" a="1"/>
  <c r="D107" i="3" s="1"/>
  <c r="BQ56" i="3" a="1"/>
  <c r="BQ56" i="3" s="1"/>
  <c r="R119" i="3" a="1"/>
  <c r="R119" i="3" s="1"/>
  <c r="CB95" i="3" a="1"/>
  <c r="CB95" i="3" s="1"/>
  <c r="AW43" i="3" a="1"/>
  <c r="AW43" i="3" s="1"/>
  <c r="DK43" i="3" a="1"/>
  <c r="DK43" i="3" s="1"/>
  <c r="CX43" i="3" a="1"/>
  <c r="CX43" i="3" s="1"/>
  <c r="D43" i="3" a="1"/>
  <c r="D43" i="3" s="1"/>
  <c r="AQ43" i="3" a="1"/>
  <c r="AQ43" i="3" s="1"/>
  <c r="AT43" i="3" a="1"/>
  <c r="AT43" i="3" s="1"/>
  <c r="I43" i="3" a="1"/>
  <c r="I43" i="3" s="1"/>
  <c r="L43" i="3" a="1"/>
  <c r="L43" i="3" s="1"/>
  <c r="BA119" i="3" a="1"/>
  <c r="BA119" i="3" s="1"/>
  <c r="CD95" i="3" a="1"/>
  <c r="CD95" i="3" s="1"/>
  <c r="CD82" i="3" a="1"/>
  <c r="CD82" i="3" s="1"/>
  <c r="BN70" i="3" a="1"/>
  <c r="BN70" i="3" s="1"/>
  <c r="DJ56" i="3" a="1"/>
  <c r="DJ56" i="3" s="1"/>
  <c r="F70" i="3" a="1"/>
  <c r="F70" i="3" s="1"/>
  <c r="BN82" i="3" a="1"/>
  <c r="BN82" i="3" s="1"/>
  <c r="DJ70" i="3" a="1"/>
  <c r="DJ70" i="3" s="1"/>
  <c r="BS119" i="3" a="1"/>
  <c r="BS119" i="3" s="1"/>
  <c r="DP107" i="3" a="1"/>
  <c r="DP107" i="3" s="1"/>
  <c r="AX107" i="3" a="1"/>
  <c r="AX107" i="3" s="1"/>
  <c r="AZ56" i="3" a="1"/>
  <c r="AZ56" i="3" s="1"/>
  <c r="CT107" i="3" a="1"/>
  <c r="CT107" i="3" s="1"/>
  <c r="BC107" i="3" a="1"/>
  <c r="BC107" i="3" s="1"/>
  <c r="CD56" i="3" a="1"/>
  <c r="CD56" i="3" s="1"/>
  <c r="BR70" i="3" a="1"/>
  <c r="BR70" i="3" s="1"/>
  <c r="AW119" i="3" a="1"/>
  <c r="AW119" i="3" s="1"/>
  <c r="BM82" i="3" a="1"/>
  <c r="BM82" i="3" s="1"/>
  <c r="CR107" i="3" a="1"/>
  <c r="CR107" i="3" s="1"/>
  <c r="BZ119" i="3" a="1"/>
  <c r="BZ119" i="3" s="1"/>
  <c r="CC107" i="3" a="1"/>
  <c r="CC107" i="3" s="1"/>
  <c r="CO82" i="3" a="1"/>
  <c r="CO82" i="3" s="1"/>
  <c r="AD107" i="3" a="1"/>
  <c r="AD107" i="3" s="1"/>
  <c r="AP119" i="3" a="1"/>
  <c r="AP119" i="3" s="1"/>
  <c r="AF70" i="3" a="1"/>
  <c r="AF70" i="3" s="1"/>
  <c r="AE119" i="3" a="1"/>
  <c r="AE119" i="3" s="1"/>
  <c r="BI95" i="3" a="1"/>
  <c r="BI95" i="3" s="1"/>
  <c r="CC56" i="3" a="1"/>
  <c r="CC56" i="3" s="1"/>
  <c r="BI56" i="3" a="1"/>
  <c r="BI56" i="3" s="1"/>
  <c r="CQ82" i="3" a="1"/>
  <c r="CQ82" i="3" s="1"/>
  <c r="DQ119" i="3" a="1"/>
  <c r="DQ119" i="3" s="1"/>
  <c r="DC56" i="3" a="1"/>
  <c r="DC56" i="3" s="1"/>
  <c r="AP107" i="3" a="1"/>
  <c r="AP107" i="3" s="1"/>
  <c r="DO82" i="3" a="1"/>
  <c r="DO82" i="3" s="1"/>
  <c r="Z95" i="3" a="1"/>
  <c r="Z95" i="3" s="1"/>
  <c r="M95" i="3" a="1"/>
  <c r="M95" i="3" s="1"/>
  <c r="AN56" i="3" a="1"/>
  <c r="AN56" i="3" s="1"/>
  <c r="AU107" i="3" a="1"/>
  <c r="AU107" i="3" s="1"/>
  <c r="H70" i="3" a="1"/>
  <c r="H70" i="3" s="1"/>
  <c r="BE70" i="3" a="1"/>
  <c r="BE70" i="3" s="1"/>
  <c r="CI70" i="3" a="1"/>
  <c r="CI70" i="3" s="1"/>
  <c r="CN82" i="3" a="1"/>
  <c r="CN82" i="3" s="1"/>
  <c r="F107" i="3" a="1"/>
  <c r="F107" i="3" s="1"/>
  <c r="AY119" i="3" a="1"/>
  <c r="AY119" i="3" s="1"/>
  <c r="E82" i="3" a="1"/>
  <c r="E82" i="3" s="1"/>
  <c r="AL56" i="3" a="1"/>
  <c r="AL56" i="3" s="1"/>
  <c r="DK119" i="3" a="1"/>
  <c r="DK119" i="3" s="1"/>
  <c r="AQ107" i="3" a="1"/>
  <c r="AQ107" i="3" s="1"/>
  <c r="CM95" i="3" a="1"/>
  <c r="CM95" i="3" s="1"/>
  <c r="L95" i="3" a="1"/>
  <c r="L95" i="3" s="1"/>
  <c r="W95" i="3" a="1"/>
  <c r="W95" i="3" s="1"/>
  <c r="BO82" i="3" a="1"/>
  <c r="BO82" i="3" s="1"/>
  <c r="DM119" i="3" a="1"/>
  <c r="DM119" i="3" s="1"/>
  <c r="CU56" i="3" a="1"/>
  <c r="CU56" i="3" s="1"/>
  <c r="U70" i="3" a="1"/>
  <c r="U70" i="3" s="1"/>
  <c r="CG95" i="3" a="1"/>
  <c r="CG95" i="3" s="1"/>
  <c r="AJ82" i="3" a="1"/>
  <c r="AJ82" i="3" s="1"/>
  <c r="CB82" i="3" a="1"/>
  <c r="CB82" i="3" s="1"/>
  <c r="AS82" i="3" a="1"/>
  <c r="AS82" i="3" s="1"/>
  <c r="BG95" i="3" a="1"/>
  <c r="BG95" i="3" s="1"/>
  <c r="AO95" i="3" a="1"/>
  <c r="AO95" i="3" s="1"/>
  <c r="BY82" i="3" a="1"/>
  <c r="BY82" i="3" s="1"/>
  <c r="AN95" i="3" a="1"/>
  <c r="AN95" i="3" s="1"/>
  <c r="CU95" i="3" a="1"/>
  <c r="CU95" i="3" s="1"/>
  <c r="DI43" i="3" a="1"/>
  <c r="DI43" i="3" s="1"/>
  <c r="CK43" i="3" a="1"/>
  <c r="CK43" i="3" s="1"/>
  <c r="BA70" i="3" a="1"/>
  <c r="BA70" i="3" s="1"/>
  <c r="DK56" i="3" a="1"/>
  <c r="DK56" i="3" s="1"/>
  <c r="S119" i="3" a="1"/>
  <c r="S119" i="3" s="1"/>
  <c r="AY70" i="3" a="1"/>
  <c r="AY70" i="3" s="1"/>
  <c r="DQ82" i="3" a="1"/>
  <c r="DQ82" i="3" s="1"/>
  <c r="AV95" i="3" a="1"/>
  <c r="AV95" i="3" s="1"/>
  <c r="AB43" i="3" a="1"/>
  <c r="AB43" i="3" s="1"/>
  <c r="BM43" i="3" a="1"/>
  <c r="BM43" i="3" s="1"/>
  <c r="AK43" i="3" a="1"/>
  <c r="AK43" i="3" s="1"/>
  <c r="DN43" i="3" a="1"/>
  <c r="DN43" i="3" s="1"/>
  <c r="AO43" i="3" a="1"/>
  <c r="AO43" i="3" s="1"/>
  <c r="BG43" i="3" a="1"/>
  <c r="BG43" i="3" s="1"/>
  <c r="BJ43" i="3" a="1"/>
  <c r="BJ43" i="3" s="1"/>
  <c r="U43" i="3" a="1"/>
  <c r="U43" i="3" s="1"/>
  <c r="V56" i="3" a="1"/>
  <c r="V56" i="3" s="1"/>
  <c r="CT95" i="3" a="1"/>
  <c r="CT95" i="3" s="1"/>
  <c r="C56" i="3" a="1"/>
  <c r="C56" i="3" s="1"/>
  <c r="C70" i="3" a="1"/>
  <c r="C70" i="3" s="1"/>
  <c r="CE95" i="3" a="1"/>
  <c r="CE95" i="3" s="1"/>
  <c r="CI95" i="3" a="1"/>
  <c r="CI95" i="3" s="1"/>
  <c r="J107" i="3" a="1"/>
  <c r="J107" i="3" s="1"/>
  <c r="BC70" i="3" a="1"/>
  <c r="BC70" i="3" s="1"/>
  <c r="S70" i="3" a="1"/>
  <c r="S70" i="3" s="1"/>
  <c r="CF95" i="3" a="1"/>
  <c r="CF95" i="3" s="1"/>
  <c r="DJ107" i="3" a="1"/>
  <c r="DJ107" i="3" s="1"/>
  <c r="CI82" i="3" a="1"/>
  <c r="CI82" i="3" s="1"/>
  <c r="CT119" i="3" a="1"/>
  <c r="CT119" i="3" s="1"/>
  <c r="CH56" i="3" a="1"/>
  <c r="CH56" i="3" s="1"/>
  <c r="Q119" i="3" a="1"/>
  <c r="Q119" i="3" s="1"/>
  <c r="DH56" i="3" a="1"/>
  <c r="DH56" i="3" s="1"/>
  <c r="CR70" i="3" a="1"/>
  <c r="CR70" i="3" s="1"/>
  <c r="BZ107" i="3" a="1"/>
  <c r="BZ107" i="3" s="1"/>
  <c r="CR82" i="3" a="1"/>
  <c r="CR82" i="3" s="1"/>
  <c r="M56" i="3" a="1"/>
  <c r="M56" i="3" s="1"/>
  <c r="DE107" i="3" a="1"/>
  <c r="DE107" i="3" s="1"/>
  <c r="Q95" i="3" a="1"/>
  <c r="Q95" i="3" s="1"/>
  <c r="P119" i="3" a="1"/>
  <c r="P119" i="3" s="1"/>
  <c r="AE56" i="3" a="1"/>
  <c r="AE56" i="3" s="1"/>
  <c r="BI82" i="3" a="1"/>
  <c r="BI82" i="3" s="1"/>
  <c r="AG56" i="3" a="1"/>
  <c r="AG56" i="3" s="1"/>
  <c r="AS107" i="3" a="1"/>
  <c r="AS107" i="3" s="1"/>
  <c r="CM56" i="3" a="1"/>
  <c r="CM56" i="3" s="1"/>
  <c r="CK119" i="3" a="1"/>
  <c r="CK119" i="3" s="1"/>
  <c r="AA107" i="3" a="1"/>
  <c r="AA107" i="3" s="1"/>
  <c r="DA70" i="3" a="1"/>
  <c r="DA70" i="3" s="1"/>
  <c r="CY70" i="3" a="1"/>
  <c r="CY70" i="3" s="1"/>
  <c r="Z82" i="3" a="1"/>
  <c r="Z82" i="3" s="1"/>
  <c r="BJ70" i="3" a="1"/>
  <c r="BJ70" i="3" s="1"/>
  <c r="BL70" i="3" a="1"/>
  <c r="BL70" i="3" s="1"/>
  <c r="Z107" i="3" a="1"/>
  <c r="Z107" i="3" s="1"/>
  <c r="AM82" i="3" a="1"/>
  <c r="AM82" i="3" s="1"/>
  <c r="Y119" i="3" a="1"/>
  <c r="Y119" i="3" s="1"/>
  <c r="AM56" i="3" a="1"/>
  <c r="AM56" i="3" s="1"/>
  <c r="CA95" i="3" a="1"/>
  <c r="CA95" i="3" s="1"/>
  <c r="BB107" i="3" a="1"/>
  <c r="BB107" i="3" s="1"/>
  <c r="BO56" i="3" a="1"/>
  <c r="BO56" i="3" s="1"/>
  <c r="BF119" i="3" a="1"/>
  <c r="BF119" i="3" s="1"/>
  <c r="CW82" i="3" a="1"/>
  <c r="CW82" i="3" s="1"/>
  <c r="BB56" i="3" a="1"/>
  <c r="BB56" i="3" s="1"/>
  <c r="BK43" i="3" a="1"/>
  <c r="BK43" i="3" s="1"/>
  <c r="BU43" i="3" a="1"/>
  <c r="BU43" i="3" s="1"/>
  <c r="CY56" i="3" a="1"/>
  <c r="CY56" i="3" s="1"/>
  <c r="BC56" i="3" a="1"/>
  <c r="BC56" i="3" s="1"/>
  <c r="C82" i="3" a="1"/>
  <c r="C82" i="3" s="1"/>
  <c r="S82" i="3" a="1"/>
  <c r="S82" i="3" s="1"/>
  <c r="BL107" i="3" a="1"/>
  <c r="BL107" i="3" s="1"/>
  <c r="CP82" i="3" a="1"/>
  <c r="CP82" i="3" s="1"/>
  <c r="I107" i="3" a="1"/>
  <c r="I107" i="3" s="1"/>
  <c r="CA43" i="3" a="1"/>
  <c r="CA43" i="3" s="1"/>
  <c r="BP43" i="3" a="1"/>
  <c r="BP43" i="3" s="1"/>
  <c r="V70" i="3" a="1"/>
  <c r="V70" i="3" s="1"/>
  <c r="AU43" i="3" a="1"/>
  <c r="AU43" i="3" s="1"/>
  <c r="CC43" i="3" a="1"/>
  <c r="CC43" i="3" s="1"/>
  <c r="AJ43" i="3" a="1"/>
  <c r="AJ43" i="3" s="1"/>
  <c r="AM43" i="3" a="1"/>
  <c r="AM43" i="3" s="1"/>
  <c r="BE43" i="3" a="1"/>
  <c r="BE43" i="3" s="1"/>
  <c r="BW43" i="3" a="1"/>
  <c r="BW43" i="3" s="1"/>
  <c r="BZ43" i="3" a="1"/>
  <c r="BZ43" i="3" s="1"/>
  <c r="Y43" i="3" a="1"/>
  <c r="Y43" i="3" s="1"/>
  <c r="BV119" i="3" a="1"/>
  <c r="BV119" i="3" s="1"/>
  <c r="S95" i="3" a="1"/>
  <c r="S95" i="3" s="1"/>
  <c r="BO119" i="3" a="1"/>
  <c r="BO119" i="3" s="1"/>
  <c r="BQ95" i="3" a="1"/>
  <c r="BQ95" i="3" s="1"/>
  <c r="S107" i="3" a="1"/>
  <c r="S107" i="3" s="1"/>
  <c r="AY95" i="3" a="1"/>
  <c r="AY95" i="3" s="1"/>
  <c r="DM95" i="3" a="1"/>
  <c r="DM95" i="3" s="1"/>
  <c r="BU70" i="3" a="1"/>
  <c r="BU70" i="3" s="1"/>
  <c r="BW119" i="3" a="1"/>
  <c r="BW119" i="3" s="1"/>
  <c r="BS56" i="3" a="1"/>
  <c r="BS56" i="3" s="1"/>
  <c r="BO95" i="3" a="1"/>
  <c r="BO95" i="3" s="1"/>
  <c r="X107" i="3" a="1"/>
  <c r="X107" i="3" s="1"/>
  <c r="DJ95" i="3" a="1"/>
  <c r="DJ95" i="3" s="1"/>
  <c r="H82" i="3" a="1"/>
  <c r="H82" i="3" s="1"/>
  <c r="DH95" i="3" a="1"/>
  <c r="DH95" i="3" s="1"/>
  <c r="DF119" i="3" a="1"/>
  <c r="DF119" i="3" s="1"/>
  <c r="CB107" i="3" a="1"/>
  <c r="CB107" i="3" s="1"/>
  <c r="CS56" i="3" a="1"/>
  <c r="CS56" i="3" s="1"/>
  <c r="CB119" i="3" a="1"/>
  <c r="CB119" i="3" s="1"/>
  <c r="BX119" i="3" a="1"/>
  <c r="BX119" i="3" s="1"/>
  <c r="BY107" i="3" a="1"/>
  <c r="BY107" i="3" s="1"/>
  <c r="DF107" i="3" a="1"/>
  <c r="DF107" i="3" s="1"/>
  <c r="N82" i="3" a="1"/>
  <c r="N82" i="3" s="1"/>
  <c r="O107" i="3" a="1"/>
  <c r="O107" i="3" s="1"/>
  <c r="BX82" i="3" a="1"/>
  <c r="BX82" i="3" s="1"/>
  <c r="P56" i="3" a="1"/>
  <c r="P56" i="3" s="1"/>
  <c r="M70" i="3" a="1"/>
  <c r="M70" i="3" s="1"/>
  <c r="BV107" i="3" a="1"/>
  <c r="BV107" i="3" s="1"/>
  <c r="BU82" i="3" a="1"/>
  <c r="BU82" i="3" s="1"/>
  <c r="CL107" i="3" a="1"/>
  <c r="CL107" i="3" s="1"/>
  <c r="Y56" i="3" a="1"/>
  <c r="Y56" i="3" s="1"/>
  <c r="CB70" i="3" a="1"/>
  <c r="CB70" i="3" s="1"/>
  <c r="CK82" i="3" a="1"/>
  <c r="CK82" i="3" s="1"/>
  <c r="AD82" i="3" a="1"/>
  <c r="AD82" i="3" s="1"/>
  <c r="BJ119" i="3" a="1"/>
  <c r="BJ119" i="3" s="1"/>
  <c r="CJ82" i="3" a="1"/>
  <c r="CJ82" i="3" s="1"/>
  <c r="AM70" i="3" a="1"/>
  <c r="AM70" i="3" s="1"/>
  <c r="CZ107" i="3" a="1"/>
  <c r="CZ107" i="3" s="1"/>
  <c r="CM70" i="3" a="1"/>
  <c r="CM70" i="3" s="1"/>
  <c r="AH56" i="3" a="1"/>
  <c r="AH56" i="3" s="1"/>
  <c r="K82" i="3" a="1"/>
  <c r="K82" i="3" s="1"/>
  <c r="M119" i="3" a="1"/>
  <c r="M119" i="3" s="1"/>
  <c r="BY119" i="3" a="1"/>
  <c r="BY119" i="3" s="1"/>
  <c r="CS43" i="3" a="1"/>
  <c r="CS43" i="3" s="1"/>
  <c r="AC43" i="3" a="1"/>
  <c r="AC43" i="3" s="1"/>
  <c r="AX119" i="3" a="1"/>
  <c r="AX119" i="3" s="1"/>
  <c r="E107" i="3" a="1"/>
  <c r="E107" i="3" s="1"/>
  <c r="BB70" i="3" a="1"/>
  <c r="BB70" i="3" s="1"/>
  <c r="CU107" i="3" a="1"/>
  <c r="CU107" i="3" s="1"/>
  <c r="BD56" i="3" a="1"/>
  <c r="BD56" i="3" s="1"/>
  <c r="CK56" i="3" a="1"/>
  <c r="CK56" i="3" s="1"/>
  <c r="CR56" i="3" a="1"/>
  <c r="CR56" i="3" s="1"/>
  <c r="Q70" i="3" a="1"/>
  <c r="Q70" i="3" s="1"/>
  <c r="DE95" i="3" a="1"/>
  <c r="DE95" i="3" s="1"/>
  <c r="AP56" i="3" a="1"/>
  <c r="AP56" i="3" s="1"/>
  <c r="CM119" i="3" a="1"/>
  <c r="CM119" i="3" s="1"/>
  <c r="W107" i="3" a="1"/>
  <c r="W107" i="3" s="1"/>
  <c r="AQ82" i="3" a="1"/>
  <c r="AQ82" i="3" s="1"/>
  <c r="U107" i="3" a="1"/>
  <c r="U107" i="3" s="1"/>
  <c r="DC43" i="3" a="1"/>
  <c r="DC43" i="3" s="1"/>
  <c r="AK70" i="3" a="1"/>
  <c r="AK70" i="3" s="1"/>
  <c r="BN107" i="3" a="1"/>
  <c r="BN107" i="3" s="1"/>
  <c r="AI70" i="3" a="1"/>
  <c r="AI70" i="3" s="1"/>
  <c r="BS82" i="3" a="1"/>
  <c r="BS82" i="3" s="1"/>
  <c r="BT119" i="3" a="1"/>
  <c r="BT119" i="3" s="1"/>
  <c r="CS119" i="3" a="1"/>
  <c r="CS119" i="3" s="1"/>
  <c r="F20" i="13"/>
  <c r="BQ119" i="3" a="1"/>
  <c r="BQ119" i="3" s="1"/>
  <c r="V119" i="3" a="1"/>
  <c r="V119" i="3" s="1"/>
  <c r="CF43" i="3" a="1"/>
  <c r="CF43" i="3" s="1"/>
  <c r="L20" i="13"/>
  <c r="I20" i="13"/>
  <c r="K20" i="13"/>
  <c r="J20" i="13"/>
  <c r="G93" i="13"/>
  <c r="F97" i="13"/>
  <c r="J93" i="13"/>
  <c r="J88" i="13"/>
  <c r="J13" i="4" s="1"/>
  <c r="J89" i="13" a="1"/>
  <c r="J89" i="13" s="1"/>
  <c r="F89" i="13" a="1"/>
  <c r="F89" i="13" s="1"/>
  <c r="E97" i="13"/>
  <c r="D89" i="13" a="1"/>
  <c r="D89" i="13" s="1"/>
  <c r="E89" i="13" a="1"/>
  <c r="E89" i="13" s="1"/>
  <c r="H88" i="13"/>
  <c r="H13" i="4" s="1"/>
  <c r="E88" i="13"/>
  <c r="E13" i="4" s="1"/>
  <c r="D97" i="13"/>
  <c r="CU42" i="3" a="1"/>
  <c r="CU42" i="3" s="1"/>
  <c r="I97" i="13"/>
  <c r="K97" i="13"/>
  <c r="C89" i="13" a="1"/>
  <c r="C89" i="13" s="1"/>
  <c r="L91" i="13" a="1"/>
  <c r="L91" i="13" s="1"/>
  <c r="L92" i="13" a="1"/>
  <c r="L92" i="13" s="1"/>
  <c r="G91" i="13" a="1"/>
  <c r="G91" i="13" s="1"/>
  <c r="G92" i="13" a="1"/>
  <c r="G92" i="13" s="1"/>
  <c r="C92" i="13" a="1"/>
  <c r="C92" i="13" s="1"/>
  <c r="C91" i="13" a="1"/>
  <c r="C91" i="13" s="1"/>
  <c r="G101" i="13" a="1"/>
  <c r="G101" i="13" s="1"/>
  <c r="H101" i="13" a="1"/>
  <c r="H101" i="13" s="1"/>
  <c r="H89" i="13" a="1"/>
  <c r="H89" i="13" s="1"/>
  <c r="D88" i="13"/>
  <c r="D13" i="4" s="1"/>
  <c r="F93" i="13"/>
  <c r="D92" i="13" a="1"/>
  <c r="D92" i="13" s="1"/>
  <c r="D91" i="13" a="1"/>
  <c r="D91" i="13" s="1"/>
  <c r="E92" i="13" a="1"/>
  <c r="E92" i="13" s="1"/>
  <c r="E91" i="13" a="1"/>
  <c r="E91" i="13" s="1"/>
  <c r="E93" i="13"/>
  <c r="G89" i="13" a="1"/>
  <c r="G89" i="13" s="1"/>
  <c r="F101" i="13" a="1"/>
  <c r="F101" i="13" s="1"/>
  <c r="J91" i="13" a="1"/>
  <c r="J91" i="13" s="1"/>
  <c r="J92" i="13" a="1"/>
  <c r="J92" i="13" s="1"/>
  <c r="AV118" i="3" a="1"/>
  <c r="AV118" i="3" s="1"/>
  <c r="C97" i="13"/>
  <c r="L97" i="13"/>
  <c r="I93" i="13"/>
  <c r="L88" i="13"/>
  <c r="L13" i="4" s="1"/>
  <c r="K88" i="13"/>
  <c r="K13" i="4" s="1"/>
  <c r="C88" i="13"/>
  <c r="C13" i="4" s="1"/>
  <c r="K101" i="13" a="1"/>
  <c r="K101" i="13" s="1"/>
  <c r="C101" i="13" a="1"/>
  <c r="C101" i="13" s="1"/>
  <c r="H97" i="13"/>
  <c r="D93" i="13"/>
  <c r="L89" i="13" a="1"/>
  <c r="L89" i="13" s="1"/>
  <c r="F88" i="13"/>
  <c r="F13" i="4" s="1"/>
  <c r="BY41" i="3" a="1"/>
  <c r="BY41" i="3" s="1"/>
  <c r="I89" i="13" a="1"/>
  <c r="I89" i="13" s="1"/>
  <c r="H92" i="13" a="1"/>
  <c r="H92" i="13" s="1"/>
  <c r="H91" i="13" a="1"/>
  <c r="H91" i="13" s="1"/>
  <c r="L101" i="13" a="1"/>
  <c r="L101" i="13" s="1"/>
  <c r="G88" i="13"/>
  <c r="G13" i="4" s="1"/>
  <c r="K93" i="13"/>
  <c r="G97" i="13"/>
  <c r="K91" i="13" a="1"/>
  <c r="K91" i="13" s="1"/>
  <c r="K92" i="13" a="1"/>
  <c r="K92" i="13" s="1"/>
  <c r="D101" i="13" a="1"/>
  <c r="D101" i="13" s="1"/>
  <c r="C93" i="13"/>
  <c r="I88" i="13"/>
  <c r="I13" i="4" s="1"/>
  <c r="O40" i="3" a="1"/>
  <c r="O40" i="3" s="1"/>
  <c r="J97" i="13"/>
  <c r="L93" i="13"/>
  <c r="K89" i="13" a="1"/>
  <c r="K89" i="13" s="1"/>
  <c r="F92" i="13" a="1"/>
  <c r="F92" i="13" s="1"/>
  <c r="F91" i="13" a="1"/>
  <c r="F91" i="13" s="1"/>
  <c r="I91" i="13" a="1"/>
  <c r="I91" i="13" s="1"/>
  <c r="I92" i="13" a="1"/>
  <c r="I92" i="13" s="1"/>
  <c r="I101" i="13" a="1"/>
  <c r="I101" i="13" s="1"/>
  <c r="H93" i="13"/>
  <c r="AO106" i="3" a="1"/>
  <c r="AO106" i="3" s="1"/>
  <c r="J101" i="13" a="1"/>
  <c r="J101" i="13" s="1"/>
  <c r="CA106" i="3" a="1"/>
  <c r="CA106" i="3" s="1"/>
  <c r="CJ106" i="3" a="1"/>
  <c r="CJ106" i="3" s="1"/>
  <c r="Z42" i="3" a="1"/>
  <c r="Z42" i="3" s="1"/>
  <c r="S42" i="3" a="1"/>
  <c r="S42" i="3" s="1"/>
  <c r="CN41" i="3" a="1"/>
  <c r="CN41" i="3" s="1"/>
  <c r="AQ41" i="3" a="1"/>
  <c r="AQ41" i="3" s="1"/>
  <c r="BH41" i="3" a="1"/>
  <c r="BH41" i="3" s="1"/>
  <c r="DL41" i="3" a="1"/>
  <c r="DL41" i="3" s="1"/>
  <c r="BO41" i="3" a="1"/>
  <c r="BO41" i="3" s="1"/>
  <c r="DG41" i="3" a="1"/>
  <c r="DG41" i="3" s="1"/>
  <c r="BJ41" i="3" a="1"/>
  <c r="BJ41" i="3" s="1"/>
  <c r="AG42" i="3" a="1"/>
  <c r="AG42" i="3" s="1"/>
  <c r="CN42" i="3" a="1"/>
  <c r="CN42" i="3" s="1"/>
  <c r="BH42" i="3" a="1"/>
  <c r="BH42" i="3" s="1"/>
  <c r="CY42" i="3" a="1"/>
  <c r="CY42" i="3" s="1"/>
  <c r="CH42" i="3" a="1"/>
  <c r="CH42" i="3" s="1"/>
  <c r="CF42" i="3" a="1"/>
  <c r="CF42" i="3" s="1"/>
  <c r="CD40" i="3" a="1"/>
  <c r="CD40" i="3" s="1"/>
  <c r="AV40" i="3" a="1"/>
  <c r="AV40" i="3" s="1"/>
  <c r="G40" i="3" a="1"/>
  <c r="G40" i="3" s="1"/>
  <c r="CM40" i="3" a="1"/>
  <c r="CM40" i="3" s="1"/>
  <c r="CK40" i="3" a="1"/>
  <c r="CK40" i="3" s="1"/>
  <c r="AM40" i="3" a="1"/>
  <c r="AM40" i="3" s="1"/>
  <c r="DL40" i="3" a="1"/>
  <c r="DL40" i="3" s="1"/>
  <c r="M41" i="3" a="1"/>
  <c r="M41" i="3" s="1"/>
  <c r="N42" i="3" a="1"/>
  <c r="N42" i="3" s="1"/>
  <c r="K41" i="3" a="1"/>
  <c r="K41" i="3" s="1"/>
  <c r="BI41" i="3" a="1"/>
  <c r="BI41" i="3" s="1"/>
  <c r="G41" i="3" a="1"/>
  <c r="G41" i="3" s="1"/>
  <c r="DN41" i="3" a="1"/>
  <c r="DN41" i="3" s="1"/>
  <c r="CV41" i="3" a="1"/>
  <c r="CV41" i="3" s="1"/>
  <c r="AY41" i="3" a="1"/>
  <c r="AY41" i="3" s="1"/>
  <c r="CQ41" i="3" a="1"/>
  <c r="CQ41" i="3" s="1"/>
  <c r="AT41" i="3" a="1"/>
  <c r="AT41" i="3" s="1"/>
  <c r="DF42" i="3" a="1"/>
  <c r="DF42" i="3" s="1"/>
  <c r="BY42" i="3" a="1"/>
  <c r="BY42" i="3" s="1"/>
  <c r="AR42" i="3" a="1"/>
  <c r="AR42" i="3" s="1"/>
  <c r="CJ42" i="3" a="1"/>
  <c r="CJ42" i="3" s="1"/>
  <c r="BR42" i="3" a="1"/>
  <c r="BR42" i="3" s="1"/>
  <c r="BP42" i="3" a="1"/>
  <c r="BP42" i="3" s="1"/>
  <c r="BN40" i="3" a="1"/>
  <c r="BN40" i="3" s="1"/>
  <c r="AF40" i="3" a="1"/>
  <c r="AF40" i="3" s="1"/>
  <c r="DE40" i="3" a="1"/>
  <c r="DE40" i="3" s="1"/>
  <c r="BW40" i="3" a="1"/>
  <c r="BW40" i="3" s="1"/>
  <c r="BU40" i="3" a="1"/>
  <c r="BU40" i="3" s="1"/>
  <c r="T40" i="3" a="1"/>
  <c r="T40" i="3" s="1"/>
  <c r="CV40" i="3" a="1"/>
  <c r="CV40" i="3" s="1"/>
  <c r="Y41" i="3" a="1"/>
  <c r="Y41" i="3" s="1"/>
  <c r="W41" i="3" a="1"/>
  <c r="W41" i="3" s="1"/>
  <c r="J41" i="3" a="1"/>
  <c r="J41" i="3" s="1"/>
  <c r="L42" i="3" a="1"/>
  <c r="L42" i="3" s="1"/>
  <c r="AS41" i="3" a="1"/>
  <c r="AS41" i="3" s="1"/>
  <c r="DP41" i="3" a="1"/>
  <c r="DP41" i="3" s="1"/>
  <c r="CX41" i="3" a="1"/>
  <c r="CX41" i="3" s="1"/>
  <c r="CF41" i="3" a="1"/>
  <c r="CF41" i="3" s="1"/>
  <c r="AJ41" i="3" a="1"/>
  <c r="AJ41" i="3" s="1"/>
  <c r="CA41" i="3" a="1"/>
  <c r="CA41" i="3" s="1"/>
  <c r="AD41" i="3" a="1"/>
  <c r="AD41" i="3" s="1"/>
  <c r="CP42" i="3" a="1"/>
  <c r="CP42" i="3" s="1"/>
  <c r="BJ42" i="3" a="1"/>
  <c r="BJ42" i="3" s="1"/>
  <c r="U42" i="3" a="1"/>
  <c r="U42" i="3" s="1"/>
  <c r="BT42" i="3" a="1"/>
  <c r="BT42" i="3" s="1"/>
  <c r="BC42" i="3" a="1"/>
  <c r="BC42" i="3" s="1"/>
  <c r="BA42" i="3" a="1"/>
  <c r="BA42" i="3" s="1"/>
  <c r="P40" i="3" a="1"/>
  <c r="P40" i="3" s="1"/>
  <c r="AX40" i="3" a="1"/>
  <c r="AX40" i="3" s="1"/>
  <c r="J40" i="3" a="1"/>
  <c r="J40" i="3" s="1"/>
  <c r="CO40" i="3" a="1"/>
  <c r="CO40" i="3" s="1"/>
  <c r="BG40" i="3" a="1"/>
  <c r="BG40" i="3" s="1"/>
  <c r="BE40" i="3" a="1"/>
  <c r="BE40" i="3" s="1"/>
  <c r="DN40" i="3" a="1"/>
  <c r="DN40" i="3" s="1"/>
  <c r="CF40" i="3" a="1"/>
  <c r="CF40" i="3" s="1"/>
  <c r="I41" i="3" a="1"/>
  <c r="I41" i="3" s="1"/>
  <c r="S41" i="3" a="1"/>
  <c r="S41" i="3" s="1"/>
  <c r="CZ41" i="3" a="1"/>
  <c r="CZ41" i="3" s="1"/>
  <c r="CH41" i="3" a="1"/>
  <c r="CH41" i="3" s="1"/>
  <c r="BQ41" i="3" a="1"/>
  <c r="BQ41" i="3" s="1"/>
  <c r="DC41" i="3" a="1"/>
  <c r="DC41" i="3" s="1"/>
  <c r="BL41" i="3" a="1"/>
  <c r="BL41" i="3" s="1"/>
  <c r="CA42" i="3" a="1"/>
  <c r="CA42" i="3" s="1"/>
  <c r="AT42" i="3" a="1"/>
  <c r="AT42" i="3" s="1"/>
  <c r="DQ42" i="3" a="1"/>
  <c r="DQ42" i="3" s="1"/>
  <c r="BE42" i="3" a="1"/>
  <c r="BE42" i="3" s="1"/>
  <c r="AM42" i="3" a="1"/>
  <c r="AM42" i="3" s="1"/>
  <c r="AK42" i="3" a="1"/>
  <c r="AK42" i="3" s="1"/>
  <c r="AH40" i="3" a="1"/>
  <c r="AH40" i="3" s="1"/>
  <c r="DG40" i="3" a="1"/>
  <c r="DG40" i="3" s="1"/>
  <c r="BY40" i="3" a="1"/>
  <c r="BY40" i="3" s="1"/>
  <c r="AQ40" i="3" a="1"/>
  <c r="AQ40" i="3" s="1"/>
  <c r="AO40" i="3" a="1"/>
  <c r="AO40" i="3" s="1"/>
  <c r="CX40" i="3" a="1"/>
  <c r="CX40" i="3" s="1"/>
  <c r="BP40" i="3" a="1"/>
  <c r="BP40" i="3" s="1"/>
  <c r="L118" i="3" a="1"/>
  <c r="L118" i="3" s="1"/>
  <c r="U41" i="3" a="1"/>
  <c r="U41" i="3" s="1"/>
  <c r="DR41" i="3" a="1"/>
  <c r="DR41" i="3" s="1"/>
  <c r="CJ41" i="3" a="1"/>
  <c r="CJ41" i="3" s="1"/>
  <c r="BS41" i="3" a="1"/>
  <c r="BS41" i="3" s="1"/>
  <c r="BA41" i="3" a="1"/>
  <c r="BA41" i="3" s="1"/>
  <c r="DI41" i="3" a="1"/>
  <c r="DI41" i="3" s="1"/>
  <c r="AV41" i="3" a="1"/>
  <c r="AV41" i="3" s="1"/>
  <c r="DI42" i="3" a="1"/>
  <c r="DI42" i="3" s="1"/>
  <c r="BL42" i="3" a="1"/>
  <c r="BL42" i="3" s="1"/>
  <c r="W42" i="3" a="1"/>
  <c r="W42" i="3" s="1"/>
  <c r="DA42" i="3" a="1"/>
  <c r="DA42" i="3" s="1"/>
  <c r="AO42" i="3" a="1"/>
  <c r="AO42" i="3" s="1"/>
  <c r="H42" i="3" a="1"/>
  <c r="H42" i="3" s="1"/>
  <c r="F42" i="3" a="1"/>
  <c r="F42" i="3" s="1"/>
  <c r="L40" i="3" a="1"/>
  <c r="L40" i="3" s="1"/>
  <c r="CQ40" i="3" a="1"/>
  <c r="CQ40" i="3" s="1"/>
  <c r="BI40" i="3" a="1"/>
  <c r="BI40" i="3" s="1"/>
  <c r="X40" i="3" a="1"/>
  <c r="X40" i="3" s="1"/>
  <c r="V40" i="3" a="1"/>
  <c r="V40" i="3" s="1"/>
  <c r="CH40" i="3" a="1"/>
  <c r="CH40" i="3" s="1"/>
  <c r="AZ40" i="3" a="1"/>
  <c r="AZ40" i="3" s="1"/>
  <c r="AF41" i="3" a="1"/>
  <c r="AF41" i="3" s="1"/>
  <c r="P42" i="3" a="1"/>
  <c r="P42" i="3" s="1"/>
  <c r="DB41" i="3" a="1"/>
  <c r="DB41" i="3" s="1"/>
  <c r="BU41" i="3" a="1"/>
  <c r="BU41" i="3" s="1"/>
  <c r="BC41" i="3" a="1"/>
  <c r="BC41" i="3" s="1"/>
  <c r="AL41" i="3" a="1"/>
  <c r="AL41" i="3" s="1"/>
  <c r="CS41" i="3" a="1"/>
  <c r="CS41" i="3" s="1"/>
  <c r="AG41" i="3" a="1"/>
  <c r="AG41" i="3" s="1"/>
  <c r="CS42" i="3" a="1"/>
  <c r="CS42" i="3" s="1"/>
  <c r="AV42" i="3" a="1"/>
  <c r="AV42" i="3" s="1"/>
  <c r="DC42" i="3" a="1"/>
  <c r="DC42" i="3" s="1"/>
  <c r="BV42" i="3" a="1"/>
  <c r="BV42" i="3" s="1"/>
  <c r="J42" i="3" a="1"/>
  <c r="J42" i="3" s="1"/>
  <c r="BN42" i="3" a="1"/>
  <c r="BN42" i="3" s="1"/>
  <c r="CC42" i="3" a="1"/>
  <c r="CC42" i="3" s="1"/>
  <c r="DI40" i="3" a="1"/>
  <c r="DI40" i="3" s="1"/>
  <c r="CA40" i="3" a="1"/>
  <c r="CA40" i="3" s="1"/>
  <c r="AS40" i="3" a="1"/>
  <c r="AS40" i="3" s="1"/>
  <c r="D40" i="3" a="1"/>
  <c r="D40" i="3" s="1"/>
  <c r="DP40" i="3" a="1"/>
  <c r="DP40" i="3" s="1"/>
  <c r="BR40" i="3" a="1"/>
  <c r="BR40" i="3" s="1"/>
  <c r="AJ40" i="3" a="1"/>
  <c r="AJ40" i="3" s="1"/>
  <c r="CB118" i="3" a="1"/>
  <c r="CB118" i="3" s="1"/>
  <c r="P41" i="3" a="1"/>
  <c r="P41" i="3" s="1"/>
  <c r="T41" i="3" a="1"/>
  <c r="T41" i="3" s="1"/>
  <c r="AB42" i="3" a="1"/>
  <c r="AB42" i="3" s="1"/>
  <c r="CL41" i="3" a="1"/>
  <c r="CL41" i="3" s="1"/>
  <c r="BE41" i="3" a="1"/>
  <c r="BE41" i="3" s="1"/>
  <c r="AN41" i="3" a="1"/>
  <c r="AN41" i="3" s="1"/>
  <c r="DK41" i="3" a="1"/>
  <c r="DK41" i="3" s="1"/>
  <c r="CC41" i="3" a="1"/>
  <c r="CC41" i="3" s="1"/>
  <c r="AR41" i="3" a="1"/>
  <c r="AR41" i="3" s="1"/>
  <c r="CD42" i="3" a="1"/>
  <c r="CD42" i="3" s="1"/>
  <c r="AE42" i="3" a="1"/>
  <c r="AE42" i="3" s="1"/>
  <c r="CM42" i="3" a="1"/>
  <c r="CM42" i="3" s="1"/>
  <c r="BG42" i="3" a="1"/>
  <c r="BG42" i="3" s="1"/>
  <c r="DN42" i="3" a="1"/>
  <c r="DN42" i="3" s="1"/>
  <c r="DL42" i="3" a="1"/>
  <c r="DL42" i="3" s="1"/>
  <c r="DJ42" i="3" a="1"/>
  <c r="DJ42" i="3" s="1"/>
  <c r="CS40" i="3" a="1"/>
  <c r="CS40" i="3" s="1"/>
  <c r="BK40" i="3" a="1"/>
  <c r="BK40" i="3" s="1"/>
  <c r="Z40" i="3" a="1"/>
  <c r="Z40" i="3" s="1"/>
  <c r="DR40" i="3" a="1"/>
  <c r="DR40" i="3" s="1"/>
  <c r="CZ40" i="3" a="1"/>
  <c r="CZ40" i="3" s="1"/>
  <c r="BB40" i="3" a="1"/>
  <c r="BB40" i="3" s="1"/>
  <c r="N40" i="3" a="1"/>
  <c r="N40" i="3" s="1"/>
  <c r="CC118" i="3" a="1"/>
  <c r="CC118" i="3" s="1"/>
  <c r="BL106" i="3" a="1"/>
  <c r="BL106" i="3" s="1"/>
  <c r="DH106" i="3" a="1"/>
  <c r="DH106" i="3" s="1"/>
  <c r="AB41" i="3" a="1"/>
  <c r="AB41" i="3" s="1"/>
  <c r="BW41" i="3" a="1"/>
  <c r="BW41" i="3" s="1"/>
  <c r="AP41" i="3" a="1"/>
  <c r="AP41" i="3" s="1"/>
  <c r="D41" i="3" a="1"/>
  <c r="D41" i="3" s="1"/>
  <c r="CU41" i="3" a="1"/>
  <c r="CU41" i="3" s="1"/>
  <c r="BN41" i="3" a="1"/>
  <c r="BN41" i="3" s="1"/>
  <c r="DF41" i="3" a="1"/>
  <c r="DF41" i="3" s="1"/>
  <c r="AY42" i="3" a="1"/>
  <c r="AY42" i="3" s="1"/>
  <c r="AH42" i="3" a="1"/>
  <c r="AH42" i="3" s="1"/>
  <c r="BX42" i="3" a="1"/>
  <c r="BX42" i="3" s="1"/>
  <c r="AQ42" i="3" a="1"/>
  <c r="AQ42" i="3" s="1"/>
  <c r="CX42" i="3" a="1"/>
  <c r="CX42" i="3" s="1"/>
  <c r="CV42" i="3" a="1"/>
  <c r="CV42" i="3" s="1"/>
  <c r="CT42" i="3" a="1"/>
  <c r="CT42" i="3" s="1"/>
  <c r="CC40" i="3" a="1"/>
  <c r="CC40" i="3" s="1"/>
  <c r="AU40" i="3" a="1"/>
  <c r="AU40" i="3" s="1"/>
  <c r="F40" i="3" a="1"/>
  <c r="F40" i="3" s="1"/>
  <c r="DB40" i="3" a="1"/>
  <c r="DB40" i="3" s="1"/>
  <c r="CJ40" i="3" a="1"/>
  <c r="CJ40" i="3" s="1"/>
  <c r="AL40" i="3" a="1"/>
  <c r="AL40" i="3" s="1"/>
  <c r="DK40" i="3" a="1"/>
  <c r="DK40" i="3" s="1"/>
  <c r="AW118" i="3" a="1"/>
  <c r="AW118" i="3" s="1"/>
  <c r="N41" i="3" a="1"/>
  <c r="N41" i="3" s="1"/>
  <c r="O42" i="3" a="1"/>
  <c r="O42" i="3" s="1"/>
  <c r="BG41" i="3" a="1"/>
  <c r="BG41" i="3" s="1"/>
  <c r="F41" i="3" a="1"/>
  <c r="F41" i="3" s="1"/>
  <c r="DM41" i="3" a="1"/>
  <c r="DM41" i="3" s="1"/>
  <c r="CE41" i="3" a="1"/>
  <c r="CE41" i="3" s="1"/>
  <c r="AX41" i="3" a="1"/>
  <c r="AX41" i="3" s="1"/>
  <c r="CP41" i="3" a="1"/>
  <c r="CP41" i="3" s="1"/>
  <c r="AI42" i="3" a="1"/>
  <c r="AI42" i="3" s="1"/>
  <c r="DE42" i="3" a="1"/>
  <c r="DE42" i="3" s="1"/>
  <c r="BI42" i="3" a="1"/>
  <c r="BI42" i="3" s="1"/>
  <c r="R42" i="3" a="1"/>
  <c r="R42" i="3" s="1"/>
  <c r="CI42" i="3" a="1"/>
  <c r="CI42" i="3" s="1"/>
  <c r="CG42" i="3" a="1"/>
  <c r="CG42" i="3" s="1"/>
  <c r="CE42" i="3" a="1"/>
  <c r="CE42" i="3" s="1"/>
  <c r="BM40" i="3" a="1"/>
  <c r="BM40" i="3" s="1"/>
  <c r="AC40" i="3" a="1"/>
  <c r="AC40" i="3" s="1"/>
  <c r="DD40" i="3" a="1"/>
  <c r="DD40" i="3" s="1"/>
  <c r="CL40" i="3" a="1"/>
  <c r="CL40" i="3" s="1"/>
  <c r="BT40" i="3" a="1"/>
  <c r="BT40" i="3" s="1"/>
  <c r="Q40" i="3" a="1"/>
  <c r="Q40" i="3" s="1"/>
  <c r="CU40" i="3" a="1"/>
  <c r="CU40" i="3" s="1"/>
  <c r="Z41" i="3" a="1"/>
  <c r="Z41" i="3" s="1"/>
  <c r="AA42" i="3" a="1"/>
  <c r="AA42" i="3" s="1"/>
  <c r="H41" i="3" a="1"/>
  <c r="H41" i="3" s="1"/>
  <c r="DO41" i="3" a="1"/>
  <c r="DO41" i="3" s="1"/>
  <c r="CW41" i="3" a="1"/>
  <c r="CW41" i="3" s="1"/>
  <c r="BP41" i="3" a="1"/>
  <c r="BP41" i="3" s="1"/>
  <c r="AI41" i="3" a="1"/>
  <c r="AI41" i="3" s="1"/>
  <c r="BZ41" i="3" a="1"/>
  <c r="BZ41" i="3" s="1"/>
  <c r="D42" i="3" a="1"/>
  <c r="D42" i="3" s="1"/>
  <c r="CO42" i="3" a="1"/>
  <c r="CO42" i="3" s="1"/>
  <c r="AS42" i="3" a="1"/>
  <c r="AS42" i="3" s="1"/>
  <c r="CZ42" i="3" a="1"/>
  <c r="CZ42" i="3" s="1"/>
  <c r="BS42" i="3" a="1"/>
  <c r="BS42" i="3" s="1"/>
  <c r="BQ42" i="3" a="1"/>
  <c r="BQ42" i="3" s="1"/>
  <c r="BO42" i="3" a="1"/>
  <c r="BO42" i="3" s="1"/>
  <c r="AW40" i="3" a="1"/>
  <c r="AW40" i="3" s="1"/>
  <c r="H40" i="3" a="1"/>
  <c r="H40" i="3" s="1"/>
  <c r="CN40" i="3" a="1"/>
  <c r="CN40" i="3" s="1"/>
  <c r="BV40" i="3" a="1"/>
  <c r="BV40" i="3" s="1"/>
  <c r="BD40" i="3" a="1"/>
  <c r="BD40" i="3" s="1"/>
  <c r="DM40" i="3" a="1"/>
  <c r="DM40" i="3" s="1"/>
  <c r="CE40" i="3" a="1"/>
  <c r="CE40" i="3" s="1"/>
  <c r="AR118" i="3" a="1"/>
  <c r="AR118" i="3" s="1"/>
  <c r="Q41" i="3" a="1"/>
  <c r="Q41" i="3" s="1"/>
  <c r="R41" i="3" a="1"/>
  <c r="R41" i="3" s="1"/>
  <c r="CY41" i="3" a="1"/>
  <c r="CY41" i="3" s="1"/>
  <c r="CG41" i="3" a="1"/>
  <c r="CG41" i="3" s="1"/>
  <c r="AZ41" i="3" a="1"/>
  <c r="AZ41" i="3" s="1"/>
  <c r="DH41" i="3" a="1"/>
  <c r="DH41" i="3" s="1"/>
  <c r="BK41" i="3" a="1"/>
  <c r="BK41" i="3" s="1"/>
  <c r="DH42" i="3" a="1"/>
  <c r="DH42" i="3" s="1"/>
  <c r="BZ42" i="3" a="1"/>
  <c r="BZ42" i="3" s="1"/>
  <c r="V42" i="3" a="1"/>
  <c r="V42" i="3" s="1"/>
  <c r="CK42" i="3" a="1"/>
  <c r="CK42" i="3" s="1"/>
  <c r="BD42" i="3" a="1"/>
  <c r="BD42" i="3" s="1"/>
  <c r="BB42" i="3" a="1"/>
  <c r="BB42" i="3" s="1"/>
  <c r="AZ42" i="3" a="1"/>
  <c r="AZ42" i="3" s="1"/>
  <c r="AG40" i="3" a="1"/>
  <c r="AG40" i="3" s="1"/>
  <c r="DF40" i="3" a="1"/>
  <c r="DF40" i="3" s="1"/>
  <c r="BX40" i="3" a="1"/>
  <c r="BX40" i="3" s="1"/>
  <c r="BF40" i="3" a="1"/>
  <c r="BF40" i="3" s="1"/>
  <c r="AN40" i="3" a="1"/>
  <c r="AN40" i="3" s="1"/>
  <c r="CW40" i="3" a="1"/>
  <c r="CW40" i="3" s="1"/>
  <c r="BO40" i="3" a="1"/>
  <c r="BO40" i="3" s="1"/>
  <c r="AC41" i="3" a="1"/>
  <c r="AC41" i="3" s="1"/>
  <c r="DQ41" i="3" a="1"/>
  <c r="DQ41" i="3" s="1"/>
  <c r="CI41" i="3" a="1"/>
  <c r="CI41" i="3" s="1"/>
  <c r="BR41" i="3" a="1"/>
  <c r="BR41" i="3" s="1"/>
  <c r="AK41" i="3" a="1"/>
  <c r="AK41" i="3" s="1"/>
  <c r="CR41" i="3" a="1"/>
  <c r="CR41" i="3" s="1"/>
  <c r="AU41" i="3" a="1"/>
  <c r="AU41" i="3" s="1"/>
  <c r="DG42" i="3" a="1"/>
  <c r="DG42" i="3" s="1"/>
  <c r="BK42" i="3" a="1"/>
  <c r="BK42" i="3" s="1"/>
  <c r="CR42" i="3" a="1"/>
  <c r="CR42" i="3" s="1"/>
  <c r="BU42" i="3" a="1"/>
  <c r="BU42" i="3" s="1"/>
  <c r="AN42" i="3" a="1"/>
  <c r="AN42" i="3" s="1"/>
  <c r="AL42" i="3" a="1"/>
  <c r="AL42" i="3" s="1"/>
  <c r="AJ42" i="3" a="1"/>
  <c r="AJ42" i="3" s="1"/>
  <c r="K40" i="3" a="1"/>
  <c r="K40" i="3" s="1"/>
  <c r="CP40" i="3" a="1"/>
  <c r="CP40" i="3" s="1"/>
  <c r="BH40" i="3" a="1"/>
  <c r="BH40" i="3" s="1"/>
  <c r="AP40" i="3" a="1"/>
  <c r="AP40" i="3" s="1"/>
  <c r="DO40" i="3" a="1"/>
  <c r="DO40" i="3" s="1"/>
  <c r="CG40" i="3" a="1"/>
  <c r="CG40" i="3" s="1"/>
  <c r="AY40" i="3" a="1"/>
  <c r="AY40" i="3" s="1"/>
  <c r="BT118" i="3" a="1"/>
  <c r="BT118" i="3" s="1"/>
  <c r="L106" i="3" a="1"/>
  <c r="L106" i="3" s="1"/>
  <c r="CM118" i="3" a="1"/>
  <c r="CM118" i="3" s="1"/>
  <c r="Q42" i="3" a="1"/>
  <c r="Q42" i="3" s="1"/>
  <c r="L41" i="3" a="1"/>
  <c r="L41" i="3" s="1"/>
  <c r="AB40" i="3" a="1"/>
  <c r="AB40" i="3" s="1"/>
  <c r="DA41" i="3" a="1"/>
  <c r="DA41" i="3" s="1"/>
  <c r="BT41" i="3" a="1"/>
  <c r="BT41" i="3" s="1"/>
  <c r="BB41" i="3" a="1"/>
  <c r="BB41" i="3" s="1"/>
  <c r="CM41" i="3" a="1"/>
  <c r="CM41" i="3" s="1"/>
  <c r="CB41" i="3" a="1"/>
  <c r="CB41" i="3" s="1"/>
  <c r="AE41" i="3" a="1"/>
  <c r="AE41" i="3" s="1"/>
  <c r="CQ42" i="3" a="1"/>
  <c r="CQ42" i="3" s="1"/>
  <c r="AU42" i="3" a="1"/>
  <c r="AU42" i="3" s="1"/>
  <c r="DR42" i="3" a="1"/>
  <c r="DR42" i="3" s="1"/>
  <c r="BF42" i="3" a="1"/>
  <c r="BF42" i="3" s="1"/>
  <c r="I42" i="3" a="1"/>
  <c r="I42" i="3" s="1"/>
  <c r="G42" i="3" a="1"/>
  <c r="G42" i="3" s="1"/>
  <c r="E42" i="3" a="1"/>
  <c r="E42" i="3" s="1"/>
  <c r="DH40" i="3" a="1"/>
  <c r="DH40" i="3" s="1"/>
  <c r="BZ40" i="3" a="1"/>
  <c r="BZ40" i="3" s="1"/>
  <c r="AR40" i="3" a="1"/>
  <c r="AR40" i="3" s="1"/>
  <c r="W40" i="3" a="1"/>
  <c r="W40" i="3" s="1"/>
  <c r="CY40" i="3" a="1"/>
  <c r="CY40" i="3" s="1"/>
  <c r="BQ40" i="3" a="1"/>
  <c r="BQ40" i="3" s="1"/>
  <c r="AI40" i="3" a="1"/>
  <c r="AI40" i="3" s="1"/>
  <c r="X42" i="3" a="1"/>
  <c r="X42" i="3" s="1"/>
  <c r="DB118" i="3" a="1"/>
  <c r="DB118" i="3" s="1"/>
  <c r="AC42" i="3" a="1"/>
  <c r="AC42" i="3" s="1"/>
  <c r="O41" i="3" a="1"/>
  <c r="O41" i="3" s="1"/>
  <c r="X41" i="3" a="1"/>
  <c r="X41" i="3" s="1"/>
  <c r="CK41" i="3" a="1"/>
  <c r="CK41" i="3" s="1"/>
  <c r="BD41" i="3" a="1"/>
  <c r="BD41" i="3" s="1"/>
  <c r="AM41" i="3" a="1"/>
  <c r="AM41" i="3" s="1"/>
  <c r="DJ41" i="3" a="1"/>
  <c r="DJ41" i="3" s="1"/>
  <c r="BM41" i="3" a="1"/>
  <c r="BM41" i="3" s="1"/>
  <c r="DE41" i="3" a="1"/>
  <c r="DE41" i="3" s="1"/>
  <c r="CB42" i="3" a="1"/>
  <c r="CB42" i="3" s="1"/>
  <c r="AD42" i="3" a="1"/>
  <c r="AD42" i="3" s="1"/>
  <c r="DB42" i="3" a="1"/>
  <c r="DB42" i="3" s="1"/>
  <c r="AP42" i="3" a="1"/>
  <c r="AP42" i="3" s="1"/>
  <c r="C42" i="3" a="1"/>
  <c r="C42" i="3" s="1"/>
  <c r="DP42" i="3" a="1"/>
  <c r="DP42" i="3" s="1"/>
  <c r="V41" i="3" a="1"/>
  <c r="V41" i="3" s="1"/>
  <c r="CR40" i="3" a="1"/>
  <c r="CR40" i="3" s="1"/>
  <c r="BJ40" i="3" a="1"/>
  <c r="BJ40" i="3" s="1"/>
  <c r="Y40" i="3" a="1"/>
  <c r="Y40" i="3" s="1"/>
  <c r="C40" i="3" a="1"/>
  <c r="C40" i="3" s="1"/>
  <c r="CI40" i="3" a="1"/>
  <c r="CI40" i="3" s="1"/>
  <c r="BA40" i="3" a="1"/>
  <c r="BA40" i="3" s="1"/>
  <c r="M40" i="3" a="1"/>
  <c r="M40" i="3" s="1"/>
  <c r="R40" i="3" a="1"/>
  <c r="R40" i="3" s="1"/>
  <c r="T42" i="3" a="1"/>
  <c r="T42" i="3" s="1"/>
  <c r="AP118" i="3" a="1"/>
  <c r="AP118" i="3" s="1"/>
  <c r="Y42" i="3" a="1"/>
  <c r="Y42" i="3" s="1"/>
  <c r="I40" i="3" a="1"/>
  <c r="I40" i="3" s="1"/>
  <c r="AA41" i="3" a="1"/>
  <c r="AA41" i="3" s="1"/>
  <c r="AE40" i="3" a="1"/>
  <c r="AE40" i="3" s="1"/>
  <c r="BV41" i="3" a="1"/>
  <c r="BV41" i="3" s="1"/>
  <c r="AO41" i="3" a="1"/>
  <c r="AO41" i="3" s="1"/>
  <c r="C41" i="3" a="1"/>
  <c r="C41" i="3" s="1"/>
  <c r="CT41" i="3" a="1"/>
  <c r="CT41" i="3" s="1"/>
  <c r="AW41" i="3" a="1"/>
  <c r="AW41" i="3" s="1"/>
  <c r="CO41" i="3" a="1"/>
  <c r="CO41" i="3" s="1"/>
  <c r="BM42" i="3" a="1"/>
  <c r="BM42" i="3" s="1"/>
  <c r="AX42" i="3" a="1"/>
  <c r="AX42" i="3" s="1"/>
  <c r="CL42" i="3" a="1"/>
  <c r="CL42" i="3" s="1"/>
  <c r="K42" i="3" a="1"/>
  <c r="K42" i="3" s="1"/>
  <c r="DM42" i="3" a="1"/>
  <c r="DM42" i="3" s="1"/>
  <c r="DK42" i="3" a="1"/>
  <c r="DK42" i="3" s="1"/>
  <c r="DJ40" i="3" a="1"/>
  <c r="DJ40" i="3" s="1"/>
  <c r="CB40" i="3" a="1"/>
  <c r="CB40" i="3" s="1"/>
  <c r="AT40" i="3" a="1"/>
  <c r="AT40" i="3" s="1"/>
  <c r="E40" i="3" a="1"/>
  <c r="E40" i="3" s="1"/>
  <c r="DQ40" i="3" a="1"/>
  <c r="DQ40" i="3" s="1"/>
  <c r="BS40" i="3" a="1"/>
  <c r="BS40" i="3" s="1"/>
  <c r="AK40" i="3" a="1"/>
  <c r="AK40" i="3" s="1"/>
  <c r="AD40" i="3" a="1"/>
  <c r="AD40" i="3" s="1"/>
  <c r="M42" i="3" a="1"/>
  <c r="M42" i="3" s="1"/>
  <c r="U40" i="3" a="1"/>
  <c r="U40" i="3" s="1"/>
  <c r="S40" i="3" a="1"/>
  <c r="S40" i="3" s="1"/>
  <c r="AF42" i="3" a="1"/>
  <c r="AF42" i="3" s="1"/>
  <c r="DD41" i="3" a="1"/>
  <c r="DD41" i="3" s="1"/>
  <c r="BF41" i="3" a="1"/>
  <c r="BF41" i="3" s="1"/>
  <c r="E41" i="3" a="1"/>
  <c r="E41" i="3" s="1"/>
  <c r="BX41" i="3" a="1"/>
  <c r="BX41" i="3" s="1"/>
  <c r="CD41" i="3" a="1"/>
  <c r="CD41" i="3" s="1"/>
  <c r="AH41" i="3" a="1"/>
  <c r="AH41" i="3" s="1"/>
  <c r="AW42" i="3" a="1"/>
  <c r="AW42" i="3" s="1"/>
  <c r="DD42" i="3" a="1"/>
  <c r="DD42" i="3" s="1"/>
  <c r="BW42" i="3" a="1"/>
  <c r="BW42" i="3" s="1"/>
  <c r="DO42" i="3" a="1"/>
  <c r="DO42" i="3" s="1"/>
  <c r="CW42" i="3" a="1"/>
  <c r="CW42" i="3" s="1"/>
  <c r="CT40" i="3" a="1"/>
  <c r="CT40" i="3" s="1"/>
  <c r="BL40" i="3" a="1"/>
  <c r="BL40" i="3" s="1"/>
  <c r="AA40" i="3" a="1"/>
  <c r="AA40" i="3" s="1"/>
  <c r="DC40" i="3" a="1"/>
  <c r="DC40" i="3" s="1"/>
  <c r="DA40" i="3" a="1"/>
  <c r="DA40" i="3" s="1"/>
  <c r="BC40" i="3" a="1"/>
  <c r="BC40" i="3" s="1"/>
  <c r="N60" i="26"/>
  <c r="L60" i="26"/>
  <c r="H60" i="26"/>
  <c r="D60" i="26"/>
  <c r="J60" i="26"/>
  <c r="C53" i="26"/>
  <c r="O41" i="26"/>
  <c r="CP118" i="3" a="1"/>
  <c r="CP118" i="3" s="1"/>
  <c r="V118" i="3" a="1"/>
  <c r="V118" i="3" s="1"/>
  <c r="AD106" i="3" a="1"/>
  <c r="AD106" i="3" s="1"/>
  <c r="Q55" i="3" a="1"/>
  <c r="Q55" i="3" s="1"/>
  <c r="CG104" i="3" a="1"/>
  <c r="CG104" i="3" s="1"/>
  <c r="AQ118" i="3" a="1"/>
  <c r="AQ118" i="3" s="1"/>
  <c r="W118" i="3" a="1"/>
  <c r="W118" i="3" s="1"/>
  <c r="D55" i="3" a="1"/>
  <c r="D55" i="3" s="1"/>
  <c r="Y55" i="3" a="1"/>
  <c r="Y55" i="3" s="1"/>
  <c r="AD55" i="3" a="1"/>
  <c r="AD55" i="3" s="1"/>
  <c r="DI106" i="3" a="1"/>
  <c r="DI106" i="3" s="1"/>
  <c r="DA118" i="3" a="1"/>
  <c r="DA118" i="3" s="1"/>
  <c r="Q106" i="3" a="1"/>
  <c r="Q106" i="3" s="1"/>
  <c r="O55" i="3" a="1"/>
  <c r="O55" i="3" s="1"/>
  <c r="AE106" i="3" a="1"/>
  <c r="AE106" i="3" s="1"/>
  <c r="BL118" i="3" a="1"/>
  <c r="BL118" i="3" s="1"/>
  <c r="S118" i="3" a="1"/>
  <c r="S118" i="3" s="1"/>
  <c r="J55" i="3" a="1"/>
  <c r="J55" i="3" s="1"/>
  <c r="AB118" i="3" a="1"/>
  <c r="AB118" i="3" s="1"/>
  <c r="CK106" i="3" a="1"/>
  <c r="CK106" i="3" s="1"/>
  <c r="CS106" i="3" a="1"/>
  <c r="CS106" i="3" s="1"/>
  <c r="CR118" i="3" a="1"/>
  <c r="CR118" i="3" s="1"/>
  <c r="X118" i="3" a="1"/>
  <c r="X118" i="3" s="1"/>
  <c r="AU118" i="3" a="1"/>
  <c r="AU118" i="3" s="1"/>
  <c r="W55" i="3" a="1"/>
  <c r="W55" i="3" s="1"/>
  <c r="AA55" i="3" a="1"/>
  <c r="AA55" i="3" s="1"/>
  <c r="CA118" i="3" a="1"/>
  <c r="CA118" i="3" s="1"/>
  <c r="CC106" i="3" a="1"/>
  <c r="CC106" i="3" s="1"/>
  <c r="BH118" i="3" a="1"/>
  <c r="BH118" i="3" s="1"/>
  <c r="CB106" i="3" a="1"/>
  <c r="CB106" i="3" s="1"/>
  <c r="X55" i="3" a="1"/>
  <c r="X55" i="3" s="1"/>
  <c r="DI118" i="3" a="1"/>
  <c r="DI118" i="3" s="1"/>
  <c r="CQ118" i="3" a="1"/>
  <c r="CQ118" i="3" s="1"/>
  <c r="I55" i="3" a="1"/>
  <c r="I55" i="3" s="1"/>
  <c r="M118" i="3" a="1"/>
  <c r="M118" i="3" s="1"/>
  <c r="CS118" i="3" a="1"/>
  <c r="CS118" i="3" s="1"/>
  <c r="AV106" i="3" a="1"/>
  <c r="AV106" i="3" s="1"/>
  <c r="DH118" i="3" a="1"/>
  <c r="DH118" i="3" s="1"/>
  <c r="N118" i="3" a="1"/>
  <c r="N118" i="3" s="1"/>
  <c r="DD117" i="3" a="1"/>
  <c r="DD117" i="3" s="1"/>
  <c r="Q105" i="3" a="1"/>
  <c r="Q105" i="3" s="1"/>
  <c r="H55" i="3" a="1"/>
  <c r="H55" i="3" s="1"/>
  <c r="P118" i="3" a="1"/>
  <c r="P118" i="3" s="1"/>
  <c r="AA118" i="3" a="1"/>
  <c r="AA118" i="3" s="1"/>
  <c r="M55" i="3" a="1"/>
  <c r="M55" i="3" s="1"/>
  <c r="T55" i="3" a="1"/>
  <c r="T55" i="3" s="1"/>
  <c r="DB106" i="3" a="1"/>
  <c r="DB106" i="3" s="1"/>
  <c r="AE55" i="3" a="1"/>
  <c r="AE55" i="3" s="1"/>
  <c r="DK117" i="3" a="1"/>
  <c r="DK117" i="3" s="1"/>
  <c r="CR106" i="3" a="1"/>
  <c r="CR106" i="3" s="1"/>
  <c r="AD118" i="3" a="1"/>
  <c r="AD118" i="3" s="1"/>
  <c r="K118" i="3" a="1"/>
  <c r="K118" i="3" s="1"/>
  <c r="F55" i="3" a="1"/>
  <c r="F55" i="3" s="1"/>
  <c r="I118" i="3" a="1"/>
  <c r="I118" i="3" s="1"/>
  <c r="L55" i="3" a="1"/>
  <c r="L55" i="3" s="1"/>
  <c r="AP106" i="3" a="1"/>
  <c r="AP106" i="3" s="1"/>
  <c r="R55" i="3" a="1"/>
  <c r="R55" i="3" s="1"/>
  <c r="BK105" i="3" a="1"/>
  <c r="BK105" i="3" s="1"/>
  <c r="AU105" i="3" a="1"/>
  <c r="AU105" i="3" s="1"/>
  <c r="Z117" i="3" a="1"/>
  <c r="Z117" i="3" s="1"/>
  <c r="CS105" i="3" a="1"/>
  <c r="CS105" i="3" s="1"/>
  <c r="CG105" i="3" a="1"/>
  <c r="CG105" i="3" s="1"/>
  <c r="AI117" i="3" a="1"/>
  <c r="AI117" i="3" s="1"/>
  <c r="AY105" i="3" a="1"/>
  <c r="AY105" i="3" s="1"/>
  <c r="BZ105" i="3" a="1"/>
  <c r="BZ105" i="3" s="1"/>
  <c r="AZ117" i="3" a="1"/>
  <c r="AZ117" i="3" s="1"/>
  <c r="DG105" i="3" a="1"/>
  <c r="DG105" i="3" s="1"/>
  <c r="AM117" i="3" a="1"/>
  <c r="AM117" i="3" s="1"/>
  <c r="DL105" i="3" a="1"/>
  <c r="DL105" i="3" s="1"/>
  <c r="CL105" i="3" a="1"/>
  <c r="CL105" i="3" s="1"/>
  <c r="DF105" i="3" a="1"/>
  <c r="DF105" i="3" s="1"/>
  <c r="BR117" i="3" a="1"/>
  <c r="BR117" i="3" s="1"/>
  <c r="Y117" i="3" a="1"/>
  <c r="Y117" i="3" s="1"/>
  <c r="L105" i="3" a="1"/>
  <c r="L105" i="3" s="1"/>
  <c r="DM105" i="3" a="1"/>
  <c r="DM105" i="3" s="1"/>
  <c r="X105" i="3" a="1"/>
  <c r="X105" i="3" s="1"/>
  <c r="DN117" i="3" a="1"/>
  <c r="DN117" i="3" s="1"/>
  <c r="AL105" i="3" a="1"/>
  <c r="AL105" i="3" s="1"/>
  <c r="C117" i="3" a="1"/>
  <c r="C117" i="3" s="1"/>
  <c r="AB105" i="3" a="1"/>
  <c r="AB105" i="3" s="1"/>
  <c r="DO117" i="3" a="1"/>
  <c r="DO117" i="3" s="1"/>
  <c r="CN105" i="3" a="1"/>
  <c r="CN105" i="3" s="1"/>
  <c r="AD117" i="3" a="1"/>
  <c r="AD117" i="3" s="1"/>
  <c r="DM117" i="3" a="1"/>
  <c r="DM117" i="3" s="1"/>
  <c r="AV105" i="3" a="1"/>
  <c r="AV105" i="3" s="1"/>
  <c r="CB117" i="3" a="1"/>
  <c r="CB117" i="3" s="1"/>
  <c r="BL117" i="3" a="1"/>
  <c r="BL117" i="3" s="1"/>
  <c r="M105" i="3" a="1"/>
  <c r="M105" i="3" s="1"/>
  <c r="BR105" i="3" a="1"/>
  <c r="BR105" i="3" s="1"/>
  <c r="BS117" i="3" a="1"/>
  <c r="BS117" i="3" s="1"/>
  <c r="CU105" i="3" a="1"/>
  <c r="CU105" i="3" s="1"/>
  <c r="CT105" i="3" a="1"/>
  <c r="CT105" i="3" s="1"/>
  <c r="CD105" i="3" a="1"/>
  <c r="CD105" i="3" s="1"/>
  <c r="CN117" i="3" a="1"/>
  <c r="CN117" i="3" s="1"/>
  <c r="Q117" i="3" a="1"/>
  <c r="Q117" i="3" s="1"/>
  <c r="CC69" i="3" a="1"/>
  <c r="CC69" i="3" s="1"/>
  <c r="AG106" i="3" a="1"/>
  <c r="AG106" i="3" s="1"/>
  <c r="CB94" i="3" a="1"/>
  <c r="CB94" i="3" s="1"/>
  <c r="BL81" i="3" a="1"/>
  <c r="BL81" i="3" s="1"/>
  <c r="P106" i="3" a="1"/>
  <c r="P106" i="3" s="1"/>
  <c r="DF69" i="3" a="1"/>
  <c r="DF69" i="3" s="1"/>
  <c r="DE118" i="3" a="1"/>
  <c r="DE118" i="3" s="1"/>
  <c r="CO81" i="3" a="1"/>
  <c r="CO81" i="3" s="1"/>
  <c r="BY94" i="3" a="1"/>
  <c r="BY94" i="3" s="1"/>
  <c r="BI81" i="3" a="1"/>
  <c r="BI81" i="3" s="1"/>
  <c r="AS69" i="3" a="1"/>
  <c r="AS69" i="3" s="1"/>
  <c r="BH94" i="3" a="1"/>
  <c r="BH94" i="3" s="1"/>
  <c r="AR69" i="3" a="1"/>
  <c r="AR69" i="3" s="1"/>
  <c r="DG106" i="3" a="1"/>
  <c r="DG106" i="3" s="1"/>
  <c r="BK55" i="3" a="1"/>
  <c r="BK55" i="3" s="1"/>
  <c r="AE69" i="3" a="1"/>
  <c r="AE69" i="3" s="1"/>
  <c r="CM55" i="3" a="1"/>
  <c r="CM55" i="3" s="1"/>
  <c r="BG94" i="3" a="1"/>
  <c r="BG94" i="3" s="1"/>
  <c r="K81" i="3" a="1"/>
  <c r="K81" i="3" s="1"/>
  <c r="DR69" i="3" a="1"/>
  <c r="DR69" i="3" s="1"/>
  <c r="BV94" i="3" a="1"/>
  <c r="BV94" i="3" s="1"/>
  <c r="DA94" i="3" a="1"/>
  <c r="DA94" i="3" s="1"/>
  <c r="BE81" i="3" a="1"/>
  <c r="BE81" i="3" s="1"/>
  <c r="DP106" i="3" a="1"/>
  <c r="DP106" i="3" s="1"/>
  <c r="BT106" i="3" a="1"/>
  <c r="BT106" i="3" s="1"/>
  <c r="X81" i="3" a="1"/>
  <c r="X81" i="3" s="1"/>
  <c r="CY94" i="3" a="1"/>
  <c r="CY94" i="3" s="1"/>
  <c r="BC106" i="3" a="1"/>
  <c r="BC106" i="3" s="1"/>
  <c r="G106" i="3" a="1"/>
  <c r="G106" i="3" s="1"/>
  <c r="CH55" i="3" a="1"/>
  <c r="CH55" i="3" s="1"/>
  <c r="BR81" i="3" a="1"/>
  <c r="BR81" i="3" s="1"/>
  <c r="DL81" i="3" a="1"/>
  <c r="DL81" i="3" s="1"/>
  <c r="AZ55" i="3" a="1"/>
  <c r="AZ55" i="3" s="1"/>
  <c r="BB55" i="3" a="1"/>
  <c r="BB55" i="3" s="1"/>
  <c r="DM118" i="3" a="1"/>
  <c r="DM118" i="3" s="1"/>
  <c r="CG81" i="3" a="1"/>
  <c r="CG81" i="3" s="1"/>
  <c r="BA106" i="3" a="1"/>
  <c r="BA106" i="3" s="1"/>
  <c r="U94" i="3" a="1"/>
  <c r="U94" i="3" s="1"/>
  <c r="CU81" i="3" a="1"/>
  <c r="CU81" i="3" s="1"/>
  <c r="S94" i="3" a="1"/>
  <c r="S94" i="3" s="1"/>
  <c r="CD118" i="3" a="1"/>
  <c r="CD118" i="3" s="1"/>
  <c r="AX106" i="3" a="1"/>
  <c r="AX106" i="3" s="1"/>
  <c r="R81" i="3" a="1"/>
  <c r="R81" i="3" s="1"/>
  <c r="BS106" i="3" a="1"/>
  <c r="BS106" i="3" s="1"/>
  <c r="T69" i="3" a="1"/>
  <c r="T69" i="3" s="1"/>
  <c r="AL106" i="3" a="1"/>
  <c r="AL106" i="3" s="1"/>
  <c r="CG55" i="3" a="1"/>
  <c r="CG55" i="3" s="1"/>
  <c r="BW81" i="3" a="1"/>
  <c r="BW81" i="3" s="1"/>
  <c r="DQ81" i="3" a="1"/>
  <c r="DQ81" i="3" s="1"/>
  <c r="BU69" i="3" a="1"/>
  <c r="BU69" i="3" s="1"/>
  <c r="AK94" i="3" a="1"/>
  <c r="AK94" i="3" s="1"/>
  <c r="DF106" i="3" a="1"/>
  <c r="DF106" i="3" s="1"/>
  <c r="AR94" i="3" a="1"/>
  <c r="AR94" i="3" s="1"/>
  <c r="BF55" i="3" a="1"/>
  <c r="BF55" i="3" s="1"/>
  <c r="H69" i="3" a="1"/>
  <c r="H69" i="3" s="1"/>
  <c r="BI94" i="3" a="1"/>
  <c r="BI94" i="3" s="1"/>
  <c r="DR94" i="3" a="1"/>
  <c r="DR94" i="3" s="1"/>
  <c r="BD55" i="3" a="1"/>
  <c r="BD55" i="3" s="1"/>
  <c r="AI55" i="3" a="1"/>
  <c r="AI55" i="3" s="1"/>
  <c r="AG94" i="3" a="1"/>
  <c r="AG94" i="3" s="1"/>
  <c r="CB81" i="3" a="1"/>
  <c r="CB81" i="3" s="1"/>
  <c r="BL55" i="3" a="1"/>
  <c r="BL55" i="3" s="1"/>
  <c r="P94" i="3" a="1"/>
  <c r="P94" i="3" s="1"/>
  <c r="DF55" i="3" a="1"/>
  <c r="DF55" i="3" s="1"/>
  <c r="DE94" i="3" a="1"/>
  <c r="DE94" i="3" s="1"/>
  <c r="CO94" i="3" a="1"/>
  <c r="CO94" i="3" s="1"/>
  <c r="BY81" i="3" a="1"/>
  <c r="BY81" i="3" s="1"/>
  <c r="BI55" i="3" a="1"/>
  <c r="BI55" i="3" s="1"/>
  <c r="BH81" i="3" a="1"/>
  <c r="BH81" i="3" s="1"/>
  <c r="AR55" i="3" a="1"/>
  <c r="AR55" i="3" s="1"/>
  <c r="DG81" i="3" a="1"/>
  <c r="DG81" i="3" s="1"/>
  <c r="CQ55" i="3" a="1"/>
  <c r="CQ55" i="3" s="1"/>
  <c r="AE81" i="3" a="1"/>
  <c r="AE81" i="3" s="1"/>
  <c r="DC118" i="3" a="1"/>
  <c r="DC118" i="3" s="1"/>
  <c r="CM69" i="3" a="1"/>
  <c r="CM69" i="3" s="1"/>
  <c r="BG106" i="3" a="1"/>
  <c r="BG106" i="3" s="1"/>
  <c r="DR55" i="3" a="1"/>
  <c r="DR55" i="3" s="1"/>
  <c r="CL118" i="3" a="1"/>
  <c r="CL118" i="3" s="1"/>
  <c r="BV69" i="3" a="1"/>
  <c r="BV69" i="3" s="1"/>
  <c r="DA81" i="3" a="1"/>
  <c r="DA81" i="3" s="1"/>
  <c r="BE69" i="3" a="1"/>
  <c r="BE69" i="3" s="1"/>
  <c r="DP94" i="3" a="1"/>
  <c r="DP94" i="3" s="1"/>
  <c r="BT81" i="3" a="1"/>
  <c r="BT81" i="3" s="1"/>
  <c r="X106" i="3" a="1"/>
  <c r="X106" i="3" s="1"/>
  <c r="CY81" i="3" a="1"/>
  <c r="CY81" i="3" s="1"/>
  <c r="BC69" i="3" a="1"/>
  <c r="BC69" i="3" s="1"/>
  <c r="G81" i="3" a="1"/>
  <c r="G81" i="3" s="1"/>
  <c r="CH94" i="3" a="1"/>
  <c r="CH94" i="3" s="1"/>
  <c r="DL69" i="3" a="1"/>
  <c r="DL69" i="3" s="1"/>
  <c r="BP118" i="3" a="1"/>
  <c r="BP118" i="3" s="1"/>
  <c r="AZ69" i="3" a="1"/>
  <c r="AZ69" i="3" s="1"/>
  <c r="D69" i="3" a="1"/>
  <c r="D69" i="3" s="1"/>
  <c r="BB81" i="3" a="1"/>
  <c r="BB81" i="3" s="1"/>
  <c r="DM106" i="3" a="1"/>
  <c r="DM106" i="3" s="1"/>
  <c r="CG94" i="3" a="1"/>
  <c r="CG94" i="3" s="1"/>
  <c r="U69" i="3" a="1"/>
  <c r="U69" i="3" s="1"/>
  <c r="CU55" i="3" a="1"/>
  <c r="CU55" i="3" s="1"/>
  <c r="AY118" i="3" a="1"/>
  <c r="AY118" i="3" s="1"/>
  <c r="S69" i="3" a="1"/>
  <c r="S69" i="3" s="1"/>
  <c r="DJ106" i="3" a="1"/>
  <c r="DJ106" i="3" s="1"/>
  <c r="CD106" i="3" a="1"/>
  <c r="CD106" i="3" s="1"/>
  <c r="R69" i="3" a="1"/>
  <c r="R69" i="3" s="1"/>
  <c r="C106" i="3" a="1"/>
  <c r="C106" i="3" s="1"/>
  <c r="AB69" i="3" a="1"/>
  <c r="AB69" i="3" s="1"/>
  <c r="CT81" i="3" a="1"/>
  <c r="CT81" i="3" s="1"/>
  <c r="CS94" i="3" a="1"/>
  <c r="CS94" i="3" s="1"/>
  <c r="CC55" i="3" a="1"/>
  <c r="CC55" i="3" s="1"/>
  <c r="AG55" i="3" a="1"/>
  <c r="AG55" i="3" s="1"/>
  <c r="CR94" i="3" a="1"/>
  <c r="CR94" i="3" s="1"/>
  <c r="CB55" i="3" a="1"/>
  <c r="CB55" i="3" s="1"/>
  <c r="P81" i="3" a="1"/>
  <c r="P81" i="3" s="1"/>
  <c r="AD94" i="3" a="1"/>
  <c r="AD94" i="3" s="1"/>
  <c r="DE81" i="3" a="1"/>
  <c r="DE81" i="3" s="1"/>
  <c r="CO69" i="3" a="1"/>
  <c r="CO69" i="3" s="1"/>
  <c r="BY69" i="3" a="1"/>
  <c r="BY69" i="3" s="1"/>
  <c r="BI69" i="3" a="1"/>
  <c r="BI69" i="3" s="1"/>
  <c r="CN118" i="3" a="1"/>
  <c r="CN118" i="3" s="1"/>
  <c r="BH55" i="3" a="1"/>
  <c r="BH55" i="3" s="1"/>
  <c r="DG69" i="3" a="1"/>
  <c r="DG69" i="3" s="1"/>
  <c r="CA94" i="3" a="1"/>
  <c r="CA94" i="3" s="1"/>
  <c r="DC106" i="3" a="1"/>
  <c r="DC106" i="3" s="1"/>
  <c r="BG81" i="3" a="1"/>
  <c r="BG81" i="3" s="1"/>
  <c r="CL106" i="3" a="1"/>
  <c r="CL106" i="3" s="1"/>
  <c r="BV55" i="3" a="1"/>
  <c r="BV55" i="3" s="1"/>
  <c r="AP94" i="3" a="1"/>
  <c r="AP94" i="3" s="1"/>
  <c r="Z94" i="3" a="1"/>
  <c r="Z94" i="3" s="1"/>
  <c r="DA69" i="3" a="1"/>
  <c r="DA69" i="3" s="1"/>
  <c r="Y81" i="3" a="1"/>
  <c r="Y81" i="3" s="1"/>
  <c r="DP118" i="3" a="1"/>
  <c r="DP118" i="3" s="1"/>
  <c r="BT69" i="3" a="1"/>
  <c r="BT69" i="3" s="1"/>
  <c r="X69" i="3" a="1"/>
  <c r="X69" i="3" s="1"/>
  <c r="CY69" i="3" a="1"/>
  <c r="CY69" i="3" s="1"/>
  <c r="BC94" i="3" a="1"/>
  <c r="BC94" i="3" s="1"/>
  <c r="G69" i="3" a="1"/>
  <c r="G69" i="3" s="1"/>
  <c r="CX106" i="3" a="1"/>
  <c r="CX106" i="3" s="1"/>
  <c r="CH106" i="3" a="1"/>
  <c r="CH106" i="3" s="1"/>
  <c r="DL55" i="3" a="1"/>
  <c r="DL55" i="3" s="1"/>
  <c r="BP81" i="3" a="1"/>
  <c r="BP81" i="3" s="1"/>
  <c r="V94" i="3" a="1"/>
  <c r="V94" i="3" s="1"/>
  <c r="DM81" i="3" a="1"/>
  <c r="DM81" i="3" s="1"/>
  <c r="BA69" i="3" a="1"/>
  <c r="BA69" i="3" s="1"/>
  <c r="U81" i="3" a="1"/>
  <c r="U81" i="3" s="1"/>
  <c r="AY106" i="3" a="1"/>
  <c r="AY106" i="3" s="1"/>
  <c r="S81" i="3" a="1"/>
  <c r="S81" i="3" s="1"/>
  <c r="DJ118" i="3" a="1"/>
  <c r="DJ118" i="3" s="1"/>
  <c r="CD94" i="3" a="1"/>
  <c r="CD94" i="3" s="1"/>
  <c r="AX81" i="3" a="1"/>
  <c r="AX81" i="3" s="1"/>
  <c r="O94" i="3" a="1"/>
  <c r="O94" i="3" s="1"/>
  <c r="BE106" i="3" a="1"/>
  <c r="BE106" i="3" s="1"/>
  <c r="CZ55" i="3" a="1"/>
  <c r="CZ55" i="3" s="1"/>
  <c r="R106" i="3" a="1"/>
  <c r="R106" i="3" s="1"/>
  <c r="CS69" i="3" a="1"/>
  <c r="CS69" i="3" s="1"/>
  <c r="CR81" i="3" a="1"/>
  <c r="CR81" i="3" s="1"/>
  <c r="CB69" i="3" a="1"/>
  <c r="CB69" i="3" s="1"/>
  <c r="P69" i="3" a="1"/>
  <c r="P69" i="3" s="1"/>
  <c r="AD69" i="3" a="1"/>
  <c r="AD69" i="3" s="1"/>
  <c r="DE106" i="3" a="1"/>
  <c r="DE106" i="3" s="1"/>
  <c r="CO55" i="3" a="1"/>
  <c r="CO55" i="3" s="1"/>
  <c r="BY55" i="3" a="1"/>
  <c r="BY55" i="3" s="1"/>
  <c r="CN106" i="3" a="1"/>
  <c r="CN106" i="3" s="1"/>
  <c r="BH69" i="3" a="1"/>
  <c r="BH69" i="3" s="1"/>
  <c r="DG94" i="3" a="1"/>
  <c r="DG94" i="3" s="1"/>
  <c r="CA69" i="3" a="1"/>
  <c r="CA69" i="3" s="1"/>
  <c r="DC94" i="3" a="1"/>
  <c r="DC94" i="3" s="1"/>
  <c r="BG69" i="3" a="1"/>
  <c r="BG69" i="3" s="1"/>
  <c r="CL94" i="3" a="1"/>
  <c r="CL94" i="3" s="1"/>
  <c r="AP81" i="3" a="1"/>
  <c r="AP81" i="3" s="1"/>
  <c r="BU118" i="3" a="1"/>
  <c r="BU118" i="3" s="1"/>
  <c r="Y106" i="3" a="1"/>
  <c r="Y106" i="3" s="1"/>
  <c r="DP81" i="3" a="1"/>
  <c r="DP81" i="3" s="1"/>
  <c r="CJ118" i="3" a="1"/>
  <c r="CJ118" i="3" s="1"/>
  <c r="BT55" i="3" a="1"/>
  <c r="BT55" i="3" s="1"/>
  <c r="BC55" i="3" a="1"/>
  <c r="BC55" i="3" s="1"/>
  <c r="CX118" i="3" a="1"/>
  <c r="CX118" i="3" s="1"/>
  <c r="BP106" i="3" a="1"/>
  <c r="BP106" i="3" s="1"/>
  <c r="T106" i="3" a="1"/>
  <c r="T106" i="3" s="1"/>
  <c r="F118" i="3" a="1"/>
  <c r="F118" i="3" s="1"/>
  <c r="DM94" i="3" a="1"/>
  <c r="DM94" i="3" s="1"/>
  <c r="BA81" i="3" a="1"/>
  <c r="BA81" i="3" s="1"/>
  <c r="CE106" i="3" a="1"/>
  <c r="CE106" i="3" s="1"/>
  <c r="AY94" i="3" a="1"/>
  <c r="AY94" i="3" s="1"/>
  <c r="S55" i="3" a="1"/>
  <c r="S55" i="3" s="1"/>
  <c r="DJ94" i="3" a="1"/>
  <c r="DJ94" i="3" s="1"/>
  <c r="CD69" i="3" a="1"/>
  <c r="CD69" i="3" s="1"/>
  <c r="AX94" i="3" a="1"/>
  <c r="AX94" i="3" s="1"/>
  <c r="CW118" i="3" a="1"/>
  <c r="CW118" i="3" s="1"/>
  <c r="E118" i="3" a="1"/>
  <c r="E118" i="3" s="1"/>
  <c r="AY69" i="3" a="1"/>
  <c r="AY69" i="3" s="1"/>
  <c r="AX69" i="3" a="1"/>
  <c r="AX69" i="3" s="1"/>
  <c r="CK118" i="3" a="1"/>
  <c r="CK118" i="3" s="1"/>
  <c r="AN81" i="3" a="1"/>
  <c r="AN81" i="3" s="1"/>
  <c r="BS81" i="3" a="1"/>
  <c r="BS81" i="3" s="1"/>
  <c r="DN94" i="3" a="1"/>
  <c r="DN94" i="3" s="1"/>
  <c r="E94" i="3" a="1"/>
  <c r="E94" i="3" s="1"/>
  <c r="Z69" i="3" a="1"/>
  <c r="Z69" i="3" s="1"/>
  <c r="CZ81" i="3" a="1"/>
  <c r="CZ81" i="3" s="1"/>
  <c r="AM94" i="3" a="1"/>
  <c r="AM94" i="3" s="1"/>
  <c r="CC94" i="3" a="1"/>
  <c r="CC94" i="3" s="1"/>
  <c r="BL94" i="3" a="1"/>
  <c r="BL94" i="3" s="1"/>
  <c r="BX69" i="3" a="1"/>
  <c r="BX69" i="3" s="1"/>
  <c r="AE118" i="3" a="1"/>
  <c r="AE118" i="3" s="1"/>
  <c r="CY118" i="3" a="1"/>
  <c r="CY118" i="3" s="1"/>
  <c r="CS81" i="3" a="1"/>
  <c r="CS81" i="3" s="1"/>
  <c r="AW106" i="3" a="1"/>
  <c r="AW106" i="3" s="1"/>
  <c r="CR69" i="3" a="1"/>
  <c r="CR69" i="3" s="1"/>
  <c r="AF106" i="3" a="1"/>
  <c r="AF106" i="3" s="1"/>
  <c r="AD81" i="3" a="1"/>
  <c r="AD81" i="3" s="1"/>
  <c r="DE69" i="3" a="1"/>
  <c r="DE69" i="3" s="1"/>
  <c r="M106" i="3" a="1"/>
  <c r="M106" i="3" s="1"/>
  <c r="CN94" i="3" a="1"/>
  <c r="CN94" i="3" s="1"/>
  <c r="DG55" i="3" a="1"/>
  <c r="DG55" i="3" s="1"/>
  <c r="CA81" i="3" a="1"/>
  <c r="CA81" i="3" s="1"/>
  <c r="AU106" i="3" a="1"/>
  <c r="AU106" i="3" s="1"/>
  <c r="DC81" i="3" a="1"/>
  <c r="DC81" i="3" s="1"/>
  <c r="BG55" i="3" a="1"/>
  <c r="BG55" i="3" s="1"/>
  <c r="AA94" i="3" a="1"/>
  <c r="AA94" i="3" s="1"/>
  <c r="CL81" i="3" a="1"/>
  <c r="CL81" i="3" s="1"/>
  <c r="AP69" i="3" a="1"/>
  <c r="AP69" i="3" s="1"/>
  <c r="BU106" i="3" a="1"/>
  <c r="BU106" i="3" s="1"/>
  <c r="Y94" i="3" a="1"/>
  <c r="Y94" i="3" s="1"/>
  <c r="DP55" i="3" a="1"/>
  <c r="DP55" i="3" s="1"/>
  <c r="CJ94" i="3" a="1"/>
  <c r="CJ94" i="3" s="1"/>
  <c r="BS118" i="3" a="1"/>
  <c r="BS118" i="3" s="1"/>
  <c r="BC81" i="3" a="1"/>
  <c r="BC81" i="3" s="1"/>
  <c r="W94" i="3" a="1"/>
  <c r="W94" i="3" s="1"/>
  <c r="DB55" i="3" a="1"/>
  <c r="DB55" i="3" s="1"/>
  <c r="CX94" i="3" a="1"/>
  <c r="CX94" i="3" s="1"/>
  <c r="CF106" i="3" a="1"/>
  <c r="CF106" i="3" s="1"/>
  <c r="BP94" i="3" a="1"/>
  <c r="BP94" i="3" s="1"/>
  <c r="T94" i="3" a="1"/>
  <c r="T94" i="3" s="1"/>
  <c r="AL118" i="3" a="1"/>
  <c r="AL118" i="3" s="1"/>
  <c r="F106" i="3" a="1"/>
  <c r="F106" i="3" s="1"/>
  <c r="DM55" i="3" a="1"/>
  <c r="DM55" i="3" s="1"/>
  <c r="CG69" i="3" a="1"/>
  <c r="CG69" i="3" s="1"/>
  <c r="BA94" i="3" a="1"/>
  <c r="BA94" i="3" s="1"/>
  <c r="CE118" i="3" a="1"/>
  <c r="CE118" i="3" s="1"/>
  <c r="AY81" i="3" a="1"/>
  <c r="AY81" i="3" s="1"/>
  <c r="DJ81" i="3" a="1"/>
  <c r="DJ81" i="3" s="1"/>
  <c r="CD81" i="3" a="1"/>
  <c r="CD81" i="3" s="1"/>
  <c r="AX55" i="3" a="1"/>
  <c r="AX55" i="3" s="1"/>
  <c r="CX81" i="3" a="1"/>
  <c r="CX81" i="3" s="1"/>
  <c r="BP69" i="3" a="1"/>
  <c r="BP69" i="3" s="1"/>
  <c r="BA55" i="3" a="1"/>
  <c r="BA55" i="3" s="1"/>
  <c r="CE94" i="3" a="1"/>
  <c r="CE94" i="3" s="1"/>
  <c r="AJ94" i="3" a="1"/>
  <c r="AJ94" i="3" s="1"/>
  <c r="BQ118" i="3" a="1"/>
  <c r="BQ118" i="3" s="1"/>
  <c r="C81" i="3" a="1"/>
  <c r="C81" i="3" s="1"/>
  <c r="AZ106" i="3" a="1"/>
  <c r="AZ106" i="3" s="1"/>
  <c r="BR106" i="3" a="1"/>
  <c r="BR106" i="3" s="1"/>
  <c r="BB69" i="3" a="1"/>
  <c r="BB69" i="3" s="1"/>
  <c r="DI81" i="3" a="1"/>
  <c r="DI81" i="3" s="1"/>
  <c r="CS55" i="3" a="1"/>
  <c r="CS55" i="3" s="1"/>
  <c r="AW94" i="3" a="1"/>
  <c r="AW94" i="3" s="1"/>
  <c r="DH94" i="3" a="1"/>
  <c r="DH94" i="3" s="1"/>
  <c r="CR55" i="3" a="1"/>
  <c r="CR55" i="3" s="1"/>
  <c r="AF81" i="3" a="1"/>
  <c r="AF81" i="3" s="1"/>
  <c r="AT118" i="3" a="1"/>
  <c r="AT118" i="3" s="1"/>
  <c r="DE55" i="3" a="1"/>
  <c r="DE55" i="3" s="1"/>
  <c r="M94" i="3" a="1"/>
  <c r="M94" i="3" s="1"/>
  <c r="CN81" i="3" a="1"/>
  <c r="CN81" i="3" s="1"/>
  <c r="CA55" i="3" a="1"/>
  <c r="CA55" i="3" s="1"/>
  <c r="AU94" i="3" a="1"/>
  <c r="AU94" i="3" s="1"/>
  <c r="DC69" i="3" a="1"/>
  <c r="DC69" i="3" s="1"/>
  <c r="BW118" i="3" a="1"/>
  <c r="BW118" i="3" s="1"/>
  <c r="AA106" i="3" a="1"/>
  <c r="AA106" i="3" s="1"/>
  <c r="CL55" i="3" a="1"/>
  <c r="CL55" i="3" s="1"/>
  <c r="AP55" i="3" a="1"/>
  <c r="AP55" i="3" s="1"/>
  <c r="DQ118" i="3" a="1"/>
  <c r="DQ118" i="3" s="1"/>
  <c r="BU81" i="3" a="1"/>
  <c r="BU81" i="3" s="1"/>
  <c r="Y69" i="3" a="1"/>
  <c r="Y69" i="3" s="1"/>
  <c r="DP69" i="3" a="1"/>
  <c r="DP69" i="3" s="1"/>
  <c r="CJ81" i="3" a="1"/>
  <c r="CJ81" i="3" s="1"/>
  <c r="AN118" i="3" a="1"/>
  <c r="AN118" i="3" s="1"/>
  <c r="DO118" i="3" a="1"/>
  <c r="DO118" i="3" s="1"/>
  <c r="CY55" i="3" a="1"/>
  <c r="CY55" i="3" s="1"/>
  <c r="W81" i="3" a="1"/>
  <c r="W81" i="3" s="1"/>
  <c r="CF118" i="3" a="1"/>
  <c r="CF118" i="3" s="1"/>
  <c r="F94" i="3" a="1"/>
  <c r="F94" i="3" s="1"/>
  <c r="DB81" i="3" a="1"/>
  <c r="DB81" i="3" s="1"/>
  <c r="DO81" i="3" a="1"/>
  <c r="DO81" i="3" s="1"/>
  <c r="CF94" i="3" a="1"/>
  <c r="CF94" i="3" s="1"/>
  <c r="DK81" i="3" a="1"/>
  <c r="DK81" i="3" s="1"/>
  <c r="AH106" i="3" a="1"/>
  <c r="AH106" i="3" s="1"/>
  <c r="CP55" i="3" a="1"/>
  <c r="CP55" i="3" s="1"/>
  <c r="AS106" i="3" a="1"/>
  <c r="AS106" i="3" s="1"/>
  <c r="DR106" i="3" a="1"/>
  <c r="DR106" i="3" s="1"/>
  <c r="BY118" i="3" a="1"/>
  <c r="BY118" i="3" s="1"/>
  <c r="BK69" i="3" a="1"/>
  <c r="BK69" i="3" s="1"/>
  <c r="DL94" i="3" a="1"/>
  <c r="DL94" i="3" s="1"/>
  <c r="BA118" i="3" a="1"/>
  <c r="BA118" i="3" s="1"/>
  <c r="CT55" i="3" a="1"/>
  <c r="CT55" i="3" s="1"/>
  <c r="DI69" i="3" a="1"/>
  <c r="DI69" i="3" s="1"/>
  <c r="AW81" i="3" a="1"/>
  <c r="AW81" i="3" s="1"/>
  <c r="DH81" i="3" a="1"/>
  <c r="DH81" i="3" s="1"/>
  <c r="AF94" i="3" a="1"/>
  <c r="AF94" i="3" s="1"/>
  <c r="AT106" i="3" a="1"/>
  <c r="AT106" i="3" s="1"/>
  <c r="M81" i="3" a="1"/>
  <c r="M81" i="3" s="1"/>
  <c r="CN55" i="3" a="1"/>
  <c r="CN55" i="3" s="1"/>
  <c r="AU69" i="3" a="1"/>
  <c r="AU69" i="3" s="1"/>
  <c r="O106" i="3" a="1"/>
  <c r="O106" i="3" s="1"/>
  <c r="DC55" i="3" a="1"/>
  <c r="DC55" i="3" s="1"/>
  <c r="BW106" i="3" a="1"/>
  <c r="BW106" i="3" s="1"/>
  <c r="AA69" i="3" a="1"/>
  <c r="AA69" i="3" s="1"/>
  <c r="CL69" i="3" a="1"/>
  <c r="CL69" i="3" s="1"/>
  <c r="J106" i="3" a="1"/>
  <c r="J106" i="3" s="1"/>
  <c r="DQ106" i="3" a="1"/>
  <c r="DQ106" i="3" s="1"/>
  <c r="BU94" i="3" a="1"/>
  <c r="BU94" i="3" s="1"/>
  <c r="CJ55" i="3" a="1"/>
  <c r="CJ55" i="3" s="1"/>
  <c r="AN94" i="3" a="1"/>
  <c r="AN94" i="3" s="1"/>
  <c r="DO106" i="3" a="1"/>
  <c r="DO106" i="3" s="1"/>
  <c r="CI118" i="3" a="1"/>
  <c r="CI118" i="3" s="1"/>
  <c r="BS94" i="3" a="1"/>
  <c r="BS94" i="3" s="1"/>
  <c r="W106" i="3" a="1"/>
  <c r="W106" i="3" s="1"/>
  <c r="CX69" i="3" a="1"/>
  <c r="CX69" i="3" s="1"/>
  <c r="CF81" i="3" a="1"/>
  <c r="CF81" i="3" s="1"/>
  <c r="BP55" i="3" a="1"/>
  <c r="BP55" i="3" s="1"/>
  <c r="AJ106" i="3" a="1"/>
  <c r="AJ106" i="3" s="1"/>
  <c r="T81" i="3" a="1"/>
  <c r="T81" i="3" s="1"/>
  <c r="AL94" i="3" a="1"/>
  <c r="AL94" i="3" s="1"/>
  <c r="F81" i="3" a="1"/>
  <c r="F81" i="3" s="1"/>
  <c r="AK118" i="3" a="1"/>
  <c r="AK118" i="3" s="1"/>
  <c r="E106" i="3" a="1"/>
  <c r="E106" i="3" s="1"/>
  <c r="DK118" i="3" a="1"/>
  <c r="DK118" i="3" s="1"/>
  <c r="CE81" i="3" a="1"/>
  <c r="CE81" i="3" s="1"/>
  <c r="AY55" i="3" a="1"/>
  <c r="AY55" i="3" s="1"/>
  <c r="C118" i="3" a="1"/>
  <c r="C118" i="3" s="1"/>
  <c r="DJ69" i="3" a="1"/>
  <c r="DJ69" i="3" s="1"/>
  <c r="BN118" i="3" a="1"/>
  <c r="BN118" i="3" s="1"/>
  <c r="J69" i="3" a="1"/>
  <c r="J69" i="3" s="1"/>
  <c r="AO118" i="3" a="1"/>
  <c r="AO118" i="3" s="1"/>
  <c r="CI106" i="3" a="1"/>
  <c r="CI106" i="3" s="1"/>
  <c r="CW94" i="3" a="1"/>
  <c r="CW94" i="3" s="1"/>
  <c r="AI118" i="3" a="1"/>
  <c r="AI118" i="3" s="1"/>
  <c r="CM106" i="3" a="1"/>
  <c r="CM106" i="3" s="1"/>
  <c r="BB106" i="3" a="1"/>
  <c r="BB106" i="3" s="1"/>
  <c r="BO69" i="3" a="1"/>
  <c r="BO69" i="3" s="1"/>
  <c r="CO118" i="3" a="1"/>
  <c r="CO118" i="3" s="1"/>
  <c r="CM94" i="3" a="1"/>
  <c r="CM94" i="3" s="1"/>
  <c r="AM81" i="3" a="1"/>
  <c r="AM81" i="3" s="1"/>
  <c r="DI94" i="3" a="1"/>
  <c r="DI94" i="3" s="1"/>
  <c r="AW69" i="3" a="1"/>
  <c r="AW69" i="3" s="1"/>
  <c r="DH55" i="3" a="1"/>
  <c r="DH55" i="3" s="1"/>
  <c r="AF69" i="3" a="1"/>
  <c r="AF69" i="3" s="1"/>
  <c r="BZ118" i="3" a="1"/>
  <c r="BZ118" i="3" s="1"/>
  <c r="BJ118" i="3" a="1"/>
  <c r="BJ118" i="3" s="1"/>
  <c r="AT94" i="3" a="1"/>
  <c r="AT94" i="3" s="1"/>
  <c r="M69" i="3" a="1"/>
  <c r="M69" i="3" s="1"/>
  <c r="DD118" i="3" a="1"/>
  <c r="DD118" i="3" s="1"/>
  <c r="AU81" i="3" a="1"/>
  <c r="AU81" i="3" s="1"/>
  <c r="O81" i="3" a="1"/>
  <c r="O81" i="3" s="1"/>
  <c r="BW94" i="3" a="1"/>
  <c r="BW94" i="3" s="1"/>
  <c r="AA81" i="3" a="1"/>
  <c r="AA81" i="3" s="1"/>
  <c r="DB94" i="3" a="1"/>
  <c r="DB94" i="3" s="1"/>
  <c r="BF118" i="3" a="1"/>
  <c r="BF118" i="3" s="1"/>
  <c r="J94" i="3" a="1"/>
  <c r="J94" i="3" s="1"/>
  <c r="DQ94" i="3" a="1"/>
  <c r="DQ94" i="3" s="1"/>
  <c r="BE55" i="3" a="1"/>
  <c r="BE55" i="3" s="1"/>
  <c r="CJ69" i="3" a="1"/>
  <c r="CJ69" i="3" s="1"/>
  <c r="AN106" i="3" a="1"/>
  <c r="AN106" i="3" s="1"/>
  <c r="DO94" i="3" a="1"/>
  <c r="DO94" i="3" s="1"/>
  <c r="CI94" i="3" a="1"/>
  <c r="CI94" i="3" s="1"/>
  <c r="BS69" i="3" a="1"/>
  <c r="BS69" i="3" s="1"/>
  <c r="W69" i="3" a="1"/>
  <c r="W69" i="3" s="1"/>
  <c r="DN118" i="3" a="1"/>
  <c r="DN118" i="3" s="1"/>
  <c r="CX55" i="3" a="1"/>
  <c r="CX55" i="3" s="1"/>
  <c r="CF69" i="3" a="1"/>
  <c r="CF69" i="3" s="1"/>
  <c r="AJ118" i="3" a="1"/>
  <c r="AJ118" i="3" s="1"/>
  <c r="AL69" i="3" a="1"/>
  <c r="AL69" i="3" s="1"/>
  <c r="F69" i="3" a="1"/>
  <c r="F69" i="3" s="1"/>
  <c r="CW106" i="3" a="1"/>
  <c r="CW106" i="3" s="1"/>
  <c r="AK106" i="3" a="1"/>
  <c r="AK106" i="3" s="1"/>
  <c r="DK94" i="3" a="1"/>
  <c r="DK94" i="3" s="1"/>
  <c r="CE69" i="3" a="1"/>
  <c r="CE69" i="3" s="1"/>
  <c r="C94" i="3" a="1"/>
  <c r="C94" i="3" s="1"/>
  <c r="DJ55" i="3" a="1"/>
  <c r="DJ55" i="3" s="1"/>
  <c r="BN106" i="3" a="1"/>
  <c r="BN106" i="3" s="1"/>
  <c r="AH118" i="3" a="1"/>
  <c r="AH118" i="3" s="1"/>
  <c r="AU55" i="3" a="1"/>
  <c r="AU55" i="3" s="1"/>
  <c r="AL81" i="3" a="1"/>
  <c r="AL81" i="3" s="1"/>
  <c r="CE55" i="3" a="1"/>
  <c r="CE55" i="3" s="1"/>
  <c r="BI118" i="3" a="1"/>
  <c r="BI118" i="3" s="1"/>
  <c r="BK94" i="3" a="1"/>
  <c r="BK94" i="3" s="1"/>
  <c r="BV118" i="3" a="1"/>
  <c r="BV118" i="3" s="1"/>
  <c r="CH118" i="3" a="1"/>
  <c r="CH118" i="3" s="1"/>
  <c r="CU106" i="3" a="1"/>
  <c r="CU106" i="3" s="1"/>
  <c r="CG118" i="3" a="1"/>
  <c r="CG118" i="3" s="1"/>
  <c r="DI55" i="3" a="1"/>
  <c r="DI55" i="3" s="1"/>
  <c r="DH69" i="3" a="1"/>
  <c r="DH69" i="3" s="1"/>
  <c r="AV94" i="3" a="1"/>
  <c r="AV94" i="3" s="1"/>
  <c r="BZ106" i="3" a="1"/>
  <c r="BZ106" i="3" s="1"/>
  <c r="BJ106" i="3" a="1"/>
  <c r="BJ106" i="3" s="1"/>
  <c r="AT69" i="3" a="1"/>
  <c r="AT69" i="3" s="1"/>
  <c r="AS55" i="3" a="1"/>
  <c r="AS55" i="3" s="1"/>
  <c r="DD106" i="3" a="1"/>
  <c r="DD106" i="3" s="1"/>
  <c r="CQ106" i="3" a="1"/>
  <c r="CQ106" i="3" s="1"/>
  <c r="BF106" i="3" a="1"/>
  <c r="BF106" i="3" s="1"/>
  <c r="CT106" i="3" a="1"/>
  <c r="CT106" i="3" s="1"/>
  <c r="BX81" i="3" a="1"/>
  <c r="BX81" i="3" s="1"/>
  <c r="CK69" i="3" a="1"/>
  <c r="CK69" i="3" s="1"/>
  <c r="BD94" i="3" a="1"/>
  <c r="BD94" i="3" s="1"/>
  <c r="BR94" i="3" a="1"/>
  <c r="BR94" i="3" s="1"/>
  <c r="CV69" i="3" a="1"/>
  <c r="CV69" i="3" s="1"/>
  <c r="U118" i="3" a="1"/>
  <c r="U118" i="3" s="1"/>
  <c r="BM118" i="3" a="1"/>
  <c r="BM118" i="3" s="1"/>
  <c r="Q94" i="3" a="1"/>
  <c r="Q94" i="3" s="1"/>
  <c r="AV69" i="3" a="1"/>
  <c r="AV69" i="3" s="1"/>
  <c r="CP106" i="3" a="1"/>
  <c r="CP106" i="3" s="1"/>
  <c r="BZ94" i="3" a="1"/>
  <c r="BZ94" i="3" s="1"/>
  <c r="BJ94" i="3" a="1"/>
  <c r="BJ94" i="3" s="1"/>
  <c r="AT81" i="3" a="1"/>
  <c r="AT81" i="3" s="1"/>
  <c r="AC106" i="3" a="1"/>
  <c r="AC106" i="3" s="1"/>
  <c r="DD81" i="3" a="1"/>
  <c r="DD81" i="3" s="1"/>
  <c r="CN69" i="3" a="1"/>
  <c r="CN69" i="3" s="1"/>
  <c r="L81" i="3" a="1"/>
  <c r="L81" i="3" s="1"/>
  <c r="CQ94" i="3" a="1"/>
  <c r="CQ94" i="3" s="1"/>
  <c r="BW69" i="3" a="1"/>
  <c r="BW69" i="3" s="1"/>
  <c r="DB69" i="3" a="1"/>
  <c r="DB69" i="3" s="1"/>
  <c r="BF94" i="3" a="1"/>
  <c r="BF94" i="3" s="1"/>
  <c r="J81" i="3" a="1"/>
  <c r="J81" i="3" s="1"/>
  <c r="DQ69" i="3" a="1"/>
  <c r="DQ69" i="3" s="1"/>
  <c r="CK94" i="3" a="1"/>
  <c r="CK94" i="3" s="1"/>
  <c r="AO94" i="3" a="1"/>
  <c r="AO94" i="3" s="1"/>
  <c r="I106" i="3" a="1"/>
  <c r="I106" i="3" s="1"/>
  <c r="BD118" i="3" a="1"/>
  <c r="BD118" i="3" s="1"/>
  <c r="AN69" i="3" a="1"/>
  <c r="AN69" i="3" s="1"/>
  <c r="H118" i="3" a="1"/>
  <c r="H118" i="3" s="1"/>
  <c r="DO69" i="3" a="1"/>
  <c r="DO69" i="3" s="1"/>
  <c r="CI69" i="3" a="1"/>
  <c r="CI69" i="3" s="1"/>
  <c r="BS55" i="3" a="1"/>
  <c r="BS55" i="3" s="1"/>
  <c r="DN106" i="3" a="1"/>
  <c r="DN106" i="3" s="1"/>
  <c r="DA55" i="3" a="1"/>
  <c r="DA55" i="3" s="1"/>
  <c r="CV118" i="3" a="1"/>
  <c r="CV118" i="3" s="1"/>
  <c r="CF55" i="3" a="1"/>
  <c r="CF55" i="3" s="1"/>
  <c r="AJ81" i="3" a="1"/>
  <c r="AJ81" i="3" s="1"/>
  <c r="AL55" i="3" a="1"/>
  <c r="AL55" i="3" s="1"/>
  <c r="BQ94" i="3" a="1"/>
  <c r="BQ94" i="3" s="1"/>
  <c r="AK69" i="3" a="1"/>
  <c r="AK69" i="3" s="1"/>
  <c r="E81" i="3" a="1"/>
  <c r="E81" i="3" s="1"/>
  <c r="DK69" i="3" a="1"/>
  <c r="DK69" i="3" s="1"/>
  <c r="AI106" i="3" a="1"/>
  <c r="AI106" i="3" s="1"/>
  <c r="CT118" i="3" a="1"/>
  <c r="CT118" i="3" s="1"/>
  <c r="BN81" i="3" a="1"/>
  <c r="BN81" i="3" s="1"/>
  <c r="AH81" i="3" a="1"/>
  <c r="AH81" i="3" s="1"/>
  <c r="D94" i="3" a="1"/>
  <c r="D94" i="3" s="1"/>
  <c r="Q69" i="3" a="1"/>
  <c r="Q69" i="3" s="1"/>
  <c r="AS94" i="3" a="1"/>
  <c r="AS94" i="3" s="1"/>
  <c r="CH81" i="3" a="1"/>
  <c r="CH81" i="3" s="1"/>
  <c r="CU94" i="3" a="1"/>
  <c r="CU94" i="3" s="1"/>
  <c r="BM94" i="3" a="1"/>
  <c r="BM94" i="3" s="1"/>
  <c r="Q81" i="3" a="1"/>
  <c r="Q81" i="3" s="1"/>
  <c r="AV81" i="3" a="1"/>
  <c r="AV81" i="3" s="1"/>
  <c r="CP81" i="3" a="1"/>
  <c r="CP81" i="3" s="1"/>
  <c r="BZ69" i="3" a="1"/>
  <c r="BZ69" i="3" s="1"/>
  <c r="BJ69" i="3" a="1"/>
  <c r="BJ69" i="3" s="1"/>
  <c r="AT55" i="3" a="1"/>
  <c r="AT55" i="3" s="1"/>
  <c r="AC94" i="3" a="1"/>
  <c r="AC94" i="3" s="1"/>
  <c r="BX118" i="3" a="1"/>
  <c r="BX118" i="3" s="1"/>
  <c r="AB106" i="3" a="1"/>
  <c r="AB106" i="3" s="1"/>
  <c r="DD69" i="3" a="1"/>
  <c r="DD69" i="3" s="1"/>
  <c r="L69" i="3" a="1"/>
  <c r="L69" i="3" s="1"/>
  <c r="CQ69" i="3" a="1"/>
  <c r="CQ69" i="3" s="1"/>
  <c r="O69" i="3" a="1"/>
  <c r="O69" i="3" s="1"/>
  <c r="BW55" i="3" a="1"/>
  <c r="BW55" i="3" s="1"/>
  <c r="AQ81" i="3" a="1"/>
  <c r="AQ81" i="3" s="1"/>
  <c r="BF81" i="3" a="1"/>
  <c r="BF81" i="3" s="1"/>
  <c r="DQ55" i="3" a="1"/>
  <c r="DQ55" i="3" s="1"/>
  <c r="CK81" i="3" a="1"/>
  <c r="CK81" i="3" s="1"/>
  <c r="BU55" i="3" a="1"/>
  <c r="BU55" i="3" s="1"/>
  <c r="AO81" i="3" a="1"/>
  <c r="AO81" i="3" s="1"/>
  <c r="I94" i="3" a="1"/>
  <c r="I94" i="3" s="1"/>
  <c r="CZ118" i="3" a="1"/>
  <c r="CZ118" i="3" s="1"/>
  <c r="BD106" i="3" a="1"/>
  <c r="BD106" i="3" s="1"/>
  <c r="AN55" i="3" a="1"/>
  <c r="AN55" i="3" s="1"/>
  <c r="H106" i="3" a="1"/>
  <c r="H106" i="3" s="1"/>
  <c r="DO55" i="3" a="1"/>
  <c r="DO55" i="3" s="1"/>
  <c r="CI55" i="3" a="1"/>
  <c r="CI55" i="3" s="1"/>
  <c r="AM118" i="3" a="1"/>
  <c r="AM118" i="3" s="1"/>
  <c r="DN81" i="3" a="1"/>
  <c r="DN81" i="3" s="1"/>
  <c r="CV94" i="3" a="1"/>
  <c r="CV94" i="3" s="1"/>
  <c r="AJ55" i="3" a="1"/>
  <c r="AJ55" i="3" s="1"/>
  <c r="CW81" i="3" a="1"/>
  <c r="CW81" i="3" s="1"/>
  <c r="BQ81" i="3" a="1"/>
  <c r="BQ81" i="3" s="1"/>
  <c r="AK55" i="3" a="1"/>
  <c r="AK55" i="3" s="1"/>
  <c r="E69" i="3" a="1"/>
  <c r="E69" i="3" s="1"/>
  <c r="DK55" i="3" a="1"/>
  <c r="DK55" i="3" s="1"/>
  <c r="BO106" i="3" a="1"/>
  <c r="BO106" i="3" s="1"/>
  <c r="AI81" i="3" a="1"/>
  <c r="AI81" i="3" s="1"/>
  <c r="C69" i="3" a="1"/>
  <c r="C69" i="3" s="1"/>
  <c r="CT94" i="3" a="1"/>
  <c r="CT94" i="3" s="1"/>
  <c r="BN94" i="3" a="1"/>
  <c r="BN94" i="3" s="1"/>
  <c r="AH94" i="3" a="1"/>
  <c r="AH94" i="3" s="1"/>
  <c r="V69" i="3" a="1"/>
  <c r="V69" i="3" s="1"/>
  <c r="AR81" i="3" a="1"/>
  <c r="AR81" i="3" s="1"/>
  <c r="AQ55" i="3" a="1"/>
  <c r="AQ55" i="3" s="1"/>
  <c r="D106" i="3" a="1"/>
  <c r="D106" i="3" s="1"/>
  <c r="BM81" i="3" a="1"/>
  <c r="BM81" i="3" s="1"/>
  <c r="AV55" i="3" a="1"/>
  <c r="AV55" i="3" s="1"/>
  <c r="CP94" i="3" a="1"/>
  <c r="CP94" i="3" s="1"/>
  <c r="BZ81" i="3" a="1"/>
  <c r="BZ81" i="3" s="1"/>
  <c r="BJ81" i="3" a="1"/>
  <c r="BJ81" i="3" s="1"/>
  <c r="AC81" i="3" a="1"/>
  <c r="AC81" i="3" s="1"/>
  <c r="BX106" i="3" a="1"/>
  <c r="BX106" i="3" s="1"/>
  <c r="AB94" i="3" a="1"/>
  <c r="AB94" i="3" s="1"/>
  <c r="DD94" i="3" a="1"/>
  <c r="DD94" i="3" s="1"/>
  <c r="L94" i="3" a="1"/>
  <c r="L94" i="3" s="1"/>
  <c r="CQ81" i="3" a="1"/>
  <c r="CQ81" i="3" s="1"/>
  <c r="BK118" i="3" a="1"/>
  <c r="BK118" i="3" s="1"/>
  <c r="AQ106" i="3" a="1"/>
  <c r="AQ106" i="3" s="1"/>
  <c r="BF69" i="3" a="1"/>
  <c r="BF69" i="3" s="1"/>
  <c r="Z106" i="3" a="1"/>
  <c r="Z106" i="3" s="1"/>
  <c r="AO69" i="3" a="1"/>
  <c r="AO69" i="3" s="1"/>
  <c r="I81" i="3" a="1"/>
  <c r="I81" i="3" s="1"/>
  <c r="CZ94" i="3" a="1"/>
  <c r="CZ94" i="3" s="1"/>
  <c r="BD81" i="3" a="1"/>
  <c r="BD81" i="3" s="1"/>
  <c r="H81" i="3" a="1"/>
  <c r="H81" i="3" s="1"/>
  <c r="CI81" i="3" a="1"/>
  <c r="CI81" i="3" s="1"/>
  <c r="AM106" i="3" a="1"/>
  <c r="AM106" i="3" s="1"/>
  <c r="DN69" i="3" a="1"/>
  <c r="DN69" i="3" s="1"/>
  <c r="BR118" i="3" a="1"/>
  <c r="BR118" i="3" s="1"/>
  <c r="CV106" i="3" a="1"/>
  <c r="CV106" i="3" s="1"/>
  <c r="AJ69" i="3" a="1"/>
  <c r="AJ69" i="3" s="1"/>
  <c r="BQ106" i="3" a="1"/>
  <c r="BQ106" i="3" s="1"/>
  <c r="DK106" i="3" a="1"/>
  <c r="DK106" i="3" s="1"/>
  <c r="BO81" i="3" a="1"/>
  <c r="BO81" i="3" s="1"/>
  <c r="AI94" i="3" a="1"/>
  <c r="AI94" i="3" s="1"/>
  <c r="CT69" i="3" a="1"/>
  <c r="CT69" i="3" s="1"/>
  <c r="BN69" i="3" a="1"/>
  <c r="BN69" i="3" s="1"/>
  <c r="BQ69" i="3" a="1"/>
  <c r="BQ69" i="3" s="1"/>
  <c r="AK81" i="3" a="1"/>
  <c r="AK81" i="3" s="1"/>
  <c r="AI69" i="3" a="1"/>
  <c r="AI69" i="3" s="1"/>
  <c r="BN55" i="3" a="1"/>
  <c r="BN55" i="3" s="1"/>
  <c r="BM69" i="3" a="1"/>
  <c r="BM69" i="3" s="1"/>
  <c r="AQ69" i="3" a="1"/>
  <c r="AQ69" i="3" s="1"/>
  <c r="CV55" i="3" a="1"/>
  <c r="CV55" i="3" s="1"/>
  <c r="BQ55" i="3" a="1"/>
  <c r="BQ55" i="3" s="1"/>
  <c r="K69" i="3" a="1"/>
  <c r="K69" i="3" s="1"/>
  <c r="BO118" i="3" a="1"/>
  <c r="BO118" i="3" s="1"/>
  <c r="BM55" i="3" a="1"/>
  <c r="BM55" i="3" s="1"/>
  <c r="DF118" i="3" a="1"/>
  <c r="DF118" i="3" s="1"/>
  <c r="CP69" i="3" a="1"/>
  <c r="CP69" i="3" s="1"/>
  <c r="BZ55" i="3" a="1"/>
  <c r="BZ55" i="3" s="1"/>
  <c r="BJ55" i="3" a="1"/>
  <c r="BJ55" i="3" s="1"/>
  <c r="N94" i="3" a="1"/>
  <c r="N94" i="3" s="1"/>
  <c r="AW55" i="3" a="1"/>
  <c r="AW55" i="3" s="1"/>
  <c r="AS118" i="3" a="1"/>
  <c r="AS118" i="3" s="1"/>
  <c r="AC69" i="3" a="1"/>
  <c r="AC69" i="3" s="1"/>
  <c r="BX94" i="3" a="1"/>
  <c r="BX94" i="3" s="1"/>
  <c r="AB81" i="3" a="1"/>
  <c r="AB81" i="3" s="1"/>
  <c r="DD55" i="3" a="1"/>
  <c r="DD55" i="3" s="1"/>
  <c r="BK106" i="3" a="1"/>
  <c r="BK106" i="3" s="1"/>
  <c r="AQ94" i="3" a="1"/>
  <c r="AQ94" i="3" s="1"/>
  <c r="DR118" i="3" a="1"/>
  <c r="DR118" i="3" s="1"/>
  <c r="BV106" i="3" a="1"/>
  <c r="BV106" i="3" s="1"/>
  <c r="Z81" i="3" a="1"/>
  <c r="Z81" i="3" s="1"/>
  <c r="CK55" i="3" a="1"/>
  <c r="CK55" i="3" s="1"/>
  <c r="AO55" i="3" a="1"/>
  <c r="AO55" i="3" s="1"/>
  <c r="I69" i="3" a="1"/>
  <c r="I69" i="3" s="1"/>
  <c r="CZ106" i="3" a="1"/>
  <c r="CZ106" i="3" s="1"/>
  <c r="BD69" i="3" a="1"/>
  <c r="BD69" i="3" s="1"/>
  <c r="H94" i="3" a="1"/>
  <c r="H94" i="3" s="1"/>
  <c r="AM69" i="3" a="1"/>
  <c r="AM69" i="3" s="1"/>
  <c r="DN55" i="3" a="1"/>
  <c r="DN55" i="3" s="1"/>
  <c r="BR69" i="3" a="1"/>
  <c r="BR69" i="3" s="1"/>
  <c r="CV81" i="3" a="1"/>
  <c r="CV81" i="3" s="1"/>
  <c r="AZ118" i="3" a="1"/>
  <c r="AZ118" i="3" s="1"/>
  <c r="D118" i="3" a="1"/>
  <c r="D118" i="3" s="1"/>
  <c r="BB118" i="3" a="1"/>
  <c r="BB118" i="3" s="1"/>
  <c r="V106" i="3" a="1"/>
  <c r="V106" i="3" s="1"/>
  <c r="CW55" i="3" a="1"/>
  <c r="CW55" i="3" s="1"/>
  <c r="CU118" i="3" a="1"/>
  <c r="CU118" i="3" s="1"/>
  <c r="BO94" i="3" a="1"/>
  <c r="BO94" i="3" s="1"/>
  <c r="AH69" i="3" a="1"/>
  <c r="AH69" i="3" s="1"/>
  <c r="N106" i="3" a="1"/>
  <c r="N106" i="3" s="1"/>
  <c r="K106" i="3" a="1"/>
  <c r="K106" i="3" s="1"/>
  <c r="DL118" i="3" a="1"/>
  <c r="DL118" i="3" s="1"/>
  <c r="CW69" i="3" a="1"/>
  <c r="CW69" i="3" s="1"/>
  <c r="AH55" i="3" a="1"/>
  <c r="AH55" i="3" s="1"/>
  <c r="DF94" i="3" a="1"/>
  <c r="DF94" i="3" s="1"/>
  <c r="BE118" i="3" a="1"/>
  <c r="BE118" i="3" s="1"/>
  <c r="G118" i="3" a="1"/>
  <c r="G118" i="3" s="1"/>
  <c r="AZ94" i="3" a="1"/>
  <c r="AZ94" i="3" s="1"/>
  <c r="DM69" i="3" a="1"/>
  <c r="DM69" i="3" s="1"/>
  <c r="CC81" i="3" a="1"/>
  <c r="CC81" i="3" s="1"/>
  <c r="AG118" i="3" a="1"/>
  <c r="AG118" i="3" s="1"/>
  <c r="BL69" i="3" a="1"/>
  <c r="BL69" i="3" s="1"/>
  <c r="DF81" i="3" a="1"/>
  <c r="DF81" i="3" s="1"/>
  <c r="N69" i="3" a="1"/>
  <c r="N69" i="3" s="1"/>
  <c r="CO106" i="3" a="1"/>
  <c r="CO106" i="3" s="1"/>
  <c r="BY106" i="3" a="1"/>
  <c r="BY106" i="3" s="1"/>
  <c r="BI106" i="3" a="1"/>
  <c r="BI106" i="3" s="1"/>
  <c r="AS81" i="3" a="1"/>
  <c r="AS81" i="3" s="1"/>
  <c r="BX55" i="3" a="1"/>
  <c r="BX55" i="3" s="1"/>
  <c r="BH106" i="3" a="1"/>
  <c r="BH106" i="3" s="1"/>
  <c r="AR106" i="3" a="1"/>
  <c r="AR106" i="3" s="1"/>
  <c r="DG118" i="3" a="1"/>
  <c r="DG118" i="3" s="1"/>
  <c r="BK81" i="3" a="1"/>
  <c r="BK81" i="3" s="1"/>
  <c r="AE94" i="3" a="1"/>
  <c r="AE94" i="3" s="1"/>
  <c r="CM81" i="3" a="1"/>
  <c r="CM81" i="3" s="1"/>
  <c r="BG118" i="3" a="1"/>
  <c r="BG118" i="3" s="1"/>
  <c r="K94" i="3" a="1"/>
  <c r="K94" i="3" s="1"/>
  <c r="DR81" i="3" a="1"/>
  <c r="DR81" i="3" s="1"/>
  <c r="BV81" i="3" a="1"/>
  <c r="BV81" i="3" s="1"/>
  <c r="DA106" i="3" a="1"/>
  <c r="DA106" i="3" s="1"/>
  <c r="BE94" i="3" a="1"/>
  <c r="BE94" i="3" s="1"/>
  <c r="CZ69" i="3" a="1"/>
  <c r="CZ69" i="3" s="1"/>
  <c r="BT94" i="3" a="1"/>
  <c r="BT94" i="3" s="1"/>
  <c r="X94" i="3" a="1"/>
  <c r="X94" i="3" s="1"/>
  <c r="CY106" i="3" a="1"/>
  <c r="CY106" i="3" s="1"/>
  <c r="BC118" i="3" a="1"/>
  <c r="BC118" i="3" s="1"/>
  <c r="AM55" i="3" a="1"/>
  <c r="AM55" i="3" s="1"/>
  <c r="G94" i="3" a="1"/>
  <c r="G94" i="3" s="1"/>
  <c r="CH69" i="3" a="1"/>
  <c r="CH69" i="3" s="1"/>
  <c r="BR55" i="3" a="1"/>
  <c r="BR55" i="3" s="1"/>
  <c r="DL106" i="3" a="1"/>
  <c r="DL106" i="3" s="1"/>
  <c r="AZ81" i="3" a="1"/>
  <c r="AZ81" i="3" s="1"/>
  <c r="D81" i="3" a="1"/>
  <c r="D81" i="3" s="1"/>
  <c r="BB94" i="3" a="1"/>
  <c r="BB94" i="3" s="1"/>
  <c r="CD55" i="3" a="1"/>
  <c r="CD55" i="3" s="1"/>
  <c r="CG106" i="3" a="1"/>
  <c r="CG106" i="3" s="1"/>
  <c r="U106" i="3" a="1"/>
  <c r="U106" i="3" s="1"/>
  <c r="CU69" i="3" a="1"/>
  <c r="CU69" i="3" s="1"/>
  <c r="BO55" i="3" a="1"/>
  <c r="BO55" i="3" s="1"/>
  <c r="S106" i="3" a="1"/>
  <c r="S106" i="3" s="1"/>
  <c r="AX118" i="3" a="1"/>
  <c r="AX118" i="3" s="1"/>
  <c r="R94" i="3" a="1"/>
  <c r="R94" i="3" s="1"/>
  <c r="N81" i="3" a="1"/>
  <c r="N81" i="3" s="1"/>
  <c r="V81" i="3" a="1"/>
  <c r="V81" i="3" s="1"/>
  <c r="N104" i="3" a="1"/>
  <c r="N104" i="3" s="1"/>
  <c r="W116" i="3" a="1"/>
  <c r="W116" i="3" s="1"/>
  <c r="AK116" i="3" a="1"/>
  <c r="AK116" i="3" s="1"/>
  <c r="AN104" i="3" a="1"/>
  <c r="AN104" i="3" s="1"/>
  <c r="BV116" i="3" a="1"/>
  <c r="BV116" i="3" s="1"/>
  <c r="AU116" i="3" a="1"/>
  <c r="AU116" i="3" s="1"/>
  <c r="CQ104" i="3" a="1"/>
  <c r="CQ104" i="3" s="1"/>
  <c r="AG104" i="3" a="1"/>
  <c r="AG104" i="3" s="1"/>
  <c r="AW104" i="3" a="1"/>
  <c r="AW104" i="3" s="1"/>
  <c r="AT116" i="3" a="1"/>
  <c r="AT116" i="3" s="1"/>
  <c r="CH116" i="3" a="1"/>
  <c r="CH116" i="3" s="1"/>
  <c r="AU104" i="3" a="1"/>
  <c r="AU104" i="3" s="1"/>
  <c r="AQ116" i="3" a="1"/>
  <c r="AQ116" i="3" s="1"/>
  <c r="CA116" i="3" a="1"/>
  <c r="CA116" i="3" s="1"/>
  <c r="AT104" i="3" a="1"/>
  <c r="AT104" i="3" s="1"/>
  <c r="BN104" i="3" a="1"/>
  <c r="BN104" i="3" s="1"/>
  <c r="BF116" i="3" a="1"/>
  <c r="BF116" i="3" s="1"/>
  <c r="G104" i="3" a="1"/>
  <c r="G104" i="3" s="1"/>
  <c r="O116" i="3" a="1"/>
  <c r="O116" i="3" s="1"/>
  <c r="CO116" i="3" a="1"/>
  <c r="CO116" i="3" s="1"/>
  <c r="BJ116" i="3" a="1"/>
  <c r="BJ116" i="3" s="1"/>
  <c r="BH116" i="3" a="1"/>
  <c r="BH116" i="3" s="1"/>
  <c r="CS116" i="3" a="1"/>
  <c r="CS116" i="3" s="1"/>
  <c r="AX116" i="3" a="1"/>
  <c r="AX116" i="3" s="1"/>
  <c r="W104" i="3" a="1"/>
  <c r="W104" i="3" s="1"/>
  <c r="BQ104" i="3" a="1"/>
  <c r="BQ104" i="3" s="1"/>
  <c r="AX104" i="3" a="1"/>
  <c r="AX104" i="3" s="1"/>
  <c r="CD116" i="3" a="1"/>
  <c r="CD116" i="3" s="1"/>
  <c r="BF104" i="3" a="1"/>
  <c r="BF104" i="3" s="1"/>
  <c r="BC116" i="3" a="1"/>
  <c r="BC116" i="3" s="1"/>
  <c r="AV104" i="3" a="1"/>
  <c r="AV104" i="3" s="1"/>
  <c r="CB104" i="3" a="1"/>
  <c r="CB104" i="3" s="1"/>
  <c r="CN116" i="3" a="1"/>
  <c r="CN116" i="3" s="1"/>
  <c r="AW116" i="3" a="1"/>
  <c r="AW116" i="3" s="1"/>
  <c r="DI104" i="3" a="1"/>
  <c r="DI104" i="3" s="1"/>
  <c r="CR104" i="3" a="1"/>
  <c r="CR104" i="3" s="1"/>
  <c r="DN104" i="3" a="1"/>
  <c r="DN104" i="3" s="1"/>
  <c r="AG70" i="3" a="1"/>
  <c r="AG70" i="3" s="1"/>
  <c r="J116" i="3" a="1"/>
  <c r="J116" i="3" s="1"/>
  <c r="AA116" i="3" a="1"/>
  <c r="AA116" i="3" s="1"/>
  <c r="DE116" i="3" a="1"/>
  <c r="DE116" i="3" s="1"/>
  <c r="CR116" i="3" a="1"/>
  <c r="CR116" i="3" s="1"/>
  <c r="O104" i="3" a="1"/>
  <c r="O104" i="3" s="1"/>
  <c r="AS116" i="3" a="1"/>
  <c r="AS116" i="3" s="1"/>
  <c r="CK104" i="3" a="1"/>
  <c r="CK104" i="3" s="1"/>
  <c r="BW116" i="3" a="1"/>
  <c r="BW116" i="3" s="1"/>
  <c r="DO104" i="3" a="1"/>
  <c r="DO104" i="3" s="1"/>
  <c r="BK116" i="3" a="1"/>
  <c r="BK116" i="3" s="1"/>
  <c r="BI104" i="3" a="1"/>
  <c r="BI104" i="3" s="1"/>
  <c r="P116" i="3" a="1"/>
  <c r="P116" i="3" s="1"/>
  <c r="AB104" i="3" a="1"/>
  <c r="AB104" i="3" s="1"/>
  <c r="CM116" i="3" a="1"/>
  <c r="CM116" i="3" s="1"/>
  <c r="CG116" i="3" a="1"/>
  <c r="CG116" i="3" s="1"/>
  <c r="R116" i="3" a="1"/>
  <c r="R116" i="3" s="1"/>
  <c r="DL104" i="3" a="1"/>
  <c r="DL104" i="3" s="1"/>
  <c r="I104" i="3" a="1"/>
  <c r="I104" i="3" s="1"/>
  <c r="AR116" i="3" a="1"/>
  <c r="AR116" i="3" s="1"/>
  <c r="X104" i="3" a="1"/>
  <c r="X104" i="3" s="1"/>
  <c r="BY104" i="3" a="1"/>
  <c r="BY104" i="3" s="1"/>
  <c r="DR116" i="3" a="1"/>
  <c r="DR116" i="3" s="1"/>
  <c r="CL116" i="3" a="1"/>
  <c r="CL116" i="3" s="1"/>
  <c r="CN104" i="3" a="1"/>
  <c r="CN104" i="3" s="1"/>
  <c r="AF104" i="3" a="1"/>
  <c r="AF104" i="3" s="1"/>
  <c r="CB116" i="3" a="1"/>
  <c r="CB116" i="3" s="1"/>
  <c r="R104" i="3" a="1"/>
  <c r="R104" i="3" s="1"/>
  <c r="CW104" i="3" a="1"/>
  <c r="CW104" i="3" s="1"/>
  <c r="D116" i="3" a="1"/>
  <c r="D116" i="3" s="1"/>
  <c r="AM104" i="3" a="1"/>
  <c r="AM104" i="3" s="1"/>
  <c r="CZ104" i="3" a="1"/>
  <c r="CZ104" i="3" s="1"/>
  <c r="BE116" i="3" a="1"/>
  <c r="BE116" i="3" s="1"/>
  <c r="CX116" i="3" a="1"/>
  <c r="CX116" i="3" s="1"/>
  <c r="M104" i="3" a="1"/>
  <c r="M104" i="3" s="1"/>
  <c r="I116" i="3" a="1"/>
  <c r="I116" i="3" s="1"/>
  <c r="AG116" i="3" a="1"/>
  <c r="AG116" i="3" s="1"/>
  <c r="DG104" i="3" a="1"/>
  <c r="DG104" i="3" s="1"/>
  <c r="DD104" i="3" a="1"/>
  <c r="DD104" i="3" s="1"/>
  <c r="CQ116" i="3" a="1"/>
  <c r="CQ116" i="3" s="1"/>
  <c r="DI116" i="3" a="1"/>
  <c r="DI116" i="3" s="1"/>
  <c r="Q116" i="3" a="1"/>
  <c r="Q116" i="3" s="1"/>
  <c r="AY104" i="3" a="1"/>
  <c r="AY104" i="3" s="1"/>
  <c r="T116" i="3" a="1"/>
  <c r="T116" i="3" s="1"/>
  <c r="BR104" i="3" a="1"/>
  <c r="BR104" i="3" s="1"/>
  <c r="T104" i="3" a="1"/>
  <c r="T104" i="3" s="1"/>
  <c r="AI116" i="3" a="1"/>
  <c r="AI116" i="3" s="1"/>
  <c r="CP116" i="3" a="1"/>
  <c r="CP116" i="3" s="1"/>
  <c r="BX116" i="3" a="1"/>
  <c r="BX116" i="3" s="1"/>
  <c r="DG116" i="3" a="1"/>
  <c r="DG116" i="3" s="1"/>
  <c r="L104" i="3" a="1"/>
  <c r="L104" i="3" s="1"/>
  <c r="CP104" i="3" a="1"/>
  <c r="CP104" i="3" s="1"/>
  <c r="AJ116" i="3" a="1"/>
  <c r="AJ116" i="3" s="1"/>
  <c r="U116" i="3" a="1"/>
  <c r="U116" i="3" s="1"/>
  <c r="N116" i="3" a="1"/>
  <c r="N116" i="3" s="1"/>
  <c r="DL116" i="3" a="1"/>
  <c r="DL116" i="3" s="1"/>
  <c r="CU116" i="3" a="1"/>
  <c r="CU116" i="3" s="1"/>
  <c r="AZ104" i="3" a="1"/>
  <c r="AZ104" i="3" s="1"/>
  <c r="CY116" i="3" a="1"/>
  <c r="CY116" i="3" s="1"/>
  <c r="DK116" i="3" a="1"/>
  <c r="DK116" i="3" s="1"/>
  <c r="D104" i="3" a="1"/>
  <c r="D104" i="3" s="1"/>
  <c r="BS116" i="3" a="1"/>
  <c r="BS116" i="3" s="1"/>
  <c r="CJ116" i="3" a="1"/>
  <c r="CJ116" i="3" s="1"/>
  <c r="CV116" i="3" a="1"/>
  <c r="CV116" i="3" s="1"/>
  <c r="X116" i="3" a="1"/>
  <c r="X116" i="3" s="1"/>
  <c r="BT104" i="3" a="1"/>
  <c r="BT104" i="3" s="1"/>
  <c r="CI116" i="3" a="1"/>
  <c r="CI116" i="3" s="1"/>
  <c r="M116" i="3" a="1"/>
  <c r="M116" i="3" s="1"/>
  <c r="AC104" i="3" a="1"/>
  <c r="AC104" i="3" s="1"/>
  <c r="DO116" i="3" a="1"/>
  <c r="DO116" i="3" s="1"/>
  <c r="CH104" i="3" a="1"/>
  <c r="CH104" i="3" s="1"/>
  <c r="P104" i="3" a="1"/>
  <c r="P104" i="3" s="1"/>
  <c r="V104" i="3" a="1"/>
  <c r="V104" i="3" s="1"/>
  <c r="AE104" i="3" a="1"/>
  <c r="AE104" i="3" s="1"/>
  <c r="H104" i="3" a="1"/>
  <c r="H104" i="3" s="1"/>
  <c r="BO104" i="3" a="1"/>
  <c r="BO104" i="3" s="1"/>
  <c r="CI104" i="3" a="1"/>
  <c r="CI104" i="3" s="1"/>
  <c r="BT116" i="3" a="1"/>
  <c r="BT116" i="3" s="1"/>
  <c r="CK116" i="3" a="1"/>
  <c r="CK116" i="3" s="1"/>
  <c r="CO104" i="3" a="1"/>
  <c r="CO104" i="3" s="1"/>
  <c r="DD116" i="3" a="1"/>
  <c r="DD116" i="3" s="1"/>
  <c r="CS104" i="3" a="1"/>
  <c r="CS104" i="3" s="1"/>
  <c r="K116" i="3" a="1"/>
  <c r="K116" i="3" s="1"/>
  <c r="BB104" i="3" a="1"/>
  <c r="BB104" i="3" s="1"/>
  <c r="BP104" i="3" a="1"/>
  <c r="BP104" i="3" s="1"/>
  <c r="BP116" i="3" a="1"/>
  <c r="BP116" i="3" s="1"/>
  <c r="CV104" i="3" a="1"/>
  <c r="CV104" i="3" s="1"/>
  <c r="DB116" i="3" a="1"/>
  <c r="DB116" i="3" s="1"/>
  <c r="CZ116" i="3" a="1"/>
  <c r="CZ116" i="3" s="1"/>
  <c r="Y104" i="3" a="1"/>
  <c r="Y104" i="3" s="1"/>
  <c r="DP116" i="3" a="1"/>
  <c r="DP116" i="3" s="1"/>
  <c r="BZ116" i="3" a="1"/>
  <c r="BZ116" i="3" s="1"/>
  <c r="DF116" i="3" a="1"/>
  <c r="DF116" i="3" s="1"/>
  <c r="BV104" i="3" a="1"/>
  <c r="BV104" i="3" s="1"/>
  <c r="DQ117" i="3" a="1"/>
  <c r="DQ117" i="3" s="1"/>
  <c r="CK117" i="3" a="1"/>
  <c r="CK117" i="3" s="1"/>
  <c r="CZ117" i="3" a="1"/>
  <c r="CZ117" i="3" s="1"/>
  <c r="BZ104" i="3" a="1"/>
  <c r="BZ104" i="3" s="1"/>
  <c r="AO116" i="3" a="1"/>
  <c r="AO116" i="3" s="1"/>
  <c r="U104" i="3" a="1"/>
  <c r="U104" i="3" s="1"/>
  <c r="BA104" i="3" a="1"/>
  <c r="BA104" i="3" s="1"/>
  <c r="BB116" i="3" a="1"/>
  <c r="BB116" i="3" s="1"/>
  <c r="CF104" i="3" a="1"/>
  <c r="CF104" i="3" s="1"/>
  <c r="AE116" i="3" a="1"/>
  <c r="AE116" i="3" s="1"/>
  <c r="AO104" i="3" a="1"/>
  <c r="AO104" i="3" s="1"/>
  <c r="BM116" i="3" a="1"/>
  <c r="BM116" i="3" s="1"/>
  <c r="CL104" i="3" a="1"/>
  <c r="CL104" i="3" s="1"/>
  <c r="CJ104" i="3" a="1"/>
  <c r="CJ104" i="3" s="1"/>
  <c r="BH104" i="3" a="1"/>
  <c r="BH104" i="3" s="1"/>
  <c r="DA104" i="3" a="1"/>
  <c r="DA104" i="3" s="1"/>
  <c r="DP104" i="3" a="1"/>
  <c r="DP104" i="3" s="1"/>
  <c r="BU104" i="3" a="1"/>
  <c r="BU104" i="3" s="1"/>
  <c r="BE104" i="3" a="1"/>
  <c r="BE104" i="3" s="1"/>
  <c r="BJ104" i="3" a="1"/>
  <c r="BJ104" i="3" s="1"/>
  <c r="BM104" i="3" a="1"/>
  <c r="BM104" i="3" s="1"/>
  <c r="DE104" i="3" a="1"/>
  <c r="DE104" i="3" s="1"/>
  <c r="CD104" i="3" a="1"/>
  <c r="CD104" i="3" s="1"/>
  <c r="AH105" i="3" a="1"/>
  <c r="AH105" i="3" s="1"/>
  <c r="BK117" i="3" a="1"/>
  <c r="BK117" i="3" s="1"/>
  <c r="CT104" i="3" a="1"/>
  <c r="CT104" i="3" s="1"/>
  <c r="BS104" i="3" a="1"/>
  <c r="BS104" i="3" s="1"/>
  <c r="AA104" i="3" a="1"/>
  <c r="AA104" i="3" s="1"/>
  <c r="CA104" i="3" a="1"/>
  <c r="CA104" i="3" s="1"/>
  <c r="DN116" i="3" a="1"/>
  <c r="DN116" i="3" s="1"/>
  <c r="J104" i="3" a="1"/>
  <c r="J104" i="3" s="1"/>
  <c r="DH116" i="3" a="1"/>
  <c r="DH116" i="3" s="1"/>
  <c r="S116" i="3" a="1"/>
  <c r="S116" i="3" s="1"/>
  <c r="AS104" i="3" a="1"/>
  <c r="AS104" i="3" s="1"/>
  <c r="Z104" i="3" a="1"/>
  <c r="Z104" i="3" s="1"/>
  <c r="Z116" i="3" a="1"/>
  <c r="Z116" i="3" s="1"/>
  <c r="BD116" i="3" a="1"/>
  <c r="BD116" i="3" s="1"/>
  <c r="DC104" i="3" a="1"/>
  <c r="DC104" i="3" s="1"/>
  <c r="BG104" i="3" a="1"/>
  <c r="BG104" i="3" s="1"/>
  <c r="BG116" i="3" a="1"/>
  <c r="BG116" i="3" s="1"/>
  <c r="CC116" i="3" a="1"/>
  <c r="CC116" i="3" s="1"/>
  <c r="DJ116" i="3" a="1"/>
  <c r="DJ116" i="3" s="1"/>
  <c r="AG69" i="3" a="1"/>
  <c r="AG69" i="3" s="1"/>
  <c r="CT54" i="3" a="1"/>
  <c r="CT54" i="3" s="1"/>
  <c r="CD54" i="3" a="1"/>
  <c r="CD54" i="3" s="1"/>
  <c r="CE54" i="3" a="1"/>
  <c r="CE54" i="3" s="1"/>
  <c r="CF54" i="3" a="1"/>
  <c r="CF54" i="3" s="1"/>
  <c r="AW54" i="3" a="1"/>
  <c r="AW54" i="3" s="1"/>
  <c r="AG93" i="3" a="1"/>
  <c r="AG93" i="3" s="1"/>
  <c r="Q54" i="3" a="1"/>
  <c r="Q54" i="3" s="1"/>
  <c r="DH54" i="3" a="1"/>
  <c r="DH54" i="3" s="1"/>
  <c r="CR68" i="3" a="1"/>
  <c r="CR68" i="3" s="1"/>
  <c r="AV54" i="3" a="1"/>
  <c r="AV54" i="3" s="1"/>
  <c r="CP80" i="3" a="1"/>
  <c r="CP80" i="3" s="1"/>
  <c r="BZ68" i="3" a="1"/>
  <c r="BZ68" i="3" s="1"/>
  <c r="N80" i="3" a="1"/>
  <c r="N80" i="3" s="1"/>
  <c r="CO54" i="3" a="1"/>
  <c r="CO54" i="3" s="1"/>
  <c r="AS93" i="3" a="1"/>
  <c r="AS93" i="3" s="1"/>
  <c r="AS54" i="3" a="1"/>
  <c r="AS54" i="3" s="1"/>
  <c r="BX68" i="3" a="1"/>
  <c r="BX68" i="3" s="1"/>
  <c r="CS93" i="3" a="1"/>
  <c r="CS93" i="3" s="1"/>
  <c r="BM54" i="3" a="1"/>
  <c r="BM54" i="3" s="1"/>
  <c r="CB80" i="3" a="1"/>
  <c r="CB80" i="3" s="1"/>
  <c r="AT68" i="3" a="1"/>
  <c r="AT68" i="3" s="1"/>
  <c r="M68" i="3" a="1"/>
  <c r="M68" i="3" s="1"/>
  <c r="AG80" i="3" a="1"/>
  <c r="AG80" i="3" s="1"/>
  <c r="DI93" i="3" a="1"/>
  <c r="DI93" i="3" s="1"/>
  <c r="BM68" i="3" a="1"/>
  <c r="BM68" i="3" s="1"/>
  <c r="CR80" i="3" a="1"/>
  <c r="CR80" i="3" s="1"/>
  <c r="AV93" i="3" a="1"/>
  <c r="AV93" i="3" s="1"/>
  <c r="P68" i="3" a="1"/>
  <c r="P68" i="3" s="1"/>
  <c r="CC68" i="3" a="1"/>
  <c r="CC68" i="3" s="1"/>
  <c r="DF68" i="3" a="1"/>
  <c r="DF68" i="3" s="1"/>
  <c r="CP93" i="3" a="1"/>
  <c r="CP93" i="3" s="1"/>
  <c r="AW93" i="3" a="1"/>
  <c r="AW93" i="3" s="1"/>
  <c r="Q93" i="3" a="1"/>
  <c r="Q93" i="3" s="1"/>
  <c r="DH80" i="3" a="1"/>
  <c r="DH80" i="3" s="1"/>
  <c r="CB54" i="3" a="1"/>
  <c r="CB54" i="3" s="1"/>
  <c r="AV68" i="3" a="1"/>
  <c r="AV68" i="3" s="1"/>
  <c r="N93" i="3" a="1"/>
  <c r="N93" i="3" s="1"/>
  <c r="BL93" i="3" a="1"/>
  <c r="BL93" i="3" s="1"/>
  <c r="BL68" i="3" a="1"/>
  <c r="BL68" i="3" s="1"/>
  <c r="AF80" i="3" a="1"/>
  <c r="AF80" i="3" s="1"/>
  <c r="BJ54" i="3" a="1"/>
  <c r="BJ54" i="3" s="1"/>
  <c r="Q80" i="3" a="1"/>
  <c r="Q80" i="3" s="1"/>
  <c r="DH93" i="3" a="1"/>
  <c r="DH93" i="3" s="1"/>
  <c r="CR93" i="3" a="1"/>
  <c r="CR93" i="3" s="1"/>
  <c r="CS68" i="3" a="1"/>
  <c r="CS68" i="3" s="1"/>
  <c r="CS54" i="3" a="1"/>
  <c r="CS54" i="3" s="1"/>
  <c r="AF54" i="3" a="1"/>
  <c r="AF54" i="3" s="1"/>
  <c r="P80" i="3" a="1"/>
  <c r="P80" i="3" s="1"/>
  <c r="AI54" i="3" a="1"/>
  <c r="AI54" i="3" s="1"/>
  <c r="CC80" i="3" a="1"/>
  <c r="CC80" i="3" s="1"/>
  <c r="DH68" i="3" a="1"/>
  <c r="DH68" i="3" s="1"/>
  <c r="CB68" i="3" a="1"/>
  <c r="CB68" i="3" s="1"/>
  <c r="DF80" i="3" a="1"/>
  <c r="DF80" i="3" s="1"/>
  <c r="DI54" i="3" a="1"/>
  <c r="DI54" i="3" s="1"/>
  <c r="AW80" i="3" a="1"/>
  <c r="AW80" i="3" s="1"/>
  <c r="AG68" i="3" a="1"/>
  <c r="AG68" i="3" s="1"/>
  <c r="CR54" i="3" a="1"/>
  <c r="CR54" i="3" s="1"/>
  <c r="BJ93" i="3" a="1"/>
  <c r="BJ93" i="3" s="1"/>
  <c r="BI93" i="3" a="1"/>
  <c r="BI93" i="3" s="1"/>
  <c r="DG93" i="3" a="1"/>
  <c r="DG93" i="3" s="1"/>
  <c r="DG54" i="3" a="1"/>
  <c r="DG54" i="3" s="1"/>
  <c r="AU93" i="3" a="1"/>
  <c r="AU93" i="3" s="1"/>
  <c r="AE93" i="3" a="1"/>
  <c r="AE93" i="3" s="1"/>
  <c r="DD80" i="3" a="1"/>
  <c r="DD80" i="3" s="1"/>
  <c r="CQ93" i="3" a="1"/>
  <c r="CQ93" i="3" s="1"/>
  <c r="AU54" i="3" a="1"/>
  <c r="AU54" i="3" s="1"/>
  <c r="AE54" i="3" a="1"/>
  <c r="AE54" i="3" s="1"/>
  <c r="K68" i="3" a="1"/>
  <c r="K68" i="3" s="1"/>
  <c r="AP68" i="3" a="1"/>
  <c r="AP68" i="3" s="1"/>
  <c r="BZ54" i="3" a="1"/>
  <c r="BZ54" i="3" s="1"/>
  <c r="BI68" i="3" a="1"/>
  <c r="BI68" i="3" s="1"/>
  <c r="AB68" i="3" a="1"/>
  <c r="AB68" i="3" s="1"/>
  <c r="L93" i="3" a="1"/>
  <c r="L93" i="3" s="1"/>
  <c r="BK54" i="3" a="1"/>
  <c r="BK54" i="3" s="1"/>
  <c r="BG54" i="3" a="1"/>
  <c r="BG54" i="3" s="1"/>
  <c r="CL68" i="3" a="1"/>
  <c r="CL68" i="3" s="1"/>
  <c r="BF93" i="3" a="1"/>
  <c r="BF93" i="3" s="1"/>
  <c r="BL80" i="3" a="1"/>
  <c r="BL80" i="3" s="1"/>
  <c r="BY93" i="3" a="1"/>
  <c r="BY93" i="3" s="1"/>
  <c r="CN80" i="3" a="1"/>
  <c r="CN80" i="3" s="1"/>
  <c r="DG68" i="3" a="1"/>
  <c r="DG68" i="3" s="1"/>
  <c r="DC80" i="3" a="1"/>
  <c r="DC80" i="3" s="1"/>
  <c r="AQ80" i="3" a="1"/>
  <c r="AQ80" i="3" s="1"/>
  <c r="AA93" i="3" a="1"/>
  <c r="AA93" i="3" s="1"/>
  <c r="DR54" i="3" a="1"/>
  <c r="DR54" i="3" s="1"/>
  <c r="CS80" i="3" a="1"/>
  <c r="CS80" i="3" s="1"/>
  <c r="BM93" i="3" a="1"/>
  <c r="BM93" i="3" s="1"/>
  <c r="BJ68" i="3" a="1"/>
  <c r="BJ68" i="3" s="1"/>
  <c r="AB80" i="3" a="1"/>
  <c r="AB80" i="3" s="1"/>
  <c r="AR80" i="3" a="1"/>
  <c r="AR80" i="3" s="1"/>
  <c r="DC54" i="3" a="1"/>
  <c r="DC54" i="3" s="1"/>
  <c r="CL80" i="3" a="1"/>
  <c r="CL80" i="3" s="1"/>
  <c r="BM80" i="3" a="1"/>
  <c r="BM80" i="3" s="1"/>
  <c r="AF68" i="3" a="1"/>
  <c r="AF68" i="3" s="1"/>
  <c r="CP54" i="3" a="1"/>
  <c r="CP54" i="3" s="1"/>
  <c r="CO68" i="3" a="1"/>
  <c r="CO68" i="3" s="1"/>
  <c r="CN93" i="3" a="1"/>
  <c r="CN93" i="3" s="1"/>
  <c r="AU68" i="3" a="1"/>
  <c r="AU68" i="3" s="1"/>
  <c r="BW93" i="3" a="1"/>
  <c r="BW93" i="3" s="1"/>
  <c r="BF80" i="3" a="1"/>
  <c r="BF80" i="3" s="1"/>
  <c r="AP80" i="3" a="1"/>
  <c r="AP80" i="3" s="1"/>
  <c r="CB93" i="3" a="1"/>
  <c r="CB93" i="3" s="1"/>
  <c r="BL54" i="3" a="1"/>
  <c r="BL54" i="3" s="1"/>
  <c r="P54" i="3" a="1"/>
  <c r="P54" i="3" s="1"/>
  <c r="N54" i="3" a="1"/>
  <c r="N54" i="3" s="1"/>
  <c r="CO80" i="3" a="1"/>
  <c r="CO80" i="3" s="1"/>
  <c r="AW68" i="3" a="1"/>
  <c r="AW68" i="3" s="1"/>
  <c r="AF93" i="3" a="1"/>
  <c r="AF93" i="3" s="1"/>
  <c r="BZ93" i="3" a="1"/>
  <c r="BZ93" i="3" s="1"/>
  <c r="DE80" i="3" a="1"/>
  <c r="DE80" i="3" s="1"/>
  <c r="AS80" i="3" a="1"/>
  <c r="AS80" i="3" s="1"/>
  <c r="AS68" i="3" a="1"/>
  <c r="AS68" i="3" s="1"/>
  <c r="AC93" i="3" a="1"/>
  <c r="AC93" i="3" s="1"/>
  <c r="M80" i="3" a="1"/>
  <c r="M80" i="3" s="1"/>
  <c r="DD68" i="3" a="1"/>
  <c r="DD68" i="3" s="1"/>
  <c r="BH54" i="3" a="1"/>
  <c r="BH54" i="3" s="1"/>
  <c r="AR93" i="3" a="1"/>
  <c r="AR93" i="3" s="1"/>
  <c r="L68" i="3" a="1"/>
  <c r="L68" i="3" s="1"/>
  <c r="DG80" i="3" a="1"/>
  <c r="DG80" i="3" s="1"/>
  <c r="CQ54" i="3" a="1"/>
  <c r="CQ54" i="3" s="1"/>
  <c r="DC93" i="3" a="1"/>
  <c r="DC93" i="3" s="1"/>
  <c r="CM68" i="3" a="1"/>
  <c r="CM68" i="3" s="1"/>
  <c r="BG93" i="3" a="1"/>
  <c r="BG93" i="3" s="1"/>
  <c r="BG68" i="3" a="1"/>
  <c r="BG68" i="3" s="1"/>
  <c r="AQ68" i="3" a="1"/>
  <c r="AQ68" i="3" s="1"/>
  <c r="K54" i="3" a="1"/>
  <c r="K54" i="3" s="1"/>
  <c r="Q68" i="3" a="1"/>
  <c r="Q68" i="3" s="1"/>
  <c r="DF54" i="3" a="1"/>
  <c r="DF54" i="3" s="1"/>
  <c r="AC68" i="3" a="1"/>
  <c r="AC68" i="3" s="1"/>
  <c r="BX54" i="3" a="1"/>
  <c r="BX54" i="3" s="1"/>
  <c r="BH80" i="3" a="1"/>
  <c r="BH80" i="3" s="1"/>
  <c r="AR68" i="3" a="1"/>
  <c r="AR68" i="3" s="1"/>
  <c r="CA93" i="3" a="1"/>
  <c r="CA93" i="3" s="1"/>
  <c r="BK68" i="3" a="1"/>
  <c r="BK68" i="3" s="1"/>
  <c r="AU80" i="3" a="1"/>
  <c r="AU80" i="3" s="1"/>
  <c r="CM93" i="3" a="1"/>
  <c r="CM93" i="3" s="1"/>
  <c r="AD80" i="3" a="1"/>
  <c r="AD80" i="3" s="1"/>
  <c r="BX93" i="3" a="1"/>
  <c r="BX93" i="3" s="1"/>
  <c r="AQ93" i="3" a="1"/>
  <c r="AQ93" i="3" s="1"/>
  <c r="AQ54" i="3" a="1"/>
  <c r="AQ54" i="3" s="1"/>
  <c r="AA54" i="3" a="1"/>
  <c r="AA54" i="3" s="1"/>
  <c r="K80" i="3" a="1"/>
  <c r="K80" i="3" s="1"/>
  <c r="DB68" i="3" a="1"/>
  <c r="DB68" i="3" s="1"/>
  <c r="DA93" i="3" a="1"/>
  <c r="DA93" i="3" s="1"/>
  <c r="Y93" i="3" a="1"/>
  <c r="Y93" i="3" s="1"/>
  <c r="P93" i="3" a="1"/>
  <c r="P93" i="3" s="1"/>
  <c r="DF93" i="3" a="1"/>
  <c r="DF93" i="3" s="1"/>
  <c r="BZ80" i="3" a="1"/>
  <c r="BZ80" i="3" s="1"/>
  <c r="CA68" i="3" a="1"/>
  <c r="CA68" i="3" s="1"/>
  <c r="DC68" i="3" a="1"/>
  <c r="DC68" i="3" s="1"/>
  <c r="BW80" i="3" a="1"/>
  <c r="BW80" i="3" s="1"/>
  <c r="CI80" i="3" a="1"/>
  <c r="CI80" i="3" s="1"/>
  <c r="DI80" i="3" a="1"/>
  <c r="DI80" i="3" s="1"/>
  <c r="DE54" i="3" a="1"/>
  <c r="DE54" i="3" s="1"/>
  <c r="DD93" i="3" a="1"/>
  <c r="DD93" i="3" s="1"/>
  <c r="BK93" i="3" a="1"/>
  <c r="BK93" i="3" s="1"/>
  <c r="DQ93" i="3" a="1"/>
  <c r="DQ93" i="3" s="1"/>
  <c r="BU93" i="3" a="1"/>
  <c r="BU93" i="3" s="1"/>
  <c r="BE80" i="3" a="1"/>
  <c r="BE80" i="3" s="1"/>
  <c r="CZ68" i="3" a="1"/>
  <c r="CZ68" i="3" s="1"/>
  <c r="CJ68" i="3" a="1"/>
  <c r="CJ68" i="3" s="1"/>
  <c r="BT80" i="3" a="1"/>
  <c r="BT80" i="3" s="1"/>
  <c r="BD68" i="3" a="1"/>
  <c r="BD68" i="3" s="1"/>
  <c r="DI68" i="3" a="1"/>
  <c r="DI68" i="3" s="1"/>
  <c r="AG54" i="3" a="1"/>
  <c r="AG54" i="3" s="1"/>
  <c r="AV80" i="3" a="1"/>
  <c r="AV80" i="3" s="1"/>
  <c r="AT80" i="3" a="1"/>
  <c r="AT80" i="3" s="1"/>
  <c r="AD93" i="3" a="1"/>
  <c r="AD93" i="3" s="1"/>
  <c r="AR54" i="3" a="1"/>
  <c r="AR54" i="3" s="1"/>
  <c r="L80" i="3" a="1"/>
  <c r="L80" i="3" s="1"/>
  <c r="BF54" i="3" a="1"/>
  <c r="BF54" i="3" s="1"/>
  <c r="Z68" i="3" a="1"/>
  <c r="Z68" i="3" s="1"/>
  <c r="BD54" i="3" a="1"/>
  <c r="BD54" i="3" s="1"/>
  <c r="AN54" i="3" a="1"/>
  <c r="AN54" i="3" s="1"/>
  <c r="AB93" i="3" a="1"/>
  <c r="AB93" i="3" s="1"/>
  <c r="O80" i="3" a="1"/>
  <c r="O80" i="3" s="1"/>
  <c r="BE68" i="3" a="1"/>
  <c r="BE68" i="3" s="1"/>
  <c r="CZ54" i="3" a="1"/>
  <c r="CZ54" i="3" s="1"/>
  <c r="AN68" i="3" a="1"/>
  <c r="AN68" i="3" s="1"/>
  <c r="X54" i="3" a="1"/>
  <c r="X54" i="3" s="1"/>
  <c r="CI93" i="3" a="1"/>
  <c r="CI93" i="3" s="1"/>
  <c r="AD68" i="3" a="1"/>
  <c r="AD68" i="3" s="1"/>
  <c r="N68" i="3" a="1"/>
  <c r="N68" i="3" s="1"/>
  <c r="BY54" i="3" a="1"/>
  <c r="BY54" i="3" s="1"/>
  <c r="O68" i="3" a="1"/>
  <c r="O68" i="3" s="1"/>
  <c r="BG80" i="3" a="1"/>
  <c r="BG80" i="3" s="1"/>
  <c r="J93" i="3" a="1"/>
  <c r="J93" i="3" s="1"/>
  <c r="BE93" i="3" a="1"/>
  <c r="BE93" i="3" s="1"/>
  <c r="DP93" i="3" a="1"/>
  <c r="DP93" i="3" s="1"/>
  <c r="CZ93" i="3" a="1"/>
  <c r="CZ93" i="3" s="1"/>
  <c r="CJ80" i="3" a="1"/>
  <c r="CJ80" i="3" s="1"/>
  <c r="CP68" i="3" a="1"/>
  <c r="CP68" i="3" s="1"/>
  <c r="M93" i="3" a="1"/>
  <c r="M93" i="3" s="1"/>
  <c r="BK80" i="3" a="1"/>
  <c r="BK80" i="3" s="1"/>
  <c r="CM80" i="3" a="1"/>
  <c r="CM80" i="3" s="1"/>
  <c r="AA68" i="3" a="1"/>
  <c r="AA68" i="3" s="1"/>
  <c r="J54" i="3" a="1"/>
  <c r="J54" i="3" s="1"/>
  <c r="DQ80" i="3" a="1"/>
  <c r="DQ80" i="3" s="1"/>
  <c r="DQ54" i="3" a="1"/>
  <c r="DQ54" i="3" s="1"/>
  <c r="DA80" i="3" a="1"/>
  <c r="DA80" i="3" s="1"/>
  <c r="BE54" i="3" a="1"/>
  <c r="BE54" i="3" s="1"/>
  <c r="AO93" i="3" a="1"/>
  <c r="AO93" i="3" s="1"/>
  <c r="AD54" i="3" a="1"/>
  <c r="AD54" i="3" s="1"/>
  <c r="DE68" i="3" a="1"/>
  <c r="DE68" i="3" s="1"/>
  <c r="BI80" i="3" a="1"/>
  <c r="BI80" i="3" s="1"/>
  <c r="M54" i="3" a="1"/>
  <c r="M54" i="3" s="1"/>
  <c r="AT93" i="3" a="1"/>
  <c r="AT93" i="3" s="1"/>
  <c r="DE93" i="3" a="1"/>
  <c r="DE93" i="3" s="1"/>
  <c r="BX80" i="3" a="1"/>
  <c r="BX80" i="3" s="1"/>
  <c r="CN68" i="3" a="1"/>
  <c r="CN68" i="3" s="1"/>
  <c r="CL93" i="3" a="1"/>
  <c r="CL93" i="3" s="1"/>
  <c r="AP93" i="3" a="1"/>
  <c r="AP93" i="3" s="1"/>
  <c r="Z93" i="3" a="1"/>
  <c r="Z93" i="3" s="1"/>
  <c r="J80" i="3" a="1"/>
  <c r="J80" i="3" s="1"/>
  <c r="DQ68" i="3" a="1"/>
  <c r="DQ68" i="3" s="1"/>
  <c r="Y80" i="3" a="1"/>
  <c r="Y80" i="3" s="1"/>
  <c r="Y54" i="3" a="1"/>
  <c r="Y54" i="3" s="1"/>
  <c r="I68" i="3" a="1"/>
  <c r="I68" i="3" s="1"/>
  <c r="CC93" i="3" a="1"/>
  <c r="CC93" i="3" s="1"/>
  <c r="O54" i="3" a="1"/>
  <c r="O54" i="3" s="1"/>
  <c r="DO68" i="3" a="1"/>
  <c r="DO68" i="3" s="1"/>
  <c r="BC80" i="3" a="1"/>
  <c r="BC80" i="3" s="1"/>
  <c r="DL80" i="3" a="1"/>
  <c r="DL80" i="3" s="1"/>
  <c r="BP93" i="3" a="1"/>
  <c r="BP93" i="3" s="1"/>
  <c r="BI54" i="3" a="1"/>
  <c r="BI54" i="3" s="1"/>
  <c r="CA80" i="3" a="1"/>
  <c r="CA80" i="3" s="1"/>
  <c r="CA54" i="3" a="1"/>
  <c r="CA54" i="3" s="1"/>
  <c r="DR68" i="3" a="1"/>
  <c r="DR68" i="3" s="1"/>
  <c r="AN93" i="3" a="1"/>
  <c r="AN93" i="3" s="1"/>
  <c r="H93" i="3" a="1"/>
  <c r="H93" i="3" s="1"/>
  <c r="CY68" i="3" a="1"/>
  <c r="CY68" i="3" s="1"/>
  <c r="CI54" i="3" a="1"/>
  <c r="CI54" i="3" s="1"/>
  <c r="BS68" i="3" a="1"/>
  <c r="BS68" i="3" s="1"/>
  <c r="DN80" i="3" a="1"/>
  <c r="DN80" i="3" s="1"/>
  <c r="CH80" i="3" a="1"/>
  <c r="CH80" i="3" s="1"/>
  <c r="DL54" i="3" a="1"/>
  <c r="DL54" i="3" s="1"/>
  <c r="BV80" i="3" a="1"/>
  <c r="BV80" i="3" s="1"/>
  <c r="BU80" i="3" a="1"/>
  <c r="BU80" i="3" s="1"/>
  <c r="CZ80" i="3" a="1"/>
  <c r="CZ80" i="3" s="1"/>
  <c r="BT68" i="3" a="1"/>
  <c r="BT68" i="3" s="1"/>
  <c r="X80" i="3" a="1"/>
  <c r="X80" i="3" s="1"/>
  <c r="CY93" i="3" a="1"/>
  <c r="CY93" i="3" s="1"/>
  <c r="W54" i="3" a="1"/>
  <c r="W54" i="3" s="1"/>
  <c r="CC54" i="3" a="1"/>
  <c r="CC54" i="3" s="1"/>
  <c r="AA80" i="3" a="1"/>
  <c r="AA80" i="3" s="1"/>
  <c r="CK93" i="3" a="1"/>
  <c r="CK93" i="3" s="1"/>
  <c r="DP80" i="3" a="1"/>
  <c r="DP80" i="3" s="1"/>
  <c r="BD80" i="3" a="1"/>
  <c r="BD80" i="3" s="1"/>
  <c r="BJ80" i="3" a="1"/>
  <c r="BJ80" i="3" s="1"/>
  <c r="BY68" i="3" a="1"/>
  <c r="BY68" i="3" s="1"/>
  <c r="BH68" i="3" a="1"/>
  <c r="BH68" i="3" s="1"/>
  <c r="O93" i="3" a="1"/>
  <c r="O93" i="3" s="1"/>
  <c r="Z54" i="3" a="1"/>
  <c r="Z54" i="3" s="1"/>
  <c r="Y68" i="3" a="1"/>
  <c r="Y68" i="3" s="1"/>
  <c r="CV80" i="3" a="1"/>
  <c r="CV80" i="3" s="1"/>
  <c r="CF68" i="3" a="1"/>
  <c r="CF68" i="3" s="1"/>
  <c r="CF80" i="3" a="1"/>
  <c r="CF80" i="3" s="1"/>
  <c r="AZ80" i="3" a="1"/>
  <c r="AZ80" i="3" s="1"/>
  <c r="CL54" i="3" a="1"/>
  <c r="CL54" i="3" s="1"/>
  <c r="Z80" i="3" a="1"/>
  <c r="Z80" i="3" s="1"/>
  <c r="BU68" i="3" a="1"/>
  <c r="BU68" i="3" s="1"/>
  <c r="H68" i="3" a="1"/>
  <c r="H68" i="3" s="1"/>
  <c r="AM93" i="3" a="1"/>
  <c r="AM93" i="3" s="1"/>
  <c r="W68" i="3" a="1"/>
  <c r="W68" i="3" s="1"/>
  <c r="CX93" i="3" a="1"/>
  <c r="CX93" i="3" s="1"/>
  <c r="CH68" i="3" a="1"/>
  <c r="CH68" i="3" s="1"/>
  <c r="BR54" i="3" a="1"/>
  <c r="BR54" i="3" s="1"/>
  <c r="CQ80" i="3" a="1"/>
  <c r="CQ80" i="3" s="1"/>
  <c r="AE80" i="3" a="1"/>
  <c r="AE80" i="3" s="1"/>
  <c r="BW54" i="3" a="1"/>
  <c r="BW54" i="3" s="1"/>
  <c r="K93" i="3" a="1"/>
  <c r="K93" i="3" s="1"/>
  <c r="DP68" i="3" a="1"/>
  <c r="DP68" i="3" s="1"/>
  <c r="CY80" i="3" a="1"/>
  <c r="CY80" i="3" s="1"/>
  <c r="BC54" i="3" a="1"/>
  <c r="BC54" i="3" s="1"/>
  <c r="AM80" i="3" a="1"/>
  <c r="AM80" i="3" s="1"/>
  <c r="G54" i="3" a="1"/>
  <c r="G54" i="3" s="1"/>
  <c r="BH93" i="3" a="1"/>
  <c r="BH93" i="3" s="1"/>
  <c r="BV93" i="3" a="1"/>
  <c r="BV93" i="3" s="1"/>
  <c r="AP54" i="3" a="1"/>
  <c r="AP54" i="3" s="1"/>
  <c r="DA68" i="3" a="1"/>
  <c r="DA68" i="3" s="1"/>
  <c r="BU54" i="3" a="1"/>
  <c r="BU54" i="3" s="1"/>
  <c r="AO54" i="3" a="1"/>
  <c r="AO54" i="3" s="1"/>
  <c r="BT93" i="3" a="1"/>
  <c r="BT93" i="3" s="1"/>
  <c r="CN54" i="3" a="1"/>
  <c r="CN54" i="3" s="1"/>
  <c r="DB93" i="3" a="1"/>
  <c r="DB93" i="3" s="1"/>
  <c r="AN80" i="3" a="1"/>
  <c r="AN80" i="3" s="1"/>
  <c r="H54" i="3" a="1"/>
  <c r="H54" i="3" s="1"/>
  <c r="BC68" i="3" a="1"/>
  <c r="BC68" i="3" s="1"/>
  <c r="DN93" i="3" a="1"/>
  <c r="DN93" i="3" s="1"/>
  <c r="BR80" i="3" a="1"/>
  <c r="BR80" i="3" s="1"/>
  <c r="CV54" i="3" a="1"/>
  <c r="CV54" i="3" s="1"/>
  <c r="BB80" i="3" a="1"/>
  <c r="BB80" i="3" s="1"/>
  <c r="F93" i="3" a="1"/>
  <c r="F93" i="3" s="1"/>
  <c r="F68" i="3" a="1"/>
  <c r="F68" i="3" s="1"/>
  <c r="U93" i="3" a="1"/>
  <c r="U93" i="3" s="1"/>
  <c r="BO80" i="3" a="1"/>
  <c r="BO80" i="3" s="1"/>
  <c r="AY93" i="3" a="1"/>
  <c r="AY93" i="3" s="1"/>
  <c r="S68" i="3" a="1"/>
  <c r="S68" i="3" s="1"/>
  <c r="C68" i="3" a="1"/>
  <c r="C68" i="3" s="1"/>
  <c r="DJ80" i="3" a="1"/>
  <c r="DJ80" i="3" s="1"/>
  <c r="R80" i="3" a="1"/>
  <c r="R80" i="3" s="1"/>
  <c r="X93" i="3" a="1"/>
  <c r="X93" i="3" s="1"/>
  <c r="CI68" i="3" a="1"/>
  <c r="CI68" i="3" s="1"/>
  <c r="AJ54" i="3" a="1"/>
  <c r="AJ54" i="3" s="1"/>
  <c r="AL68" i="3" a="1"/>
  <c r="AL68" i="3" s="1"/>
  <c r="V93" i="3" a="1"/>
  <c r="V93" i="3" s="1"/>
  <c r="BQ80" i="3" a="1"/>
  <c r="BQ80" i="3" s="1"/>
  <c r="S54" i="3" a="1"/>
  <c r="S54" i="3" s="1"/>
  <c r="CD68" i="3" a="1"/>
  <c r="CD68" i="3" s="1"/>
  <c r="CD80" i="3" a="1"/>
  <c r="CD80" i="3" s="1"/>
  <c r="AX93" i="3" a="1"/>
  <c r="AX93" i="3" s="1"/>
  <c r="AX80" i="3" a="1"/>
  <c r="AX80" i="3" s="1"/>
  <c r="AH93" i="3" a="1"/>
  <c r="AH93" i="3" s="1"/>
  <c r="AH54" i="3" a="1"/>
  <c r="AH54" i="3" s="1"/>
  <c r="AT54" i="3" a="1"/>
  <c r="AT54" i="3" s="1"/>
  <c r="BV68" i="3" a="1"/>
  <c r="BV68" i="3" s="1"/>
  <c r="DP54" i="3" a="1"/>
  <c r="DP54" i="3" s="1"/>
  <c r="H80" i="3" a="1"/>
  <c r="H80" i="3" s="1"/>
  <c r="BR68" i="3" a="1"/>
  <c r="BR68" i="3" s="1"/>
  <c r="T93" i="3" a="1"/>
  <c r="T93" i="3" s="1"/>
  <c r="T68" i="3" a="1"/>
  <c r="T68" i="3" s="1"/>
  <c r="D93" i="3" a="1"/>
  <c r="D93" i="3" s="1"/>
  <c r="CG80" i="3" a="1"/>
  <c r="CG80" i="3" s="1"/>
  <c r="BA93" i="3" a="1"/>
  <c r="BA93" i="3" s="1"/>
  <c r="AK93" i="3" a="1"/>
  <c r="AK93" i="3" s="1"/>
  <c r="E68" i="3" a="1"/>
  <c r="E68" i="3" s="1"/>
  <c r="DK93" i="3" a="1"/>
  <c r="DK93" i="3" s="1"/>
  <c r="S93" i="3" a="1"/>
  <c r="S93" i="3" s="1"/>
  <c r="BY80" i="3" a="1"/>
  <c r="BY80" i="3" s="1"/>
  <c r="AE68" i="3" a="1"/>
  <c r="AE68" i="3" s="1"/>
  <c r="CM54" i="3" a="1"/>
  <c r="CM54" i="3" s="1"/>
  <c r="DB80" i="3" a="1"/>
  <c r="DB80" i="3" s="1"/>
  <c r="BS54" i="3" a="1"/>
  <c r="BS54" i="3" s="1"/>
  <c r="T54" i="3" a="1"/>
  <c r="T54" i="3" s="1"/>
  <c r="AL93" i="3" a="1"/>
  <c r="AL93" i="3" s="1"/>
  <c r="CU93" i="3" a="1"/>
  <c r="CU93" i="3" s="1"/>
  <c r="AI68" i="3" a="1"/>
  <c r="AI68" i="3" s="1"/>
  <c r="C80" i="3" a="1"/>
  <c r="C80" i="3" s="1"/>
  <c r="DJ68" i="3" a="1"/>
  <c r="DJ68" i="3" s="1"/>
  <c r="AB54" i="3" a="1"/>
  <c r="AB54" i="3" s="1"/>
  <c r="DL68" i="3" a="1"/>
  <c r="DL68" i="3" s="1"/>
  <c r="CG54" i="3" a="1"/>
  <c r="CG54" i="3" s="1"/>
  <c r="F80" i="3" a="1"/>
  <c r="F80" i="3" s="1"/>
  <c r="CW54" i="3" a="1"/>
  <c r="CW54" i="3" s="1"/>
  <c r="BA54" i="3" a="1"/>
  <c r="BA54" i="3" s="1"/>
  <c r="CU54" i="3" a="1"/>
  <c r="CU54" i="3" s="1"/>
  <c r="AY80" i="3" a="1"/>
  <c r="AY80" i="3" s="1"/>
  <c r="AI93" i="3" a="1"/>
  <c r="AI93" i="3" s="1"/>
  <c r="BT54" i="3" a="1"/>
  <c r="BT54" i="3" s="1"/>
  <c r="AZ68" i="3" a="1"/>
  <c r="AZ68" i="3" s="1"/>
  <c r="BQ54" i="3" a="1"/>
  <c r="BQ54" i="3" s="1"/>
  <c r="AL80" i="3" a="1"/>
  <c r="AL80" i="3" s="1"/>
  <c r="CU80" i="3" a="1"/>
  <c r="CU80" i="3" s="1"/>
  <c r="BN93" i="3" a="1"/>
  <c r="BN93" i="3" s="1"/>
  <c r="AH68" i="3" a="1"/>
  <c r="AH68" i="3" s="1"/>
  <c r="R68" i="3" a="1"/>
  <c r="R68" i="3" s="1"/>
  <c r="AC80" i="3" a="1"/>
  <c r="AC80" i="3" s="1"/>
  <c r="L54" i="3" a="1"/>
  <c r="L54" i="3" s="1"/>
  <c r="BW68" i="3" a="1"/>
  <c r="BW68" i="3" s="1"/>
  <c r="DB54" i="3" a="1"/>
  <c r="DB54" i="3" s="1"/>
  <c r="DA54" i="3" a="1"/>
  <c r="DA54" i="3" s="1"/>
  <c r="DO80" i="3" a="1"/>
  <c r="DO80" i="3" s="1"/>
  <c r="CY54" i="3" a="1"/>
  <c r="CY54" i="3" s="1"/>
  <c r="W93" i="3" a="1"/>
  <c r="W93" i="3" s="1"/>
  <c r="G93" i="3" a="1"/>
  <c r="G93" i="3" s="1"/>
  <c r="CX68" i="3" a="1"/>
  <c r="CX68" i="3" s="1"/>
  <c r="AJ93" i="3" a="1"/>
  <c r="AJ93" i="3" s="1"/>
  <c r="V54" i="3" a="1"/>
  <c r="V54" i="3" s="1"/>
  <c r="DM68" i="3" a="1"/>
  <c r="DM68" i="3" s="1"/>
  <c r="CG93" i="3" a="1"/>
  <c r="CG93" i="3" s="1"/>
  <c r="U54" i="3" a="1"/>
  <c r="U54" i="3" s="1"/>
  <c r="DK68" i="3" a="1"/>
  <c r="DK68" i="3" s="1"/>
  <c r="CT80" i="3" a="1"/>
  <c r="CT80" i="3" s="1"/>
  <c r="BN80" i="3" a="1"/>
  <c r="BN80" i="3" s="1"/>
  <c r="BV54" i="3" a="1"/>
  <c r="BV54" i="3" s="1"/>
  <c r="J68" i="3" a="1"/>
  <c r="J68" i="3" s="1"/>
  <c r="BS80" i="3" a="1"/>
  <c r="BS80" i="3" s="1"/>
  <c r="AM68" i="3" a="1"/>
  <c r="AM68" i="3" s="1"/>
  <c r="DN68" i="3" a="1"/>
  <c r="DN68" i="3" s="1"/>
  <c r="T80" i="3" a="1"/>
  <c r="T80" i="3" s="1"/>
  <c r="D54" i="3" a="1"/>
  <c r="D54" i="3" s="1"/>
  <c r="CW93" i="3" a="1"/>
  <c r="CW93" i="3" s="1"/>
  <c r="CW80" i="3" a="1"/>
  <c r="CW80" i="3" s="1"/>
  <c r="AK80" i="3" a="1"/>
  <c r="AK80" i="3" s="1"/>
  <c r="AY54" i="3" a="1"/>
  <c r="AY54" i="3" s="1"/>
  <c r="R54" i="3" a="1"/>
  <c r="R54" i="3" s="1"/>
  <c r="CK68" i="3" a="1"/>
  <c r="CK68" i="3" s="1"/>
  <c r="BC93" i="3" a="1"/>
  <c r="BC93" i="3" s="1"/>
  <c r="W80" i="3" a="1"/>
  <c r="W80" i="3" s="1"/>
  <c r="G68" i="3" a="1"/>
  <c r="G68" i="3" s="1"/>
  <c r="CH54" i="3" a="1"/>
  <c r="CH54" i="3" s="1"/>
  <c r="BR93" i="3" a="1"/>
  <c r="BR93" i="3" s="1"/>
  <c r="BP68" i="3" a="1"/>
  <c r="BP68" i="3" s="1"/>
  <c r="AJ68" i="3" a="1"/>
  <c r="AJ68" i="3" s="1"/>
  <c r="BB54" i="3" a="1"/>
  <c r="BB54" i="3" s="1"/>
  <c r="DM93" i="3" a="1"/>
  <c r="DM93" i="3" s="1"/>
  <c r="DM80" i="3" a="1"/>
  <c r="DM80" i="3" s="1"/>
  <c r="BA80" i="3" a="1"/>
  <c r="BA80" i="3" s="1"/>
  <c r="CE80" i="3" a="1"/>
  <c r="CE80" i="3" s="1"/>
  <c r="BO54" i="3" a="1"/>
  <c r="BO54" i="3" s="1"/>
  <c r="DJ93" i="3" a="1"/>
  <c r="DJ93" i="3" s="1"/>
  <c r="CQ68" i="3" a="1"/>
  <c r="CQ68" i="3" s="1"/>
  <c r="BF68" i="3" a="1"/>
  <c r="BF68" i="3" s="1"/>
  <c r="BD93" i="3" a="1"/>
  <c r="BD93" i="3" s="1"/>
  <c r="X68" i="3" a="1"/>
  <c r="X68" i="3" s="1"/>
  <c r="CV68" i="3" a="1"/>
  <c r="CV68" i="3" s="1"/>
  <c r="DM54" i="3" a="1"/>
  <c r="DM54" i="3" s="1"/>
  <c r="CE93" i="3" a="1"/>
  <c r="CE93" i="3" s="1"/>
  <c r="AI80" i="3" a="1"/>
  <c r="AI80" i="3" s="1"/>
  <c r="CT93" i="3" a="1"/>
  <c r="CT93" i="3" s="1"/>
  <c r="DR93" i="3" a="1"/>
  <c r="DR93" i="3" s="1"/>
  <c r="I54" i="3" a="1"/>
  <c r="I54" i="3" s="1"/>
  <c r="CJ54" i="3" a="1"/>
  <c r="CJ54" i="3" s="1"/>
  <c r="BS93" i="3" a="1"/>
  <c r="BS93" i="3" s="1"/>
  <c r="BB93" i="3" a="1"/>
  <c r="BB93" i="3" s="1"/>
  <c r="CU68" i="3" a="1"/>
  <c r="CU68" i="3" s="1"/>
  <c r="CO93" i="3" a="1"/>
  <c r="CO93" i="3" s="1"/>
  <c r="AC54" i="3" a="1"/>
  <c r="AC54" i="3" s="1"/>
  <c r="DR80" i="3" a="1"/>
  <c r="DR80" i="3" s="1"/>
  <c r="CK80" i="3" a="1"/>
  <c r="CK80" i="3" s="1"/>
  <c r="I93" i="3" a="1"/>
  <c r="I93" i="3" s="1"/>
  <c r="D68" i="3" a="1"/>
  <c r="D68" i="3" s="1"/>
  <c r="AL54" i="3" a="1"/>
  <c r="AL54" i="3" s="1"/>
  <c r="V68" i="3" a="1"/>
  <c r="V68" i="3" s="1"/>
  <c r="V80" i="3" a="1"/>
  <c r="V80" i="3" s="1"/>
  <c r="BQ93" i="3" a="1"/>
  <c r="BQ93" i="3" s="1"/>
  <c r="BQ68" i="3" a="1"/>
  <c r="BQ68" i="3" s="1"/>
  <c r="BA68" i="3" a="1"/>
  <c r="BA68" i="3" s="1"/>
  <c r="E80" i="3" a="1"/>
  <c r="E80" i="3" s="1"/>
  <c r="CE68" i="3" a="1"/>
  <c r="CE68" i="3" s="1"/>
  <c r="BO93" i="3" a="1"/>
  <c r="BO93" i="3" s="1"/>
  <c r="BO68" i="3" a="1"/>
  <c r="BO68" i="3" s="1"/>
  <c r="CT68" i="3" a="1"/>
  <c r="CT68" i="3" s="1"/>
  <c r="BN68" i="3" a="1"/>
  <c r="BN68" i="3" s="1"/>
  <c r="AX68" i="3" a="1"/>
  <c r="AX68" i="3" s="1"/>
  <c r="R93" i="3" a="1"/>
  <c r="R93" i="3" s="1"/>
  <c r="AO80" i="3" a="1"/>
  <c r="AO80" i="3" s="1"/>
  <c r="DO54" i="3" a="1"/>
  <c r="DO54" i="3" s="1"/>
  <c r="CX80" i="3" a="1"/>
  <c r="CX80" i="3" s="1"/>
  <c r="CX54" i="3" a="1"/>
  <c r="CX54" i="3" s="1"/>
  <c r="CV93" i="3" a="1"/>
  <c r="CV93" i="3" s="1"/>
  <c r="F54" i="3" a="1"/>
  <c r="F54" i="3" s="1"/>
  <c r="AK68" i="3" a="1"/>
  <c r="AK68" i="3" s="1"/>
  <c r="U80" i="3" a="1"/>
  <c r="U80" i="3" s="1"/>
  <c r="DK54" i="3" a="1"/>
  <c r="DK54" i="3" s="1"/>
  <c r="C54" i="3" a="1"/>
  <c r="C54" i="3" s="1"/>
  <c r="DO93" i="3" a="1"/>
  <c r="DO93" i="3" s="1"/>
  <c r="AH80" i="3" a="1"/>
  <c r="AH80" i="3" s="1"/>
  <c r="BC117" i="3" a="1"/>
  <c r="BC117" i="3" s="1"/>
  <c r="S80" i="3" a="1"/>
  <c r="S80" i="3" s="1"/>
  <c r="CJ93" i="3" a="1"/>
  <c r="CJ93" i="3" s="1"/>
  <c r="CG68" i="3" a="1"/>
  <c r="CG68" i="3" s="1"/>
  <c r="DJ54" i="3" a="1"/>
  <c r="DJ54" i="3" s="1"/>
  <c r="CD93" i="3" a="1"/>
  <c r="CD93" i="3" s="1"/>
  <c r="BQ117" i="3" a="1"/>
  <c r="BQ117" i="3" s="1"/>
  <c r="D80" i="3" a="1"/>
  <c r="D80" i="3" s="1"/>
  <c r="AK117" i="3" a="1"/>
  <c r="AK117" i="3" s="1"/>
  <c r="CH93" i="3" a="1"/>
  <c r="CH93" i="3" s="1"/>
  <c r="BN54" i="3" a="1"/>
  <c r="BN54" i="3" s="1"/>
  <c r="DB117" i="3" a="1"/>
  <c r="DB117" i="3" s="1"/>
  <c r="G80" i="3" a="1"/>
  <c r="G80" i="3" s="1"/>
  <c r="DK80" i="3" a="1"/>
  <c r="DK80" i="3" s="1"/>
  <c r="AO68" i="3" a="1"/>
  <c r="AO68" i="3" s="1"/>
  <c r="DN54" i="3" a="1"/>
  <c r="DN54" i="3" s="1"/>
  <c r="CF93" i="3" a="1"/>
  <c r="CF93" i="3" s="1"/>
  <c r="AJ80" i="3" a="1"/>
  <c r="AJ80" i="3" s="1"/>
  <c r="AX54" i="3" a="1"/>
  <c r="AX54" i="3" s="1"/>
  <c r="I80" i="3" a="1"/>
  <c r="I80" i="3" s="1"/>
  <c r="C93" i="3" a="1"/>
  <c r="C93" i="3" s="1"/>
  <c r="E54" i="3" a="1"/>
  <c r="E54" i="3" s="1"/>
  <c r="BB68" i="3" a="1"/>
  <c r="BB68" i="3" s="1"/>
  <c r="DL93" i="3" a="1"/>
  <c r="DL93" i="3" s="1"/>
  <c r="BP54" i="3" a="1"/>
  <c r="BP54" i="3" s="1"/>
  <c r="AZ93" i="3" a="1"/>
  <c r="AZ93" i="3" s="1"/>
  <c r="CW68" i="3" a="1"/>
  <c r="CW68" i="3" s="1"/>
  <c r="AL117" i="3" a="1"/>
  <c r="AL117" i="3" s="1"/>
  <c r="AZ54" i="3" a="1"/>
  <c r="AZ54" i="3" s="1"/>
  <c r="U68" i="3" a="1"/>
  <c r="U68" i="3" s="1"/>
  <c r="AK54" i="3" a="1"/>
  <c r="AK54" i="3" s="1"/>
  <c r="CE117" i="3" a="1"/>
  <c r="CE117" i="3" s="1"/>
  <c r="E93" i="3" a="1"/>
  <c r="E93" i="3" s="1"/>
  <c r="AY68" i="3" a="1"/>
  <c r="AY68" i="3" s="1"/>
  <c r="DD54" i="3" a="1"/>
  <c r="DD54" i="3" s="1"/>
  <c r="CK54" i="3" a="1"/>
  <c r="CK54" i="3" s="1"/>
  <c r="AM54" i="3" a="1"/>
  <c r="AM54" i="3" s="1"/>
  <c r="BP80" i="3" a="1"/>
  <c r="BP80" i="3" s="1"/>
  <c r="R117" i="3" a="1"/>
  <c r="R117" i="3" s="1"/>
  <c r="CW105" i="3" a="1"/>
  <c r="CW105" i="3" s="1"/>
  <c r="AA117" i="3" a="1"/>
  <c r="AA117" i="3" s="1"/>
  <c r="DJ105" i="3" a="1"/>
  <c r="DJ105" i="3" s="1"/>
  <c r="AJ105" i="3" a="1"/>
  <c r="AJ105" i="3" s="1"/>
  <c r="CX117" i="3" a="1"/>
  <c r="CX117" i="3" s="1"/>
  <c r="L117" i="3" a="1"/>
  <c r="L117" i="3" s="1"/>
  <c r="O117" i="3" a="1"/>
  <c r="O117" i="3" s="1"/>
  <c r="BY117" i="3" a="1"/>
  <c r="BY117" i="3" s="1"/>
  <c r="DA117" i="3" a="1"/>
  <c r="DA117" i="3" s="1"/>
  <c r="H117" i="3" a="1"/>
  <c r="H117" i="3" s="1"/>
  <c r="AU117" i="3" a="1"/>
  <c r="AU117" i="3" s="1"/>
  <c r="CL117" i="3" a="1"/>
  <c r="CL117" i="3" s="1"/>
  <c r="CP117" i="3" a="1"/>
  <c r="CP117" i="3" s="1"/>
  <c r="AG117" i="3" a="1"/>
  <c r="AG117" i="3" s="1"/>
  <c r="AN117" i="3" a="1"/>
  <c r="AN117" i="3" s="1"/>
  <c r="CH117" i="3" a="1"/>
  <c r="CH117" i="3" s="1"/>
  <c r="AY117" i="3" a="1"/>
  <c r="AY117" i="3" s="1"/>
  <c r="AK105" i="3" a="1"/>
  <c r="AK105" i="3" s="1"/>
  <c r="BA105" i="3" a="1"/>
  <c r="BA105" i="3" s="1"/>
  <c r="DK105" i="3" a="1"/>
  <c r="DK105" i="3" s="1"/>
  <c r="BB117" i="3" a="1"/>
  <c r="BB117" i="3" s="1"/>
  <c r="G117" i="3" a="1"/>
  <c r="G117" i="3" s="1"/>
  <c r="CY105" i="3" a="1"/>
  <c r="CY105" i="3" s="1"/>
  <c r="CO105" i="3" a="1"/>
  <c r="CO105" i="3" s="1"/>
  <c r="X117" i="3" a="1"/>
  <c r="X117" i="3" s="1"/>
  <c r="BX117" i="3" a="1"/>
  <c r="BX117" i="3" s="1"/>
  <c r="AE117" i="3" a="1"/>
  <c r="AE117" i="3" s="1"/>
  <c r="CA105" i="3" a="1"/>
  <c r="CA105" i="3" s="1"/>
  <c r="AW117" i="3" a="1"/>
  <c r="AW117" i="3" s="1"/>
  <c r="DI117" i="3" a="1"/>
  <c r="DI117" i="3" s="1"/>
  <c r="E104" i="3" a="1"/>
  <c r="E104" i="3" s="1"/>
  <c r="C104" i="3" a="1"/>
  <c r="C104" i="3" s="1"/>
  <c r="BQ116" i="3" a="1"/>
  <c r="BQ116" i="3" s="1"/>
  <c r="AK104" i="3" a="1"/>
  <c r="AK104" i="3" s="1"/>
  <c r="CF117" i="3" a="1"/>
  <c r="CF117" i="3" s="1"/>
  <c r="AZ105" i="3" a="1"/>
  <c r="AZ105" i="3" s="1"/>
  <c r="CJ117" i="3" a="1"/>
  <c r="CJ117" i="3" s="1"/>
  <c r="CV105" i="3" a="1"/>
  <c r="CV105" i="3" s="1"/>
  <c r="BO117" i="3" a="1"/>
  <c r="BO117" i="3" s="1"/>
  <c r="V105" i="3" a="1"/>
  <c r="V105" i="3" s="1"/>
  <c r="F105" i="3" a="1"/>
  <c r="F105" i="3" s="1"/>
  <c r="DN105" i="3" a="1"/>
  <c r="DN105" i="3" s="1"/>
  <c r="DP105" i="3" a="1"/>
  <c r="DP105" i="3" s="1"/>
  <c r="BE105" i="3" a="1"/>
  <c r="BE105" i="3" s="1"/>
  <c r="BT117" i="3" a="1"/>
  <c r="BT117" i="3" s="1"/>
  <c r="AF105" i="3" a="1"/>
  <c r="AF105" i="3" s="1"/>
  <c r="AW105" i="3" a="1"/>
  <c r="AW105" i="3" s="1"/>
  <c r="BD117" i="3" a="1"/>
  <c r="BD117" i="3" s="1"/>
  <c r="DG117" i="3" a="1"/>
  <c r="DG117" i="3" s="1"/>
  <c r="CR105" i="3" a="1"/>
  <c r="CR105" i="3" s="1"/>
  <c r="CV117" i="3" a="1"/>
  <c r="CV117" i="3" s="1"/>
  <c r="W117" i="3" a="1"/>
  <c r="W117" i="3" s="1"/>
  <c r="DJ117" i="3" a="1"/>
  <c r="DJ117" i="3" s="1"/>
  <c r="BC105" i="3" a="1"/>
  <c r="BC105" i="3" s="1"/>
  <c r="CE105" i="3" a="1"/>
  <c r="CE105" i="3" s="1"/>
  <c r="AO105" i="3" a="1"/>
  <c r="AO105" i="3" s="1"/>
  <c r="BT105" i="3" a="1"/>
  <c r="BT105" i="3" s="1"/>
  <c r="I105" i="3" a="1"/>
  <c r="I105" i="3" s="1"/>
  <c r="CO117" i="3" a="1"/>
  <c r="CO117" i="3" s="1"/>
  <c r="DF117" i="3" a="1"/>
  <c r="DF117" i="3" s="1"/>
  <c r="AS105" i="3" a="1"/>
  <c r="AS105" i="3" s="1"/>
  <c r="CS117" i="3" a="1"/>
  <c r="CS117" i="3" s="1"/>
  <c r="AT117" i="3" a="1"/>
  <c r="AT117" i="3" s="1"/>
  <c r="DH117" i="3" a="1"/>
  <c r="DH117" i="3" s="1"/>
  <c r="S117" i="3" a="1"/>
  <c r="S117" i="3" s="1"/>
  <c r="U117" i="3" a="1"/>
  <c r="U117" i="3" s="1"/>
  <c r="AX117" i="3" a="1"/>
  <c r="AX117" i="3" s="1"/>
  <c r="U105" i="3" a="1"/>
  <c r="U105" i="3" s="1"/>
  <c r="D117" i="3" a="1"/>
  <c r="D117" i="3" s="1"/>
  <c r="P117" i="3" a="1"/>
  <c r="P117" i="3" s="1"/>
  <c r="DP117" i="3" a="1"/>
  <c r="DP117" i="3" s="1"/>
  <c r="M117" i="3" a="1"/>
  <c r="M117" i="3" s="1"/>
  <c r="AP105" i="3" a="1"/>
  <c r="AP105" i="3" s="1"/>
  <c r="CJ105" i="3" a="1"/>
  <c r="CJ105" i="3" s="1"/>
  <c r="BF105" i="3" a="1"/>
  <c r="BF105" i="3" s="1"/>
  <c r="DA105" i="3" a="1"/>
  <c r="DA105" i="3" s="1"/>
  <c r="BH105" i="3" a="1"/>
  <c r="BH105" i="3" s="1"/>
  <c r="BW117" i="3" a="1"/>
  <c r="BW117" i="3" s="1"/>
  <c r="BJ117" i="3" a="1"/>
  <c r="BJ117" i="3" s="1"/>
  <c r="BZ117" i="3" a="1"/>
  <c r="BZ117" i="3" s="1"/>
  <c r="BX105" i="3" a="1"/>
  <c r="BX105" i="3" s="1"/>
  <c r="BC104" i="3" a="1"/>
  <c r="BC104" i="3" s="1"/>
  <c r="BU116" i="3" a="1"/>
  <c r="BU116" i="3" s="1"/>
  <c r="AM116" i="3" a="1"/>
  <c r="AM116" i="3" s="1"/>
  <c r="L116" i="3" a="1"/>
  <c r="L116" i="3" s="1"/>
  <c r="AQ104" i="3" a="1"/>
  <c r="AQ104" i="3" s="1"/>
  <c r="DQ104" i="3" a="1"/>
  <c r="DQ104" i="3" s="1"/>
  <c r="Y116" i="3" a="1"/>
  <c r="Y116" i="3" s="1"/>
  <c r="AR104" i="3" a="1"/>
  <c r="AR104" i="3" s="1"/>
  <c r="BI116" i="3" a="1"/>
  <c r="BI116" i="3" s="1"/>
  <c r="AB116" i="3" a="1"/>
  <c r="AB116" i="3" s="1"/>
  <c r="BW104" i="3" a="1"/>
  <c r="BW104" i="3" s="1"/>
  <c r="BX104" i="3" a="1"/>
  <c r="BX104" i="3" s="1"/>
  <c r="CC104" i="3" a="1"/>
  <c r="CC104" i="3" s="1"/>
  <c r="DH104" i="3" a="1"/>
  <c r="DH104" i="3" s="1"/>
  <c r="AV116" i="3" a="1"/>
  <c r="AV116" i="3" s="1"/>
  <c r="DA116" i="3" a="1"/>
  <c r="DA116" i="3" s="1"/>
  <c r="K117" i="3" a="1"/>
  <c r="K117" i="3" s="1"/>
  <c r="BQ105" i="3" a="1"/>
  <c r="BQ105" i="3" s="1"/>
  <c r="AX105" i="3" a="1"/>
  <c r="AX105" i="3" s="1"/>
  <c r="DB105" i="3" a="1"/>
  <c r="DB105" i="3" s="1"/>
  <c r="CQ105" i="3" a="1"/>
  <c r="CQ105" i="3" s="1"/>
  <c r="AO117" i="3" a="1"/>
  <c r="AO117" i="3" s="1"/>
  <c r="BV105" i="3" a="1"/>
  <c r="BV105" i="3" s="1"/>
  <c r="DQ105" i="3" a="1"/>
  <c r="DQ105" i="3" s="1"/>
  <c r="I117" i="3" a="1"/>
  <c r="I117" i="3" s="1"/>
  <c r="CC105" i="3" a="1"/>
  <c r="CC105" i="3" s="1"/>
  <c r="DC117" i="3" a="1"/>
  <c r="DC117" i="3" s="1"/>
  <c r="N105" i="3" a="1"/>
  <c r="N105" i="3" s="1"/>
  <c r="BA117" i="3" a="1"/>
  <c r="BA117" i="3" s="1"/>
  <c r="N117" i="3" a="1"/>
  <c r="N117" i="3" s="1"/>
  <c r="AD104" i="3" a="1"/>
  <c r="AD104" i="3" s="1"/>
  <c r="BH117" i="3" a="1"/>
  <c r="BH117" i="3" s="1"/>
  <c r="BN105" i="3" a="1"/>
  <c r="BN105" i="3" s="1"/>
  <c r="D105" i="3" a="1"/>
  <c r="D105" i="3" s="1"/>
  <c r="F117" i="3" a="1"/>
  <c r="F117" i="3" s="1"/>
  <c r="AJ117" i="3" a="1"/>
  <c r="AJ117" i="3" s="1"/>
  <c r="BN117" i="3" a="1"/>
  <c r="BN117" i="3" s="1"/>
  <c r="AC105" i="3" a="1"/>
  <c r="AC105" i="3" s="1"/>
  <c r="CX105" i="3" a="1"/>
  <c r="CX105" i="3" s="1"/>
  <c r="J117" i="3" a="1"/>
  <c r="J117" i="3" s="1"/>
  <c r="AQ105" i="3" a="1"/>
  <c r="AQ105" i="3" s="1"/>
  <c r="CM105" i="3" a="1"/>
  <c r="CM105" i="3" s="1"/>
  <c r="DR117" i="3" a="1"/>
  <c r="DR117" i="3" s="1"/>
  <c r="BY105" i="3" a="1"/>
  <c r="BY105" i="3" s="1"/>
  <c r="CA117" i="3" a="1"/>
  <c r="CA117" i="3" s="1"/>
  <c r="CP105" i="3" a="1"/>
  <c r="CP105" i="3" s="1"/>
  <c r="G10" i="3" a="1"/>
  <c r="G10" i="3" s="1"/>
  <c r="Y10" i="3" a="1"/>
  <c r="Y10" i="3" s="1"/>
  <c r="AH10" i="3" a="1"/>
  <c r="AH10" i="3" s="1"/>
  <c r="AQ10" i="3" a="1"/>
  <c r="AQ10" i="3" s="1"/>
  <c r="BA10" i="3" a="1"/>
  <c r="BA10" i="3" s="1"/>
  <c r="BS10" i="3" a="1"/>
  <c r="BS10" i="3" s="1"/>
  <c r="CK10" i="3" a="1"/>
  <c r="CK10" i="3" s="1"/>
  <c r="CT10" i="3" a="1"/>
  <c r="CT10" i="3" s="1"/>
  <c r="DK10" i="3" a="1"/>
  <c r="DK10" i="3" s="1"/>
  <c r="DL10" i="3" a="1"/>
  <c r="DL10" i="3" s="1"/>
  <c r="CU10" i="3" a="1"/>
  <c r="CU10" i="3" s="1"/>
  <c r="AK10" i="3" a="1"/>
  <c r="AK10" i="3" s="1"/>
  <c r="BU10" i="3" a="1"/>
  <c r="BU10" i="3" s="1"/>
  <c r="H10" i="3" a="1"/>
  <c r="H10" i="3" s="1"/>
  <c r="AI10" i="3" a="1"/>
  <c r="AI10" i="3" s="1"/>
  <c r="BB10" i="3" a="1"/>
  <c r="BB10" i="3" s="1"/>
  <c r="BT10" i="3" a="1"/>
  <c r="BT10" i="3" s="1"/>
  <c r="R10" i="3" a="1"/>
  <c r="R10" i="3" s="1"/>
  <c r="BC10" i="3" a="1"/>
  <c r="BC10" i="3" s="1"/>
  <c r="CM10" i="3" a="1"/>
  <c r="CM10" i="3" s="1"/>
  <c r="CV10" i="3" a="1"/>
  <c r="CV10" i="3" s="1"/>
  <c r="DM10" i="3" a="1"/>
  <c r="DM10" i="3" s="1"/>
  <c r="I10" i="3" a="1"/>
  <c r="I10" i="3" s="1"/>
  <c r="AA10" i="3" a="1"/>
  <c r="AA10" i="3" s="1"/>
  <c r="CD10" i="3" a="1"/>
  <c r="CD10" i="3" s="1"/>
  <c r="J10" i="3" a="1"/>
  <c r="J10" i="3" s="1"/>
  <c r="AN10" i="3" a="1"/>
  <c r="AN10" i="3" s="1"/>
  <c r="BD10" i="3" a="1"/>
  <c r="BD10" i="3" s="1"/>
  <c r="X10" i="3" a="1"/>
  <c r="X10" i="3" s="1"/>
  <c r="BQ10" i="3" a="1"/>
  <c r="BQ10" i="3" s="1"/>
  <c r="CG10" i="3" a="1"/>
  <c r="CG10" i="3" s="1"/>
  <c r="CS10" i="3" a="1"/>
  <c r="CS10" i="3" s="1"/>
  <c r="DH10" i="3" a="1"/>
  <c r="DH10" i="3" s="1"/>
  <c r="BF10" i="3" a="1"/>
  <c r="BF10" i="3" s="1"/>
  <c r="CJ10" i="3" a="1"/>
  <c r="CJ10" i="3" s="1"/>
  <c r="BL10" i="3" a="1"/>
  <c r="BL10" i="3" s="1"/>
  <c r="AW10" i="3" a="1"/>
  <c r="AW10" i="3" s="1"/>
  <c r="CP10" i="3" a="1"/>
  <c r="CP10" i="3" s="1"/>
  <c r="AM10" i="3" a="1"/>
  <c r="AM10" i="3" s="1"/>
  <c r="K10" i="3" a="1"/>
  <c r="K10" i="3" s="1"/>
  <c r="AO10" i="3" a="1"/>
  <c r="AO10" i="3" s="1"/>
  <c r="BE10" i="3" a="1"/>
  <c r="BE10" i="3" s="1"/>
  <c r="CW10" i="3" a="1"/>
  <c r="CW10" i="3" s="1"/>
  <c r="AP10" i="3" a="1"/>
  <c r="AP10" i="3" s="1"/>
  <c r="S10" i="3" a="1"/>
  <c r="S10" i="3" s="1"/>
  <c r="DR10" i="3" a="1"/>
  <c r="DR10" i="3" s="1"/>
  <c r="AC10" i="3" a="1"/>
  <c r="AC10" i="3" s="1"/>
  <c r="BR10" i="3" a="1"/>
  <c r="BR10" i="3" s="1"/>
  <c r="CH10" i="3" a="1"/>
  <c r="CH10" i="3" s="1"/>
  <c r="M10" i="3" a="1"/>
  <c r="M10" i="3" s="1"/>
  <c r="CX10" i="3" a="1"/>
  <c r="CX10" i="3" s="1"/>
  <c r="BW10" i="3" a="1"/>
  <c r="BW10" i="3" s="1"/>
  <c r="AL10" i="3" a="1"/>
  <c r="AL10" i="3" s="1"/>
  <c r="AY10" i="3" a="1"/>
  <c r="AY10" i="3" s="1"/>
  <c r="CR10" i="3" a="1"/>
  <c r="CR10" i="3" s="1"/>
  <c r="CO10" i="3" a="1"/>
  <c r="CO10" i="3" s="1"/>
  <c r="AG10" i="3" a="1"/>
  <c r="AG10" i="3" s="1"/>
  <c r="CE10" i="3" a="1"/>
  <c r="CE10" i="3" s="1"/>
  <c r="AD10" i="3" a="1"/>
  <c r="AD10" i="3" s="1"/>
  <c r="BV10" i="3" a="1"/>
  <c r="BV10" i="3" s="1"/>
  <c r="CI10" i="3" a="1"/>
  <c r="CI10" i="3" s="1"/>
  <c r="DJ10" i="3" a="1"/>
  <c r="DJ10" i="3" s="1"/>
  <c r="AU10" i="3" a="1"/>
  <c r="AU10" i="3" s="1"/>
  <c r="CY10" i="3" a="1"/>
  <c r="CY10" i="3" s="1"/>
  <c r="F10" i="3" a="1"/>
  <c r="F10" i="3" s="1"/>
  <c r="N10" i="3" a="1"/>
  <c r="N10" i="3" s="1"/>
  <c r="BG10" i="3" a="1"/>
  <c r="BG10" i="3" s="1"/>
  <c r="DN10" i="3" a="1"/>
  <c r="DN10" i="3" s="1"/>
  <c r="AE10" i="3" a="1"/>
  <c r="AE10" i="3" s="1"/>
  <c r="AF10" i="3" a="1"/>
  <c r="AF10" i="3" s="1"/>
  <c r="DP10" i="3" a="1"/>
  <c r="DP10" i="3" s="1"/>
  <c r="U10" i="3" a="1"/>
  <c r="U10" i="3" s="1"/>
  <c r="DG10" i="3" a="1"/>
  <c r="DG10" i="3" s="1"/>
  <c r="O10" i="3" a="1"/>
  <c r="O10" i="3" s="1"/>
  <c r="AV10" i="3" a="1"/>
  <c r="AV10" i="3" s="1"/>
  <c r="BI10" i="3" a="1"/>
  <c r="BI10" i="3" s="1"/>
  <c r="CZ10" i="3" a="1"/>
  <c r="CZ10" i="3" s="1"/>
  <c r="DO10" i="3" a="1"/>
  <c r="DO10" i="3" s="1"/>
  <c r="BY10" i="3" a="1"/>
  <c r="BY10" i="3" s="1"/>
  <c r="DA10" i="3" a="1"/>
  <c r="DA10" i="3" s="1"/>
  <c r="C10" i="3" a="1"/>
  <c r="C10" i="3" s="1"/>
  <c r="DQ10" i="3" a="1"/>
  <c r="DQ10" i="3" s="1"/>
  <c r="BM10" i="3" a="1"/>
  <c r="BM10" i="3" s="1"/>
  <c r="BO10" i="3" a="1"/>
  <c r="BO10" i="3" s="1"/>
  <c r="BZ10" i="3" a="1"/>
  <c r="BZ10" i="3" s="1"/>
  <c r="AX10" i="3" a="1"/>
  <c r="AX10" i="3" s="1"/>
  <c r="W10" i="3" a="1"/>
  <c r="W10" i="3" s="1"/>
  <c r="E10" i="3" a="1"/>
  <c r="E10" i="3" s="1"/>
  <c r="V10" i="3" a="1"/>
  <c r="V10" i="3" s="1"/>
  <c r="BN10" i="3" a="1"/>
  <c r="BN10" i="3" s="1"/>
  <c r="CA10" i="3" a="1"/>
  <c r="CA10" i="3" s="1"/>
  <c r="CQ10" i="3" a="1"/>
  <c r="CQ10" i="3" s="1"/>
  <c r="DF10" i="3" a="1"/>
  <c r="DF10" i="3" s="1"/>
  <c r="CC10" i="3" a="1"/>
  <c r="CC10" i="3" s="1"/>
  <c r="Q10" i="3" a="1"/>
  <c r="Q10" i="3" s="1"/>
  <c r="DE10" i="3" a="1"/>
  <c r="DE10" i="3" s="1"/>
  <c r="AT10" i="3" a="1"/>
  <c r="AT10" i="3" s="1"/>
  <c r="BJ10" i="3" a="1"/>
  <c r="BJ10" i="3" s="1"/>
  <c r="P10" i="3" a="1"/>
  <c r="P10" i="3" s="1"/>
  <c r="DI10" i="3" a="1"/>
  <c r="DI10" i="3" s="1"/>
  <c r="CB10" i="3" a="1"/>
  <c r="CB10" i="3" s="1"/>
  <c r="AS10" i="3" a="1"/>
  <c r="AS10" i="3" s="1"/>
  <c r="AR10" i="3" a="1"/>
  <c r="AR10" i="3" s="1"/>
  <c r="L10" i="3" a="1"/>
  <c r="L10" i="3" s="1"/>
  <c r="BX10" i="3" a="1"/>
  <c r="BX10" i="3" s="1"/>
  <c r="DD10" i="3" a="1"/>
  <c r="DD10" i="3" s="1"/>
  <c r="BP10" i="3" a="1"/>
  <c r="BP10" i="3" s="1"/>
  <c r="DB10" i="3" a="1"/>
  <c r="DB10" i="3" s="1"/>
  <c r="DC10" i="3" a="1"/>
  <c r="DC10" i="3" s="1"/>
  <c r="BK10" i="3" a="1"/>
  <c r="BK10" i="3" s="1"/>
  <c r="T10" i="3" a="1"/>
  <c r="T10" i="3" s="1"/>
  <c r="Z10" i="3" a="1"/>
  <c r="Z10" i="3" s="1"/>
  <c r="CN10" i="3" a="1"/>
  <c r="CN10" i="3" s="1"/>
  <c r="AJ10" i="3" a="1"/>
  <c r="AJ10" i="3" s="1"/>
  <c r="AB10" i="3" a="1"/>
  <c r="AB10" i="3" s="1"/>
  <c r="CF10" i="3" a="1"/>
  <c r="CF10" i="3" s="1"/>
  <c r="AZ10" i="3" a="1"/>
  <c r="AZ10" i="3" s="1"/>
  <c r="BH10" i="3" a="1"/>
  <c r="BH10" i="3" s="1"/>
  <c r="D10" i="3" a="1"/>
  <c r="D10" i="3" s="1"/>
  <c r="CL10" i="3" a="1"/>
  <c r="CL10" i="3" s="1"/>
  <c r="CM104" i="3" a="1"/>
  <c r="CM104" i="3" s="1"/>
  <c r="G116" i="3" a="1"/>
  <c r="G116" i="3" s="1"/>
  <c r="DQ116" i="3" a="1"/>
  <c r="DQ116" i="3" s="1"/>
  <c r="BD104" i="3" a="1"/>
  <c r="BD104" i="3" s="1"/>
  <c r="AP104" i="3" a="1"/>
  <c r="AP104" i="3" s="1"/>
  <c r="AF116" i="3" a="1"/>
  <c r="AF116" i="3" s="1"/>
  <c r="BK104" i="3" a="1"/>
  <c r="BK104" i="3" s="1"/>
  <c r="K104" i="3" a="1"/>
  <c r="K104" i="3" s="1"/>
  <c r="Q104" i="3" a="1"/>
  <c r="Q104" i="3" s="1"/>
  <c r="BL104" i="3" a="1"/>
  <c r="BL104" i="3" s="1"/>
  <c r="CW116" i="3" a="1"/>
  <c r="CW116" i="3" s="1"/>
  <c r="CE104" i="3" a="1"/>
  <c r="CE104" i="3" s="1"/>
  <c r="CD117" i="3" a="1"/>
  <c r="CD117" i="3" s="1"/>
  <c r="BB105" i="3" a="1"/>
  <c r="BB105" i="3" s="1"/>
  <c r="R105" i="3" a="1"/>
  <c r="R105" i="3" s="1"/>
  <c r="C105" i="3" a="1"/>
  <c r="C105" i="3" s="1"/>
  <c r="BP105" i="3" a="1"/>
  <c r="BP105" i="3" s="1"/>
  <c r="BO105" i="3" a="1"/>
  <c r="BO105" i="3" s="1"/>
  <c r="BL105" i="3" a="1"/>
  <c r="BL105" i="3" s="1"/>
  <c r="AM105" i="3" a="1"/>
  <c r="AM105" i="3" s="1"/>
  <c r="BP117" i="3" a="1"/>
  <c r="BP117" i="3" s="1"/>
  <c r="BU105" i="3" a="1"/>
  <c r="BU105" i="3" s="1"/>
  <c r="DR105" i="3" a="1"/>
  <c r="DR105" i="3" s="1"/>
  <c r="K105" i="3" a="1"/>
  <c r="K105" i="3" s="1"/>
  <c r="AC117" i="3" a="1"/>
  <c r="AC117" i="3" s="1"/>
  <c r="DH105" i="3" a="1"/>
  <c r="DH105" i="3" s="1"/>
  <c r="AG105" i="3" a="1"/>
  <c r="AG105" i="3" s="1"/>
  <c r="CB105" i="3" a="1"/>
  <c r="CB105" i="3" s="1"/>
  <c r="DK104" i="3" a="1"/>
  <c r="DK104" i="3" s="1"/>
  <c r="CF105" i="3" a="1"/>
  <c r="CF105" i="3" s="1"/>
  <c r="CG117" i="3" a="1"/>
  <c r="CG117" i="3" s="1"/>
  <c r="AH117" i="3" a="1"/>
  <c r="AH117" i="3" s="1"/>
  <c r="AI105" i="3" a="1"/>
  <c r="AI105" i="3" s="1"/>
  <c r="DL117" i="3" a="1"/>
  <c r="DL117" i="3" s="1"/>
  <c r="W105" i="3" a="1"/>
  <c r="W105" i="3" s="1"/>
  <c r="BS105" i="3" a="1"/>
  <c r="BS105" i="3" s="1"/>
  <c r="BU117" i="3" a="1"/>
  <c r="BU117" i="3" s="1"/>
  <c r="AB117" i="3" a="1"/>
  <c r="AB117" i="3" s="1"/>
  <c r="AR105" i="3" a="1"/>
  <c r="AR105" i="3" s="1"/>
  <c r="AF117" i="3" a="1"/>
  <c r="AF117" i="3" s="1"/>
  <c r="DE105" i="3" a="1"/>
  <c r="DE105" i="3" s="1"/>
  <c r="DD105" i="3" a="1"/>
  <c r="DD105" i="3" s="1"/>
  <c r="BG117" i="3" a="1"/>
  <c r="BG117" i="3" s="1"/>
  <c r="CR117" i="3" a="1"/>
  <c r="CR117" i="3" s="1"/>
  <c r="T117" i="3" a="1"/>
  <c r="T117" i="3" s="1"/>
  <c r="CT117" i="3" a="1"/>
  <c r="CT117" i="3" s="1"/>
  <c r="CY117" i="3" a="1"/>
  <c r="CY117" i="3" s="1"/>
  <c r="CU117" i="3" a="1"/>
  <c r="CU117" i="3" s="1"/>
  <c r="CZ105" i="3" a="1"/>
  <c r="CZ105" i="3" s="1"/>
  <c r="H105" i="3" a="1"/>
  <c r="H105" i="3" s="1"/>
  <c r="CI117" i="3" a="1"/>
  <c r="CI117" i="3" s="1"/>
  <c r="AA105" i="3" a="1"/>
  <c r="AA105" i="3" s="1"/>
  <c r="DE117" i="3" a="1"/>
  <c r="DE117" i="3" s="1"/>
  <c r="P105" i="3" a="1"/>
  <c r="P105" i="3" s="1"/>
  <c r="DC105" i="3" a="1"/>
  <c r="DC105" i="3" s="1"/>
  <c r="BI105" i="3" a="1"/>
  <c r="BI105" i="3" s="1"/>
  <c r="BM105" i="3" a="1"/>
  <c r="BM105" i="3" s="1"/>
  <c r="BG105" i="3" a="1"/>
  <c r="BG105" i="3" s="1"/>
  <c r="CX104" i="3" a="1"/>
  <c r="CX104" i="3" s="1"/>
  <c r="E117" i="3" a="1"/>
  <c r="E117" i="3" s="1"/>
  <c r="CH105" i="3" a="1"/>
  <c r="CH105" i="3" s="1"/>
  <c r="S105" i="3" a="1"/>
  <c r="S105" i="3" s="1"/>
  <c r="T105" i="3" a="1"/>
  <c r="T105" i="3" s="1"/>
  <c r="DO105" i="3" a="1"/>
  <c r="DO105" i="3" s="1"/>
  <c r="AN105" i="3" a="1"/>
  <c r="AN105" i="3" s="1"/>
  <c r="O105" i="3" a="1"/>
  <c r="O105" i="3" s="1"/>
  <c r="DI105" i="3" a="1"/>
  <c r="DI105" i="3" s="1"/>
  <c r="AT105" i="3" a="1"/>
  <c r="AT105" i="3" s="1"/>
  <c r="AV117" i="3" a="1"/>
  <c r="AV117" i="3" s="1"/>
  <c r="CQ117" i="3" a="1"/>
  <c r="CQ117" i="3" s="1"/>
  <c r="DM53" i="3" a="1"/>
  <c r="DM53" i="3" s="1"/>
  <c r="CR92" i="3" a="1"/>
  <c r="CR92" i="3" s="1"/>
  <c r="P53" i="3" a="1"/>
  <c r="P53" i="3" s="1"/>
  <c r="DF67" i="3" a="1"/>
  <c r="DF67" i="3" s="1"/>
  <c r="DF53" i="3" a="1"/>
  <c r="DF53" i="3" s="1"/>
  <c r="BZ92" i="3" a="1"/>
  <c r="BZ92" i="3" s="1"/>
  <c r="AT53" i="3" a="1"/>
  <c r="AT53" i="3" s="1"/>
  <c r="AB92" i="3" a="1"/>
  <c r="AB92" i="3" s="1"/>
  <c r="CS92" i="3" a="1"/>
  <c r="CS92" i="3" s="1"/>
  <c r="CC67" i="3" a="1"/>
  <c r="CC67" i="3" s="1"/>
  <c r="CR79" i="3" a="1"/>
  <c r="CR79" i="3" s="1"/>
  <c r="BL53" i="3" a="1"/>
  <c r="BL53" i="3" s="1"/>
  <c r="P92" i="3" a="1"/>
  <c r="P92" i="3" s="1"/>
  <c r="BJ79" i="3" a="1"/>
  <c r="BJ79" i="3" s="1"/>
  <c r="AW79" i="3" a="1"/>
  <c r="AW79" i="3" s="1"/>
  <c r="AG79" i="3" a="1"/>
  <c r="AG79" i="3" s="1"/>
  <c r="Q67" i="3" a="1"/>
  <c r="Q67" i="3" s="1"/>
  <c r="CS53" i="3" a="1"/>
  <c r="CS53" i="3" s="1"/>
  <c r="BM53" i="3" a="1"/>
  <c r="BM53" i="3" s="1"/>
  <c r="CS67" i="3" a="1"/>
  <c r="CS67" i="3" s="1"/>
  <c r="CC92" i="3" a="1"/>
  <c r="CC92" i="3" s="1"/>
  <c r="CR53" i="3" a="1"/>
  <c r="CR53" i="3" s="1"/>
  <c r="AV92" i="3" a="1"/>
  <c r="AV92" i="3" s="1"/>
  <c r="AF79" i="3" a="1"/>
  <c r="AF79" i="3" s="1"/>
  <c r="AG53" i="3" a="1"/>
  <c r="AG53" i="3" s="1"/>
  <c r="Q79" i="3" a="1"/>
  <c r="Q79" i="3" s="1"/>
  <c r="DH53" i="3" a="1"/>
  <c r="DH53" i="3" s="1"/>
  <c r="BL67" i="3" a="1"/>
  <c r="BL67" i="3" s="1"/>
  <c r="AV67" i="3" a="1"/>
  <c r="AV67" i="3" s="1"/>
  <c r="DH67" i="3" a="1"/>
  <c r="DH67" i="3" s="1"/>
  <c r="CB92" i="3" a="1"/>
  <c r="CB92" i="3" s="1"/>
  <c r="P67" i="3" a="1"/>
  <c r="P67" i="3" s="1"/>
  <c r="BZ53" i="3" a="1"/>
  <c r="BZ53" i="3" s="1"/>
  <c r="BJ53" i="3" a="1"/>
  <c r="BJ53" i="3" s="1"/>
  <c r="DI53" i="3" a="1"/>
  <c r="DI53" i="3" s="1"/>
  <c r="AW67" i="3" a="1"/>
  <c r="AW67" i="3" s="1"/>
  <c r="CB79" i="3" a="1"/>
  <c r="CB79" i="3" s="1"/>
  <c r="AV53" i="3" a="1"/>
  <c r="AV53" i="3" s="1"/>
  <c r="DI79" i="3" a="1"/>
  <c r="DI79" i="3" s="1"/>
  <c r="BM67" i="3" a="1"/>
  <c r="BM67" i="3" s="1"/>
  <c r="DH92" i="3" a="1"/>
  <c r="DH92" i="3" s="1"/>
  <c r="CR67" i="3" a="1"/>
  <c r="CR67" i="3" s="1"/>
  <c r="CB67" i="3" a="1"/>
  <c r="CB67" i="3" s="1"/>
  <c r="AW92" i="3" a="1"/>
  <c r="AW92" i="3" s="1"/>
  <c r="AG92" i="3" a="1"/>
  <c r="AG92" i="3" s="1"/>
  <c r="AG67" i="3" a="1"/>
  <c r="AG67" i="3" s="1"/>
  <c r="AV79" i="3" a="1"/>
  <c r="AV79" i="3" s="1"/>
  <c r="BZ79" i="3" a="1"/>
  <c r="BZ79" i="3" s="1"/>
  <c r="DI92" i="3" a="1"/>
  <c r="DI92" i="3" s="1"/>
  <c r="DI67" i="3" a="1"/>
  <c r="DI67" i="3" s="1"/>
  <c r="BM79" i="3" a="1"/>
  <c r="BM79" i="3" s="1"/>
  <c r="DF92" i="3" a="1"/>
  <c r="DF92" i="3" s="1"/>
  <c r="CP67" i="3" a="1"/>
  <c r="CP67" i="3" s="1"/>
  <c r="CC53" i="3" a="1"/>
  <c r="CC53" i="3" s="1"/>
  <c r="AW53" i="3" a="1"/>
  <c r="AW53" i="3" s="1"/>
  <c r="Q92" i="3" a="1"/>
  <c r="Q92" i="3" s="1"/>
  <c r="BM92" i="3" a="1"/>
  <c r="BM92" i="3" s="1"/>
  <c r="AF53" i="3" a="1"/>
  <c r="AF53" i="3" s="1"/>
  <c r="CP92" i="3" a="1"/>
  <c r="CP92" i="3" s="1"/>
  <c r="BY53" i="3" a="1"/>
  <c r="BY53" i="3" s="1"/>
  <c r="M67" i="3" a="1"/>
  <c r="M67" i="3" s="1"/>
  <c r="DD67" i="3" a="1"/>
  <c r="DD67" i="3" s="1"/>
  <c r="CN79" i="3" a="1"/>
  <c r="CN79" i="3" s="1"/>
  <c r="AR79" i="3" a="1"/>
  <c r="AR79" i="3" s="1"/>
  <c r="L53" i="3" a="1"/>
  <c r="L53" i="3" s="1"/>
  <c r="AU92" i="3" a="1"/>
  <c r="AU92" i="3" s="1"/>
  <c r="AE67" i="3" a="1"/>
  <c r="AE67" i="3" s="1"/>
  <c r="DC79" i="3" a="1"/>
  <c r="DC79" i="3" s="1"/>
  <c r="BL79" i="3" a="1"/>
  <c r="BL79" i="3" s="1"/>
  <c r="CP53" i="3" a="1"/>
  <c r="CP53" i="3" s="1"/>
  <c r="AD53" i="3" a="1"/>
  <c r="AD53" i="3" s="1"/>
  <c r="AS67" i="3" a="1"/>
  <c r="AS67" i="3" s="1"/>
  <c r="AC92" i="3" a="1"/>
  <c r="AC92" i="3" s="1"/>
  <c r="BK92" i="3" a="1"/>
  <c r="BK92" i="3" s="1"/>
  <c r="BW53" i="3" a="1"/>
  <c r="BW53" i="3" s="1"/>
  <c r="AQ53" i="3" a="1"/>
  <c r="AQ53" i="3" s="1"/>
  <c r="CB53" i="3" a="1"/>
  <c r="CB53" i="3" s="1"/>
  <c r="N53" i="3" a="1"/>
  <c r="N53" i="3" s="1"/>
  <c r="CO67" i="3" a="1"/>
  <c r="CO67" i="3" s="1"/>
  <c r="AS92" i="3" a="1"/>
  <c r="AS92" i="3" s="1"/>
  <c r="AB79" i="3" a="1"/>
  <c r="AB79" i="3" s="1"/>
  <c r="AR53" i="3" a="1"/>
  <c r="AR53" i="3" s="1"/>
  <c r="CA53" i="3" a="1"/>
  <c r="CA53" i="3" s="1"/>
  <c r="AA92" i="3" a="1"/>
  <c r="AA92" i="3" s="1"/>
  <c r="CL67" i="3" a="1"/>
  <c r="CL67" i="3" s="1"/>
  <c r="AD79" i="3" a="1"/>
  <c r="AD79" i="3" s="1"/>
  <c r="M79" i="3" a="1"/>
  <c r="M79" i="3" s="1"/>
  <c r="BH92" i="3" a="1"/>
  <c r="BH92" i="3" s="1"/>
  <c r="CM92" i="3" a="1"/>
  <c r="CM92" i="3" s="1"/>
  <c r="DB92" i="3" a="1"/>
  <c r="DB92" i="3" s="1"/>
  <c r="CL79" i="3" a="1"/>
  <c r="CL79" i="3" s="1"/>
  <c r="P79" i="3" a="1"/>
  <c r="P79" i="3" s="1"/>
  <c r="DE67" i="3" a="1"/>
  <c r="DE67" i="3" s="1"/>
  <c r="DE53" i="3" a="1"/>
  <c r="DE53" i="3" s="1"/>
  <c r="CA92" i="3" a="1"/>
  <c r="CA92" i="3" s="1"/>
  <c r="BW79" i="3" a="1"/>
  <c r="BW79" i="3" s="1"/>
  <c r="BG53" i="3" a="1"/>
  <c r="BG53" i="3" s="1"/>
  <c r="AQ67" i="3" a="1"/>
  <c r="AQ67" i="3" s="1"/>
  <c r="AA53" i="3" a="1"/>
  <c r="AA53" i="3" s="1"/>
  <c r="K92" i="3" a="1"/>
  <c r="K92" i="3" s="1"/>
  <c r="DB53" i="3" a="1"/>
  <c r="DB53" i="3" s="1"/>
  <c r="BV53" i="3" a="1"/>
  <c r="BV53" i="3" s="1"/>
  <c r="BR53" i="3" a="1"/>
  <c r="BR53" i="3" s="1"/>
  <c r="AD92" i="3" a="1"/>
  <c r="AD92" i="3" s="1"/>
  <c r="DE92" i="3" a="1"/>
  <c r="DE92" i="3" s="1"/>
  <c r="CO92" i="3" a="1"/>
  <c r="CO92" i="3" s="1"/>
  <c r="BY79" i="3" a="1"/>
  <c r="BY79" i="3" s="1"/>
  <c r="BX53" i="3" a="1"/>
  <c r="BX53" i="3" s="1"/>
  <c r="CN67" i="3" a="1"/>
  <c r="CN67" i="3" s="1"/>
  <c r="BH53" i="3" a="1"/>
  <c r="BH53" i="3" s="1"/>
  <c r="AR67" i="3" a="1"/>
  <c r="AR67" i="3" s="1"/>
  <c r="L79" i="3" a="1"/>
  <c r="L79" i="3" s="1"/>
  <c r="O79" i="3" a="1"/>
  <c r="O79" i="3" s="1"/>
  <c r="DR79" i="3" a="1"/>
  <c r="DR79" i="3" s="1"/>
  <c r="DR53" i="3" a="1"/>
  <c r="DR53" i="3" s="1"/>
  <c r="CL92" i="3" a="1"/>
  <c r="CL92" i="3" s="1"/>
  <c r="CC79" i="3" a="1"/>
  <c r="CC79" i="3" s="1"/>
  <c r="BL92" i="3" a="1"/>
  <c r="BL92" i="3" s="1"/>
  <c r="CO79" i="3" a="1"/>
  <c r="CO79" i="3" s="1"/>
  <c r="DH79" i="3" a="1"/>
  <c r="DH79" i="3" s="1"/>
  <c r="N79" i="3" a="1"/>
  <c r="N79" i="3" s="1"/>
  <c r="BX67" i="3" a="1"/>
  <c r="BX67" i="3" s="1"/>
  <c r="CN92" i="3" a="1"/>
  <c r="CN92" i="3" s="1"/>
  <c r="AE79" i="3" a="1"/>
  <c r="AE79" i="3" s="1"/>
  <c r="CM53" i="3" a="1"/>
  <c r="CM53" i="3" s="1"/>
  <c r="CS79" i="3" a="1"/>
  <c r="CS79" i="3" s="1"/>
  <c r="N92" i="3" a="1"/>
  <c r="N92" i="3" s="1"/>
  <c r="CO53" i="3" a="1"/>
  <c r="CO53" i="3" s="1"/>
  <c r="AS53" i="3" a="1"/>
  <c r="AS53" i="3" s="1"/>
  <c r="AC79" i="3" a="1"/>
  <c r="AC79" i="3" s="1"/>
  <c r="M53" i="3" a="1"/>
  <c r="M53" i="3" s="1"/>
  <c r="AB67" i="3" a="1"/>
  <c r="AB67" i="3" s="1"/>
  <c r="DD92" i="3" a="1"/>
  <c r="DD92" i="3" s="1"/>
  <c r="BH67" i="3" a="1"/>
  <c r="BH67" i="3" s="1"/>
  <c r="DG92" i="3" a="1"/>
  <c r="DG92" i="3" s="1"/>
  <c r="CQ79" i="3" a="1"/>
  <c r="CQ79" i="3" s="1"/>
  <c r="DC53" i="3" a="1"/>
  <c r="DC53" i="3" s="1"/>
  <c r="CM79" i="3" a="1"/>
  <c r="CM79" i="3" s="1"/>
  <c r="AQ92" i="3" a="1"/>
  <c r="AQ92" i="3" s="1"/>
  <c r="AA79" i="3" a="1"/>
  <c r="AA79" i="3" s="1"/>
  <c r="BJ92" i="3" a="1"/>
  <c r="BJ92" i="3" s="1"/>
  <c r="AT79" i="3" a="1"/>
  <c r="AT79" i="3" s="1"/>
  <c r="M92" i="3" a="1"/>
  <c r="M92" i="3" s="1"/>
  <c r="CN53" i="3" a="1"/>
  <c r="CN53" i="3" s="1"/>
  <c r="CA67" i="3" a="1"/>
  <c r="CA67" i="3" s="1"/>
  <c r="BK79" i="3" a="1"/>
  <c r="BK79" i="3" s="1"/>
  <c r="AA67" i="3" a="1"/>
  <c r="AA67" i="3" s="1"/>
  <c r="K53" i="3" a="1"/>
  <c r="K53" i="3" s="1"/>
  <c r="DR92" i="3" a="1"/>
  <c r="DR92" i="3" s="1"/>
  <c r="DB67" i="3" a="1"/>
  <c r="DB67" i="3" s="1"/>
  <c r="BF67" i="3" a="1"/>
  <c r="BF67" i="3" s="1"/>
  <c r="CK79" i="3" a="1"/>
  <c r="CK79" i="3" s="1"/>
  <c r="CK67" i="3" a="1"/>
  <c r="CK67" i="3" s="1"/>
  <c r="DO92" i="3" a="1"/>
  <c r="DO92" i="3" s="1"/>
  <c r="DO67" i="3" a="1"/>
  <c r="DO67" i="3" s="1"/>
  <c r="Q53" i="3" a="1"/>
  <c r="Q53" i="3" s="1"/>
  <c r="AF67" i="3" a="1"/>
  <c r="AF67" i="3" s="1"/>
  <c r="BJ67" i="3" a="1"/>
  <c r="BJ67" i="3" s="1"/>
  <c r="BI67" i="3" a="1"/>
  <c r="BI67" i="3" s="1"/>
  <c r="BG92" i="3" a="1"/>
  <c r="BG92" i="3" s="1"/>
  <c r="BG67" i="3" a="1"/>
  <c r="BG67" i="3" s="1"/>
  <c r="AQ79" i="3" a="1"/>
  <c r="AQ79" i="3" s="1"/>
  <c r="CL53" i="3" a="1"/>
  <c r="CL53" i="3" s="1"/>
  <c r="Z92" i="3" a="1"/>
  <c r="Z92" i="3" s="1"/>
  <c r="DA53" i="3" a="1"/>
  <c r="DA53" i="3" s="1"/>
  <c r="BU53" i="3" a="1"/>
  <c r="BU53" i="3" s="1"/>
  <c r="BE92" i="3" a="1"/>
  <c r="BE92" i="3" s="1"/>
  <c r="Y67" i="3" a="1"/>
  <c r="Y67" i="3" s="1"/>
  <c r="Y53" i="3" a="1"/>
  <c r="Y53" i="3" s="1"/>
  <c r="DP53" i="3" a="1"/>
  <c r="DP53" i="3" s="1"/>
  <c r="CJ92" i="3" a="1"/>
  <c r="CJ92" i="3" s="1"/>
  <c r="CJ79" i="3" a="1"/>
  <c r="CJ79" i="3" s="1"/>
  <c r="N67" i="3" a="1"/>
  <c r="N67" i="3" s="1"/>
  <c r="BX79" i="3" a="1"/>
  <c r="BX79" i="3" s="1"/>
  <c r="L67" i="3" a="1"/>
  <c r="L67" i="3" s="1"/>
  <c r="DG67" i="3" a="1"/>
  <c r="DG67" i="3" s="1"/>
  <c r="CQ53" i="3" a="1"/>
  <c r="CQ53" i="3" s="1"/>
  <c r="O67" i="3" a="1"/>
  <c r="O67" i="3" s="1"/>
  <c r="BF79" i="3" a="1"/>
  <c r="BF79" i="3" s="1"/>
  <c r="J92" i="3" a="1"/>
  <c r="J92" i="3" s="1"/>
  <c r="DQ79" i="3" a="1"/>
  <c r="DQ79" i="3" s="1"/>
  <c r="BE53" i="3" a="1"/>
  <c r="BE53" i="3" s="1"/>
  <c r="CJ53" i="3" a="1"/>
  <c r="CJ53" i="3" s="1"/>
  <c r="AN53" i="3" a="1"/>
  <c r="AN53" i="3" s="1"/>
  <c r="CP79" i="3" a="1"/>
  <c r="CP79" i="3" s="1"/>
  <c r="AD67" i="3" a="1"/>
  <c r="AD67" i="3" s="1"/>
  <c r="AE53" i="3" a="1"/>
  <c r="AE53" i="3" s="1"/>
  <c r="AP53" i="3" a="1"/>
  <c r="AP53" i="3" s="1"/>
  <c r="DA92" i="3" a="1"/>
  <c r="DA92" i="3" s="1"/>
  <c r="BT79" i="3" a="1"/>
  <c r="BT79" i="3" s="1"/>
  <c r="BT67" i="3" a="1"/>
  <c r="BT67" i="3" s="1"/>
  <c r="DR67" i="3" a="1"/>
  <c r="DR67" i="3" s="1"/>
  <c r="AF92" i="3" a="1"/>
  <c r="AF92" i="3" s="1"/>
  <c r="AT67" i="3" a="1"/>
  <c r="AT67" i="3" s="1"/>
  <c r="AC53" i="3" a="1"/>
  <c r="AC53" i="3" s="1"/>
  <c r="L92" i="3" a="1"/>
  <c r="L92" i="3" s="1"/>
  <c r="DG79" i="3" a="1"/>
  <c r="DG79" i="3" s="1"/>
  <c r="CA79" i="3" a="1"/>
  <c r="CA79" i="3" s="1"/>
  <c r="BV79" i="3" a="1"/>
  <c r="BV79" i="3" s="1"/>
  <c r="AO79" i="3" a="1"/>
  <c r="AO79" i="3" s="1"/>
  <c r="AO53" i="3" a="1"/>
  <c r="AO53" i="3" s="1"/>
  <c r="Y92" i="3" a="1"/>
  <c r="Y92" i="3" s="1"/>
  <c r="X67" i="3" a="1"/>
  <c r="X67" i="3" s="1"/>
  <c r="X79" i="3" a="1"/>
  <c r="X79" i="3" s="1"/>
  <c r="DF79" i="3" a="1"/>
  <c r="DF79" i="3" s="1"/>
  <c r="DE79" i="3" a="1"/>
  <c r="DE79" i="3" s="1"/>
  <c r="DG53" i="3" a="1"/>
  <c r="DG53" i="3" s="1"/>
  <c r="AU53" i="3" a="1"/>
  <c r="AU53" i="3" s="1"/>
  <c r="J53" i="3" a="1"/>
  <c r="J53" i="3" s="1"/>
  <c r="AO67" i="3" a="1"/>
  <c r="AO67" i="3" s="1"/>
  <c r="Y79" i="3" a="1"/>
  <c r="Y79" i="3" s="1"/>
  <c r="BD67" i="3" a="1"/>
  <c r="BD67" i="3" s="1"/>
  <c r="AN92" i="3" a="1"/>
  <c r="AN92" i="3" s="1"/>
  <c r="H67" i="3" a="1"/>
  <c r="H67" i="3" s="1"/>
  <c r="AT92" i="3" a="1"/>
  <c r="AT92" i="3" s="1"/>
  <c r="DD79" i="3" a="1"/>
  <c r="DD79" i="3" s="1"/>
  <c r="CQ67" i="3" a="1"/>
  <c r="CQ67" i="3" s="1"/>
  <c r="K67" i="3" a="1"/>
  <c r="K67" i="3" s="1"/>
  <c r="BF92" i="3" a="1"/>
  <c r="BF92" i="3" s="1"/>
  <c r="DA67" i="3" a="1"/>
  <c r="DA67" i="3" s="1"/>
  <c r="DP92" i="3" a="1"/>
  <c r="DP92" i="3" s="1"/>
  <c r="BZ67" i="3" a="1"/>
  <c r="BZ67" i="3" s="1"/>
  <c r="BY92" i="3" a="1"/>
  <c r="BY92" i="3" s="1"/>
  <c r="BK53" i="3" a="1"/>
  <c r="BK53" i="3" s="1"/>
  <c r="BW92" i="3" a="1"/>
  <c r="BW92" i="3" s="1"/>
  <c r="BG79" i="3" a="1"/>
  <c r="BG79" i="3" s="1"/>
  <c r="DQ53" i="3" a="1"/>
  <c r="DQ53" i="3" s="1"/>
  <c r="H92" i="3" a="1"/>
  <c r="H92" i="3" s="1"/>
  <c r="CI53" i="3" a="1"/>
  <c r="CI53" i="3" s="1"/>
  <c r="BS79" i="3" a="1"/>
  <c r="BS79" i="3" s="1"/>
  <c r="AM92" i="3" a="1"/>
  <c r="AM92" i="3" s="1"/>
  <c r="AM79" i="3" a="1"/>
  <c r="AM79" i="3" s="1"/>
  <c r="DN79" i="3" a="1"/>
  <c r="DN79" i="3" s="1"/>
  <c r="K79" i="3" a="1"/>
  <c r="K79" i="3" s="1"/>
  <c r="I67" i="3" a="1"/>
  <c r="I67" i="3" s="1"/>
  <c r="DP79" i="3" a="1"/>
  <c r="DP79" i="3" s="1"/>
  <c r="CI79" i="3" a="1"/>
  <c r="CI79" i="3" s="1"/>
  <c r="BS67" i="3" a="1"/>
  <c r="BS67" i="3" s="1"/>
  <c r="BC67" i="3" a="1"/>
  <c r="BC67" i="3" s="1"/>
  <c r="W67" i="3" a="1"/>
  <c r="W67" i="3" s="1"/>
  <c r="CH92" i="3" a="1"/>
  <c r="CH92" i="3" s="1"/>
  <c r="CF67" i="3" a="1"/>
  <c r="CF67" i="3" s="1"/>
  <c r="CI92" i="3" a="1"/>
  <c r="CI92" i="3" s="1"/>
  <c r="BS53" i="3" a="1"/>
  <c r="BS53" i="3" s="1"/>
  <c r="G67" i="3" a="1"/>
  <c r="G67" i="3" s="1"/>
  <c r="BY67" i="3" a="1"/>
  <c r="BY67" i="3" s="1"/>
  <c r="BH79" i="3" a="1"/>
  <c r="BH79" i="3" s="1"/>
  <c r="O92" i="3" a="1"/>
  <c r="O92" i="3" s="1"/>
  <c r="DC67" i="3" a="1"/>
  <c r="DC67" i="3" s="1"/>
  <c r="DQ67" i="3" a="1"/>
  <c r="DQ67" i="3" s="1"/>
  <c r="BE67" i="3" a="1"/>
  <c r="BE67" i="3" s="1"/>
  <c r="BD92" i="3" a="1"/>
  <c r="BD92" i="3" s="1"/>
  <c r="H79" i="3" a="1"/>
  <c r="H79" i="3" s="1"/>
  <c r="AB53" i="3" a="1"/>
  <c r="AB53" i="3" s="1"/>
  <c r="BW67" i="3" a="1"/>
  <c r="BW67" i="3" s="1"/>
  <c r="I92" i="3" a="1"/>
  <c r="I92" i="3" s="1"/>
  <c r="BT92" i="3" a="1"/>
  <c r="BT92" i="3" s="1"/>
  <c r="CY79" i="3" a="1"/>
  <c r="CY79" i="3" s="1"/>
  <c r="W79" i="3" a="1"/>
  <c r="W79" i="3" s="1"/>
  <c r="BR67" i="3" a="1"/>
  <c r="BR67" i="3" s="1"/>
  <c r="DL92" i="3" a="1"/>
  <c r="DL92" i="3" s="1"/>
  <c r="BI53" i="3" a="1"/>
  <c r="BI53" i="3" s="1"/>
  <c r="AU79" i="3" a="1"/>
  <c r="AU79" i="3" s="1"/>
  <c r="CY53" i="3" a="1"/>
  <c r="CY53" i="3" s="1"/>
  <c r="G92" i="3" a="1"/>
  <c r="G92" i="3" s="1"/>
  <c r="BR79" i="3" a="1"/>
  <c r="BR79" i="3" s="1"/>
  <c r="BE79" i="3" a="1"/>
  <c r="BE79" i="3" s="1"/>
  <c r="I79" i="3" a="1"/>
  <c r="I79" i="3" s="1"/>
  <c r="I53" i="3" a="1"/>
  <c r="I53" i="3" s="1"/>
  <c r="AN79" i="3" a="1"/>
  <c r="AN79" i="3" s="1"/>
  <c r="CY92" i="3" a="1"/>
  <c r="CY92" i="3" s="1"/>
  <c r="BC92" i="3" a="1"/>
  <c r="BC92" i="3" s="1"/>
  <c r="O53" i="3" a="1"/>
  <c r="O53" i="3" s="1"/>
  <c r="CK92" i="3" a="1"/>
  <c r="CK92" i="3" s="1"/>
  <c r="AO92" i="3" a="1"/>
  <c r="AO92" i="3" s="1"/>
  <c r="AU67" i="3" a="1"/>
  <c r="AU67" i="3" s="1"/>
  <c r="BV67" i="3" a="1"/>
  <c r="BV67" i="3" s="1"/>
  <c r="AP92" i="3" a="1"/>
  <c r="AP92" i="3" s="1"/>
  <c r="BU67" i="3" a="1"/>
  <c r="BU67" i="3" s="1"/>
  <c r="CX79" i="3" a="1"/>
  <c r="CX79" i="3" s="1"/>
  <c r="CF79" i="3" a="1"/>
  <c r="CF79" i="3" s="1"/>
  <c r="AJ92" i="3" a="1"/>
  <c r="AJ92" i="3" s="1"/>
  <c r="DM79" i="3" a="1"/>
  <c r="DM79" i="3" s="1"/>
  <c r="CG53" i="3" a="1"/>
  <c r="CG53" i="3" s="1"/>
  <c r="BQ92" i="3" a="1"/>
  <c r="BQ92" i="3" s="1"/>
  <c r="AK92" i="3" a="1"/>
  <c r="AK92" i="3" s="1"/>
  <c r="CE116" i="3" a="1"/>
  <c r="CE116" i="3" s="1"/>
  <c r="CE92" i="3" a="1"/>
  <c r="CE92" i="3" s="1"/>
  <c r="CE67" i="3" a="1"/>
  <c r="CE67" i="3" s="1"/>
  <c r="AI67" i="3" a="1"/>
  <c r="AI67" i="3" s="1"/>
  <c r="C116" i="3" a="1"/>
  <c r="C116" i="3" s="1"/>
  <c r="CT92" i="3" a="1"/>
  <c r="CT92" i="3" s="1"/>
  <c r="BN116" i="3" a="1"/>
  <c r="BN116" i="3" s="1"/>
  <c r="AS79" i="3" a="1"/>
  <c r="AS79" i="3" s="1"/>
  <c r="J79" i="3" a="1"/>
  <c r="J79" i="3" s="1"/>
  <c r="DQ92" i="3" a="1"/>
  <c r="DQ92" i="3" s="1"/>
  <c r="DO53" i="3" a="1"/>
  <c r="DO53" i="3" s="1"/>
  <c r="BS92" i="3" a="1"/>
  <c r="BS92" i="3" s="1"/>
  <c r="G79" i="3" a="1"/>
  <c r="G79" i="3" s="1"/>
  <c r="CF53" i="3" a="1"/>
  <c r="CF53" i="3" s="1"/>
  <c r="BP67" i="3" a="1"/>
  <c r="BP67" i="3" s="1"/>
  <c r="T53" i="3" a="1"/>
  <c r="T53" i="3" s="1"/>
  <c r="AK67" i="3" a="1"/>
  <c r="AK67" i="3" s="1"/>
  <c r="DK92" i="3" a="1"/>
  <c r="DK92" i="3" s="1"/>
  <c r="CE79" i="3" a="1"/>
  <c r="CE79" i="3" s="1"/>
  <c r="AY53" i="3" a="1"/>
  <c r="AY53" i="3" s="1"/>
  <c r="DJ67" i="3" a="1"/>
  <c r="DJ67" i="3" s="1"/>
  <c r="CQ92" i="3" a="1"/>
  <c r="CQ92" i="3" s="1"/>
  <c r="DB79" i="3" a="1"/>
  <c r="DB79" i="3" s="1"/>
  <c r="CZ92" i="3" a="1"/>
  <c r="CZ92" i="3" s="1"/>
  <c r="BD79" i="3" a="1"/>
  <c r="BD79" i="3" s="1"/>
  <c r="AN67" i="3" a="1"/>
  <c r="AN67" i="3" s="1"/>
  <c r="W53" i="3" a="1"/>
  <c r="W53" i="3" s="1"/>
  <c r="CX67" i="3" a="1"/>
  <c r="CX67" i="3" s="1"/>
  <c r="CH53" i="3" a="1"/>
  <c r="CH53" i="3" s="1"/>
  <c r="CV67" i="3" a="1"/>
  <c r="CV67" i="3" s="1"/>
  <c r="BP53" i="3" a="1"/>
  <c r="BP53" i="3" s="1"/>
  <c r="F53" i="3" a="1"/>
  <c r="F53" i="3" s="1"/>
  <c r="DM67" i="3" a="1"/>
  <c r="DM67" i="3" s="1"/>
  <c r="CU53" i="3" a="1"/>
  <c r="CU53" i="3" s="1"/>
  <c r="CD92" i="3" a="1"/>
  <c r="CD92" i="3" s="1"/>
  <c r="BN67" i="3" a="1"/>
  <c r="BN67" i="3" s="1"/>
  <c r="AH67" i="3" a="1"/>
  <c r="AH67" i="3" s="1"/>
  <c r="BU92" i="3" a="1"/>
  <c r="BU92" i="3" s="1"/>
  <c r="BD53" i="3" a="1"/>
  <c r="BD53" i="3" s="1"/>
  <c r="CV79" i="3" a="1"/>
  <c r="CV79" i="3" s="1"/>
  <c r="BP79" i="3" a="1"/>
  <c r="BP79" i="3" s="1"/>
  <c r="AJ67" i="3" a="1"/>
  <c r="AJ67" i="3" s="1"/>
  <c r="D53" i="3" a="1"/>
  <c r="D53" i="3" s="1"/>
  <c r="V53" i="3" a="1"/>
  <c r="V53" i="3" s="1"/>
  <c r="U67" i="3" a="1"/>
  <c r="U67" i="3" s="1"/>
  <c r="CE53" i="3" a="1"/>
  <c r="CE53" i="3" s="1"/>
  <c r="BN92" i="3" a="1"/>
  <c r="BN92" i="3" s="1"/>
  <c r="AX53" i="3" a="1"/>
  <c r="AX53" i="3" s="1"/>
  <c r="CM67" i="3" a="1"/>
  <c r="CM67" i="3" s="1"/>
  <c r="AP79" i="3" a="1"/>
  <c r="AP79" i="3" s="1"/>
  <c r="CK53" i="3" a="1"/>
  <c r="CK53" i="3" s="1"/>
  <c r="W92" i="3" a="1"/>
  <c r="W92" i="3" s="1"/>
  <c r="CX53" i="3" a="1"/>
  <c r="CX53" i="3" s="1"/>
  <c r="D67" i="3" a="1"/>
  <c r="D67" i="3" s="1"/>
  <c r="V67" i="3" a="1"/>
  <c r="V67" i="3" s="1"/>
  <c r="BA79" i="3" a="1"/>
  <c r="BA79" i="3" s="1"/>
  <c r="BO79" i="3" a="1"/>
  <c r="BO79" i="3" s="1"/>
  <c r="DP67" i="3" a="1"/>
  <c r="DP67" i="3" s="1"/>
  <c r="CH79" i="3" a="1"/>
  <c r="CH79" i="3" s="1"/>
  <c r="BB53" i="3" a="1"/>
  <c r="BB53" i="3" s="1"/>
  <c r="E79" i="3" a="1"/>
  <c r="E79" i="3" s="1"/>
  <c r="AY79" i="3" a="1"/>
  <c r="AY79" i="3" s="1"/>
  <c r="S92" i="3" a="1"/>
  <c r="S92" i="3" s="1"/>
  <c r="DJ92" i="3" a="1"/>
  <c r="DJ92" i="3" s="1"/>
  <c r="CT53" i="3" a="1"/>
  <c r="CT53" i="3" s="1"/>
  <c r="R53" i="3" a="1"/>
  <c r="R53" i="3" s="1"/>
  <c r="BX92" i="3" a="1"/>
  <c r="BX92" i="3" s="1"/>
  <c r="AP67" i="3" a="1"/>
  <c r="AP67" i="3" s="1"/>
  <c r="Z79" i="3" a="1"/>
  <c r="Z79" i="3" s="1"/>
  <c r="J67" i="3" a="1"/>
  <c r="J67" i="3" s="1"/>
  <c r="BC53" i="3" a="1"/>
  <c r="BC53" i="3" s="1"/>
  <c r="DN67" i="3" a="1"/>
  <c r="DN67" i="3" s="1"/>
  <c r="AZ53" i="3" a="1"/>
  <c r="AZ53" i="3" s="1"/>
  <c r="BQ53" i="3" a="1"/>
  <c r="BQ53" i="3" s="1"/>
  <c r="BO53" i="3" a="1"/>
  <c r="BO53" i="3" s="1"/>
  <c r="CD79" i="3" a="1"/>
  <c r="CD79" i="3" s="1"/>
  <c r="BB79" i="3" a="1"/>
  <c r="BB79" i="3" s="1"/>
  <c r="F79" i="3" a="1"/>
  <c r="F79" i="3" s="1"/>
  <c r="BQ67" i="3" a="1"/>
  <c r="BQ67" i="3" s="1"/>
  <c r="C92" i="3" a="1"/>
  <c r="C92" i="3" s="1"/>
  <c r="BN79" i="3" a="1"/>
  <c r="BN79" i="3" s="1"/>
  <c r="BI92" i="3" a="1"/>
  <c r="BI92" i="3" s="1"/>
  <c r="DL53" i="3" a="1"/>
  <c r="DL53" i="3" s="1"/>
  <c r="AZ92" i="3" a="1"/>
  <c r="AZ92" i="3" s="1"/>
  <c r="AL53" i="3" a="1"/>
  <c r="AL53" i="3" s="1"/>
  <c r="V79" i="3" a="1"/>
  <c r="V79" i="3" s="1"/>
  <c r="CW79" i="3" a="1"/>
  <c r="CW79" i="3" s="1"/>
  <c r="BA92" i="3" a="1"/>
  <c r="BA92" i="3" s="1"/>
  <c r="CU67" i="3" a="1"/>
  <c r="CU67" i="3" s="1"/>
  <c r="AI79" i="3" a="1"/>
  <c r="AI79" i="3" s="1"/>
  <c r="AX67" i="3" a="1"/>
  <c r="AX67" i="3" s="1"/>
  <c r="AH79" i="3" a="1"/>
  <c r="AH79" i="3" s="1"/>
  <c r="AR92" i="3" a="1"/>
  <c r="AR92" i="3" s="1"/>
  <c r="CZ79" i="3" a="1"/>
  <c r="CZ79" i="3" s="1"/>
  <c r="BT53" i="3" a="1"/>
  <c r="BT53" i="3" s="1"/>
  <c r="DN53" i="3" a="1"/>
  <c r="DN53" i="3" s="1"/>
  <c r="BR92" i="3" a="1"/>
  <c r="BR92" i="3" s="1"/>
  <c r="V92" i="3" a="1"/>
  <c r="V92" i="3" s="1"/>
  <c r="CG92" i="3" a="1"/>
  <c r="CG92" i="3" s="1"/>
  <c r="AK79" i="3" a="1"/>
  <c r="AK79" i="3" s="1"/>
  <c r="S67" i="3" a="1"/>
  <c r="S67" i="3" s="1"/>
  <c r="CD53" i="3" a="1"/>
  <c r="CD53" i="3" s="1"/>
  <c r="BI79" i="3" a="1"/>
  <c r="BI79" i="3" s="1"/>
  <c r="AC67" i="3" a="1"/>
  <c r="AC67" i="3" s="1"/>
  <c r="Z67" i="3" a="1"/>
  <c r="Z67" i="3" s="1"/>
  <c r="CX92" i="3" a="1"/>
  <c r="CX92" i="3" s="1"/>
  <c r="CV53" i="3" a="1"/>
  <c r="CV53" i="3" s="1"/>
  <c r="AJ53" i="3" a="1"/>
  <c r="AJ53" i="3" s="1"/>
  <c r="D79" i="3" a="1"/>
  <c r="D79" i="3" s="1"/>
  <c r="CG67" i="3" a="1"/>
  <c r="CG67" i="3" s="1"/>
  <c r="BA67" i="3" a="1"/>
  <c r="BA67" i="3" s="1"/>
  <c r="AK53" i="3" a="1"/>
  <c r="AK53" i="3" s="1"/>
  <c r="CU79" i="3" a="1"/>
  <c r="CU79" i="3" s="1"/>
  <c r="AY92" i="3" a="1"/>
  <c r="AY92" i="3" s="1"/>
  <c r="C53" i="3" a="1"/>
  <c r="C53" i="3" s="1"/>
  <c r="CT67" i="3" a="1"/>
  <c r="CT67" i="3" s="1"/>
  <c r="R92" i="3" a="1"/>
  <c r="R92" i="3" s="1"/>
  <c r="R67" i="3" a="1"/>
  <c r="R67" i="3" s="1"/>
  <c r="CY104" i="3" a="1"/>
  <c r="CY104" i="3" s="1"/>
  <c r="AM53" i="3" a="1"/>
  <c r="AM53" i="3" s="1"/>
  <c r="G53" i="3" a="1"/>
  <c r="G53" i="3" s="1"/>
  <c r="CV92" i="3" a="1"/>
  <c r="CV92" i="3" s="1"/>
  <c r="AZ67" i="3" a="1"/>
  <c r="AZ67" i="3" s="1"/>
  <c r="AJ79" i="3" a="1"/>
  <c r="AJ79" i="3" s="1"/>
  <c r="BB67" i="3" a="1"/>
  <c r="BB67" i="3" s="1"/>
  <c r="AL79" i="3" a="1"/>
  <c r="AL79" i="3" s="1"/>
  <c r="F116" i="3" a="1"/>
  <c r="F116" i="3" s="1"/>
  <c r="F104" i="3" a="1"/>
  <c r="F104" i="3" s="1"/>
  <c r="DM116" i="3" a="1"/>
  <c r="DM116" i="3" s="1"/>
  <c r="CW67" i="3" a="1"/>
  <c r="CW67" i="3" s="1"/>
  <c r="E53" i="3" a="1"/>
  <c r="E53" i="3" s="1"/>
  <c r="DK53" i="3" a="1"/>
  <c r="DK53" i="3" s="1"/>
  <c r="BO67" i="3" a="1"/>
  <c r="BO67" i="3" s="1"/>
  <c r="C79" i="3" a="1"/>
  <c r="C79" i="3" s="1"/>
  <c r="C67" i="3" a="1"/>
  <c r="C67" i="3" s="1"/>
  <c r="DJ104" i="3" a="1"/>
  <c r="DJ104" i="3" s="1"/>
  <c r="H53" i="3" a="1"/>
  <c r="H53" i="3" s="1"/>
  <c r="DO79" i="3" a="1"/>
  <c r="DO79" i="3" s="1"/>
  <c r="T92" i="3" a="1"/>
  <c r="T92" i="3" s="1"/>
  <c r="D92" i="3" a="1"/>
  <c r="D92" i="3" s="1"/>
  <c r="DM92" i="3" a="1"/>
  <c r="DM92" i="3" s="1"/>
  <c r="CW92" i="3" a="1"/>
  <c r="CW92" i="3" s="1"/>
  <c r="U92" i="3" a="1"/>
  <c r="U92" i="3" s="1"/>
  <c r="AY67" i="3" a="1"/>
  <c r="AY67" i="3" s="1"/>
  <c r="AI53" i="3" a="1"/>
  <c r="AI53" i="3" s="1"/>
  <c r="S104" i="3" a="1"/>
  <c r="S104" i="3" s="1"/>
  <c r="AH116" i="3" a="1"/>
  <c r="AH116" i="3" s="1"/>
  <c r="AH104" i="3" a="1"/>
  <c r="AH104" i="3" s="1"/>
  <c r="AH92" i="3" a="1"/>
  <c r="AH92" i="3" s="1"/>
  <c r="DC92" i="3" a="1"/>
  <c r="DC92" i="3" s="1"/>
  <c r="BF53" i="3" a="1"/>
  <c r="BF53" i="3" s="1"/>
  <c r="Z53" i="3" a="1"/>
  <c r="Z53" i="3" s="1"/>
  <c r="BU79" i="3" a="1"/>
  <c r="BU79" i="3" s="1"/>
  <c r="AM67" i="3" a="1"/>
  <c r="AM67" i="3" s="1"/>
  <c r="CH67" i="3" a="1"/>
  <c r="CH67" i="3" s="1"/>
  <c r="CF92" i="3" a="1"/>
  <c r="CF92" i="3" s="1"/>
  <c r="BB92" i="3" a="1"/>
  <c r="BB92" i="3" s="1"/>
  <c r="F67" i="3" a="1"/>
  <c r="F67" i="3" s="1"/>
  <c r="BQ79" i="3" a="1"/>
  <c r="BQ79" i="3" s="1"/>
  <c r="U79" i="3" a="1"/>
  <c r="U79" i="3" s="1"/>
  <c r="E67" i="3" a="1"/>
  <c r="E67" i="3" s="1"/>
  <c r="DK79" i="3" a="1"/>
  <c r="DK79" i="3" s="1"/>
  <c r="S79" i="3" a="1"/>
  <c r="S79" i="3" s="1"/>
  <c r="DJ53" i="3" a="1"/>
  <c r="DJ53" i="3" s="1"/>
  <c r="CT79" i="3" a="1"/>
  <c r="CT79" i="3" s="1"/>
  <c r="AX92" i="3" a="1"/>
  <c r="AX92" i="3" s="1"/>
  <c r="AH53" i="3" a="1"/>
  <c r="AH53" i="3" s="1"/>
  <c r="X53" i="3" a="1"/>
  <c r="X53" i="3" s="1"/>
  <c r="CY67" i="3" a="1"/>
  <c r="CY67" i="3" s="1"/>
  <c r="AL116" i="3" a="1"/>
  <c r="AL116" i="3" s="1"/>
  <c r="AZ116" i="3" a="1"/>
  <c r="AZ116" i="3" s="1"/>
  <c r="CD67" i="3" a="1"/>
  <c r="CD67" i="3" s="1"/>
  <c r="BY116" i="3" a="1"/>
  <c r="BY116" i="3" s="1"/>
  <c r="CI67" i="3" a="1"/>
  <c r="CI67" i="3" s="1"/>
  <c r="CF116" i="3" a="1"/>
  <c r="CF116" i="3" s="1"/>
  <c r="E116" i="3" a="1"/>
  <c r="E116" i="3" s="1"/>
  <c r="BO116" i="3" a="1"/>
  <c r="BO116" i="3" s="1"/>
  <c r="BC79" i="3" a="1"/>
  <c r="BC79" i="3" s="1"/>
  <c r="AY116" i="3" a="1"/>
  <c r="AY116" i="3" s="1"/>
  <c r="BN53" i="3" a="1"/>
  <c r="BN53" i="3" s="1"/>
  <c r="BK67" i="3" a="1"/>
  <c r="BK67" i="3" s="1"/>
  <c r="BR116" i="3" a="1"/>
  <c r="BR116" i="3" s="1"/>
  <c r="AZ79" i="3" a="1"/>
  <c r="AZ79" i="3" s="1"/>
  <c r="CU92" i="3" a="1"/>
  <c r="CU92" i="3" s="1"/>
  <c r="DM104" i="3" a="1"/>
  <c r="DM104" i="3" s="1"/>
  <c r="AI92" i="3" a="1"/>
  <c r="AI92" i="3" s="1"/>
  <c r="BA53" i="3" a="1"/>
  <c r="BA53" i="3" s="1"/>
  <c r="S53" i="3" a="1"/>
  <c r="S53" i="3" s="1"/>
  <c r="CW53" i="3" a="1"/>
  <c r="CW53" i="3" s="1"/>
  <c r="AL67" i="3" a="1"/>
  <c r="AL67" i="3" s="1"/>
  <c r="CU104" i="3" a="1"/>
  <c r="CU104" i="3" s="1"/>
  <c r="CJ67" i="3" a="1"/>
  <c r="CJ67" i="3" s="1"/>
  <c r="AL92" i="3" a="1"/>
  <c r="AL92" i="3" s="1"/>
  <c r="BA116" i="3" a="1"/>
  <c r="BA116" i="3" s="1"/>
  <c r="CZ67" i="3" a="1"/>
  <c r="CZ67" i="3" s="1"/>
  <c r="T79" i="3" a="1"/>
  <c r="T79" i="3" s="1"/>
  <c r="AE92" i="3" a="1"/>
  <c r="AE92" i="3" s="1"/>
  <c r="CZ53" i="3" a="1"/>
  <c r="CZ53" i="3" s="1"/>
  <c r="E92" i="3" a="1"/>
  <c r="E92" i="3" s="1"/>
  <c r="AI104" i="3" a="1"/>
  <c r="AI104" i="3" s="1"/>
  <c r="BO92" i="3" a="1"/>
  <c r="BO92" i="3" s="1"/>
  <c r="R79" i="3" a="1"/>
  <c r="R79" i="3" s="1"/>
  <c r="BV92" i="3" a="1"/>
  <c r="BV92" i="3" s="1"/>
  <c r="F92" i="3" a="1"/>
  <c r="F92" i="3" s="1"/>
  <c r="U53" i="3" a="1"/>
  <c r="U53" i="3" s="1"/>
  <c r="AX79" i="3" a="1"/>
  <c r="AX79" i="3" s="1"/>
  <c r="DD53" i="3" a="1"/>
  <c r="DD53" i="3" s="1"/>
  <c r="DA79" i="3" a="1"/>
  <c r="DA79" i="3" s="1"/>
  <c r="X92" i="3" a="1"/>
  <c r="X92" i="3" s="1"/>
  <c r="H116" i="3" a="1"/>
  <c r="H116" i="3" s="1"/>
  <c r="DN92" i="3" a="1"/>
  <c r="DN92" i="3" s="1"/>
  <c r="BP92" i="3" a="1"/>
  <c r="BP92" i="3" s="1"/>
  <c r="T67" i="3" a="1"/>
  <c r="T67" i="3" s="1"/>
  <c r="DJ79" i="3" a="1"/>
  <c r="DJ79" i="3" s="1"/>
  <c r="AN116" i="3" a="1"/>
  <c r="AN116" i="3" s="1"/>
  <c r="DL67" i="3" a="1"/>
  <c r="DL67" i="3" s="1"/>
  <c r="DL79" i="3" a="1"/>
  <c r="DL79" i="3" s="1"/>
  <c r="CG79" i="3" a="1"/>
  <c r="CG79" i="3" s="1"/>
  <c r="DK67" i="3" a="1"/>
  <c r="DK67" i="3" s="1"/>
  <c r="AJ104" i="3" a="1"/>
  <c r="AJ104" i="3" s="1"/>
  <c r="DF104" i="3" a="1"/>
  <c r="DF104" i="3" s="1"/>
  <c r="DC116" i="3" a="1"/>
  <c r="DC116" i="3" s="1"/>
  <c r="DR104" i="3" a="1"/>
  <c r="DR104" i="3" s="1"/>
  <c r="AP116" i="3" a="1"/>
  <c r="AP116" i="3" s="1"/>
  <c r="AC116" i="3" a="1"/>
  <c r="AC116" i="3" s="1"/>
  <c r="AD116" i="3" a="1"/>
  <c r="AD116" i="3" s="1"/>
  <c r="BL116" i="3" a="1"/>
  <c r="BL116" i="3" s="1"/>
  <c r="BA9" i="3" a="1"/>
  <c r="BA9" i="3" s="1"/>
  <c r="BQ9" i="3" a="1"/>
  <c r="BQ9" i="3" s="1"/>
  <c r="CG9" i="3" a="1"/>
  <c r="CG9" i="3" s="1"/>
  <c r="CW9" i="3" a="1"/>
  <c r="CW9" i="3" s="1"/>
  <c r="DM9" i="3" a="1"/>
  <c r="DM9" i="3" s="1"/>
  <c r="I9" i="3" a="1"/>
  <c r="I9" i="3" s="1"/>
  <c r="R9" i="3" a="1"/>
  <c r="R9" i="3" s="1"/>
  <c r="AJ9" i="3" a="1"/>
  <c r="AJ9" i="3" s="1"/>
  <c r="BC9" i="3" a="1"/>
  <c r="BC9" i="3" s="1"/>
  <c r="BU9" i="3" a="1"/>
  <c r="BU9" i="3" s="1"/>
  <c r="CD9" i="3" a="1"/>
  <c r="CD9" i="3" s="1"/>
  <c r="CV9" i="3" a="1"/>
  <c r="CV9" i="3" s="1"/>
  <c r="DO9" i="3" a="1"/>
  <c r="DO9" i="3" s="1"/>
  <c r="AM9" i="3" a="1"/>
  <c r="AM9" i="3" s="1"/>
  <c r="BN9" i="3" a="1"/>
  <c r="BN9" i="3" s="1"/>
  <c r="DQ9" i="3" a="1"/>
  <c r="DQ9" i="3" s="1"/>
  <c r="S9" i="3" a="1"/>
  <c r="S9" i="3" s="1"/>
  <c r="AL9" i="3" a="1"/>
  <c r="AL9" i="3" s="1"/>
  <c r="BD9" i="3" a="1"/>
  <c r="BD9" i="3" s="1"/>
  <c r="CE9" i="3" a="1"/>
  <c r="CE9" i="3" s="1"/>
  <c r="CX9" i="3" a="1"/>
  <c r="CX9" i="3" s="1"/>
  <c r="DP9" i="3" a="1"/>
  <c r="DP9" i="3" s="1"/>
  <c r="K9" i="3" a="1"/>
  <c r="K9" i="3" s="1"/>
  <c r="CF9" i="3" a="1"/>
  <c r="CF9" i="3" s="1"/>
  <c r="CY9" i="3" a="1"/>
  <c r="CY9" i="3" s="1"/>
  <c r="T9" i="3" a="1"/>
  <c r="T9" i="3" s="1"/>
  <c r="BE9" i="3" a="1"/>
  <c r="BE9" i="3" s="1"/>
  <c r="P9" i="3" a="1"/>
  <c r="P9" i="3" s="1"/>
  <c r="AX9" i="3" a="1"/>
  <c r="AX9" i="3" s="1"/>
  <c r="BO9" i="3" a="1"/>
  <c r="BO9" i="3" s="1"/>
  <c r="C9" i="3" a="1"/>
  <c r="C9" i="3" s="1"/>
  <c r="CC9" i="3" a="1"/>
  <c r="CC9" i="3" s="1"/>
  <c r="CT9" i="3" a="1"/>
  <c r="CT9" i="3" s="1"/>
  <c r="DK9" i="3" a="1"/>
  <c r="DK9" i="3" s="1"/>
  <c r="AZ9" i="3" a="1"/>
  <c r="AZ9" i="3" s="1"/>
  <c r="X9" i="3" a="1"/>
  <c r="X9" i="3" s="1"/>
  <c r="CL9" i="3" a="1"/>
  <c r="CL9" i="3" s="1"/>
  <c r="AE9" i="3" a="1"/>
  <c r="AE9" i="3" s="1"/>
  <c r="AF9" i="3" a="1"/>
  <c r="AF9" i="3" s="1"/>
  <c r="AH9" i="3" a="1"/>
  <c r="AH9" i="3" s="1"/>
  <c r="AY9" i="3" a="1"/>
  <c r="AY9" i="3" s="1"/>
  <c r="BP9" i="3" a="1"/>
  <c r="BP9" i="3" s="1"/>
  <c r="CH9" i="3" a="1"/>
  <c r="CH9" i="3" s="1"/>
  <c r="BR9" i="3" a="1"/>
  <c r="BR9" i="3" s="1"/>
  <c r="CZ9" i="3" a="1"/>
  <c r="CZ9" i="3" s="1"/>
  <c r="DR9" i="3" a="1"/>
  <c r="DR9" i="3" s="1"/>
  <c r="O9" i="3" a="1"/>
  <c r="O9" i="3" s="1"/>
  <c r="D9" i="3" a="1"/>
  <c r="D9" i="3" s="1"/>
  <c r="V9" i="3" a="1"/>
  <c r="V9" i="3" s="1"/>
  <c r="CU9" i="3" a="1"/>
  <c r="CU9" i="3" s="1"/>
  <c r="DL9" i="3" a="1"/>
  <c r="DL9" i="3" s="1"/>
  <c r="AI9" i="3" a="1"/>
  <c r="AI9" i="3" s="1"/>
  <c r="CI9" i="3" a="1"/>
  <c r="CI9" i="3" s="1"/>
  <c r="BF9" i="3" a="1"/>
  <c r="BF9" i="3" s="1"/>
  <c r="BZ9" i="3" a="1"/>
  <c r="BZ9" i="3" s="1"/>
  <c r="N9" i="3" a="1"/>
  <c r="N9" i="3" s="1"/>
  <c r="BK9" i="3" a="1"/>
  <c r="BK9" i="3" s="1"/>
  <c r="AQ9" i="3" a="1"/>
  <c r="AQ9" i="3" s="1"/>
  <c r="F9" i="3" a="1"/>
  <c r="F9" i="3" s="1"/>
  <c r="W9" i="3" a="1"/>
  <c r="W9" i="3" s="1"/>
  <c r="AN9" i="3" a="1"/>
  <c r="AN9" i="3" s="1"/>
  <c r="DN9" i="3" a="1"/>
  <c r="DN9" i="3" s="1"/>
  <c r="BS9" i="3" a="1"/>
  <c r="BS9" i="3" s="1"/>
  <c r="G9" i="3" a="1"/>
  <c r="G9" i="3" s="1"/>
  <c r="BB9" i="3" a="1"/>
  <c r="BB9" i="3" s="1"/>
  <c r="CJ9" i="3" a="1"/>
  <c r="CJ9" i="3" s="1"/>
  <c r="DA9" i="3" a="1"/>
  <c r="DA9" i="3" s="1"/>
  <c r="AO9" i="3" a="1"/>
  <c r="AO9" i="3" s="1"/>
  <c r="DC9" i="3" a="1"/>
  <c r="DC9" i="3" s="1"/>
  <c r="CS9" i="3" a="1"/>
  <c r="CS9" i="3" s="1"/>
  <c r="BT9" i="3" a="1"/>
  <c r="BT9" i="3" s="1"/>
  <c r="CK9" i="3" a="1"/>
  <c r="CK9" i="3" s="1"/>
  <c r="DB9" i="3" a="1"/>
  <c r="DB9" i="3" s="1"/>
  <c r="H9" i="3" a="1"/>
  <c r="H9" i="3" s="1"/>
  <c r="Y9" i="3" a="1"/>
  <c r="Y9" i="3" s="1"/>
  <c r="AP9" i="3" a="1"/>
  <c r="AP9" i="3" s="1"/>
  <c r="BG9" i="3" a="1"/>
  <c r="BG9" i="3" s="1"/>
  <c r="BX9" i="3" a="1"/>
  <c r="BX9" i="3" s="1"/>
  <c r="L9" i="3" a="1"/>
  <c r="L9" i="3" s="1"/>
  <c r="Z9" i="3" a="1"/>
  <c r="Z9" i="3" s="1"/>
  <c r="DD9" i="3" a="1"/>
  <c r="DD9" i="3" s="1"/>
  <c r="AW9" i="3" a="1"/>
  <c r="AW9" i="3" s="1"/>
  <c r="DJ9" i="3" a="1"/>
  <c r="DJ9" i="3" s="1"/>
  <c r="BH9" i="3" a="1"/>
  <c r="BH9" i="3" s="1"/>
  <c r="CB9" i="3" a="1"/>
  <c r="CB9" i="3" s="1"/>
  <c r="CQ9" i="3" a="1"/>
  <c r="CQ9" i="3" s="1"/>
  <c r="AR9" i="3" a="1"/>
  <c r="AR9" i="3" s="1"/>
  <c r="BJ9" i="3" a="1"/>
  <c r="BJ9" i="3" s="1"/>
  <c r="CA9" i="3" a="1"/>
  <c r="CA9" i="3" s="1"/>
  <c r="CR9" i="3" a="1"/>
  <c r="CR9" i="3" s="1"/>
  <c r="DI9" i="3" a="1"/>
  <c r="DI9" i="3" s="1"/>
  <c r="BL9" i="3" a="1"/>
  <c r="BL9" i="3" s="1"/>
  <c r="AS9" i="3" a="1"/>
  <c r="AS9" i="3" s="1"/>
  <c r="BY9" i="3" a="1"/>
  <c r="BY9" i="3" s="1"/>
  <c r="BM9" i="3" a="1"/>
  <c r="BM9" i="3" s="1"/>
  <c r="DH9" i="3" a="1"/>
  <c r="DH9" i="3" s="1"/>
  <c r="BI9" i="3" a="1"/>
  <c r="BI9" i="3" s="1"/>
  <c r="AV9" i="3" a="1"/>
  <c r="AV9" i="3" s="1"/>
  <c r="AG9" i="3" a="1"/>
  <c r="AG9" i="3" s="1"/>
  <c r="CP9" i="3" a="1"/>
  <c r="CP9" i="3" s="1"/>
  <c r="AD9" i="3" a="1"/>
  <c r="AD9" i="3" s="1"/>
  <c r="AU9" i="3" a="1"/>
  <c r="AU9" i="3" s="1"/>
  <c r="DF9" i="3" a="1"/>
  <c r="DF9" i="3" s="1"/>
  <c r="CN9" i="3" a="1"/>
  <c r="CN9" i="3" s="1"/>
  <c r="BW9" i="3" a="1"/>
  <c r="BW9" i="3" s="1"/>
  <c r="DE9" i="3" a="1"/>
  <c r="DE9" i="3" s="1"/>
  <c r="M9" i="3" a="1"/>
  <c r="M9" i="3" s="1"/>
  <c r="CO9" i="3" a="1"/>
  <c r="CO9" i="3" s="1"/>
  <c r="AT9" i="3" a="1"/>
  <c r="AT9" i="3" s="1"/>
  <c r="J9" i="3" a="1"/>
  <c r="J9" i="3" s="1"/>
  <c r="Q9" i="3" a="1"/>
  <c r="Q9" i="3" s="1"/>
  <c r="AA9" i="3" a="1"/>
  <c r="AA9" i="3" s="1"/>
  <c r="AC9" i="3" a="1"/>
  <c r="AC9" i="3" s="1"/>
  <c r="BV9" i="3" a="1"/>
  <c r="BV9" i="3" s="1"/>
  <c r="AK9" i="3" a="1"/>
  <c r="AK9" i="3" s="1"/>
  <c r="U9" i="3" a="1"/>
  <c r="U9" i="3" s="1"/>
  <c r="DG9" i="3" a="1"/>
  <c r="DG9" i="3" s="1"/>
  <c r="E9" i="3" a="1"/>
  <c r="E9" i="3" s="1"/>
  <c r="CM9" i="3" a="1"/>
  <c r="CM9" i="3" s="1"/>
  <c r="AB9" i="3" a="1"/>
  <c r="AB9" i="3" s="1"/>
  <c r="V116" i="3" a="1"/>
  <c r="V116" i="3" s="1"/>
  <c r="CT116" i="3" a="1"/>
  <c r="CT116" i="3" s="1"/>
  <c r="AL104" i="3" a="1"/>
  <c r="AL104" i="3" s="1"/>
  <c r="DB104" i="3" a="1"/>
  <c r="DB104" i="3" s="1"/>
  <c r="CI105" i="3" a="1"/>
  <c r="CI105" i="3" s="1"/>
  <c r="G105" i="3" a="1"/>
  <c r="G105" i="3" s="1"/>
  <c r="AQ117" i="3" a="1"/>
  <c r="AQ117" i="3" s="1"/>
  <c r="CW117" i="3" a="1"/>
  <c r="CW117" i="3" s="1"/>
  <c r="BV117" i="3" a="1"/>
  <c r="BV117" i="3" s="1"/>
  <c r="Y105" i="3" a="1"/>
  <c r="Y105" i="3" s="1"/>
  <c r="AS117" i="3" a="1"/>
  <c r="AS117" i="3" s="1"/>
  <c r="J105" i="3" a="1"/>
  <c r="J105" i="3" s="1"/>
  <c r="Z105" i="3" a="1"/>
  <c r="Z105" i="3" s="1"/>
  <c r="BM117" i="3" a="1"/>
  <c r="BM117" i="3" s="1"/>
  <c r="AP117" i="3" a="1"/>
  <c r="AP117" i="3" s="1"/>
  <c r="BD105" i="3" a="1"/>
  <c r="BD105" i="3" s="1"/>
  <c r="AR117" i="3" a="1"/>
  <c r="AR117" i="3" s="1"/>
  <c r="CK105" i="3" a="1"/>
  <c r="CK105" i="3" s="1"/>
  <c r="V117" i="3" a="1"/>
  <c r="V117" i="3" s="1"/>
  <c r="BJ105" i="3" a="1"/>
  <c r="BJ105" i="3" s="1"/>
  <c r="AE105" i="3" a="1"/>
  <c r="AE105" i="3" s="1"/>
  <c r="BI117" i="3" a="1"/>
  <c r="BI117" i="3" s="1"/>
  <c r="BE117" i="3" a="1"/>
  <c r="BE117" i="3" s="1"/>
  <c r="CM117" i="3" a="1"/>
  <c r="CM117" i="3" s="1"/>
  <c r="BW105" i="3" a="1"/>
  <c r="BW105" i="3" s="1"/>
  <c r="BF117" i="3" a="1"/>
  <c r="BF117" i="3" s="1"/>
  <c r="AD105" i="3" a="1"/>
  <c r="AD105" i="3" s="1"/>
  <c r="CC117" i="3" a="1"/>
  <c r="CC117" i="3" s="1"/>
  <c r="E105" i="3" a="1"/>
  <c r="E105" i="3" s="1"/>
  <c r="I15" i="25"/>
  <c r="I10" i="24"/>
  <c r="C8" i="20" s="1"/>
  <c r="C11" i="6"/>
  <c r="AT110" i="3" l="1" a="1"/>
  <c r="AT110" i="3" s="1"/>
  <c r="E60" i="26"/>
  <c r="M60" i="26"/>
  <c r="G194" i="13"/>
  <c r="G195" i="13" s="1"/>
  <c r="AY98" i="3" a="1"/>
  <c r="AY98" i="3" s="1"/>
  <c r="DG73" i="3" a="1"/>
  <c r="DG73" i="3" s="1"/>
  <c r="BS61" i="3" a="1"/>
  <c r="BS61" i="3" s="1"/>
  <c r="CP110" i="3" a="1"/>
  <c r="CP110" i="3" s="1"/>
  <c r="CF98" i="3" a="1"/>
  <c r="CF98" i="3" s="1"/>
  <c r="O50" i="26"/>
  <c r="Y6" i="2" s="1"/>
  <c r="BK47" i="3" a="1"/>
  <c r="BK47" i="3" s="1"/>
  <c r="CZ73" i="3" a="1"/>
  <c r="CZ73" i="3" s="1"/>
  <c r="C178" i="13"/>
  <c r="C179" i="13" s="1"/>
  <c r="G110" i="3" a="1"/>
  <c r="G110" i="3" s="1"/>
  <c r="AL98" i="3" a="1"/>
  <c r="AL98" i="3" s="1"/>
  <c r="CY47" i="3" a="1"/>
  <c r="CY47" i="3" s="1"/>
  <c r="AY34" i="3" a="1"/>
  <c r="AY34" i="3" s="1"/>
  <c r="AV98" i="3" a="1"/>
  <c r="AV98" i="3" s="1"/>
  <c r="AE73" i="3" a="1"/>
  <c r="AE73" i="3" s="1"/>
  <c r="CY86" i="3" a="1"/>
  <c r="CY86" i="3" s="1"/>
  <c r="DB86" i="3" a="1"/>
  <c r="DB86" i="3" s="1"/>
  <c r="AP47" i="3" a="1"/>
  <c r="AP47" i="3" s="1"/>
  <c r="DD61" i="3" a="1"/>
  <c r="DD61" i="3" s="1"/>
  <c r="BD47" i="3" a="1"/>
  <c r="BD47" i="3" s="1"/>
  <c r="AL86" i="3" a="1"/>
  <c r="AL86" i="3" s="1"/>
  <c r="Y98" i="3" a="1"/>
  <c r="Y98" i="3" s="1"/>
  <c r="BT110" i="3" a="1"/>
  <c r="BT110" i="3" s="1"/>
  <c r="DR47" i="3" a="1"/>
  <c r="DR47" i="3" s="1"/>
  <c r="BR73" i="3" a="1"/>
  <c r="BR73" i="3" s="1"/>
  <c r="AM110" i="3" a="1"/>
  <c r="AM110" i="3" s="1"/>
  <c r="AC13" i="2"/>
  <c r="AE13" i="2" s="1"/>
  <c r="BC47" i="3" a="1"/>
  <c r="BC47" i="3" s="1"/>
  <c r="BN98" i="3" a="1"/>
  <c r="BN98" i="3" s="1"/>
  <c r="AP86" i="3" a="1"/>
  <c r="AP86" i="3" s="1"/>
  <c r="C61" i="3" a="1"/>
  <c r="C61" i="3" s="1"/>
  <c r="CE86" i="3" a="1"/>
  <c r="CE86" i="3" s="1"/>
  <c r="BQ110" i="3" a="1"/>
  <c r="BQ110" i="3" s="1"/>
  <c r="CF86" i="3" a="1"/>
  <c r="CF86" i="3" s="1"/>
  <c r="BH98" i="3" a="1"/>
  <c r="BH98" i="3" s="1"/>
  <c r="BW110" i="3" a="1"/>
  <c r="BW110" i="3" s="1"/>
  <c r="DL86" i="3" a="1"/>
  <c r="DL86" i="3" s="1"/>
  <c r="CF73" i="3" a="1"/>
  <c r="CF73" i="3" s="1"/>
  <c r="DG110" i="3" a="1"/>
  <c r="DG110" i="3" s="1"/>
  <c r="BU61" i="3" a="1"/>
  <c r="BU61" i="3" s="1"/>
  <c r="BC34" i="3" a="1"/>
  <c r="BC34" i="3" s="1"/>
  <c r="CZ110" i="3" a="1"/>
  <c r="CZ110" i="3" s="1"/>
  <c r="BF34" i="3" a="1"/>
  <c r="BF34" i="3" s="1"/>
  <c r="BF86" i="3" a="1"/>
  <c r="BF86" i="3" s="1"/>
  <c r="BS47" i="3" a="1"/>
  <c r="BS47" i="3" s="1"/>
  <c r="CP73" i="3" a="1"/>
  <c r="CP73" i="3" s="1"/>
  <c r="AV73" i="3" a="1"/>
  <c r="AV73" i="3" s="1"/>
  <c r="CV47" i="3" a="1"/>
  <c r="CV47" i="3" s="1"/>
  <c r="CG86" i="3" a="1"/>
  <c r="CG86" i="3" s="1"/>
  <c r="T47" i="3" a="1"/>
  <c r="T47" i="3" s="1"/>
  <c r="H61" i="3" a="1"/>
  <c r="H61" i="3" s="1"/>
  <c r="L86" i="3" a="1"/>
  <c r="L86" i="3" s="1"/>
  <c r="AI98" i="3" a="1"/>
  <c r="AI98" i="3" s="1"/>
  <c r="DB110" i="3" a="1"/>
  <c r="DB110" i="3" s="1"/>
  <c r="I34" i="3" a="1"/>
  <c r="I34" i="3" s="1"/>
  <c r="R86" i="3" a="1"/>
  <c r="R86" i="3" s="1"/>
  <c r="E47" i="3" a="1"/>
  <c r="E47" i="3" s="1"/>
  <c r="DI47" i="3" a="1"/>
  <c r="DI47" i="3" s="1"/>
  <c r="AQ47" i="3" a="1"/>
  <c r="AQ47" i="3" s="1"/>
  <c r="AB61" i="3" a="1"/>
  <c r="AB61" i="3" s="1"/>
  <c r="CX47" i="3" a="1"/>
  <c r="CX47" i="3" s="1"/>
  <c r="Z110" i="3" a="1"/>
  <c r="Z110" i="3" s="1"/>
  <c r="BW34" i="3" a="1"/>
  <c r="BW34" i="3" s="1"/>
  <c r="CI61" i="3" a="1"/>
  <c r="CI61" i="3" s="1"/>
  <c r="BE98" i="3" a="1"/>
  <c r="BE98" i="3" s="1"/>
  <c r="AS86" i="3" a="1"/>
  <c r="AS86" i="3" s="1"/>
  <c r="AI73" i="3" a="1"/>
  <c r="AI73" i="3" s="1"/>
  <c r="CG73" i="3" a="1"/>
  <c r="CG73" i="3" s="1"/>
  <c r="DE73" i="3" a="1"/>
  <c r="DE73" i="3" s="1"/>
  <c r="DH73" i="3" a="1"/>
  <c r="DH73" i="3" s="1"/>
  <c r="D98" i="3" a="1"/>
  <c r="D98" i="3" s="1"/>
  <c r="I98" i="3" a="1"/>
  <c r="I98" i="3" s="1"/>
  <c r="H34" i="3" a="1"/>
  <c r="H34" i="3" s="1"/>
  <c r="Y34" i="3" a="1"/>
  <c r="Y34" i="3" s="1"/>
  <c r="BR61" i="3" a="1"/>
  <c r="BR61" i="3" s="1"/>
  <c r="BM110" i="3" a="1"/>
  <c r="BM110" i="3" s="1"/>
  <c r="F47" i="3" a="1"/>
  <c r="F47" i="3" s="1"/>
  <c r="BB61" i="3" a="1"/>
  <c r="BB61" i="3" s="1"/>
  <c r="AL61" i="3" a="1"/>
  <c r="AL61" i="3" s="1"/>
  <c r="K47" i="3" a="1"/>
  <c r="K47" i="3" s="1"/>
  <c r="W73" i="3" a="1"/>
  <c r="W73" i="3" s="1"/>
  <c r="DI73" i="3" a="1"/>
  <c r="DI73" i="3" s="1"/>
  <c r="DA98" i="3" a="1"/>
  <c r="DA98" i="3" s="1"/>
  <c r="R34" i="3" a="1"/>
  <c r="R34" i="3" s="1"/>
  <c r="CQ34" i="3" a="1"/>
  <c r="CQ34" i="3" s="1"/>
  <c r="BB110" i="3" a="1"/>
  <c r="BB110" i="3" s="1"/>
  <c r="AW73" i="3" a="1"/>
  <c r="AW73" i="3" s="1"/>
  <c r="DK98" i="3" a="1"/>
  <c r="DK98" i="3" s="1"/>
  <c r="S61" i="3" a="1"/>
  <c r="S61" i="3" s="1"/>
  <c r="BB98" i="3" a="1"/>
  <c r="BB98" i="3" s="1"/>
  <c r="DM73" i="3" a="1"/>
  <c r="DM73" i="3" s="1"/>
  <c r="AG86" i="3" a="1"/>
  <c r="AG86" i="3" s="1"/>
  <c r="I61" i="3" a="1"/>
  <c r="I61" i="3" s="1"/>
  <c r="T34" i="3" a="1"/>
  <c r="T34" i="3" s="1"/>
  <c r="AR34" i="3" a="1"/>
  <c r="AR34" i="3" s="1"/>
  <c r="C86" i="3" a="1"/>
  <c r="C86" i="3" s="1"/>
  <c r="CU110" i="3" a="1"/>
  <c r="CU110" i="3" s="1"/>
  <c r="CJ110" i="3" a="1"/>
  <c r="CJ110" i="3" s="1"/>
  <c r="DF98" i="3" a="1"/>
  <c r="DF98" i="3" s="1"/>
  <c r="J110" i="3" a="1"/>
  <c r="J110" i="3" s="1"/>
  <c r="BT86" i="3" a="1"/>
  <c r="BT86" i="3" s="1"/>
  <c r="BR86" i="3" a="1"/>
  <c r="BR86" i="3" s="1"/>
  <c r="BG34" i="3" a="1"/>
  <c r="BG34" i="3" s="1"/>
  <c r="BT73" i="3" a="1"/>
  <c r="BT73" i="3" s="1"/>
  <c r="CX98" i="3" a="1"/>
  <c r="CX98" i="3" s="1"/>
  <c r="CR61" i="3" a="1"/>
  <c r="CR61" i="3" s="1"/>
  <c r="DK47" i="3" a="1"/>
  <c r="DK47" i="3" s="1"/>
  <c r="CT61" i="3" a="1"/>
  <c r="CT61" i="3" s="1"/>
  <c r="BR98" i="3" a="1"/>
  <c r="BR98" i="3" s="1"/>
  <c r="BW73" i="3" a="1"/>
  <c r="BW73" i="3" s="1"/>
  <c r="BJ110" i="3" a="1"/>
  <c r="BJ110" i="3" s="1"/>
  <c r="CW86" i="3" a="1"/>
  <c r="CW86" i="3" s="1"/>
  <c r="BI47" i="3" a="1"/>
  <c r="BI47" i="3" s="1"/>
  <c r="D110" i="3" a="1"/>
  <c r="D110" i="3" s="1"/>
  <c r="DN86" i="3" a="1"/>
  <c r="DN86" i="3" s="1"/>
  <c r="J98" i="3" a="1"/>
  <c r="J98" i="3" s="1"/>
  <c r="DP47" i="3" a="1"/>
  <c r="DP47" i="3" s="1"/>
  <c r="AT73" i="3" a="1"/>
  <c r="AT73" i="3" s="1"/>
  <c r="AH73" i="3" a="1"/>
  <c r="AH73" i="3" s="1"/>
  <c r="U98" i="3" a="1"/>
  <c r="U98" i="3" s="1"/>
  <c r="AV86" i="3" a="1"/>
  <c r="AV86" i="3" s="1"/>
  <c r="BD98" i="3" a="1"/>
  <c r="BD98" i="3" s="1"/>
  <c r="CN47" i="3" a="1"/>
  <c r="CN47" i="3" s="1"/>
  <c r="CL98" i="3" a="1"/>
  <c r="CL98" i="3" s="1"/>
  <c r="CE61" i="3" a="1"/>
  <c r="CE61" i="3" s="1"/>
  <c r="P73" i="3" a="1"/>
  <c r="P73" i="3" s="1"/>
  <c r="AW98" i="3" a="1"/>
  <c r="AW98" i="3" s="1"/>
  <c r="DG61" i="3" a="1"/>
  <c r="DG61" i="3" s="1"/>
  <c r="CM98" i="3" a="1"/>
  <c r="CM98" i="3" s="1"/>
  <c r="CF47" i="3" a="1"/>
  <c r="CF47" i="3" s="1"/>
  <c r="AO98" i="3" a="1"/>
  <c r="AO98" i="3" s="1"/>
  <c r="AA34" i="3" a="1"/>
  <c r="AA34" i="3" s="1"/>
  <c r="BH34" i="3" a="1"/>
  <c r="BH34" i="3" s="1"/>
  <c r="DH86" i="3" a="1"/>
  <c r="DH86" i="3" s="1"/>
  <c r="CL73" i="3" a="1"/>
  <c r="CL73" i="3" s="1"/>
  <c r="CW110" i="3" a="1"/>
  <c r="CW110" i="3" s="1"/>
  <c r="CQ86" i="3" a="1"/>
  <c r="CQ86" i="3" s="1"/>
  <c r="DI98" i="3" a="1"/>
  <c r="DI98" i="3" s="1"/>
  <c r="CC61" i="3" a="1"/>
  <c r="CC61" i="3" s="1"/>
  <c r="CW73" i="3" a="1"/>
  <c r="CW73" i="3" s="1"/>
  <c r="AM47" i="3" a="1"/>
  <c r="AM47" i="3" s="1"/>
  <c r="J86" i="3" a="1"/>
  <c r="J86" i="3" s="1"/>
  <c r="CO86" i="3" a="1"/>
  <c r="CO86" i="3" s="1"/>
  <c r="BQ47" i="3" a="1"/>
  <c r="BQ47" i="3" s="1"/>
  <c r="BE86" i="3" a="1"/>
  <c r="BE86" i="3" s="1"/>
  <c r="CU47" i="3" a="1"/>
  <c r="CU47" i="3" s="1"/>
  <c r="V73" i="3" a="1"/>
  <c r="V73" i="3" s="1"/>
  <c r="AY110" i="3" a="1"/>
  <c r="AY110" i="3" s="1"/>
  <c r="CD73" i="3" a="1"/>
  <c r="CD73" i="3" s="1"/>
  <c r="BG86" i="3" a="1"/>
  <c r="BG86" i="3" s="1"/>
  <c r="DA86" i="3" a="1"/>
  <c r="DA86" i="3" s="1"/>
  <c r="BH110" i="3" a="1"/>
  <c r="BH110" i="3" s="1"/>
  <c r="AK47" i="3" a="1"/>
  <c r="AK47" i="3" s="1"/>
  <c r="CQ98" i="3" a="1"/>
  <c r="CQ98" i="3" s="1"/>
  <c r="BS73" i="3" a="1"/>
  <c r="BS73" i="3" s="1"/>
  <c r="AU61" i="3" a="1"/>
  <c r="AU61" i="3" s="1"/>
  <c r="K86" i="3" a="1"/>
  <c r="K86" i="3" s="1"/>
  <c r="Z86" i="3" a="1"/>
  <c r="Z86" i="3" s="1"/>
  <c r="Y110" i="3" a="1"/>
  <c r="Y110" i="3" s="1"/>
  <c r="CH61" i="3" a="1"/>
  <c r="CH61" i="3" s="1"/>
  <c r="DB98" i="3" a="1"/>
  <c r="DB98" i="3" s="1"/>
  <c r="DK73" i="3" a="1"/>
  <c r="DK73" i="3" s="1"/>
  <c r="I110" i="3" a="1"/>
  <c r="I110" i="3" s="1"/>
  <c r="E34" i="3" a="1"/>
  <c r="E34" i="3" s="1"/>
  <c r="CN34" i="3" a="1"/>
  <c r="CN34" i="3" s="1"/>
  <c r="AL34" i="3" a="1"/>
  <c r="AL34" i="3" s="1"/>
  <c r="BO34" i="3" a="1"/>
  <c r="BO34" i="3" s="1"/>
  <c r="CC34" i="3" a="1"/>
  <c r="CC34" i="3" s="1"/>
  <c r="CM34" i="3" a="1"/>
  <c r="CM34" i="3" s="1"/>
  <c r="CS47" i="3" a="1"/>
  <c r="CS47" i="3" s="1"/>
  <c r="AN47" i="3" a="1"/>
  <c r="AN47" i="3" s="1"/>
  <c r="BI86" i="3" a="1"/>
  <c r="BI86" i="3" s="1"/>
  <c r="AE98" i="3" a="1"/>
  <c r="AE98" i="3" s="1"/>
  <c r="AR73" i="3" a="1"/>
  <c r="AR73" i="3" s="1"/>
  <c r="O86" i="3" a="1"/>
  <c r="O86" i="3" s="1"/>
  <c r="DL61" i="3" a="1"/>
  <c r="DL61" i="3" s="1"/>
  <c r="V61" i="3" a="1"/>
  <c r="V61" i="3" s="1"/>
  <c r="BB86" i="3" a="1"/>
  <c r="BB86" i="3" s="1"/>
  <c r="AF73" i="3" a="1"/>
  <c r="AF73" i="3" s="1"/>
  <c r="BI61" i="3" a="1"/>
  <c r="BI61" i="3" s="1"/>
  <c r="CO47" i="3" a="1"/>
  <c r="CO47" i="3" s="1"/>
  <c r="AU47" i="3" a="1"/>
  <c r="AU47" i="3" s="1"/>
  <c r="AJ86" i="3" a="1"/>
  <c r="AJ86" i="3" s="1"/>
  <c r="AD61" i="3" a="1"/>
  <c r="AD61" i="3" s="1"/>
  <c r="N86" i="3" a="1"/>
  <c r="N86" i="3" s="1"/>
  <c r="T73" i="3" a="1"/>
  <c r="T73" i="3" s="1"/>
  <c r="DC86" i="3" a="1"/>
  <c r="DC86" i="3" s="1"/>
  <c r="AM98" i="3" a="1"/>
  <c r="AM98" i="3" s="1"/>
  <c r="Z34" i="3" a="1"/>
  <c r="Z34" i="3" s="1"/>
  <c r="CI34" i="3" a="1"/>
  <c r="CI34" i="3" s="1"/>
  <c r="N34" i="3" a="1"/>
  <c r="N34" i="3" s="1"/>
  <c r="AG34" i="3" a="1"/>
  <c r="AG34" i="3" s="1"/>
  <c r="AB34" i="3" a="1"/>
  <c r="AB34" i="3" s="1"/>
  <c r="AC47" i="3" a="1"/>
  <c r="AC47" i="3" s="1"/>
  <c r="DL73" i="3" a="1"/>
  <c r="DL73" i="3" s="1"/>
  <c r="AT98" i="3" a="1"/>
  <c r="AT98" i="3" s="1"/>
  <c r="BV61" i="3" a="1"/>
  <c r="BV61" i="3" s="1"/>
  <c r="AA98" i="3" a="1"/>
  <c r="AA98" i="3" s="1"/>
  <c r="BV73" i="3" a="1"/>
  <c r="BV73" i="3" s="1"/>
  <c r="BA110" i="3" a="1"/>
  <c r="BA110" i="3" s="1"/>
  <c r="AH110" i="3" a="1"/>
  <c r="AH110" i="3" s="1"/>
  <c r="G61" i="3" a="1"/>
  <c r="G61" i="3" s="1"/>
  <c r="AF86" i="3" a="1"/>
  <c r="AF86" i="3" s="1"/>
  <c r="AP110" i="3" a="1"/>
  <c r="AP110" i="3" s="1"/>
  <c r="G86" i="3" a="1"/>
  <c r="G86" i="3" s="1"/>
  <c r="AU86" i="3" a="1"/>
  <c r="AU86" i="3" s="1"/>
  <c r="CV86" i="3" a="1"/>
  <c r="CV86" i="3" s="1"/>
  <c r="AG73" i="3" a="1"/>
  <c r="AG73" i="3" s="1"/>
  <c r="CD47" i="3" a="1"/>
  <c r="CD47" i="3" s="1"/>
  <c r="CS86" i="3" a="1"/>
  <c r="CS86" i="3" s="1"/>
  <c r="AS110" i="3" a="1"/>
  <c r="AS110" i="3" s="1"/>
  <c r="AK86" i="3" a="1"/>
  <c r="AK86" i="3" s="1"/>
  <c r="BQ61" i="3" a="1"/>
  <c r="BQ61" i="3" s="1"/>
  <c r="CE73" i="3" a="1"/>
  <c r="CE73" i="3" s="1"/>
  <c r="AP61" i="3" a="1"/>
  <c r="AP61" i="3" s="1"/>
  <c r="BV86" i="3" a="1"/>
  <c r="BV86" i="3" s="1"/>
  <c r="DJ98" i="3" a="1"/>
  <c r="DJ98" i="3" s="1"/>
  <c r="DB61" i="3" a="1"/>
  <c r="DB61" i="3" s="1"/>
  <c r="BG110" i="3" a="1"/>
  <c r="BG110" i="3" s="1"/>
  <c r="E73" i="3" a="1"/>
  <c r="E73" i="3" s="1"/>
  <c r="CB47" i="3" a="1"/>
  <c r="CB47" i="3" s="1"/>
  <c r="BR110" i="3" a="1"/>
  <c r="BR110" i="3" s="1"/>
  <c r="AZ110" i="3" a="1"/>
  <c r="AZ110" i="3" s="1"/>
  <c r="CV110" i="3" a="1"/>
  <c r="CV110" i="3" s="1"/>
  <c r="DJ34" i="3" a="1"/>
  <c r="DJ34" i="3" s="1"/>
  <c r="CH34" i="3" a="1"/>
  <c r="CH34" i="3" s="1"/>
  <c r="AN34" i="3" a="1"/>
  <c r="AN34" i="3" s="1"/>
  <c r="DJ61" i="3" a="1"/>
  <c r="DJ61" i="3" s="1"/>
  <c r="AV110" i="3" a="1"/>
  <c r="AV110" i="3" s="1"/>
  <c r="D86" i="3" a="1"/>
  <c r="D86" i="3" s="1"/>
  <c r="DL47" i="3" a="1"/>
  <c r="DL47" i="3" s="1"/>
  <c r="AZ73" i="3" a="1"/>
  <c r="AZ73" i="3" s="1"/>
  <c r="BN73" i="3" a="1"/>
  <c r="BN73" i="3" s="1"/>
  <c r="BL34" i="3" a="1"/>
  <c r="BL34" i="3" s="1"/>
  <c r="DO34" i="3" a="1"/>
  <c r="DO34" i="3" s="1"/>
  <c r="BK34" i="3" a="1"/>
  <c r="BK34" i="3" s="1"/>
  <c r="U34" i="3" a="1"/>
  <c r="U34" i="3" s="1"/>
  <c r="DA34" i="3" a="1"/>
  <c r="DA34" i="3" s="1"/>
  <c r="BZ61" i="3" a="1"/>
  <c r="BZ61" i="3" s="1"/>
  <c r="BB73" i="3" a="1"/>
  <c r="BB73" i="3" s="1"/>
  <c r="CH110" i="3" a="1"/>
  <c r="CH110" i="3" s="1"/>
  <c r="BT61" i="3" a="1"/>
  <c r="BT61" i="3" s="1"/>
  <c r="C98" i="3" a="1"/>
  <c r="C98" i="3" s="1"/>
  <c r="U86" i="3" a="1"/>
  <c r="U86" i="3" s="1"/>
  <c r="CM73" i="3" a="1"/>
  <c r="CM73" i="3" s="1"/>
  <c r="DA61" i="3" a="1"/>
  <c r="DA61" i="3" s="1"/>
  <c r="CD61" i="3" a="1"/>
  <c r="CD61" i="3" s="1"/>
  <c r="DG47" i="3" a="1"/>
  <c r="DG47" i="3" s="1"/>
  <c r="CA73" i="3" a="1"/>
  <c r="CA73" i="3" s="1"/>
  <c r="DJ47" i="3" a="1"/>
  <c r="DJ47" i="3" s="1"/>
  <c r="DL98" i="3" a="1"/>
  <c r="DL98" i="3" s="1"/>
  <c r="BS98" i="3" a="1"/>
  <c r="BS98" i="3" s="1"/>
  <c r="K110" i="3" a="1"/>
  <c r="K110" i="3" s="1"/>
  <c r="AJ47" i="3" a="1"/>
  <c r="AJ47" i="3" s="1"/>
  <c r="AH34" i="3" a="1"/>
  <c r="AH34" i="3" s="1"/>
  <c r="BQ34" i="3" a="1"/>
  <c r="BQ34" i="3" s="1"/>
  <c r="BK61" i="3" a="1"/>
  <c r="BK61" i="3" s="1"/>
  <c r="BA73" i="3" a="1"/>
  <c r="BA73" i="3" s="1"/>
  <c r="BV98" i="3" a="1"/>
  <c r="BV98" i="3" s="1"/>
  <c r="AR47" i="3" a="1"/>
  <c r="AR47" i="3" s="1"/>
  <c r="DG98" i="3" a="1"/>
  <c r="DG98" i="3" s="1"/>
  <c r="BV47" i="3" a="1"/>
  <c r="BV47" i="3" s="1"/>
  <c r="DH98" i="3" a="1"/>
  <c r="DH98" i="3" s="1"/>
  <c r="M86" i="3" a="1"/>
  <c r="M86" i="3" s="1"/>
  <c r="CG47" i="3" a="1"/>
  <c r="CG47" i="3" s="1"/>
  <c r="AT47" i="3" a="1"/>
  <c r="AT47" i="3" s="1"/>
  <c r="AS98" i="3" a="1"/>
  <c r="AS98" i="3" s="1"/>
  <c r="D73" i="3" a="1"/>
  <c r="D73" i="3" s="1"/>
  <c r="AS61" i="3" a="1"/>
  <c r="AS61" i="3" s="1"/>
  <c r="AN98" i="3" a="1"/>
  <c r="AN98" i="3" s="1"/>
  <c r="CM47" i="3" a="1"/>
  <c r="CM47" i="3" s="1"/>
  <c r="AE47" i="3" a="1"/>
  <c r="AE47" i="3" s="1"/>
  <c r="BX73" i="3" a="1"/>
  <c r="BX73" i="3" s="1"/>
  <c r="CC110" i="3" a="1"/>
  <c r="CC110" i="3" s="1"/>
  <c r="AL47" i="3" a="1"/>
  <c r="AL47" i="3" s="1"/>
  <c r="Y73" i="3" a="1"/>
  <c r="Y73" i="3" s="1"/>
  <c r="AI47" i="3" a="1"/>
  <c r="AI47" i="3" s="1"/>
  <c r="BA61" i="3" a="1"/>
  <c r="BA61" i="3" s="1"/>
  <c r="M61" i="3" a="1"/>
  <c r="M61" i="3" s="1"/>
  <c r="CS110" i="3" a="1"/>
  <c r="CS110" i="3" s="1"/>
  <c r="W61" i="3" a="1"/>
  <c r="W61" i="3" s="1"/>
  <c r="DP98" i="3" a="1"/>
  <c r="DP98" i="3" s="1"/>
  <c r="CX86" i="3" a="1"/>
  <c r="CX86" i="3" s="1"/>
  <c r="CB61" i="3" a="1"/>
  <c r="CB61" i="3" s="1"/>
  <c r="F61" i="3" a="1"/>
  <c r="F61" i="3" s="1"/>
  <c r="BW86" i="3" a="1"/>
  <c r="BW86" i="3" s="1"/>
  <c r="CO34" i="3" a="1"/>
  <c r="CO34" i="3" s="1"/>
  <c r="S34" i="3" a="1"/>
  <c r="S34" i="3" s="1"/>
  <c r="DD110" i="3" a="1"/>
  <c r="DD110" i="3" s="1"/>
  <c r="DD47" i="3" a="1"/>
  <c r="DD47" i="3" s="1"/>
  <c r="AG110" i="3" a="1"/>
  <c r="AG110" i="3" s="1"/>
  <c r="BG73" i="3" a="1"/>
  <c r="BG73" i="3" s="1"/>
  <c r="S98" i="3" a="1"/>
  <c r="S98" i="3" s="1"/>
  <c r="DM98" i="3" a="1"/>
  <c r="DM98" i="3" s="1"/>
  <c r="BX86" i="3" a="1"/>
  <c r="BX86" i="3" s="1"/>
  <c r="N98" i="3" a="1"/>
  <c r="N98" i="3" s="1"/>
  <c r="BW61" i="3" a="1"/>
  <c r="BW61" i="3" s="1"/>
  <c r="CS98" i="3" a="1"/>
  <c r="CS98" i="3" s="1"/>
  <c r="BM61" i="3" a="1"/>
  <c r="BM61" i="3" s="1"/>
  <c r="DJ86" i="3" a="1"/>
  <c r="DJ86" i="3" s="1"/>
  <c r="AR86" i="3" a="1"/>
  <c r="AR86" i="3" s="1"/>
  <c r="DK61" i="3" a="1"/>
  <c r="DK61" i="3" s="1"/>
  <c r="G73" i="3" a="1"/>
  <c r="G73" i="3" s="1"/>
  <c r="DR61" i="3" a="1"/>
  <c r="DR61" i="3" s="1"/>
  <c r="AJ98" i="3" a="1"/>
  <c r="AJ98" i="3" s="1"/>
  <c r="DD86" i="3" a="1"/>
  <c r="DD86" i="3" s="1"/>
  <c r="CD98" i="3" a="1"/>
  <c r="CD98" i="3" s="1"/>
  <c r="BF47" i="3" a="1"/>
  <c r="BF47" i="3" s="1"/>
  <c r="BX98" i="3" a="1"/>
  <c r="BX98" i="3" s="1"/>
  <c r="BJ86" i="3" a="1"/>
  <c r="BJ86" i="3" s="1"/>
  <c r="BD73" i="3" a="1"/>
  <c r="BD73" i="3" s="1"/>
  <c r="DN47" i="3" a="1"/>
  <c r="DN47" i="3" s="1"/>
  <c r="AN61" i="3" a="1"/>
  <c r="AN61" i="3" s="1"/>
  <c r="AO47" i="3" a="1"/>
  <c r="AO47" i="3" s="1"/>
  <c r="DI110" i="3" a="1"/>
  <c r="DI110" i="3" s="1"/>
  <c r="X73" i="3" a="1"/>
  <c r="X73" i="3" s="1"/>
  <c r="U110" i="3" a="1"/>
  <c r="U110" i="3" s="1"/>
  <c r="AX61" i="3" a="1"/>
  <c r="AX61" i="3" s="1"/>
  <c r="CA47" i="3" a="1"/>
  <c r="CA47" i="3" s="1"/>
  <c r="CU86" i="3" a="1"/>
  <c r="CU86" i="3" s="1"/>
  <c r="BI34" i="3" a="1"/>
  <c r="BI34" i="3" s="1"/>
  <c r="AY86" i="3" a="1"/>
  <c r="AY86" i="3" s="1"/>
  <c r="BP86" i="3" a="1"/>
  <c r="BP86" i="3" s="1"/>
  <c r="X47" i="3" a="1"/>
  <c r="X47" i="3" s="1"/>
  <c r="BM34" i="3" a="1"/>
  <c r="BM34" i="3" s="1"/>
  <c r="AP34" i="3" a="1"/>
  <c r="AP34" i="3" s="1"/>
  <c r="CL34" i="3" a="1"/>
  <c r="CL34" i="3" s="1"/>
  <c r="DH34" i="3" a="1"/>
  <c r="DH34" i="3" s="1"/>
  <c r="CP34" i="3" a="1"/>
  <c r="CP34" i="3" s="1"/>
  <c r="AY73" i="3" a="1"/>
  <c r="AY73" i="3" s="1"/>
  <c r="R73" i="3" a="1"/>
  <c r="R73" i="3" s="1"/>
  <c r="BT47" i="3" a="1"/>
  <c r="BT47" i="3" s="1"/>
  <c r="CI73" i="3" a="1"/>
  <c r="CI73" i="3" s="1"/>
  <c r="BX110" i="3" a="1"/>
  <c r="BX110" i="3" s="1"/>
  <c r="BY61" i="3" a="1"/>
  <c r="BY61" i="3" s="1"/>
  <c r="CQ61" i="3" a="1"/>
  <c r="CQ61" i="3" s="1"/>
  <c r="X61" i="3" a="1"/>
  <c r="X61" i="3" s="1"/>
  <c r="AN73" i="3" a="1"/>
  <c r="AN73" i="3" s="1"/>
  <c r="AX98" i="3" a="1"/>
  <c r="AX98" i="3" s="1"/>
  <c r="DD73" i="3" a="1"/>
  <c r="DD73" i="3" s="1"/>
  <c r="BM86" i="3" a="1"/>
  <c r="BM86" i="3" s="1"/>
  <c r="AJ73" i="3" a="1"/>
  <c r="AJ73" i="3" s="1"/>
  <c r="BU34" i="3" a="1"/>
  <c r="BU34" i="3" s="1"/>
  <c r="G34" i="3" a="1"/>
  <c r="G34" i="3" s="1"/>
  <c r="BH86" i="3" a="1"/>
  <c r="BH86" i="3" s="1"/>
  <c r="H110" i="3" a="1"/>
  <c r="H110" i="3" s="1"/>
  <c r="BI110" i="3" a="1"/>
  <c r="BI110" i="3" s="1"/>
  <c r="CT86" i="3" a="1"/>
  <c r="CT86" i="3" s="1"/>
  <c r="Z61" i="3" a="1"/>
  <c r="Z61" i="3" s="1"/>
  <c r="AL110" i="3" a="1"/>
  <c r="AL110" i="3" s="1"/>
  <c r="AI61" i="3" a="1"/>
  <c r="AI61" i="3" s="1"/>
  <c r="DB73" i="3" a="1"/>
  <c r="DB73" i="3" s="1"/>
  <c r="BJ98" i="3" a="1"/>
  <c r="BJ98" i="3" s="1"/>
  <c r="BL73" i="3" a="1"/>
  <c r="BL73" i="3" s="1"/>
  <c r="CV98" i="3" a="1"/>
  <c r="CV98" i="3" s="1"/>
  <c r="Y86" i="3" a="1"/>
  <c r="Y86" i="3" s="1"/>
  <c r="BF98" i="3" a="1"/>
  <c r="BF98" i="3" s="1"/>
  <c r="CJ47" i="3" a="1"/>
  <c r="CJ47" i="3" s="1"/>
  <c r="F86" i="3" a="1"/>
  <c r="F86" i="3" s="1"/>
  <c r="CR110" i="3" a="1"/>
  <c r="CR110" i="3" s="1"/>
  <c r="I47" i="3" a="1"/>
  <c r="I47" i="3" s="1"/>
  <c r="DF110" i="3" a="1"/>
  <c r="DF110" i="3" s="1"/>
  <c r="DC73" i="3" a="1"/>
  <c r="DC73" i="3" s="1"/>
  <c r="CG98" i="3" a="1"/>
  <c r="CG98" i="3" s="1"/>
  <c r="W47" i="3" a="1"/>
  <c r="W47" i="3" s="1"/>
  <c r="DF86" i="3" a="1"/>
  <c r="DF86" i="3" s="1"/>
  <c r="CV61" i="3" a="1"/>
  <c r="CV61" i="3" s="1"/>
  <c r="DP86" i="3" a="1"/>
  <c r="DP86" i="3" s="1"/>
  <c r="BI98" i="3" a="1"/>
  <c r="BI98" i="3" s="1"/>
  <c r="BH73" i="3" a="1"/>
  <c r="BH73" i="3" s="1"/>
  <c r="DE98" i="3" a="1"/>
  <c r="DE98" i="3" s="1"/>
  <c r="BE47" i="3" a="1"/>
  <c r="BE47" i="3" s="1"/>
  <c r="DP110" i="3" a="1"/>
  <c r="DP110" i="3" s="1"/>
  <c r="BK73" i="3" a="1"/>
  <c r="BK73" i="3" s="1"/>
  <c r="BC110" i="3" a="1"/>
  <c r="BC110" i="3" s="1"/>
  <c r="L47" i="3" a="1"/>
  <c r="L47" i="3" s="1"/>
  <c r="CC98" i="3" a="1"/>
  <c r="CC98" i="3" s="1"/>
  <c r="CN61" i="3" a="1"/>
  <c r="CN61" i="3" s="1"/>
  <c r="CU61" i="3" a="1"/>
  <c r="CU61" i="3" s="1"/>
  <c r="W86" i="3" a="1"/>
  <c r="W86" i="3" s="1"/>
  <c r="P47" i="3" a="1"/>
  <c r="P47" i="3" s="1"/>
  <c r="CX110" i="3" a="1"/>
  <c r="CX110" i="3" s="1"/>
  <c r="AN86" i="3" a="1"/>
  <c r="AN86" i="3" s="1"/>
  <c r="BL98" i="3" a="1"/>
  <c r="BL98" i="3" s="1"/>
  <c r="O34" i="3" a="1"/>
  <c r="O34" i="3" s="1"/>
  <c r="AT34" i="3" a="1"/>
  <c r="AT34" i="3" s="1"/>
  <c r="CU34" i="3" a="1"/>
  <c r="CU34" i="3" s="1"/>
  <c r="DN34" i="3" a="1"/>
  <c r="DN34" i="3" s="1"/>
  <c r="AD11" i="2"/>
  <c r="AE11" i="2" s="1"/>
  <c r="BO110" i="3" a="1"/>
  <c r="BO110" i="3" s="1"/>
  <c r="CT98" i="3" a="1"/>
  <c r="CT98" i="3" s="1"/>
  <c r="DJ110" i="3" a="1"/>
  <c r="DJ110" i="3" s="1"/>
  <c r="X110" i="3" a="1"/>
  <c r="X110" i="3" s="1"/>
  <c r="CY34" i="3" a="1"/>
  <c r="CY34" i="3" s="1"/>
  <c r="BP34" i="3" a="1"/>
  <c r="BP34" i="3" s="1"/>
  <c r="AP98" i="3" a="1"/>
  <c r="AP98" i="3" s="1"/>
  <c r="DM86" i="3" a="1"/>
  <c r="DM86" i="3" s="1"/>
  <c r="CK86" i="3" a="1"/>
  <c r="CK86" i="3" s="1"/>
  <c r="BF61" i="3" a="1"/>
  <c r="BF61" i="3" s="1"/>
  <c r="CR73" i="3" a="1"/>
  <c r="CR73" i="3" s="1"/>
  <c r="CE47" i="3" a="1"/>
  <c r="CE47" i="3" s="1"/>
  <c r="BS110" i="3" a="1"/>
  <c r="BS110" i="3" s="1"/>
  <c r="AB98" i="3" a="1"/>
  <c r="AB98" i="3" s="1"/>
  <c r="DA47" i="3" a="1"/>
  <c r="DA47" i="3" s="1"/>
  <c r="P110" i="3" a="1"/>
  <c r="P110" i="3" s="1"/>
  <c r="BD86" i="3" a="1"/>
  <c r="BD86" i="3" s="1"/>
  <c r="L61" i="3" a="1"/>
  <c r="L61" i="3" s="1"/>
  <c r="CN110" i="3" a="1"/>
  <c r="CN110" i="3" s="1"/>
  <c r="AF47" i="3" a="1"/>
  <c r="AF47" i="3" s="1"/>
  <c r="Q73" i="3" a="1"/>
  <c r="Q73" i="3" s="1"/>
  <c r="N73" i="3" a="1"/>
  <c r="N73" i="3" s="1"/>
  <c r="CY110" i="3" a="1"/>
  <c r="CY110" i="3" s="1"/>
  <c r="DQ61" i="3" a="1"/>
  <c r="DQ61" i="3" s="1"/>
  <c r="CJ98" i="3" a="1"/>
  <c r="CJ98" i="3" s="1"/>
  <c r="CN73" i="3" a="1"/>
  <c r="CN73" i="3" s="1"/>
  <c r="AW110" i="3" a="1"/>
  <c r="AW110" i="3" s="1"/>
  <c r="CB73" i="3" a="1"/>
  <c r="CB73" i="3" s="1"/>
  <c r="AF98" i="3" a="1"/>
  <c r="AF98" i="3" s="1"/>
  <c r="Z73" i="3" a="1"/>
  <c r="Z73" i="3" s="1"/>
  <c r="DH47" i="3" a="1"/>
  <c r="DH47" i="3" s="1"/>
  <c r="CU73" i="3" a="1"/>
  <c r="CU73" i="3" s="1"/>
  <c r="P86" i="3" a="1"/>
  <c r="P86" i="3" s="1"/>
  <c r="BZ98" i="3" a="1"/>
  <c r="BZ98" i="3" s="1"/>
  <c r="CJ73" i="3" a="1"/>
  <c r="CJ73" i="3" s="1"/>
  <c r="BY98" i="3" a="1"/>
  <c r="BY98" i="3" s="1"/>
  <c r="DQ73" i="3" a="1"/>
  <c r="DQ73" i="3" s="1"/>
  <c r="O98" i="3" a="1"/>
  <c r="O98" i="3" s="1"/>
  <c r="O47" i="3" a="1"/>
  <c r="O47" i="3" s="1"/>
  <c r="CA110" i="3" a="1"/>
  <c r="CA110" i="3" s="1"/>
  <c r="O61" i="3" a="1"/>
  <c r="O61" i="3" s="1"/>
  <c r="AR110" i="3" a="1"/>
  <c r="AR110" i="3" s="1"/>
  <c r="BD61" i="3" a="1"/>
  <c r="BD61" i="3" s="1"/>
  <c r="R47" i="3" a="1"/>
  <c r="R47" i="3" s="1"/>
  <c r="BO73" i="3" a="1"/>
  <c r="BO73" i="3" s="1"/>
  <c r="CM86" i="3" a="1"/>
  <c r="CM86" i="3" s="1"/>
  <c r="CJ86" i="3" a="1"/>
  <c r="CJ86" i="3" s="1"/>
  <c r="CK61" i="3" a="1"/>
  <c r="CK61" i="3" s="1"/>
  <c r="AQ98" i="3" a="1"/>
  <c r="AQ98" i="3" s="1"/>
  <c r="BR34" i="3" a="1"/>
  <c r="BR34" i="3" s="1"/>
  <c r="L34" i="3" a="1"/>
  <c r="L34" i="3" s="1"/>
  <c r="DC34" i="3" a="1"/>
  <c r="DC34" i="3" s="1"/>
  <c r="M34" i="3" a="1"/>
  <c r="M34" i="3" s="1"/>
  <c r="DF61" i="3" a="1"/>
  <c r="DF61" i="3" s="1"/>
  <c r="BF110" i="3" a="1"/>
  <c r="BF110" i="3" s="1"/>
  <c r="CF61" i="3" a="1"/>
  <c r="CF61" i="3" s="1"/>
  <c r="DA110" i="3" a="1"/>
  <c r="DA110" i="3" s="1"/>
  <c r="AT61" i="3" a="1"/>
  <c r="AT61" i="3" s="1"/>
  <c r="DR73" i="3" a="1"/>
  <c r="DR73" i="3" s="1"/>
  <c r="AB110" i="3" a="1"/>
  <c r="AB110" i="3" s="1"/>
  <c r="BH47" i="3" a="1"/>
  <c r="BH47" i="3" s="1"/>
  <c r="DQ47" i="3" a="1"/>
  <c r="DQ47" i="3" s="1"/>
  <c r="CY98" i="3" a="1"/>
  <c r="CY98" i="3" s="1"/>
  <c r="AF34" i="3" a="1"/>
  <c r="AF34" i="3" s="1"/>
  <c r="BX34" i="3" a="1"/>
  <c r="BX34" i="3" s="1"/>
  <c r="CY61" i="3" a="1"/>
  <c r="CY61" i="3" s="1"/>
  <c r="CG110" i="3" a="1"/>
  <c r="CG110" i="3" s="1"/>
  <c r="AD73" i="3" a="1"/>
  <c r="AD73" i="3" s="1"/>
  <c r="CT47" i="3" a="1"/>
  <c r="CT47" i="3" s="1"/>
  <c r="BX61" i="3" a="1"/>
  <c r="BX61" i="3" s="1"/>
  <c r="CB98" i="3" a="1"/>
  <c r="CB98" i="3" s="1"/>
  <c r="M98" i="3" a="1"/>
  <c r="M98" i="3" s="1"/>
  <c r="AM73" i="3" a="1"/>
  <c r="AM73" i="3" s="1"/>
  <c r="U73" i="3" a="1"/>
  <c r="U73" i="3" s="1"/>
  <c r="G47" i="3" a="1"/>
  <c r="G47" i="3" s="1"/>
  <c r="AF110" i="3" a="1"/>
  <c r="AF110" i="3" s="1"/>
  <c r="BD34" i="3" a="1"/>
  <c r="BD34" i="3" s="1"/>
  <c r="CQ47" i="3" a="1"/>
  <c r="CQ47" i="3" s="1"/>
  <c r="AC110" i="3" a="1"/>
  <c r="AC110" i="3" s="1"/>
  <c r="AZ61" i="3" a="1"/>
  <c r="AZ61" i="3" s="1"/>
  <c r="S73" i="3" a="1"/>
  <c r="S73" i="3" s="1"/>
  <c r="E110" i="3" a="1"/>
  <c r="E110" i="3" s="1"/>
  <c r="BC73" i="3" a="1"/>
  <c r="BC73" i="3" s="1"/>
  <c r="AU98" i="3" a="1"/>
  <c r="AU98" i="3" s="1"/>
  <c r="Q47" i="3" a="1"/>
  <c r="Q47" i="3" s="1"/>
  <c r="BG98" i="3" a="1"/>
  <c r="BG98" i="3" s="1"/>
  <c r="DA73" i="3" a="1"/>
  <c r="DA73" i="3" s="1"/>
  <c r="AW47" i="3" a="1"/>
  <c r="AW47" i="3" s="1"/>
  <c r="DK86" i="3" a="1"/>
  <c r="DK86" i="3" s="1"/>
  <c r="CX61" i="3" a="1"/>
  <c r="CX61" i="3" s="1"/>
  <c r="CI98" i="3" a="1"/>
  <c r="CI98" i="3" s="1"/>
  <c r="DE61" i="3" a="1"/>
  <c r="DE61" i="3" s="1"/>
  <c r="BU110" i="3" a="1"/>
  <c r="BU110" i="3" s="1"/>
  <c r="AZ86" i="3" a="1"/>
  <c r="AZ86" i="3" s="1"/>
  <c r="BP98" i="3" a="1"/>
  <c r="BP98" i="3" s="1"/>
  <c r="CK47" i="3" a="1"/>
  <c r="CK47" i="3" s="1"/>
  <c r="DD98" i="3" a="1"/>
  <c r="DD98" i="3" s="1"/>
  <c r="CL47" i="3" a="1"/>
  <c r="CL47" i="3" s="1"/>
  <c r="CO98" i="3" a="1"/>
  <c r="CO98" i="3" s="1"/>
  <c r="AH47" i="3" a="1"/>
  <c r="AH47" i="3" s="1"/>
  <c r="CR47" i="3" a="1"/>
  <c r="CR47" i="3" s="1"/>
  <c r="CI86" i="3" a="1"/>
  <c r="CI86" i="3" s="1"/>
  <c r="BX47" i="3" a="1"/>
  <c r="BX47" i="3" s="1"/>
  <c r="DL110" i="3" a="1"/>
  <c r="DL110" i="3" s="1"/>
  <c r="CA61" i="3" a="1"/>
  <c r="CA61" i="3" s="1"/>
  <c r="CL110" i="3" a="1"/>
  <c r="CL110" i="3" s="1"/>
  <c r="C34" i="3" a="1"/>
  <c r="C34" i="3" s="1"/>
  <c r="DR34" i="3" a="1"/>
  <c r="DR34" i="3" s="1"/>
  <c r="CA34" i="3" a="1"/>
  <c r="CA34" i="3" s="1"/>
  <c r="CI47" i="3" a="1"/>
  <c r="CI47" i="3" s="1"/>
  <c r="BI73" i="3" a="1"/>
  <c r="BI73" i="3" s="1"/>
  <c r="F73" i="3" a="1"/>
  <c r="F73" i="3" s="1"/>
  <c r="AQ86" i="3" a="1"/>
  <c r="AQ86" i="3" s="1"/>
  <c r="Y47" i="3" a="1"/>
  <c r="Y47" i="3" s="1"/>
  <c r="DI34" i="3" a="1"/>
  <c r="DI34" i="3" s="1"/>
  <c r="CA98" i="3" a="1"/>
  <c r="CA98" i="3" s="1"/>
  <c r="AE110" i="3" a="1"/>
  <c r="AE110" i="3" s="1"/>
  <c r="DM61" i="3" a="1"/>
  <c r="DM61" i="3" s="1"/>
  <c r="CH98" i="3" a="1"/>
  <c r="CH98" i="3" s="1"/>
  <c r="C110" i="3" a="1"/>
  <c r="C110" i="3" s="1"/>
  <c r="AR61" i="3" a="1"/>
  <c r="AR61" i="3" s="1"/>
  <c r="DO98" i="3" a="1"/>
  <c r="DO98" i="3" s="1"/>
  <c r="BG61" i="3" a="1"/>
  <c r="BG61" i="3" s="1"/>
  <c r="CV73" i="3" a="1"/>
  <c r="CV73" i="3" s="1"/>
  <c r="BT98" i="3" a="1"/>
  <c r="BT98" i="3" s="1"/>
  <c r="DF73" i="3" a="1"/>
  <c r="DF73" i="3" s="1"/>
  <c r="V86" i="3" a="1"/>
  <c r="V86" i="3" s="1"/>
  <c r="DR110" i="3" a="1"/>
  <c r="DR110" i="3" s="1"/>
  <c r="L73" i="3" a="1"/>
  <c r="L73" i="3" s="1"/>
  <c r="BA98" i="3" a="1"/>
  <c r="BA98" i="3" s="1"/>
  <c r="J47" i="3" a="1"/>
  <c r="J47" i="3" s="1"/>
  <c r="AG98" i="3" a="1"/>
  <c r="AG98" i="3" s="1"/>
  <c r="K61" i="3" a="1"/>
  <c r="K61" i="3" s="1"/>
  <c r="AB73" i="3" a="1"/>
  <c r="AB73" i="3" s="1"/>
  <c r="AJ110" i="3" a="1"/>
  <c r="AJ110" i="3" s="1"/>
  <c r="DP61" i="3" a="1"/>
  <c r="DP61" i="3" s="1"/>
  <c r="CK98" i="3" a="1"/>
  <c r="CK98" i="3" s="1"/>
  <c r="BP47" i="3" a="1"/>
  <c r="BP47" i="3" s="1"/>
  <c r="X86" i="3" a="1"/>
  <c r="X86" i="3" s="1"/>
  <c r="AK73" i="3" a="1"/>
  <c r="AK73" i="3" s="1"/>
  <c r="AX110" i="3" a="1"/>
  <c r="AX110" i="3" s="1"/>
  <c r="CN86" i="3" a="1"/>
  <c r="CN86" i="3" s="1"/>
  <c r="CO110" i="3" a="1"/>
  <c r="CO110" i="3" s="1"/>
  <c r="BE61" i="3" a="1"/>
  <c r="BE61" i="3" s="1"/>
  <c r="Z98" i="3" a="1"/>
  <c r="Z98" i="3" s="1"/>
  <c r="H73" i="3" a="1"/>
  <c r="H73" i="3" s="1"/>
  <c r="DH61" i="3" a="1"/>
  <c r="DH61" i="3" s="1"/>
  <c r="DN110" i="3" a="1"/>
  <c r="DN110" i="3" s="1"/>
  <c r="BY86" i="3" a="1"/>
  <c r="BY86" i="3" s="1"/>
  <c r="BL110" i="3" a="1"/>
  <c r="BL110" i="3" s="1"/>
  <c r="CP61" i="3" a="1"/>
  <c r="CP61" i="3" s="1"/>
  <c r="CM110" i="3" a="1"/>
  <c r="CM110" i="3" s="1"/>
  <c r="AJ34" i="3" a="1"/>
  <c r="AJ34" i="3" s="1"/>
  <c r="CX34" i="3" a="1"/>
  <c r="CX34" i="3" s="1"/>
  <c r="X36" i="3" a="1"/>
  <c r="X36" i="3" s="1"/>
  <c r="AN7" i="2"/>
  <c r="X8" i="2" a="1"/>
  <c r="X8" i="2" s="1"/>
  <c r="E32" i="19" s="1" a="1"/>
  <c r="E32" i="19" s="1"/>
  <c r="AA47" i="3" a="1"/>
  <c r="AA47" i="3" s="1"/>
  <c r="D47" i="3" a="1"/>
  <c r="D47" i="3" s="1"/>
  <c r="DN98" i="3" a="1"/>
  <c r="DN98" i="3" s="1"/>
  <c r="BQ98" i="3" a="1"/>
  <c r="BQ98" i="3" s="1"/>
  <c r="BF73" i="3" a="1"/>
  <c r="BF73" i="3" s="1"/>
  <c r="BN110" i="3" a="1"/>
  <c r="BN110" i="3" s="1"/>
  <c r="L98" i="3" a="1"/>
  <c r="L98" i="3" s="1"/>
  <c r="AE61" i="3" a="1"/>
  <c r="AE61" i="3" s="1"/>
  <c r="DO73" i="3" a="1"/>
  <c r="DO73" i="3" s="1"/>
  <c r="L110" i="3" a="1"/>
  <c r="L110" i="3" s="1"/>
  <c r="DI61" i="3" a="1"/>
  <c r="DI61" i="3" s="1"/>
  <c r="CH86" i="3" a="1"/>
  <c r="CH86" i="3" s="1"/>
  <c r="AN110" i="3" a="1"/>
  <c r="AN110" i="3" s="1"/>
  <c r="DE86" i="3" a="1"/>
  <c r="DE86" i="3" s="1"/>
  <c r="CT73" i="3" a="1"/>
  <c r="CT73" i="3" s="1"/>
  <c r="N47" i="3" a="1"/>
  <c r="N47" i="3" s="1"/>
  <c r="S86" i="3" a="1"/>
  <c r="S86" i="3" s="1"/>
  <c r="BL86" i="3" a="1"/>
  <c r="BL86" i="3" s="1"/>
  <c r="S47" i="3" a="1"/>
  <c r="S47" i="3" s="1"/>
  <c r="Q98" i="3" a="1"/>
  <c r="Q98" i="3" s="1"/>
  <c r="AV61" i="3" a="1"/>
  <c r="AV61" i="3" s="1"/>
  <c r="V47" i="3" a="1"/>
  <c r="V47" i="3" s="1"/>
  <c r="AC98" i="3" a="1"/>
  <c r="AC98" i="3" s="1"/>
  <c r="O73" i="3" a="1"/>
  <c r="O73" i="3" s="1"/>
  <c r="AH61" i="3" a="1"/>
  <c r="AH61" i="3" s="1"/>
  <c r="CN98" i="3" a="1"/>
  <c r="CN98" i="3" s="1"/>
  <c r="BL61" i="3" a="1"/>
  <c r="BL61" i="3" s="1"/>
  <c r="CK73" i="3" a="1"/>
  <c r="CK73" i="3" s="1"/>
  <c r="CR98" i="3" a="1"/>
  <c r="CR98" i="3" s="1"/>
  <c r="BO47" i="3" a="1"/>
  <c r="BO47" i="3" s="1"/>
  <c r="BU86" i="3" a="1"/>
  <c r="BU86" i="3" s="1"/>
  <c r="CK110" i="3" a="1"/>
  <c r="CK110" i="3" s="1"/>
  <c r="BZ47" i="3" a="1"/>
  <c r="BZ47" i="3" s="1"/>
  <c r="BP110" i="3" a="1"/>
  <c r="BP110" i="3" s="1"/>
  <c r="AT86" i="3" a="1"/>
  <c r="AT86" i="3" s="1"/>
  <c r="I73" i="3" a="1"/>
  <c r="I73" i="3" s="1"/>
  <c r="DQ110" i="3" a="1"/>
  <c r="DQ110" i="3" s="1"/>
  <c r="J73" i="3" a="1"/>
  <c r="J73" i="3" s="1"/>
  <c r="AL73" i="3" a="1"/>
  <c r="AL73" i="3" s="1"/>
  <c r="BM47" i="3" a="1"/>
  <c r="BM47" i="3" s="1"/>
  <c r="CY73" i="3" a="1"/>
  <c r="CY73" i="3" s="1"/>
  <c r="DR98" i="3" a="1"/>
  <c r="DR98" i="3" s="1"/>
  <c r="W34" i="3" a="1"/>
  <c r="W34" i="3" s="1"/>
  <c r="BB34" i="3" a="1"/>
  <c r="BB34" i="3" s="1"/>
  <c r="X34" i="3" a="1"/>
  <c r="X34" i="3" s="1"/>
  <c r="F34" i="3" a="1"/>
  <c r="F34" i="3" s="1"/>
  <c r="DE34" i="3" a="1"/>
  <c r="DE34" i="3" s="1"/>
  <c r="D34" i="3" a="1"/>
  <c r="D34" i="3" s="1"/>
  <c r="AU34" i="3" a="1"/>
  <c r="AU34" i="3" s="1"/>
  <c r="DK34" i="3" a="1"/>
  <c r="DK34" i="3" s="1"/>
  <c r="CI110" i="3" a="1"/>
  <c r="CI110" i="3" s="1"/>
  <c r="BK86" i="3" a="1"/>
  <c r="BK86" i="3" s="1"/>
  <c r="CB110" i="3" a="1"/>
  <c r="CB110" i="3" s="1"/>
  <c r="H98" i="3" a="1"/>
  <c r="H98" i="3" s="1"/>
  <c r="N61" i="3" a="1"/>
  <c r="N61" i="3" s="1"/>
  <c r="CW61" i="3" a="1"/>
  <c r="CW61" i="3" s="1"/>
  <c r="W98" i="3" a="1"/>
  <c r="W98" i="3" s="1"/>
  <c r="DC47" i="3" a="1"/>
  <c r="DC47" i="3" s="1"/>
  <c r="E86" i="3" a="1"/>
  <c r="E86" i="3" s="1"/>
  <c r="DM110" i="3" a="1"/>
  <c r="DM110" i="3" s="1"/>
  <c r="DP73" i="3" a="1"/>
  <c r="DP73" i="3" s="1"/>
  <c r="CW98" i="3" a="1"/>
  <c r="CW98" i="3" s="1"/>
  <c r="DI86" i="3" a="1"/>
  <c r="DI86" i="3" s="1"/>
  <c r="DR86" i="3" a="1"/>
  <c r="DR86" i="3" s="1"/>
  <c r="CO61" i="3" a="1"/>
  <c r="CO61" i="3" s="1"/>
  <c r="BN86" i="3" a="1"/>
  <c r="BN86" i="3" s="1"/>
  <c r="BU98" i="3" a="1"/>
  <c r="BU98" i="3" s="1"/>
  <c r="BY47" i="3" a="1"/>
  <c r="BY47" i="3" s="1"/>
  <c r="BN61" i="3" a="1"/>
  <c r="BN61" i="3" s="1"/>
  <c r="CF110" i="3" a="1"/>
  <c r="CF110" i="3" s="1"/>
  <c r="DG86" i="3" a="1"/>
  <c r="DG86" i="3" s="1"/>
  <c r="AI110" i="3" a="1"/>
  <c r="AI110" i="3" s="1"/>
  <c r="CD110" i="3" a="1"/>
  <c r="CD110" i="3" s="1"/>
  <c r="CS61" i="3" a="1"/>
  <c r="CS61" i="3" s="1"/>
  <c r="AH86" i="3" a="1"/>
  <c r="AH86" i="3" s="1"/>
  <c r="DQ98" i="3" a="1"/>
  <c r="DQ98" i="3" s="1"/>
  <c r="AW86" i="3" a="1"/>
  <c r="AW86" i="3" s="1"/>
  <c r="BU73" i="3" a="1"/>
  <c r="BU73" i="3" s="1"/>
  <c r="DO47" i="3" a="1"/>
  <c r="DO47" i="3" s="1"/>
  <c r="AM61" i="3" a="1"/>
  <c r="AM61" i="3" s="1"/>
  <c r="AK98" i="3" a="1"/>
  <c r="AK98" i="3" s="1"/>
  <c r="DE47" i="3" a="1"/>
  <c r="DE47" i="3" s="1"/>
  <c r="E61" i="3" a="1"/>
  <c r="E61" i="3" s="1"/>
  <c r="CE98" i="3" a="1"/>
  <c r="CE98" i="3" s="1"/>
  <c r="CB86" i="3" a="1"/>
  <c r="CB86" i="3" s="1"/>
  <c r="DC98" i="3" a="1"/>
  <c r="DC98" i="3" s="1"/>
  <c r="BY73" i="3" a="1"/>
  <c r="BY73" i="3" s="1"/>
  <c r="BS86" i="3" a="1"/>
  <c r="BS86" i="3" s="1"/>
  <c r="BV110" i="3" a="1"/>
  <c r="BV110" i="3" s="1"/>
  <c r="DQ34" i="3" a="1"/>
  <c r="DQ34" i="3" s="1"/>
  <c r="BY34" i="3" a="1"/>
  <c r="BY34" i="3" s="1"/>
  <c r="DM47" i="3" a="1"/>
  <c r="DM47" i="3" s="1"/>
  <c r="BZ34" i="3" a="1"/>
  <c r="BZ34" i="3" s="1"/>
  <c r="AZ34" i="3" a="1"/>
  <c r="AZ34" i="3" s="1"/>
  <c r="AM34" i="3" a="1"/>
  <c r="AM34" i="3" s="1"/>
  <c r="CR34" i="3" a="1"/>
  <c r="CR34" i="3" s="1"/>
  <c r="BS34" i="3" a="1"/>
  <c r="BS34" i="3" s="1"/>
  <c r="AV34" i="3" a="1"/>
  <c r="AV34" i="3" s="1"/>
  <c r="Q34" i="3" a="1"/>
  <c r="Q34" i="3" s="1"/>
  <c r="AW34" i="3" a="1"/>
  <c r="AW34" i="3" s="1"/>
  <c r="DM34" i="3" a="1"/>
  <c r="DM34" i="3" s="1"/>
  <c r="J34" i="3" a="1"/>
  <c r="J34" i="3" s="1"/>
  <c r="CJ34" i="3" a="1"/>
  <c r="CJ34" i="3" s="1"/>
  <c r="CE34" i="3" a="1"/>
  <c r="CE34" i="3" s="1"/>
  <c r="DP34" i="3" a="1"/>
  <c r="DP34" i="3" s="1"/>
  <c r="AC34" i="3" a="1"/>
  <c r="AC34" i="3" s="1"/>
  <c r="AA73" i="3" a="1"/>
  <c r="AA73" i="3" s="1"/>
  <c r="CH47" i="3" a="1"/>
  <c r="CH47" i="3" s="1"/>
  <c r="CE110" i="3" a="1"/>
  <c r="CE110" i="3" s="1"/>
  <c r="P61" i="3" a="1"/>
  <c r="P61" i="3" s="1"/>
  <c r="DO86" i="3" a="1"/>
  <c r="DO86" i="3" s="1"/>
  <c r="AD110" i="3" a="1"/>
  <c r="AD110" i="3" s="1"/>
  <c r="U47" i="3" a="1"/>
  <c r="U47" i="3" s="1"/>
  <c r="Z47" i="3" a="1"/>
  <c r="Z47" i="3" s="1"/>
  <c r="BC61" i="3" a="1"/>
  <c r="BC61" i="3" s="1"/>
  <c r="BK110" i="3" a="1"/>
  <c r="BK110" i="3" s="1"/>
  <c r="CR86" i="3" a="1"/>
  <c r="CR86" i="3" s="1"/>
  <c r="AX86" i="3" a="1"/>
  <c r="AX86" i="3" s="1"/>
  <c r="Q61" i="3" a="1"/>
  <c r="Q61" i="3" s="1"/>
  <c r="H47" i="3" a="1"/>
  <c r="H47" i="3" s="1"/>
  <c r="BY110" i="3" a="1"/>
  <c r="BY110" i="3" s="1"/>
  <c r="AS73" i="3" a="1"/>
  <c r="AS73" i="3" s="1"/>
  <c r="CD86" i="3" a="1"/>
  <c r="CD86" i="3" s="1"/>
  <c r="CP47" i="3" a="1"/>
  <c r="CP47" i="3" s="1"/>
  <c r="T61" i="3" a="1"/>
  <c r="T61" i="3" s="1"/>
  <c r="M110" i="3" a="1"/>
  <c r="M110" i="3" s="1"/>
  <c r="M47" i="3" a="1"/>
  <c r="M47" i="3" s="1"/>
  <c r="AY47" i="3" a="1"/>
  <c r="AY47" i="3" s="1"/>
  <c r="BO86" i="3" a="1"/>
  <c r="BO86" i="3" s="1"/>
  <c r="DQ86" i="3" a="1"/>
  <c r="DQ86" i="3" s="1"/>
  <c r="N110" i="3" a="1"/>
  <c r="N110" i="3" s="1"/>
  <c r="AR98" i="3" a="1"/>
  <c r="AR98" i="3" s="1"/>
  <c r="CC86" i="3" a="1"/>
  <c r="CC86" i="3" s="1"/>
  <c r="CG61" i="3" a="1"/>
  <c r="CG61" i="3" s="1"/>
  <c r="X98" i="3" a="1"/>
  <c r="X98" i="3" s="1"/>
  <c r="AW61" i="3" a="1"/>
  <c r="AW61" i="3" s="1"/>
  <c r="BQ73" i="3" a="1"/>
  <c r="BQ73" i="3" s="1"/>
  <c r="AV47" i="3" a="1"/>
  <c r="AV47" i="3" s="1"/>
  <c r="AX47" i="3" a="1"/>
  <c r="AX47" i="3" s="1"/>
  <c r="BK98" i="3" a="1"/>
  <c r="BK98" i="3" s="1"/>
  <c r="CL61" i="3" a="1"/>
  <c r="CL61" i="3" s="1"/>
  <c r="CH73" i="3" a="1"/>
  <c r="CH73" i="3" s="1"/>
  <c r="BG47" i="3" a="1"/>
  <c r="BG47" i="3" s="1"/>
  <c r="DN73" i="3" a="1"/>
  <c r="DN73" i="3" s="1"/>
  <c r="DC110" i="3" a="1"/>
  <c r="DC110" i="3" s="1"/>
  <c r="AB47" i="3" a="1"/>
  <c r="AB47" i="3" s="1"/>
  <c r="BO61" i="3" a="1"/>
  <c r="BO61" i="3" s="1"/>
  <c r="AD98" i="3" a="1"/>
  <c r="AD98" i="3" s="1"/>
  <c r="CS34" i="3" a="1"/>
  <c r="CS34" i="3" s="1"/>
  <c r="CV34" i="3" a="1"/>
  <c r="CV34" i="3" s="1"/>
  <c r="DB34" i="3" a="1"/>
  <c r="DB34" i="3" s="1"/>
  <c r="CW34" i="3" a="1"/>
  <c r="CW34" i="3" s="1"/>
  <c r="V34" i="3" a="1"/>
  <c r="V34" i="3" s="1"/>
  <c r="CZ34" i="3" a="1"/>
  <c r="CZ34" i="3" s="1"/>
  <c r="K34" i="3" a="1"/>
  <c r="K34" i="3" s="1"/>
  <c r="AS34" i="3" a="1"/>
  <c r="AS34" i="3" s="1"/>
  <c r="CL86" i="3" a="1"/>
  <c r="CL86" i="3" s="1"/>
  <c r="AX73" i="3" a="1"/>
  <c r="AX73" i="3" s="1"/>
  <c r="CQ110" i="3" a="1"/>
  <c r="CQ110" i="3" s="1"/>
  <c r="CC73" i="3" a="1"/>
  <c r="CC73" i="3" s="1"/>
  <c r="DJ73" i="3" a="1"/>
  <c r="DJ73" i="3" s="1"/>
  <c r="BC98" i="3" a="1"/>
  <c r="BC98" i="3" s="1"/>
  <c r="S110" i="3" a="1"/>
  <c r="S110" i="3" s="1"/>
  <c r="CA86" i="3" a="1"/>
  <c r="CA86" i="3" s="1"/>
  <c r="AK110" i="3" a="1"/>
  <c r="AK110" i="3" s="1"/>
  <c r="BZ110" i="3" a="1"/>
  <c r="BZ110" i="3" s="1"/>
  <c r="AP73" i="3" a="1"/>
  <c r="AP73" i="3" s="1"/>
  <c r="CW47" i="3" a="1"/>
  <c r="CW47" i="3" s="1"/>
  <c r="AG47" i="3" a="1"/>
  <c r="AG47" i="3" s="1"/>
  <c r="T86" i="3" a="1"/>
  <c r="T86" i="3" s="1"/>
  <c r="R110" i="3" a="1"/>
  <c r="R110" i="3" s="1"/>
  <c r="BJ61" i="3" a="1"/>
  <c r="BJ61" i="3" s="1"/>
  <c r="BA86" i="3" a="1"/>
  <c r="BA86" i="3" s="1"/>
  <c r="AC86" i="3" a="1"/>
  <c r="AC86" i="3" s="1"/>
  <c r="C47" i="3" a="1"/>
  <c r="C47" i="3" s="1"/>
  <c r="AZ98" i="3" a="1"/>
  <c r="AZ98" i="3" s="1"/>
  <c r="M73" i="3" a="1"/>
  <c r="M73" i="3" s="1"/>
  <c r="K98" i="3" a="1"/>
  <c r="K98" i="3" s="1"/>
  <c r="AA61" i="3" a="1"/>
  <c r="AA61" i="3" s="1"/>
  <c r="BH61" i="3" a="1"/>
  <c r="BH61" i="3" s="1"/>
  <c r="E98" i="3" a="1"/>
  <c r="E98" i="3" s="1"/>
  <c r="V98" i="3" a="1"/>
  <c r="V98" i="3" s="1"/>
  <c r="AA86" i="3" a="1"/>
  <c r="AA86" i="3" s="1"/>
  <c r="R61" i="3" a="1"/>
  <c r="R61" i="3" s="1"/>
  <c r="F98" i="3" a="1"/>
  <c r="F98" i="3" s="1"/>
  <c r="BL47" i="3" a="1"/>
  <c r="BL47" i="3" s="1"/>
  <c r="AO73" i="3" a="1"/>
  <c r="AO73" i="3" s="1"/>
  <c r="BZ86" i="3" a="1"/>
  <c r="BZ86" i="3" s="1"/>
  <c r="AO61" i="3" a="1"/>
  <c r="AO61" i="3" s="1"/>
  <c r="O110" i="3" a="1"/>
  <c r="O110" i="3" s="1"/>
  <c r="CJ61" i="3" a="1"/>
  <c r="CJ61" i="3" s="1"/>
  <c r="I86" i="3" a="1"/>
  <c r="I86" i="3" s="1"/>
  <c r="BM73" i="3" a="1"/>
  <c r="BM73" i="3" s="1"/>
  <c r="DO61" i="3" a="1"/>
  <c r="DO61" i="3" s="1"/>
  <c r="AQ110" i="3" a="1"/>
  <c r="AQ110" i="3" s="1"/>
  <c r="AU73" i="3" a="1"/>
  <c r="AU73" i="3" s="1"/>
  <c r="DN61" i="3" a="1"/>
  <c r="DN61" i="3" s="1"/>
  <c r="CZ98" i="3" a="1"/>
  <c r="CZ98" i="3" s="1"/>
  <c r="I60" i="26"/>
  <c r="CF34" i="3" a="1"/>
  <c r="CF34" i="3" s="1"/>
  <c r="BT34" i="3" a="1"/>
  <c r="BT34" i="3" s="1"/>
  <c r="AQ34" i="3" a="1"/>
  <c r="AQ34" i="3" s="1"/>
  <c r="BJ34" i="3" a="1"/>
  <c r="BJ34" i="3" s="1"/>
  <c r="BE34" i="3" a="1"/>
  <c r="BE34" i="3" s="1"/>
  <c r="BV34" i="3" a="1"/>
  <c r="BV34" i="3" s="1"/>
  <c r="CK34" i="3" a="1"/>
  <c r="CK34" i="3" s="1"/>
  <c r="DF34" i="3" a="1"/>
  <c r="DF34" i="3" s="1"/>
  <c r="T110" i="3" a="1"/>
  <c r="T110" i="3" s="1"/>
  <c r="Y61" i="3" a="1"/>
  <c r="Y61" i="3" s="1"/>
  <c r="AC73" i="3" a="1"/>
  <c r="AC73" i="3" s="1"/>
  <c r="CP98" i="3" a="1"/>
  <c r="CP98" i="3" s="1"/>
  <c r="G98" i="3" a="1"/>
  <c r="G98" i="3" s="1"/>
  <c r="K73" i="3" a="1"/>
  <c r="K73" i="3" s="1"/>
  <c r="BB47" i="3" a="1"/>
  <c r="BB47" i="3" s="1"/>
  <c r="F110" i="3" a="1"/>
  <c r="F110" i="3" s="1"/>
  <c r="BJ47" i="3" a="1"/>
  <c r="BJ47" i="3" s="1"/>
  <c r="J61" i="3" a="1"/>
  <c r="J61" i="3" s="1"/>
  <c r="DE110" i="3" a="1"/>
  <c r="DE110" i="3" s="1"/>
  <c r="BD110" i="3" a="1"/>
  <c r="BD110" i="3" s="1"/>
  <c r="BE73" i="3" a="1"/>
  <c r="BE73" i="3" s="1"/>
  <c r="AJ61" i="3" a="1"/>
  <c r="AJ61" i="3" s="1"/>
  <c r="CM61" i="3" a="1"/>
  <c r="CM61" i="3" s="1"/>
  <c r="AY61" i="3" a="1"/>
  <c r="AY61" i="3" s="1"/>
  <c r="AH98" i="3" a="1"/>
  <c r="AH98" i="3" s="1"/>
  <c r="CX73" i="3" a="1"/>
  <c r="CX73" i="3" s="1"/>
  <c r="R98" i="3" a="1"/>
  <c r="R98" i="3" s="1"/>
  <c r="CO73" i="3" a="1"/>
  <c r="CO73" i="3" s="1"/>
  <c r="BA47" i="3" a="1"/>
  <c r="BA47" i="3" s="1"/>
  <c r="AZ47" i="3" a="1"/>
  <c r="AZ47" i="3" s="1"/>
  <c r="AC61" i="3" a="1"/>
  <c r="AC61" i="3" s="1"/>
  <c r="DK110" i="3" a="1"/>
  <c r="DK110" i="3" s="1"/>
  <c r="BJ73" i="3" a="1"/>
  <c r="BJ73" i="3" s="1"/>
  <c r="BQ86" i="3" a="1"/>
  <c r="BQ86" i="3" s="1"/>
  <c r="DH110" i="3" a="1"/>
  <c r="DH110" i="3" s="1"/>
  <c r="BE110" i="3" a="1"/>
  <c r="BE110" i="3" s="1"/>
  <c r="DB47" i="3" a="1"/>
  <c r="DB47" i="3" s="1"/>
  <c r="AB86" i="3" a="1"/>
  <c r="AB86" i="3" s="1"/>
  <c r="BM98" i="3" a="1"/>
  <c r="BM98" i="3" s="1"/>
  <c r="BU47" i="3" a="1"/>
  <c r="BU47" i="3" s="1"/>
  <c r="BN47" i="3" a="1"/>
  <c r="BN47" i="3" s="1"/>
  <c r="CP86" i="3" a="1"/>
  <c r="CP86" i="3" s="1"/>
  <c r="U61" i="3" a="1"/>
  <c r="U61" i="3" s="1"/>
  <c r="CT110" i="3" a="1"/>
  <c r="CT110" i="3" s="1"/>
  <c r="AM86" i="3" a="1"/>
  <c r="AM86" i="3" s="1"/>
  <c r="AA110" i="3" a="1"/>
  <c r="AA110" i="3" s="1"/>
  <c r="AD47" i="3" a="1"/>
  <c r="AD47" i="3" s="1"/>
  <c r="CZ47" i="3" a="1"/>
  <c r="CZ47" i="3" s="1"/>
  <c r="Q110" i="3" a="1"/>
  <c r="Q110" i="3" s="1"/>
  <c r="CQ73" i="3" a="1"/>
  <c r="CQ73" i="3" s="1"/>
  <c r="H86" i="3" a="1"/>
  <c r="H86" i="3" s="1"/>
  <c r="T98" i="3" a="1"/>
  <c r="T98" i="3" s="1"/>
  <c r="AD34" i="3" a="1"/>
  <c r="AD34" i="3" s="1"/>
  <c r="AE34" i="3" a="1"/>
  <c r="AE34" i="3" s="1"/>
  <c r="AI34" i="3" a="1"/>
  <c r="AI34" i="3" s="1"/>
  <c r="DD34" i="3" a="1"/>
  <c r="DD34" i="3" s="1"/>
  <c r="DG34" i="3" a="1"/>
  <c r="DG34" i="3" s="1"/>
  <c r="CG34" i="3" a="1"/>
  <c r="CG34" i="3" s="1"/>
  <c r="AX34" i="3" a="1"/>
  <c r="AX34" i="3" s="1"/>
  <c r="BN34" i="3" a="1"/>
  <c r="BN34" i="3" s="1"/>
  <c r="DC61" i="3" a="1"/>
  <c r="DC61" i="3" s="1"/>
  <c r="DL34" i="3" a="1"/>
  <c r="DL34" i="3" s="1"/>
  <c r="CB34" i="3" a="1"/>
  <c r="CB34" i="3" s="1"/>
  <c r="CT34" i="3" a="1"/>
  <c r="CT34" i="3" s="1"/>
  <c r="P34" i="3" a="1"/>
  <c r="P34" i="3" s="1"/>
  <c r="AO34" i="3" a="1"/>
  <c r="AO34" i="3" s="1"/>
  <c r="AK34" i="3" a="1"/>
  <c r="AK34" i="3" s="1"/>
  <c r="G60" i="26"/>
  <c r="O51" i="26"/>
  <c r="Y7" i="2" s="1"/>
  <c r="X7" i="2" s="1" a="1"/>
  <c r="X7" i="2" s="1"/>
  <c r="G45" i="19" s="1" a="1"/>
  <c r="G45" i="19" s="1"/>
  <c r="L154" i="13"/>
  <c r="I122" i="13"/>
  <c r="C210" i="13"/>
  <c r="C211" i="13" s="1"/>
  <c r="I138" i="13"/>
  <c r="D106" i="13"/>
  <c r="C154" i="13"/>
  <c r="E122" i="13"/>
  <c r="C122" i="13"/>
  <c r="H106" i="13"/>
  <c r="F138" i="13"/>
  <c r="H122" i="13"/>
  <c r="J138" i="13"/>
  <c r="G154" i="13"/>
  <c r="F34" i="19" a="1"/>
  <c r="F34" i="19" s="1"/>
  <c r="F48" i="19" a="1"/>
  <c r="F48" i="19" s="1"/>
  <c r="E34" i="19" a="1"/>
  <c r="E34" i="19" s="1"/>
  <c r="E48" i="19" a="1"/>
  <c r="E48" i="19" s="1"/>
  <c r="I34" i="19" a="1"/>
  <c r="I34" i="19" s="1"/>
  <c r="D48" i="19" a="1"/>
  <c r="D48" i="19" s="1"/>
  <c r="D34" i="19" a="1"/>
  <c r="D34" i="19" s="1"/>
  <c r="I48" i="19" a="1"/>
  <c r="I48" i="19" s="1"/>
  <c r="K79" i="19" a="1"/>
  <c r="K79" i="19" s="1"/>
  <c r="H34" i="19" a="1"/>
  <c r="H34" i="19" s="1"/>
  <c r="H48" i="19" a="1"/>
  <c r="H48" i="19" s="1"/>
  <c r="G34" i="19" a="1"/>
  <c r="G34" i="19" s="1"/>
  <c r="G48" i="19" a="1"/>
  <c r="G48" i="19" s="1"/>
  <c r="K106" i="13"/>
  <c r="I106" i="13"/>
  <c r="K138" i="13"/>
  <c r="C138" i="13"/>
  <c r="D138" i="13"/>
  <c r="H138" i="13"/>
  <c r="G122" i="13"/>
  <c r="J122" i="13"/>
  <c r="F154" i="13"/>
  <c r="D154" i="13"/>
  <c r="D46" i="19" a="1"/>
  <c r="D46" i="19" s="1"/>
  <c r="F106" i="13"/>
  <c r="F122" i="13"/>
  <c r="J106" i="13"/>
  <c r="E106" i="13"/>
  <c r="H154" i="13"/>
  <c r="E154" i="13"/>
  <c r="K122" i="13"/>
  <c r="C194" i="13"/>
  <c r="C195" i="13" s="1"/>
  <c r="E138" i="13"/>
  <c r="L106" i="13"/>
  <c r="K154" i="13"/>
  <c r="C106" i="13"/>
  <c r="L138" i="13"/>
  <c r="G138" i="13"/>
  <c r="L122" i="13"/>
  <c r="I154" i="13"/>
  <c r="E46" i="19" a="1"/>
  <c r="E46" i="19" s="1"/>
  <c r="G106" i="13"/>
  <c r="J154" i="13"/>
  <c r="D122" i="13"/>
  <c r="K76" i="19" a="1"/>
  <c r="K76" i="19" s="1"/>
  <c r="I46" i="19" a="1"/>
  <c r="I46" i="19" s="1"/>
  <c r="D88" i="16" a="1"/>
  <c r="D88" i="16" s="1"/>
  <c r="AA7" i="2"/>
  <c r="AB7" i="2" s="1"/>
  <c r="AC7" i="2" s="1"/>
  <c r="C55" i="1"/>
  <c r="C62" i="21"/>
  <c r="D62" i="21"/>
  <c r="C32" i="21"/>
  <c r="E62" i="21"/>
  <c r="F62" i="21"/>
  <c r="AN8" i="2"/>
  <c r="AD8" i="2" s="1"/>
  <c r="AE8" i="2" s="1"/>
  <c r="D10" i="19"/>
  <c r="E10" i="19"/>
  <c r="F10" i="19"/>
  <c r="E123" i="19" a="1"/>
  <c r="E123" i="19" s="1"/>
  <c r="C226" i="13"/>
  <c r="C227" i="13" s="1"/>
  <c r="E138" i="19"/>
  <c r="I178" i="13"/>
  <c r="I179" i="13" s="1"/>
  <c r="D89" i="16" a="1"/>
  <c r="D89" i="16" s="1"/>
  <c r="F108" i="19" a="1"/>
  <c r="F108" i="19" s="1"/>
  <c r="G178" i="13"/>
  <c r="G179" i="13" s="1"/>
  <c r="H194" i="13"/>
  <c r="H195" i="13" s="1"/>
  <c r="K226" i="13"/>
  <c r="K227" i="13" s="1"/>
  <c r="J210" i="13"/>
  <c r="J211" i="13" s="1"/>
  <c r="D178" i="13"/>
  <c r="D179" i="13" s="1"/>
  <c r="D210" i="13"/>
  <c r="D211" i="13" s="1"/>
  <c r="C21" i="4"/>
  <c r="C62" i="4" s="1"/>
  <c r="C67" i="4" s="1"/>
  <c r="D21" i="4"/>
  <c r="D62" i="4" s="1"/>
  <c r="D67" i="4" s="1"/>
  <c r="E21" i="4"/>
  <c r="E62" i="4" s="1"/>
  <c r="E67" i="4" s="1"/>
  <c r="H21" i="4"/>
  <c r="H62" i="4" s="1"/>
  <c r="H67" i="4" s="1"/>
  <c r="L21" i="4"/>
  <c r="L62" i="4" s="1"/>
  <c r="L67" i="4" s="1"/>
  <c r="I21" i="4"/>
  <c r="I62" i="4" s="1"/>
  <c r="I67" i="4" s="1"/>
  <c r="J21" i="4"/>
  <c r="J62" i="4" s="1"/>
  <c r="J67" i="4" s="1"/>
  <c r="F21" i="4"/>
  <c r="F62" i="4" s="1"/>
  <c r="F67" i="4" s="1"/>
  <c r="K21" i="4"/>
  <c r="K62" i="4" s="1"/>
  <c r="K67" i="4" s="1"/>
  <c r="G21" i="4"/>
  <c r="G62" i="4" s="1"/>
  <c r="G67" i="4" s="1"/>
  <c r="H226" i="13"/>
  <c r="H227" i="13" s="1"/>
  <c r="L178" i="13"/>
  <c r="L179" i="13" s="1"/>
  <c r="L20" i="4"/>
  <c r="L48" i="4" s="1"/>
  <c r="L53" i="4" s="1"/>
  <c r="F20" i="4"/>
  <c r="F48" i="4" s="1"/>
  <c r="F53" i="4" s="1"/>
  <c r="D20" i="4"/>
  <c r="D48" i="4" s="1"/>
  <c r="D53" i="4" s="1"/>
  <c r="C20" i="4"/>
  <c r="C48" i="4" s="1"/>
  <c r="C53" i="4" s="1"/>
  <c r="E20" i="4"/>
  <c r="E48" i="4" s="1"/>
  <c r="E53" i="4" s="1"/>
  <c r="G20" i="4"/>
  <c r="G48" i="4" s="1"/>
  <c r="G53" i="4" s="1"/>
  <c r="H20" i="4"/>
  <c r="H48" i="4" s="1"/>
  <c r="H53" i="4" s="1"/>
  <c r="I20" i="4"/>
  <c r="I48" i="4" s="1"/>
  <c r="I53" i="4" s="1"/>
  <c r="J20" i="4"/>
  <c r="J48" i="4" s="1"/>
  <c r="J53" i="4" s="1"/>
  <c r="K20" i="4"/>
  <c r="K48" i="4" s="1"/>
  <c r="K53" i="4" s="1"/>
  <c r="F19" i="4"/>
  <c r="F34" i="4" s="1"/>
  <c r="F39" i="4" s="1"/>
  <c r="G19" i="4"/>
  <c r="G34" i="4" s="1"/>
  <c r="G39" i="4" s="1"/>
  <c r="H19" i="4"/>
  <c r="H34" i="4" s="1"/>
  <c r="H39" i="4" s="1"/>
  <c r="I19" i="4"/>
  <c r="I34" i="4" s="1"/>
  <c r="I39" i="4" s="1"/>
  <c r="J19" i="4"/>
  <c r="J34" i="4" s="1"/>
  <c r="J39" i="4" s="1"/>
  <c r="C19" i="4"/>
  <c r="C34" i="4" s="1"/>
  <c r="C39" i="4" s="1"/>
  <c r="D19" i="4"/>
  <c r="D34" i="4" s="1"/>
  <c r="D39" i="4" s="1"/>
  <c r="L19" i="4"/>
  <c r="L34" i="4" s="1"/>
  <c r="L39" i="4" s="1"/>
  <c r="K19" i="4"/>
  <c r="K34" i="4" s="1"/>
  <c r="K39" i="4" s="1"/>
  <c r="J24" i="30"/>
  <c r="F194" i="13"/>
  <c r="F195" i="13" s="1"/>
  <c r="D226" i="13"/>
  <c r="D227" i="13" s="1"/>
  <c r="G16" i="16"/>
  <c r="K15" i="10"/>
  <c r="K14" i="10"/>
  <c r="G15" i="10"/>
  <c r="F16" i="10"/>
  <c r="H17" i="10"/>
  <c r="J17" i="10"/>
  <c r="E23" i="10"/>
  <c r="L24" i="10"/>
  <c r="L226" i="13"/>
  <c r="L227" i="13" s="1"/>
  <c r="D194" i="13"/>
  <c r="D195" i="13" s="1"/>
  <c r="K210" i="13"/>
  <c r="K211" i="13" s="1"/>
  <c r="F226" i="13"/>
  <c r="F227" i="13" s="1"/>
  <c r="L210" i="13"/>
  <c r="L211" i="13" s="1"/>
  <c r="J24" i="10"/>
  <c r="J15" i="10"/>
  <c r="J14" i="10"/>
  <c r="K24" i="10"/>
  <c r="C16" i="10"/>
  <c r="H16" i="10"/>
  <c r="F17" i="10"/>
  <c r="I15" i="10"/>
  <c r="G14" i="10"/>
  <c r="E14" i="10"/>
  <c r="D24" i="10"/>
  <c r="K16" i="10"/>
  <c r="H23" i="10"/>
  <c r="D16" i="10"/>
  <c r="I23" i="10"/>
  <c r="E24" i="10"/>
  <c r="E17" i="10"/>
  <c r="I17" i="10"/>
  <c r="G23" i="10"/>
  <c r="F24" i="10"/>
  <c r="H15" i="10"/>
  <c r="F14" i="10"/>
  <c r="G24" i="10"/>
  <c r="D17" i="10"/>
  <c r="F15" i="10"/>
  <c r="L15" i="10"/>
  <c r="D15" i="10"/>
  <c r="L23" i="10"/>
  <c r="J23" i="10"/>
  <c r="G17" i="10"/>
  <c r="I24" i="10"/>
  <c r="G16" i="10"/>
  <c r="L14" i="10"/>
  <c r="C15" i="10"/>
  <c r="K23" i="10"/>
  <c r="C14" i="10"/>
  <c r="C24" i="10"/>
  <c r="J16" i="10"/>
  <c r="H14" i="10"/>
  <c r="I16" i="10"/>
  <c r="L16" i="10"/>
  <c r="D23" i="10"/>
  <c r="C23" i="10"/>
  <c r="D14" i="10"/>
  <c r="C17" i="10"/>
  <c r="L17" i="10"/>
  <c r="K17" i="10"/>
  <c r="F23" i="10"/>
  <c r="I14" i="10"/>
  <c r="H24" i="10"/>
  <c r="E16" i="10"/>
  <c r="E15" i="10"/>
  <c r="J178" i="13"/>
  <c r="J179" i="13" s="1"/>
  <c r="H210" i="13"/>
  <c r="H211" i="13" s="1"/>
  <c r="F210" i="13"/>
  <c r="F211" i="13" s="1"/>
  <c r="I194" i="13"/>
  <c r="I195" i="13" s="1"/>
  <c r="K178" i="13"/>
  <c r="K179" i="13" s="1"/>
  <c r="I226" i="13"/>
  <c r="I227" i="13" s="1"/>
  <c r="E178" i="13"/>
  <c r="E179" i="13" s="1"/>
  <c r="E210" i="13"/>
  <c r="E211" i="13" s="1"/>
  <c r="E226" i="13"/>
  <c r="E227" i="13" s="1"/>
  <c r="E194" i="13"/>
  <c r="E195" i="13" s="1"/>
  <c r="G210" i="13"/>
  <c r="G211" i="13" s="1"/>
  <c r="F178" i="13"/>
  <c r="F179" i="13" s="1"/>
  <c r="J226" i="13"/>
  <c r="J227" i="13" s="1"/>
  <c r="K194" i="13"/>
  <c r="K195" i="13" s="1"/>
  <c r="J194" i="13"/>
  <c r="J195" i="13" s="1"/>
  <c r="L194" i="13"/>
  <c r="L195" i="13" s="1"/>
  <c r="H178" i="13"/>
  <c r="H179" i="13" s="1"/>
  <c r="G226" i="13"/>
  <c r="G227" i="13" s="1"/>
  <c r="T10" i="2"/>
  <c r="U10" i="2"/>
  <c r="J94" i="13"/>
  <c r="Q9" i="2"/>
  <c r="G123" i="13" a="1"/>
  <c r="G123" i="13" s="1"/>
  <c r="J129" i="13"/>
  <c r="D124" i="13" a="1"/>
  <c r="D124" i="13" s="1"/>
  <c r="C123" i="13" a="1"/>
  <c r="C123" i="13" s="1"/>
  <c r="C124" i="13" a="1"/>
  <c r="C124" i="13" s="1"/>
  <c r="G129" i="13"/>
  <c r="L121" i="13" a="1"/>
  <c r="L121" i="13" s="1"/>
  <c r="K123" i="13" a="1"/>
  <c r="K123" i="13" s="1"/>
  <c r="H125" i="13"/>
  <c r="CD34" i="3" a="1"/>
  <c r="CD34" i="3" s="1"/>
  <c r="L124" i="13" a="1"/>
  <c r="L124" i="13" s="1"/>
  <c r="AC12" i="2"/>
  <c r="AD12" i="2"/>
  <c r="AC15" i="2"/>
  <c r="AD15" i="2"/>
  <c r="E133" i="13" a="1"/>
  <c r="E133" i="13" s="1"/>
  <c r="L123" i="13" a="1"/>
  <c r="L123" i="13" s="1"/>
  <c r="H124" i="13" a="1"/>
  <c r="H124" i="13" s="1"/>
  <c r="F124" i="13" a="1"/>
  <c r="F124" i="13" s="1"/>
  <c r="J133" i="13" a="1"/>
  <c r="J133" i="13" s="1"/>
  <c r="I129" i="13"/>
  <c r="H120" i="13"/>
  <c r="H15" i="4" s="1"/>
  <c r="K125" i="13"/>
  <c r="C121" i="13" a="1"/>
  <c r="C121" i="13" s="1"/>
  <c r="F125" i="13"/>
  <c r="H133" i="13" a="1"/>
  <c r="H133" i="13" s="1"/>
  <c r="G133" i="13" a="1"/>
  <c r="G133" i="13" s="1"/>
  <c r="C125" i="13"/>
  <c r="G124" i="13" a="1"/>
  <c r="G124" i="13" s="1"/>
  <c r="J120" i="13"/>
  <c r="J15" i="4" s="1"/>
  <c r="D133" i="13" a="1"/>
  <c r="D133" i="13" s="1"/>
  <c r="C129" i="13"/>
  <c r="K129" i="13"/>
  <c r="F133" i="13" a="1"/>
  <c r="F133" i="13" s="1"/>
  <c r="K120" i="13"/>
  <c r="K15" i="4" s="1"/>
  <c r="C133" i="13" a="1"/>
  <c r="C133" i="13" s="1"/>
  <c r="H129" i="13"/>
  <c r="I125" i="13"/>
  <c r="F129" i="13"/>
  <c r="L129" i="13"/>
  <c r="G120" i="13"/>
  <c r="G15" i="4" s="1"/>
  <c r="E124" i="13" a="1"/>
  <c r="E124" i="13" s="1"/>
  <c r="D123" i="13" a="1"/>
  <c r="D123" i="13" s="1"/>
  <c r="K133" i="13" a="1"/>
  <c r="K133" i="13" s="1"/>
  <c r="W9" i="2" a="1"/>
  <c r="W9" i="2" s="1"/>
  <c r="AN9" i="2"/>
  <c r="AC14" i="2"/>
  <c r="AD14" i="2"/>
  <c r="W6" i="2" a="1"/>
  <c r="W6" i="2" s="1"/>
  <c r="AN6" i="2"/>
  <c r="W10" i="2" a="1"/>
  <c r="W10" i="2" s="1"/>
  <c r="AN10" i="2"/>
  <c r="J121" i="13" a="1"/>
  <c r="J121" i="13" s="1"/>
  <c r="F120" i="13"/>
  <c r="F15" i="4" s="1"/>
  <c r="E120" i="13"/>
  <c r="E15" i="4" s="1"/>
  <c r="G125" i="13"/>
  <c r="C120" i="13"/>
  <c r="C15" i="4" s="1"/>
  <c r="E129" i="13"/>
  <c r="L120" i="13"/>
  <c r="L15" i="4" s="1"/>
  <c r="L125" i="13"/>
  <c r="D120" i="13"/>
  <c r="D15" i="4" s="1"/>
  <c r="I133" i="13" a="1"/>
  <c r="I133" i="13" s="1"/>
  <c r="J125" i="13"/>
  <c r="H121" i="13" a="1"/>
  <c r="H121" i="13" s="1"/>
  <c r="I124" i="13" a="1"/>
  <c r="I124" i="13" s="1"/>
  <c r="E125" i="13"/>
  <c r="D121" i="13" a="1"/>
  <c r="D121" i="13" s="1"/>
  <c r="F123" i="13" a="1"/>
  <c r="F123" i="13" s="1"/>
  <c r="J124" i="13" a="1"/>
  <c r="J124" i="13" s="1"/>
  <c r="E121" i="13" a="1"/>
  <c r="E121" i="13" s="1"/>
  <c r="K121" i="13" a="1"/>
  <c r="K121" i="13" s="1"/>
  <c r="K124" i="13" a="1"/>
  <c r="K124" i="13" s="1"/>
  <c r="H123" i="13" a="1"/>
  <c r="H123" i="13" s="1"/>
  <c r="J123" i="13" a="1"/>
  <c r="J123" i="13" s="1"/>
  <c r="AL8" i="2" a="1"/>
  <c r="AL8" i="2" s="1"/>
  <c r="I120" i="13"/>
  <c r="I15" i="4" s="1"/>
  <c r="D129" i="13"/>
  <c r="AD86" i="3" a="1"/>
  <c r="AD86" i="3" s="1"/>
  <c r="V110" i="3" a="1"/>
  <c r="V110" i="3" s="1"/>
  <c r="AO86" i="3" a="1"/>
  <c r="AO86" i="3" s="1"/>
  <c r="AU110" i="3" a="1"/>
  <c r="AU110" i="3" s="1"/>
  <c r="AE86" i="3" a="1"/>
  <c r="AE86" i="3" s="1"/>
  <c r="DO110" i="3" a="1"/>
  <c r="DO110" i="3" s="1"/>
  <c r="BW47" i="3" a="1"/>
  <c r="BW47" i="3" s="1"/>
  <c r="BZ73" i="3" a="1"/>
  <c r="BZ73" i="3" s="1"/>
  <c r="CU98" i="3" a="1"/>
  <c r="CU98" i="3" s="1"/>
  <c r="BO98" i="3" a="1"/>
  <c r="BO98" i="3" s="1"/>
  <c r="BP61" i="3" a="1"/>
  <c r="BP61" i="3" s="1"/>
  <c r="AO110" i="3" a="1"/>
  <c r="AO110" i="3" s="1"/>
  <c r="CZ61" i="3" a="1"/>
  <c r="CZ61" i="3" s="1"/>
  <c r="C73" i="3" a="1"/>
  <c r="C73" i="3" s="1"/>
  <c r="BR47" i="3" a="1"/>
  <c r="BR47" i="3" s="1"/>
  <c r="CZ86" i="3" a="1"/>
  <c r="CZ86" i="3" s="1"/>
  <c r="W110" i="3" a="1"/>
  <c r="W110" i="3" s="1"/>
  <c r="BW98" i="3" a="1"/>
  <c r="BW98" i="3" s="1"/>
  <c r="AK61" i="3" a="1"/>
  <c r="AK61" i="3" s="1"/>
  <c r="CC47" i="3" a="1"/>
  <c r="CC47" i="3" s="1"/>
  <c r="AI86" i="3" a="1"/>
  <c r="AI86" i="3" s="1"/>
  <c r="P98" i="3" a="1"/>
  <c r="P98" i="3" s="1"/>
  <c r="Q86" i="3" a="1"/>
  <c r="Q86" i="3" s="1"/>
  <c r="D61" i="3" a="1"/>
  <c r="D61" i="3" s="1"/>
  <c r="CS73" i="3" a="1"/>
  <c r="CS73" i="3" s="1"/>
  <c r="BP73" i="3" a="1"/>
  <c r="BP73" i="3" s="1"/>
  <c r="DF47" i="3" a="1"/>
  <c r="DF47" i="3" s="1"/>
  <c r="AQ73" i="3" a="1"/>
  <c r="AQ73" i="3" s="1"/>
  <c r="AS47" i="3" a="1"/>
  <c r="AS47" i="3" s="1"/>
  <c r="BC86" i="3" a="1"/>
  <c r="BC86" i="3" s="1"/>
  <c r="AQ61" i="3" a="1"/>
  <c r="AQ61" i="3" s="1"/>
  <c r="D125" i="13"/>
  <c r="L133" i="13" a="1"/>
  <c r="L133" i="13" s="1"/>
  <c r="E123" i="13" a="1"/>
  <c r="E123" i="13" s="1"/>
  <c r="I121" i="13" a="1"/>
  <c r="I121" i="13" s="1"/>
  <c r="G121" i="13" a="1"/>
  <c r="G121" i="13" s="1"/>
  <c r="J95" i="13" a="1"/>
  <c r="J95" i="13" s="1"/>
  <c r="I123" i="13" a="1"/>
  <c r="I123" i="13" s="1"/>
  <c r="F121" i="13" a="1"/>
  <c r="F121" i="13" s="1"/>
  <c r="I145" i="13"/>
  <c r="D165" i="13" a="1"/>
  <c r="D165" i="13" s="1"/>
  <c r="J96" i="13"/>
  <c r="J145" i="13"/>
  <c r="D136" i="13"/>
  <c r="D16" i="4" s="1"/>
  <c r="L117" i="13" a="1"/>
  <c r="L117" i="13" s="1"/>
  <c r="F109" i="13"/>
  <c r="K149" i="13" a="1"/>
  <c r="K149" i="13" s="1"/>
  <c r="C153" i="13" a="1"/>
  <c r="C153" i="13" s="1"/>
  <c r="I117" i="13" a="1"/>
  <c r="I117" i="13" s="1"/>
  <c r="E104" i="13"/>
  <c r="E14" i="4" s="1"/>
  <c r="D157" i="13"/>
  <c r="C104" i="13"/>
  <c r="C14" i="4" s="1"/>
  <c r="D145" i="13"/>
  <c r="F145" i="13"/>
  <c r="F117" i="13" a="1"/>
  <c r="F117" i="13" s="1"/>
  <c r="L105" i="13" a="1"/>
  <c r="L105" i="13" s="1"/>
  <c r="H108" i="13" a="1"/>
  <c r="H108" i="13" s="1"/>
  <c r="H107" i="13" a="1"/>
  <c r="H107" i="13" s="1"/>
  <c r="E145" i="13"/>
  <c r="H52" i="13"/>
  <c r="C149" i="13" a="1"/>
  <c r="C149" i="13" s="1"/>
  <c r="E109" i="13"/>
  <c r="L157" i="13"/>
  <c r="L153" i="13" a="1"/>
  <c r="L153" i="13" s="1"/>
  <c r="E157" i="13"/>
  <c r="J141" i="13"/>
  <c r="J52" i="13"/>
  <c r="I141" i="13"/>
  <c r="F149" i="13" a="1"/>
  <c r="F149" i="13" s="1"/>
  <c r="K137" i="13" a="1"/>
  <c r="K137" i="13" s="1"/>
  <c r="H137" i="13" a="1"/>
  <c r="H137" i="13" s="1"/>
  <c r="F153" i="13" a="1"/>
  <c r="F153" i="13" s="1"/>
  <c r="L155" i="13" a="1"/>
  <c r="L155" i="13" s="1"/>
  <c r="L156" i="13" a="1"/>
  <c r="L156" i="13" s="1"/>
  <c r="G157" i="13"/>
  <c r="C136" i="13"/>
  <c r="C16" i="4" s="1"/>
  <c r="J104" i="13"/>
  <c r="J14" i="4" s="1"/>
  <c r="L94" i="13"/>
  <c r="L95" i="13" a="1"/>
  <c r="L95" i="13" s="1"/>
  <c r="L96" i="13"/>
  <c r="D108" i="13" a="1"/>
  <c r="D108" i="13" s="1"/>
  <c r="D107" i="13" a="1"/>
  <c r="D107" i="13" s="1"/>
  <c r="E141" i="13"/>
  <c r="G140" i="13" a="1"/>
  <c r="G140" i="13" s="1"/>
  <c r="G139" i="13" a="1"/>
  <c r="G139" i="13" s="1"/>
  <c r="D149" i="13" a="1"/>
  <c r="D149" i="13" s="1"/>
  <c r="F113" i="13"/>
  <c r="F165" i="13" a="1"/>
  <c r="F165" i="13" s="1"/>
  <c r="K161" i="13"/>
  <c r="K153" i="13" a="1"/>
  <c r="K153" i="13" s="1"/>
  <c r="I136" i="13"/>
  <c r="I16" i="4" s="1"/>
  <c r="L136" i="13"/>
  <c r="L16" i="4" s="1"/>
  <c r="K52" i="13"/>
  <c r="I113" i="13"/>
  <c r="J137" i="13" a="1"/>
  <c r="J137" i="13" s="1"/>
  <c r="J113" i="13"/>
  <c r="K155" i="13" a="1"/>
  <c r="K155" i="13" s="1"/>
  <c r="K156" i="13" a="1"/>
  <c r="K156" i="13" s="1"/>
  <c r="I165" i="13" a="1"/>
  <c r="I165" i="13" s="1"/>
  <c r="H165" i="13" a="1"/>
  <c r="H165" i="13" s="1"/>
  <c r="F152" i="13"/>
  <c r="F17" i="4" s="1"/>
  <c r="I104" i="13"/>
  <c r="I14" i="4" s="1"/>
  <c r="I95" i="13" a="1"/>
  <c r="I95" i="13" s="1"/>
  <c r="I94" i="13"/>
  <c r="I96" i="13"/>
  <c r="F95" i="13" a="1"/>
  <c r="F95" i="13" s="1"/>
  <c r="F96" i="13"/>
  <c r="F94" i="13"/>
  <c r="E95" i="13" a="1"/>
  <c r="E95" i="13" s="1"/>
  <c r="E96" i="13"/>
  <c r="E94" i="13"/>
  <c r="K117" i="13" a="1"/>
  <c r="K117" i="13" s="1"/>
  <c r="F108" i="13" a="1"/>
  <c r="F108" i="13" s="1"/>
  <c r="F107" i="13" a="1"/>
  <c r="F107" i="13" s="1"/>
  <c r="L107" i="13" a="1"/>
  <c r="L107" i="13" s="1"/>
  <c r="L108" i="13" a="1"/>
  <c r="L108" i="13" s="1"/>
  <c r="K107" i="13" a="1"/>
  <c r="K107" i="13" s="1"/>
  <c r="K108" i="13" a="1"/>
  <c r="K108" i="13" s="1"/>
  <c r="F105" i="13" a="1"/>
  <c r="F105" i="13" s="1"/>
  <c r="K141" i="13"/>
  <c r="D52" i="13"/>
  <c r="I149" i="13" a="1"/>
  <c r="I149" i="13" s="1"/>
  <c r="F140" i="13" a="1"/>
  <c r="F140" i="13" s="1"/>
  <c r="F139" i="13" a="1"/>
  <c r="F139" i="13" s="1"/>
  <c r="I153" i="13" a="1"/>
  <c r="I153" i="13" s="1"/>
  <c r="I155" i="13" a="1"/>
  <c r="I155" i="13" s="1"/>
  <c r="I156" i="13" a="1"/>
  <c r="I156" i="13" s="1"/>
  <c r="E165" i="13" a="1"/>
  <c r="E165" i="13" s="1"/>
  <c r="G161" i="13"/>
  <c r="D153" i="13" a="1"/>
  <c r="D153" i="13" s="1"/>
  <c r="H95" i="13" a="1"/>
  <c r="H95" i="13" s="1"/>
  <c r="H96" i="13"/>
  <c r="H94" i="13"/>
  <c r="L52" i="13"/>
  <c r="H149" i="13" a="1"/>
  <c r="H149" i="13" s="1"/>
  <c r="E113" i="13"/>
  <c r="H155" i="13" a="1"/>
  <c r="H155" i="13" s="1"/>
  <c r="H156" i="13" a="1"/>
  <c r="H156" i="13" s="1"/>
  <c r="I161" i="13"/>
  <c r="H153" i="13" a="1"/>
  <c r="H153" i="13" s="1"/>
  <c r="E153" i="13" a="1"/>
  <c r="E153" i="13" s="1"/>
  <c r="E136" i="13"/>
  <c r="E16" i="4" s="1"/>
  <c r="G104" i="13"/>
  <c r="G14" i="4" s="1"/>
  <c r="H136" i="13"/>
  <c r="H16" i="4" s="1"/>
  <c r="G136" i="13"/>
  <c r="G16" i="4" s="1"/>
  <c r="K36" i="13"/>
  <c r="E107" i="13" a="1"/>
  <c r="E107" i="13" s="1"/>
  <c r="E108" i="13" a="1"/>
  <c r="E108" i="13" s="1"/>
  <c r="C145" i="13"/>
  <c r="E52" i="13"/>
  <c r="F137" i="13" a="1"/>
  <c r="F137" i="13" s="1"/>
  <c r="C140" i="13" a="1"/>
  <c r="C140" i="13" s="1"/>
  <c r="C139" i="13" a="1"/>
  <c r="C139" i="13" s="1"/>
  <c r="J140" i="13" a="1"/>
  <c r="J140" i="13" s="1"/>
  <c r="J139" i="13" a="1"/>
  <c r="J139" i="13" s="1"/>
  <c r="G113" i="13"/>
  <c r="K165" i="13" a="1"/>
  <c r="K165" i="13" s="1"/>
  <c r="F157" i="13"/>
  <c r="L161" i="13"/>
  <c r="G145" i="13"/>
  <c r="F136" i="13"/>
  <c r="F16" i="4" s="1"/>
  <c r="D152" i="13"/>
  <c r="D17" i="4" s="1"/>
  <c r="K105" i="13" a="1"/>
  <c r="K105" i="13" s="1"/>
  <c r="H105" i="13" a="1"/>
  <c r="H105" i="13" s="1"/>
  <c r="J105" i="13" a="1"/>
  <c r="J105" i="13" s="1"/>
  <c r="E36" i="13"/>
  <c r="CR87" i="3" a="1"/>
  <c r="CR87" i="3" s="1"/>
  <c r="H117" i="13" a="1"/>
  <c r="H117" i="13" s="1"/>
  <c r="C109" i="13"/>
  <c r="J107" i="13" a="1"/>
  <c r="J107" i="13" s="1"/>
  <c r="J108" i="13" a="1"/>
  <c r="J108" i="13" s="1"/>
  <c r="E117" i="13" a="1"/>
  <c r="E117" i="13" s="1"/>
  <c r="E105" i="13" a="1"/>
  <c r="E105" i="13" s="1"/>
  <c r="F52" i="13"/>
  <c r="E149" i="13" a="1"/>
  <c r="E149" i="13" s="1"/>
  <c r="E140" i="13" a="1"/>
  <c r="E140" i="13" s="1"/>
  <c r="E139" i="13" a="1"/>
  <c r="E139" i="13" s="1"/>
  <c r="K109" i="13"/>
  <c r="J153" i="13" a="1"/>
  <c r="J153" i="13" s="1"/>
  <c r="J165" i="13" a="1"/>
  <c r="J165" i="13" s="1"/>
  <c r="D161" i="13"/>
  <c r="G165" i="13" a="1"/>
  <c r="G165" i="13" s="1"/>
  <c r="H152" i="13"/>
  <c r="H17" i="4" s="1"/>
  <c r="J36" i="13"/>
  <c r="D36" i="13"/>
  <c r="C36" i="13"/>
  <c r="G105" i="13" a="1"/>
  <c r="G105" i="13" s="1"/>
  <c r="D117" i="13" a="1"/>
  <c r="D117" i="13" s="1"/>
  <c r="G52" i="13"/>
  <c r="I140" i="13" a="1"/>
  <c r="I140" i="13" s="1"/>
  <c r="I139" i="13" a="1"/>
  <c r="I139" i="13" s="1"/>
  <c r="H141" i="13"/>
  <c r="H109" i="13"/>
  <c r="H157" i="13"/>
  <c r="J161" i="13"/>
  <c r="L152" i="13"/>
  <c r="L17" i="4" s="1"/>
  <c r="L36" i="13"/>
  <c r="C117" i="13" a="1"/>
  <c r="C117" i="13" s="1"/>
  <c r="F36" i="13"/>
  <c r="G109" i="13"/>
  <c r="C105" i="13" a="1"/>
  <c r="C105" i="13" s="1"/>
  <c r="D105" i="13" a="1"/>
  <c r="D105" i="13" s="1"/>
  <c r="I108" i="13" a="1"/>
  <c r="I108" i="13" s="1"/>
  <c r="I107" i="13" a="1"/>
  <c r="I107" i="13" s="1"/>
  <c r="G149" i="13" a="1"/>
  <c r="G149" i="13" s="1"/>
  <c r="K157" i="13"/>
  <c r="C141" i="13"/>
  <c r="E152" i="13"/>
  <c r="E17" i="4" s="1"/>
  <c r="D95" i="13" a="1"/>
  <c r="D95" i="13" s="1"/>
  <c r="D94" i="13"/>
  <c r="D96" i="13"/>
  <c r="I52" i="13"/>
  <c r="G137" i="13" a="1"/>
  <c r="G137" i="13" s="1"/>
  <c r="L149" i="13" a="1"/>
  <c r="L149" i="13" s="1"/>
  <c r="I109" i="13"/>
  <c r="J155" i="13" a="1"/>
  <c r="J155" i="13" s="1"/>
  <c r="J156" i="13" a="1"/>
  <c r="J156" i="13" s="1"/>
  <c r="E161" i="13"/>
  <c r="K145" i="13"/>
  <c r="L104" i="13"/>
  <c r="L14" i="4" s="1"/>
  <c r="G94" i="13"/>
  <c r="G95" i="13" a="1"/>
  <c r="G95" i="13" s="1"/>
  <c r="G96" i="13"/>
  <c r="K152" i="13"/>
  <c r="K17" i="4" s="1"/>
  <c r="L113" i="13"/>
  <c r="D109" i="13"/>
  <c r="C165" i="13" a="1"/>
  <c r="C165" i="13" s="1"/>
  <c r="I157" i="13"/>
  <c r="E155" i="13" a="1"/>
  <c r="E155" i="13" s="1"/>
  <c r="E156" i="13" a="1"/>
  <c r="E156" i="13" s="1"/>
  <c r="K104" i="13"/>
  <c r="K14" i="4" s="1"/>
  <c r="J152" i="13"/>
  <c r="J17" i="4" s="1"/>
  <c r="G108" i="13" a="1"/>
  <c r="G108" i="13" s="1"/>
  <c r="G107" i="13" a="1"/>
  <c r="G107" i="13" s="1"/>
  <c r="G117" i="13" a="1"/>
  <c r="G117" i="13" s="1"/>
  <c r="J149" i="13" a="1"/>
  <c r="J149" i="13" s="1"/>
  <c r="J157" i="13"/>
  <c r="L165" i="13" a="1"/>
  <c r="L165" i="13" s="1"/>
  <c r="C161" i="13"/>
  <c r="I152" i="13"/>
  <c r="I17" i="4" s="1"/>
  <c r="G152" i="13"/>
  <c r="G17" i="4" s="1"/>
  <c r="C108" i="13" a="1"/>
  <c r="C108" i="13" s="1"/>
  <c r="C107" i="13" a="1"/>
  <c r="C107" i="13" s="1"/>
  <c r="C52" i="13"/>
  <c r="D141" i="13"/>
  <c r="C137" i="13" a="1"/>
  <c r="C137" i="13" s="1"/>
  <c r="I137" i="13" a="1"/>
  <c r="I137" i="13" s="1"/>
  <c r="J109" i="13"/>
  <c r="D113" i="13"/>
  <c r="H161" i="13"/>
  <c r="C155" i="13" a="1"/>
  <c r="C155" i="13" s="1"/>
  <c r="C156" i="13" a="1"/>
  <c r="C156" i="13" s="1"/>
  <c r="C157" i="13"/>
  <c r="F141" i="13"/>
  <c r="H145" i="13"/>
  <c r="J136" i="13"/>
  <c r="J16" i="4" s="1"/>
  <c r="H104" i="13"/>
  <c r="H14" i="4" s="1"/>
  <c r="D104" i="13"/>
  <c r="D14" i="4" s="1"/>
  <c r="K113" i="13"/>
  <c r="G36" i="13"/>
  <c r="J117" i="13" a="1"/>
  <c r="J117" i="13" s="1"/>
  <c r="L141" i="13"/>
  <c r="G141" i="13"/>
  <c r="E137" i="13" a="1"/>
  <c r="E137" i="13" s="1"/>
  <c r="L137" i="13" a="1"/>
  <c r="L137" i="13" s="1"/>
  <c r="F161" i="13"/>
  <c r="G153" i="13" a="1"/>
  <c r="G153" i="13" s="1"/>
  <c r="F156" i="13" a="1"/>
  <c r="F156" i="13" s="1"/>
  <c r="F155" i="13" a="1"/>
  <c r="F155" i="13" s="1"/>
  <c r="G155" i="13" a="1"/>
  <c r="G155" i="13" s="1"/>
  <c r="G156" i="13" a="1"/>
  <c r="G156" i="13" s="1"/>
  <c r="L145" i="13"/>
  <c r="C152" i="13"/>
  <c r="C17" i="4" s="1"/>
  <c r="C95" i="13" a="1"/>
  <c r="C95" i="13" s="1"/>
  <c r="C96" i="13"/>
  <c r="C94" i="13"/>
  <c r="K140" i="13" a="1"/>
  <c r="K140" i="13" s="1"/>
  <c r="K139" i="13" a="1"/>
  <c r="K139" i="13" s="1"/>
  <c r="I36" i="13"/>
  <c r="H36" i="13"/>
  <c r="I105" i="13" a="1"/>
  <c r="I105" i="13" s="1"/>
  <c r="H113" i="13"/>
  <c r="DC49" i="3" a="1"/>
  <c r="DC49" i="3" s="1"/>
  <c r="C113" i="13"/>
  <c r="D140" i="13" a="1"/>
  <c r="D140" i="13" s="1"/>
  <c r="D139" i="13" a="1"/>
  <c r="D139" i="13" s="1"/>
  <c r="D137" i="13" a="1"/>
  <c r="D137" i="13" s="1"/>
  <c r="H140" i="13" a="1"/>
  <c r="H140" i="13" s="1"/>
  <c r="H139" i="13" a="1"/>
  <c r="H139" i="13" s="1"/>
  <c r="L139" i="13" a="1"/>
  <c r="L139" i="13" s="1"/>
  <c r="L140" i="13" a="1"/>
  <c r="L140" i="13" s="1"/>
  <c r="L109" i="13"/>
  <c r="D155" i="13" a="1"/>
  <c r="D155" i="13" s="1"/>
  <c r="D156" i="13" a="1"/>
  <c r="D156" i="13" s="1"/>
  <c r="K136" i="13"/>
  <c r="K16" i="4" s="1"/>
  <c r="F104" i="13"/>
  <c r="F14" i="4" s="1"/>
  <c r="K94" i="13"/>
  <c r="K95" i="13" a="1"/>
  <c r="K95" i="13" s="1"/>
  <c r="K96" i="13"/>
  <c r="BN22" i="3" a="1"/>
  <c r="BN22" i="3" s="1"/>
  <c r="AO35" i="3" a="1"/>
  <c r="AO35" i="3" s="1"/>
  <c r="BE35" i="3" a="1"/>
  <c r="BE35" i="3" s="1"/>
  <c r="BU35" i="3" a="1"/>
  <c r="BU35" i="3" s="1"/>
  <c r="CK35" i="3" a="1"/>
  <c r="CK35" i="3" s="1"/>
  <c r="DA35" i="3" a="1"/>
  <c r="DA35" i="3" s="1"/>
  <c r="DP35" i="3" a="1"/>
  <c r="DP35" i="3" s="1"/>
  <c r="AP35" i="3" a="1"/>
  <c r="AP35" i="3" s="1"/>
  <c r="BF35" i="3" a="1"/>
  <c r="BF35" i="3" s="1"/>
  <c r="BV35" i="3" a="1"/>
  <c r="BV35" i="3" s="1"/>
  <c r="CL35" i="3" a="1"/>
  <c r="CL35" i="3" s="1"/>
  <c r="DB35" i="3" a="1"/>
  <c r="DB35" i="3" s="1"/>
  <c r="DQ35" i="3" a="1"/>
  <c r="DQ35" i="3" s="1"/>
  <c r="C35" i="3" a="1"/>
  <c r="C35" i="3" s="1"/>
  <c r="AQ35" i="3" a="1"/>
  <c r="AQ35" i="3" s="1"/>
  <c r="BG35" i="3" a="1"/>
  <c r="BG35" i="3" s="1"/>
  <c r="BW35" i="3" a="1"/>
  <c r="BW35" i="3" s="1"/>
  <c r="CM35" i="3" a="1"/>
  <c r="CM35" i="3" s="1"/>
  <c r="DC35" i="3" a="1"/>
  <c r="DC35" i="3" s="1"/>
  <c r="DR35" i="3" a="1"/>
  <c r="DR35" i="3" s="1"/>
  <c r="D35" i="3" a="1"/>
  <c r="D35" i="3" s="1"/>
  <c r="AR35" i="3" a="1"/>
  <c r="AR35" i="3" s="1"/>
  <c r="BH35" i="3" a="1"/>
  <c r="BH35" i="3" s="1"/>
  <c r="BX35" i="3" a="1"/>
  <c r="BX35" i="3" s="1"/>
  <c r="CN35" i="3" a="1"/>
  <c r="CN35" i="3" s="1"/>
  <c r="DD35" i="3" a="1"/>
  <c r="DD35" i="3" s="1"/>
  <c r="E35" i="3" a="1"/>
  <c r="E35" i="3" s="1"/>
  <c r="AS35" i="3" a="1"/>
  <c r="AS35" i="3" s="1"/>
  <c r="BI35" i="3" a="1"/>
  <c r="BI35" i="3" s="1"/>
  <c r="BY35" i="3" a="1"/>
  <c r="BY35" i="3" s="1"/>
  <c r="CO35" i="3" a="1"/>
  <c r="CO35" i="3" s="1"/>
  <c r="DE35" i="3" a="1"/>
  <c r="DE35" i="3" s="1"/>
  <c r="F35" i="3" a="1"/>
  <c r="F35" i="3" s="1"/>
  <c r="AT35" i="3" a="1"/>
  <c r="AT35" i="3" s="1"/>
  <c r="BJ35" i="3" a="1"/>
  <c r="BJ35" i="3" s="1"/>
  <c r="BZ35" i="3" a="1"/>
  <c r="BZ35" i="3" s="1"/>
  <c r="CP35" i="3" a="1"/>
  <c r="CP35" i="3" s="1"/>
  <c r="DF35" i="3" a="1"/>
  <c r="DF35" i="3" s="1"/>
  <c r="G35" i="3" a="1"/>
  <c r="G35" i="3" s="1"/>
  <c r="AU35" i="3" a="1"/>
  <c r="AU35" i="3" s="1"/>
  <c r="BK35" i="3" a="1"/>
  <c r="BK35" i="3" s="1"/>
  <c r="CA35" i="3" a="1"/>
  <c r="CA35" i="3" s="1"/>
  <c r="CQ35" i="3" a="1"/>
  <c r="CQ35" i="3" s="1"/>
  <c r="DG35" i="3" a="1"/>
  <c r="DG35" i="3" s="1"/>
  <c r="H35" i="3" a="1"/>
  <c r="H35" i="3" s="1"/>
  <c r="AV35" i="3" a="1"/>
  <c r="AV35" i="3" s="1"/>
  <c r="BL35" i="3" a="1"/>
  <c r="BL35" i="3" s="1"/>
  <c r="CB35" i="3" a="1"/>
  <c r="CB35" i="3" s="1"/>
  <c r="CR35" i="3" a="1"/>
  <c r="CR35" i="3" s="1"/>
  <c r="DH35" i="3" a="1"/>
  <c r="DH35" i="3" s="1"/>
  <c r="AG35" i="3" a="1"/>
  <c r="AG35" i="3" s="1"/>
  <c r="AW35" i="3" a="1"/>
  <c r="AW35" i="3" s="1"/>
  <c r="BM35" i="3" a="1"/>
  <c r="BM35" i="3" s="1"/>
  <c r="CC35" i="3" a="1"/>
  <c r="CC35" i="3" s="1"/>
  <c r="CS35" i="3" a="1"/>
  <c r="CS35" i="3" s="1"/>
  <c r="DI35" i="3" a="1"/>
  <c r="DI35" i="3" s="1"/>
  <c r="AH35" i="3" a="1"/>
  <c r="AH35" i="3" s="1"/>
  <c r="AX35" i="3" a="1"/>
  <c r="AX35" i="3" s="1"/>
  <c r="BN35" i="3" a="1"/>
  <c r="BN35" i="3" s="1"/>
  <c r="CD35" i="3" a="1"/>
  <c r="CD35" i="3" s="1"/>
  <c r="CT35" i="3" a="1"/>
  <c r="CT35" i="3" s="1"/>
  <c r="DJ35" i="3" a="1"/>
  <c r="DJ35" i="3" s="1"/>
  <c r="AI35" i="3" a="1"/>
  <c r="AI35" i="3" s="1"/>
  <c r="AY35" i="3" a="1"/>
  <c r="AY35" i="3" s="1"/>
  <c r="BO35" i="3" a="1"/>
  <c r="BO35" i="3" s="1"/>
  <c r="CE35" i="3" a="1"/>
  <c r="CE35" i="3" s="1"/>
  <c r="CU35" i="3" a="1"/>
  <c r="CU35" i="3" s="1"/>
  <c r="AJ35" i="3" a="1"/>
  <c r="AJ35" i="3" s="1"/>
  <c r="AZ35" i="3" a="1"/>
  <c r="AZ35" i="3" s="1"/>
  <c r="BP35" i="3" a="1"/>
  <c r="BP35" i="3" s="1"/>
  <c r="CF35" i="3" a="1"/>
  <c r="CF35" i="3" s="1"/>
  <c r="CV35" i="3" a="1"/>
  <c r="CV35" i="3" s="1"/>
  <c r="DK35" i="3" a="1"/>
  <c r="DK35" i="3" s="1"/>
  <c r="AK35" i="3" a="1"/>
  <c r="AK35" i="3" s="1"/>
  <c r="BA35" i="3" a="1"/>
  <c r="BA35" i="3" s="1"/>
  <c r="BQ35" i="3" a="1"/>
  <c r="BQ35" i="3" s="1"/>
  <c r="CG35" i="3" a="1"/>
  <c r="CG35" i="3" s="1"/>
  <c r="CW35" i="3" a="1"/>
  <c r="CW35" i="3" s="1"/>
  <c r="DL35" i="3" a="1"/>
  <c r="DL35" i="3" s="1"/>
  <c r="AL35" i="3" a="1"/>
  <c r="AL35" i="3" s="1"/>
  <c r="BB35" i="3" a="1"/>
  <c r="BB35" i="3" s="1"/>
  <c r="BR35" i="3" a="1"/>
  <c r="BR35" i="3" s="1"/>
  <c r="CH35" i="3" a="1"/>
  <c r="CH35" i="3" s="1"/>
  <c r="CX35" i="3" a="1"/>
  <c r="CX35" i="3" s="1"/>
  <c r="DM35" i="3" a="1"/>
  <c r="DM35" i="3" s="1"/>
  <c r="AM35" i="3" a="1"/>
  <c r="AM35" i="3" s="1"/>
  <c r="BC35" i="3" a="1"/>
  <c r="BC35" i="3" s="1"/>
  <c r="BS35" i="3" a="1"/>
  <c r="BS35" i="3" s="1"/>
  <c r="CI35" i="3" a="1"/>
  <c r="CI35" i="3" s="1"/>
  <c r="CY35" i="3" a="1"/>
  <c r="CY35" i="3" s="1"/>
  <c r="DN35" i="3" a="1"/>
  <c r="DN35" i="3" s="1"/>
  <c r="AN35" i="3" a="1"/>
  <c r="AN35" i="3" s="1"/>
  <c r="BD35" i="3" a="1"/>
  <c r="BD35" i="3" s="1"/>
  <c r="BT35" i="3" a="1"/>
  <c r="BT35" i="3" s="1"/>
  <c r="CJ35" i="3" a="1"/>
  <c r="CJ35" i="3" s="1"/>
  <c r="CZ35" i="3" a="1"/>
  <c r="CZ35" i="3" s="1"/>
  <c r="DO35" i="3" a="1"/>
  <c r="DO35" i="3" s="1"/>
  <c r="Y35" i="3" a="1"/>
  <c r="Y35" i="3" s="1"/>
  <c r="M35" i="3" a="1"/>
  <c r="M35" i="3" s="1"/>
  <c r="J35" i="3" a="1"/>
  <c r="J35" i="3" s="1"/>
  <c r="AA35" i="3" a="1"/>
  <c r="AA35" i="3" s="1"/>
  <c r="O35" i="3" a="1"/>
  <c r="O35" i="3" s="1"/>
  <c r="AD35" i="3" a="1"/>
  <c r="AD35" i="3" s="1"/>
  <c r="R35" i="3" a="1"/>
  <c r="R35" i="3" s="1"/>
  <c r="I35" i="3" a="1"/>
  <c r="I35" i="3" s="1"/>
  <c r="U35" i="3" a="1"/>
  <c r="U35" i="3" s="1"/>
  <c r="T35" i="3" a="1"/>
  <c r="T35" i="3" s="1"/>
  <c r="AF35" i="3" a="1"/>
  <c r="AF35" i="3" s="1"/>
  <c r="AE35" i="3" a="1"/>
  <c r="AE35" i="3" s="1"/>
  <c r="Z35" i="3" a="1"/>
  <c r="Z35" i="3" s="1"/>
  <c r="S35" i="3" a="1"/>
  <c r="S35" i="3" s="1"/>
  <c r="N35" i="3" a="1"/>
  <c r="N35" i="3" s="1"/>
  <c r="V35" i="3" a="1"/>
  <c r="V35" i="3" s="1"/>
  <c r="BN23" i="3" a="1"/>
  <c r="BN23" i="3" s="1"/>
  <c r="AI36" i="3" a="1"/>
  <c r="AI36" i="3" s="1"/>
  <c r="AY36" i="3" a="1"/>
  <c r="AY36" i="3" s="1"/>
  <c r="BO36" i="3" a="1"/>
  <c r="BO36" i="3" s="1"/>
  <c r="CE36" i="3" a="1"/>
  <c r="CE36" i="3" s="1"/>
  <c r="CU36" i="3" a="1"/>
  <c r="CU36" i="3" s="1"/>
  <c r="DK36" i="3" a="1"/>
  <c r="DK36" i="3" s="1"/>
  <c r="AJ36" i="3" a="1"/>
  <c r="AJ36" i="3" s="1"/>
  <c r="AZ36" i="3" a="1"/>
  <c r="AZ36" i="3" s="1"/>
  <c r="BP36" i="3" a="1"/>
  <c r="BP36" i="3" s="1"/>
  <c r="CF36" i="3" a="1"/>
  <c r="CF36" i="3" s="1"/>
  <c r="CV36" i="3" a="1"/>
  <c r="CV36" i="3" s="1"/>
  <c r="DL36" i="3" a="1"/>
  <c r="DL36" i="3" s="1"/>
  <c r="AK36" i="3" a="1"/>
  <c r="AK36" i="3" s="1"/>
  <c r="BA36" i="3" a="1"/>
  <c r="BA36" i="3" s="1"/>
  <c r="BQ36" i="3" a="1"/>
  <c r="BQ36" i="3" s="1"/>
  <c r="CG36" i="3" a="1"/>
  <c r="CG36" i="3" s="1"/>
  <c r="CW36" i="3" a="1"/>
  <c r="CW36" i="3" s="1"/>
  <c r="DM36" i="3" a="1"/>
  <c r="DM36" i="3" s="1"/>
  <c r="C36" i="3" a="1"/>
  <c r="C36" i="3" s="1"/>
  <c r="AL36" i="3" a="1"/>
  <c r="AL36" i="3" s="1"/>
  <c r="BB36" i="3" a="1"/>
  <c r="BB36" i="3" s="1"/>
  <c r="BR36" i="3" a="1"/>
  <c r="BR36" i="3" s="1"/>
  <c r="CH36" i="3" a="1"/>
  <c r="CH36" i="3" s="1"/>
  <c r="CX36" i="3" a="1"/>
  <c r="CX36" i="3" s="1"/>
  <c r="DN36" i="3" a="1"/>
  <c r="DN36" i="3" s="1"/>
  <c r="D36" i="3" a="1"/>
  <c r="D36" i="3" s="1"/>
  <c r="AM36" i="3" a="1"/>
  <c r="AM36" i="3" s="1"/>
  <c r="BC36" i="3" a="1"/>
  <c r="BC36" i="3" s="1"/>
  <c r="BS36" i="3" a="1"/>
  <c r="BS36" i="3" s="1"/>
  <c r="CI36" i="3" a="1"/>
  <c r="CI36" i="3" s="1"/>
  <c r="CY36" i="3" a="1"/>
  <c r="CY36" i="3" s="1"/>
  <c r="DO36" i="3" a="1"/>
  <c r="DO36" i="3" s="1"/>
  <c r="E36" i="3" a="1"/>
  <c r="E36" i="3" s="1"/>
  <c r="AN36" i="3" a="1"/>
  <c r="AN36" i="3" s="1"/>
  <c r="BD36" i="3" a="1"/>
  <c r="BD36" i="3" s="1"/>
  <c r="BT36" i="3" a="1"/>
  <c r="BT36" i="3" s="1"/>
  <c r="CJ36" i="3" a="1"/>
  <c r="CJ36" i="3" s="1"/>
  <c r="CZ36" i="3" a="1"/>
  <c r="CZ36" i="3" s="1"/>
  <c r="DP36" i="3" a="1"/>
  <c r="DP36" i="3" s="1"/>
  <c r="F36" i="3" a="1"/>
  <c r="F36" i="3" s="1"/>
  <c r="AO36" i="3" a="1"/>
  <c r="AO36" i="3" s="1"/>
  <c r="BE36" i="3" a="1"/>
  <c r="BE36" i="3" s="1"/>
  <c r="BU36" i="3" a="1"/>
  <c r="BU36" i="3" s="1"/>
  <c r="CK36" i="3" a="1"/>
  <c r="CK36" i="3" s="1"/>
  <c r="DA36" i="3" a="1"/>
  <c r="DA36" i="3" s="1"/>
  <c r="DQ36" i="3" a="1"/>
  <c r="DQ36" i="3" s="1"/>
  <c r="G36" i="3" a="1"/>
  <c r="G36" i="3" s="1"/>
  <c r="AP36" i="3" a="1"/>
  <c r="AP36" i="3" s="1"/>
  <c r="BF36" i="3" a="1"/>
  <c r="BF36" i="3" s="1"/>
  <c r="BV36" i="3" a="1"/>
  <c r="BV36" i="3" s="1"/>
  <c r="CL36" i="3" a="1"/>
  <c r="CL36" i="3" s="1"/>
  <c r="DB36" i="3" a="1"/>
  <c r="DB36" i="3" s="1"/>
  <c r="DR36" i="3" a="1"/>
  <c r="DR36" i="3" s="1"/>
  <c r="H36" i="3" a="1"/>
  <c r="H36" i="3" s="1"/>
  <c r="AQ36" i="3" a="1"/>
  <c r="AQ36" i="3" s="1"/>
  <c r="BG36" i="3" a="1"/>
  <c r="BG36" i="3" s="1"/>
  <c r="BW36" i="3" a="1"/>
  <c r="BW36" i="3" s="1"/>
  <c r="CM36" i="3" a="1"/>
  <c r="CM36" i="3" s="1"/>
  <c r="DC36" i="3" a="1"/>
  <c r="DC36" i="3" s="1"/>
  <c r="I36" i="3" a="1"/>
  <c r="I36" i="3" s="1"/>
  <c r="AR36" i="3" a="1"/>
  <c r="AR36" i="3" s="1"/>
  <c r="BH36" i="3" a="1"/>
  <c r="BH36" i="3" s="1"/>
  <c r="BX36" i="3" a="1"/>
  <c r="BX36" i="3" s="1"/>
  <c r="CN36" i="3" a="1"/>
  <c r="CN36" i="3" s="1"/>
  <c r="DD36" i="3" a="1"/>
  <c r="DD36" i="3" s="1"/>
  <c r="J36" i="3" a="1"/>
  <c r="J36" i="3" s="1"/>
  <c r="AS36" i="3" a="1"/>
  <c r="AS36" i="3" s="1"/>
  <c r="BI36" i="3" a="1"/>
  <c r="BI36" i="3" s="1"/>
  <c r="BY36" i="3" a="1"/>
  <c r="BY36" i="3" s="1"/>
  <c r="CO36" i="3" a="1"/>
  <c r="CO36" i="3" s="1"/>
  <c r="DE36" i="3" a="1"/>
  <c r="DE36" i="3" s="1"/>
  <c r="AD36" i="3" a="1"/>
  <c r="AD36" i="3" s="1"/>
  <c r="AT36" i="3" a="1"/>
  <c r="AT36" i="3" s="1"/>
  <c r="BJ36" i="3" a="1"/>
  <c r="BJ36" i="3" s="1"/>
  <c r="BZ36" i="3" a="1"/>
  <c r="BZ36" i="3" s="1"/>
  <c r="CP36" i="3" a="1"/>
  <c r="CP36" i="3" s="1"/>
  <c r="DF36" i="3" a="1"/>
  <c r="DF36" i="3" s="1"/>
  <c r="AE36" i="3" a="1"/>
  <c r="AE36" i="3" s="1"/>
  <c r="AU36" i="3" a="1"/>
  <c r="AU36" i="3" s="1"/>
  <c r="BK36" i="3" a="1"/>
  <c r="BK36" i="3" s="1"/>
  <c r="CA36" i="3" a="1"/>
  <c r="CA36" i="3" s="1"/>
  <c r="CQ36" i="3" a="1"/>
  <c r="CQ36" i="3" s="1"/>
  <c r="DG36" i="3" a="1"/>
  <c r="DG36" i="3" s="1"/>
  <c r="AF36" i="3" a="1"/>
  <c r="AF36" i="3" s="1"/>
  <c r="AV36" i="3" a="1"/>
  <c r="AV36" i="3" s="1"/>
  <c r="BL36" i="3" a="1"/>
  <c r="BL36" i="3" s="1"/>
  <c r="CB36" i="3" a="1"/>
  <c r="CB36" i="3" s="1"/>
  <c r="CR36" i="3" a="1"/>
  <c r="CR36" i="3" s="1"/>
  <c r="DH36" i="3" a="1"/>
  <c r="DH36" i="3" s="1"/>
  <c r="AG36" i="3" a="1"/>
  <c r="AG36" i="3" s="1"/>
  <c r="AW36" i="3" a="1"/>
  <c r="AW36" i="3" s="1"/>
  <c r="BM36" i="3" a="1"/>
  <c r="BM36" i="3" s="1"/>
  <c r="CC36" i="3" a="1"/>
  <c r="CC36" i="3" s="1"/>
  <c r="CS36" i="3" a="1"/>
  <c r="CS36" i="3" s="1"/>
  <c r="DI36" i="3" a="1"/>
  <c r="DI36" i="3" s="1"/>
  <c r="AH36" i="3" a="1"/>
  <c r="AH36" i="3" s="1"/>
  <c r="AX36" i="3" a="1"/>
  <c r="AX36" i="3" s="1"/>
  <c r="BN36" i="3" a="1"/>
  <c r="BN36" i="3" s="1"/>
  <c r="CD36" i="3" a="1"/>
  <c r="CD36" i="3" s="1"/>
  <c r="CT36" i="3" a="1"/>
  <c r="CT36" i="3" s="1"/>
  <c r="DJ36" i="3" a="1"/>
  <c r="DJ36" i="3" s="1"/>
  <c r="U36" i="3" a="1"/>
  <c r="U36" i="3" s="1"/>
  <c r="Q36" i="3" a="1"/>
  <c r="Q36" i="3" s="1"/>
  <c r="AA36" i="3" a="1"/>
  <c r="AA36" i="3" s="1"/>
  <c r="O36" i="3" a="1"/>
  <c r="O36" i="3" s="1"/>
  <c r="S36" i="3" a="1"/>
  <c r="S36" i="3" s="1"/>
  <c r="K36" i="3" a="1"/>
  <c r="K36" i="3" s="1"/>
  <c r="Z36" i="3" a="1"/>
  <c r="Z36" i="3" s="1"/>
  <c r="W36" i="3" a="1"/>
  <c r="W36" i="3" s="1"/>
  <c r="N36" i="3" a="1"/>
  <c r="N36" i="3" s="1"/>
  <c r="T36" i="3" a="1"/>
  <c r="T36" i="3" s="1"/>
  <c r="AB36" i="3" a="1"/>
  <c r="AB36" i="3" s="1"/>
  <c r="P36" i="3" a="1"/>
  <c r="P36" i="3" s="1"/>
  <c r="V36" i="3" a="1"/>
  <c r="V36" i="3" s="1"/>
  <c r="Y36" i="3" a="1"/>
  <c r="Y36" i="3" s="1"/>
  <c r="M36" i="3" a="1"/>
  <c r="M36" i="3" s="1"/>
  <c r="AC36" i="3" a="1"/>
  <c r="AC36" i="3" s="1"/>
  <c r="DG22" i="3" a="1"/>
  <c r="DG22" i="3" s="1"/>
  <c r="AH22" i="3" a="1"/>
  <c r="AH22" i="3" s="1"/>
  <c r="R36" i="3" a="1"/>
  <c r="R36" i="3" s="1"/>
  <c r="L35" i="3" a="1"/>
  <c r="L35" i="3" s="1"/>
  <c r="BG49" i="3" a="1"/>
  <c r="BG49" i="3" s="1"/>
  <c r="P35" i="3" a="1"/>
  <c r="P35" i="3" s="1"/>
  <c r="X35" i="3" a="1"/>
  <c r="X35" i="3" s="1"/>
  <c r="CY87" i="3" a="1"/>
  <c r="CY87" i="3" s="1"/>
  <c r="K22" i="3" a="1"/>
  <c r="K22" i="3" s="1"/>
  <c r="AB35" i="3" a="1"/>
  <c r="AB35" i="3" s="1"/>
  <c r="Q35" i="3" a="1"/>
  <c r="Q35" i="3" s="1"/>
  <c r="I22" i="3" a="1"/>
  <c r="I22" i="3" s="1"/>
  <c r="W87" i="3" a="1"/>
  <c r="W87" i="3" s="1"/>
  <c r="AC35" i="3" a="1"/>
  <c r="AC35" i="3" s="1"/>
  <c r="CF22" i="3" a="1"/>
  <c r="CF22" i="3" s="1"/>
  <c r="AM48" i="3" a="1"/>
  <c r="AM48" i="3" s="1"/>
  <c r="L48" i="3" a="1"/>
  <c r="L48" i="3" s="1"/>
  <c r="BB48" i="3" a="1"/>
  <c r="BB48" i="3" s="1"/>
  <c r="BL22" i="3" a="1"/>
  <c r="BL22" i="3" s="1"/>
  <c r="K35" i="3" a="1"/>
  <c r="K35" i="3" s="1"/>
  <c r="CQ87" i="3" a="1"/>
  <c r="CQ87" i="3" s="1"/>
  <c r="W35" i="3" a="1"/>
  <c r="W35" i="3" s="1"/>
  <c r="V22" i="3" a="1"/>
  <c r="V22" i="3" s="1"/>
  <c r="L36" i="3" a="1"/>
  <c r="L36" i="3" s="1"/>
  <c r="O53" i="26"/>
  <c r="Y9" i="2" s="1"/>
  <c r="X9" i="2" s="1" a="1"/>
  <c r="X9" i="2" s="1"/>
  <c r="C60" i="26"/>
  <c r="CP23" i="3" a="1"/>
  <c r="CP23" i="3" s="1"/>
  <c r="CZ87" i="3" a="1"/>
  <c r="CZ87" i="3" s="1"/>
  <c r="AO87" i="3" a="1"/>
  <c r="AO87" i="3" s="1"/>
  <c r="AA87" i="3" a="1"/>
  <c r="AA87" i="3" s="1"/>
  <c r="CL87" i="3" a="1"/>
  <c r="CL87" i="3" s="1"/>
  <c r="DN87" i="3" a="1"/>
  <c r="DN87" i="3" s="1"/>
  <c r="AQ48" i="3" a="1"/>
  <c r="AQ48" i="3" s="1"/>
  <c r="DP48" i="3" a="1"/>
  <c r="DP48" i="3" s="1"/>
  <c r="BC48" i="3" a="1"/>
  <c r="BC48" i="3" s="1"/>
  <c r="Q23" i="3" a="1"/>
  <c r="Q23" i="3" s="1"/>
  <c r="V23" i="3" a="1"/>
  <c r="V23" i="3" s="1"/>
  <c r="CB87" i="3" a="1"/>
  <c r="CB87" i="3" s="1"/>
  <c r="U87" i="3" a="1"/>
  <c r="U87" i="3" s="1"/>
  <c r="Q22" i="3" a="1"/>
  <c r="Q22" i="3" s="1"/>
  <c r="CE22" i="3" a="1"/>
  <c r="CE22" i="3" s="1"/>
  <c r="T22" i="3" a="1"/>
  <c r="T22" i="3" s="1"/>
  <c r="DK22" i="3" a="1"/>
  <c r="DK22" i="3" s="1"/>
  <c r="U23" i="3" a="1"/>
  <c r="U23" i="3" s="1"/>
  <c r="DN48" i="3" a="1"/>
  <c r="DN48" i="3" s="1"/>
  <c r="BM22" i="3" a="1"/>
  <c r="BM22" i="3" s="1"/>
  <c r="AI22" i="3" a="1"/>
  <c r="AI22" i="3" s="1"/>
  <c r="CN22" i="3" a="1"/>
  <c r="CN22" i="3" s="1"/>
  <c r="AL48" i="3" a="1"/>
  <c r="AL48" i="3" s="1"/>
  <c r="AJ23" i="3" a="1"/>
  <c r="AJ23" i="3" s="1"/>
  <c r="U22" i="3" a="1"/>
  <c r="U22" i="3" s="1"/>
  <c r="CB22" i="3" a="1"/>
  <c r="CB22" i="3" s="1"/>
  <c r="DF87" i="3" a="1"/>
  <c r="DF87" i="3" s="1"/>
  <c r="CE23" i="3" a="1"/>
  <c r="CE23" i="3" s="1"/>
  <c r="BR23" i="3" a="1"/>
  <c r="BR23" i="3" s="1"/>
  <c r="AK22" i="3" a="1"/>
  <c r="AK22" i="3" s="1"/>
  <c r="BB22" i="3" a="1"/>
  <c r="BB22" i="3" s="1"/>
  <c r="CY22" i="3" a="1"/>
  <c r="CY22" i="3" s="1"/>
  <c r="BI48" i="3" a="1"/>
  <c r="BI48" i="3" s="1"/>
  <c r="CU87" i="3" a="1"/>
  <c r="CU87" i="3" s="1"/>
  <c r="Z48" i="3" a="1"/>
  <c r="Z48" i="3" s="1"/>
  <c r="AD87" i="3" a="1"/>
  <c r="AD87" i="3" s="1"/>
  <c r="AI48" i="3" a="1"/>
  <c r="AI48" i="3" s="1"/>
  <c r="BF49" i="3" a="1"/>
  <c r="BF49" i="3" s="1"/>
  <c r="AI23" i="3" a="1"/>
  <c r="AI23" i="3" s="1"/>
  <c r="S23" i="3" a="1"/>
  <c r="S23" i="3" s="1"/>
  <c r="CW48" i="3" a="1"/>
  <c r="CW48" i="3" s="1"/>
  <c r="CL23" i="3" a="1"/>
  <c r="CL23" i="3" s="1"/>
  <c r="CD23" i="3" a="1"/>
  <c r="CD23" i="3" s="1"/>
  <c r="P48" i="3" a="1"/>
  <c r="P48" i="3" s="1"/>
  <c r="BG48" i="3" a="1"/>
  <c r="BG48" i="3" s="1"/>
  <c r="BE23" i="3" a="1"/>
  <c r="BE23" i="3" s="1"/>
  <c r="Z87" i="3" a="1"/>
  <c r="Z87" i="3" s="1"/>
  <c r="DM87" i="3" a="1"/>
  <c r="DM87" i="3" s="1"/>
  <c r="X87" i="3" a="1"/>
  <c r="X87" i="3" s="1"/>
  <c r="BJ48" i="3" a="1"/>
  <c r="BJ48" i="3" s="1"/>
  <c r="DB87" i="3" a="1"/>
  <c r="DB87" i="3" s="1"/>
  <c r="CC23" i="3" a="1"/>
  <c r="CC23" i="3" s="1"/>
  <c r="DB49" i="3" a="1"/>
  <c r="DB49" i="3" s="1"/>
  <c r="DA88" i="3" a="1"/>
  <c r="DA88" i="3" s="1"/>
  <c r="F87" i="3" a="1"/>
  <c r="F87" i="3" s="1"/>
  <c r="DQ48" i="3" a="1"/>
  <c r="DQ48" i="3" s="1"/>
  <c r="CF87" i="3" a="1"/>
  <c r="CF87" i="3" s="1"/>
  <c r="DL87" i="3" a="1"/>
  <c r="DL87" i="3" s="1"/>
  <c r="BS48" i="3" a="1"/>
  <c r="BS48" i="3" s="1"/>
  <c r="O87" i="3" a="1"/>
  <c r="O87" i="3" s="1"/>
  <c r="AV87" i="3" a="1"/>
  <c r="AV87" i="3" s="1"/>
  <c r="CI87" i="3" a="1"/>
  <c r="CI87" i="3" s="1"/>
  <c r="AP48" i="3" a="1"/>
  <c r="AP48" i="3" s="1"/>
  <c r="BR22" i="3" a="1"/>
  <c r="BR22" i="3" s="1"/>
  <c r="X22" i="3" a="1"/>
  <c r="X22" i="3" s="1"/>
  <c r="DR22" i="3" a="1"/>
  <c r="DR22" i="3" s="1"/>
  <c r="E22" i="3" a="1"/>
  <c r="E22" i="3" s="1"/>
  <c r="CH22" i="3" a="1"/>
  <c r="CH22" i="3" s="1"/>
  <c r="DB22" i="3" a="1"/>
  <c r="DB22" i="3" s="1"/>
  <c r="AP22" i="3" a="1"/>
  <c r="AP22" i="3" s="1"/>
  <c r="AT22" i="3" a="1"/>
  <c r="AT22" i="3" s="1"/>
  <c r="DE22" i="3" a="1"/>
  <c r="DE22" i="3" s="1"/>
  <c r="DH48" i="3" a="1"/>
  <c r="DH48" i="3" s="1"/>
  <c r="CT22" i="3" a="1"/>
  <c r="CT22" i="3" s="1"/>
  <c r="AX22" i="3" a="1"/>
  <c r="AX22" i="3" s="1"/>
  <c r="BU22" i="3" a="1"/>
  <c r="BU22" i="3" s="1"/>
  <c r="Z22" i="3" a="1"/>
  <c r="Z22" i="3" s="1"/>
  <c r="AL22" i="3" a="1"/>
  <c r="AL22" i="3" s="1"/>
  <c r="AW22" i="3" a="1"/>
  <c r="AW22" i="3" s="1"/>
  <c r="CH48" i="3" a="1"/>
  <c r="CH48" i="3" s="1"/>
  <c r="BC22" i="3" a="1"/>
  <c r="BC22" i="3" s="1"/>
  <c r="AS48" i="3" a="1"/>
  <c r="AS48" i="3" s="1"/>
  <c r="CK22" i="3" a="1"/>
  <c r="CK22" i="3" s="1"/>
  <c r="CQ22" i="3" a="1"/>
  <c r="CQ22" i="3" s="1"/>
  <c r="CI22" i="3" a="1"/>
  <c r="CI22" i="3" s="1"/>
  <c r="AU22" i="3" a="1"/>
  <c r="AU22" i="3" s="1"/>
  <c r="P22" i="3" a="1"/>
  <c r="P22" i="3" s="1"/>
  <c r="AG61" i="3" a="1"/>
  <c r="AG61" i="3" s="1"/>
  <c r="AO22" i="3" a="1"/>
  <c r="AO22" i="3" s="1"/>
  <c r="BB87" i="3" a="1"/>
  <c r="BB87" i="3" s="1"/>
  <c r="DA22" i="3" a="1"/>
  <c r="DA22" i="3" s="1"/>
  <c r="DD22" i="3" a="1"/>
  <c r="DD22" i="3" s="1"/>
  <c r="DG87" i="3" a="1"/>
  <c r="DG87" i="3" s="1"/>
  <c r="BZ48" i="3" a="1"/>
  <c r="BZ48" i="3" s="1"/>
  <c r="CT87" i="3" a="1"/>
  <c r="CT87" i="3" s="1"/>
  <c r="CX22" i="3" a="1"/>
  <c r="CX22" i="3" s="1"/>
  <c r="D87" i="3" a="1"/>
  <c r="D87" i="3" s="1"/>
  <c r="CV48" i="3" a="1"/>
  <c r="CV48" i="3" s="1"/>
  <c r="Y48" i="3" a="1"/>
  <c r="Y48" i="3" s="1"/>
  <c r="CJ48" i="3" a="1"/>
  <c r="CJ48" i="3" s="1"/>
  <c r="BX48" i="3" a="1"/>
  <c r="BX48" i="3" s="1"/>
  <c r="CA22" i="3" a="1"/>
  <c r="CA22" i="3" s="1"/>
  <c r="AV22" i="3" a="1"/>
  <c r="AV22" i="3" s="1"/>
  <c r="CP48" i="3" a="1"/>
  <c r="CP48" i="3" s="1"/>
  <c r="AY22" i="3" a="1"/>
  <c r="AY22" i="3" s="1"/>
  <c r="W23" i="3" a="1"/>
  <c r="W23" i="3" s="1"/>
  <c r="CV23" i="3" a="1"/>
  <c r="CV23" i="3" s="1"/>
  <c r="K23" i="3" a="1"/>
  <c r="K23" i="3" s="1"/>
  <c r="DI23" i="3" a="1"/>
  <c r="DI23" i="3" s="1"/>
  <c r="AY23" i="3" a="1"/>
  <c r="AY23" i="3" s="1"/>
  <c r="AO23" i="3" a="1"/>
  <c r="AO23" i="3" s="1"/>
  <c r="CX23" i="3" a="1"/>
  <c r="CX23" i="3" s="1"/>
  <c r="AU23" i="3" a="1"/>
  <c r="AU23" i="3" s="1"/>
  <c r="Z23" i="3" a="1"/>
  <c r="Z23" i="3" s="1"/>
  <c r="C23" i="3" a="1"/>
  <c r="C23" i="3" s="1"/>
  <c r="CB23" i="3" a="1"/>
  <c r="CB23" i="3" s="1"/>
  <c r="DA23" i="3" a="1"/>
  <c r="DA23" i="3" s="1"/>
  <c r="U48" i="3" a="1"/>
  <c r="U48" i="3" s="1"/>
  <c r="G23" i="3" a="1"/>
  <c r="G23" i="3" s="1"/>
  <c r="DQ23" i="3" a="1"/>
  <c r="DQ23" i="3" s="1"/>
  <c r="CW22" i="3" a="1"/>
  <c r="CW22" i="3" s="1"/>
  <c r="AG22" i="3" a="1"/>
  <c r="AG22" i="3" s="1"/>
  <c r="BY48" i="3" a="1"/>
  <c r="BY48" i="3" s="1"/>
  <c r="BO22" i="3" a="1"/>
  <c r="BO22" i="3" s="1"/>
  <c r="DD23" i="3" a="1"/>
  <c r="DD23" i="3" s="1"/>
  <c r="CS23" i="3" a="1"/>
  <c r="CS23" i="3" s="1"/>
  <c r="BQ48" i="3" a="1"/>
  <c r="BQ48" i="3" s="1"/>
  <c r="AH87" i="3" a="1"/>
  <c r="AH87" i="3" s="1"/>
  <c r="AJ87" i="3" a="1"/>
  <c r="AJ87" i="3" s="1"/>
  <c r="I87" i="3" a="1"/>
  <c r="I87" i="3" s="1"/>
  <c r="AD22" i="3" a="1"/>
  <c r="AD22" i="3" s="1"/>
  <c r="CO22" i="3" a="1"/>
  <c r="CO22" i="3" s="1"/>
  <c r="DI87" i="3" a="1"/>
  <c r="DI87" i="3" s="1"/>
  <c r="BV22" i="3" a="1"/>
  <c r="BV22" i="3" s="1"/>
  <c r="C22" i="3" a="1"/>
  <c r="C22" i="3" s="1"/>
  <c r="AS23" i="3" a="1"/>
  <c r="AS23" i="3" s="1"/>
  <c r="DR88" i="3" a="1"/>
  <c r="DR88" i="3" s="1"/>
  <c r="DE23" i="3" a="1"/>
  <c r="DE23" i="3" s="1"/>
  <c r="AX23" i="3" a="1"/>
  <c r="AX23" i="3" s="1"/>
  <c r="AH23" i="3" a="1"/>
  <c r="AH23" i="3" s="1"/>
  <c r="DM23" i="3" a="1"/>
  <c r="DM23" i="3" s="1"/>
  <c r="D49" i="3" a="1"/>
  <c r="D49" i="3" s="1"/>
  <c r="O23" i="3" a="1"/>
  <c r="O23" i="3" s="1"/>
  <c r="AF23" i="3" a="1"/>
  <c r="AF23" i="3" s="1"/>
  <c r="V48" i="3" a="1"/>
  <c r="V48" i="3" s="1"/>
  <c r="CS87" i="3" a="1"/>
  <c r="CS87" i="3" s="1"/>
  <c r="AM23" i="3" a="1"/>
  <c r="AM23" i="3" s="1"/>
  <c r="T87" i="3" a="1"/>
  <c r="T87" i="3" s="1"/>
  <c r="BU48" i="3" a="1"/>
  <c r="BU48" i="3" s="1"/>
  <c r="BH87" i="3" a="1"/>
  <c r="BH87" i="3" s="1"/>
  <c r="L23" i="3" a="1"/>
  <c r="L23" i="3" s="1"/>
  <c r="N23" i="3" a="1"/>
  <c r="N23" i="3" s="1"/>
  <c r="AN23" i="3" a="1"/>
  <c r="AN23" i="3" s="1"/>
  <c r="DJ23" i="3" a="1"/>
  <c r="DJ23" i="3" s="1"/>
  <c r="CK87" i="3" a="1"/>
  <c r="CK87" i="3" s="1"/>
  <c r="CE87" i="3" a="1"/>
  <c r="CE87" i="3" s="1"/>
  <c r="AZ48" i="3" a="1"/>
  <c r="AZ48" i="3" s="1"/>
  <c r="CD87" i="3" a="1"/>
  <c r="CD87" i="3" s="1"/>
  <c r="AA22" i="3" a="1"/>
  <c r="AA22" i="3" s="1"/>
  <c r="CP87" i="3" a="1"/>
  <c r="CP87" i="3" s="1"/>
  <c r="Y87" i="3" a="1"/>
  <c r="Y87" i="3" s="1"/>
  <c r="P87" i="3" a="1"/>
  <c r="P87" i="3" s="1"/>
  <c r="AC48" i="3" a="1"/>
  <c r="AC48" i="3" s="1"/>
  <c r="BB23" i="3" a="1"/>
  <c r="BB23" i="3" s="1"/>
  <c r="CY23" i="3" a="1"/>
  <c r="CY23" i="3" s="1"/>
  <c r="BW49" i="3" a="1"/>
  <c r="BW49" i="3" s="1"/>
  <c r="BZ23" i="3" a="1"/>
  <c r="BZ23" i="3" s="1"/>
  <c r="CW23" i="3" a="1"/>
  <c r="CW23" i="3" s="1"/>
  <c r="AL23" i="3" a="1"/>
  <c r="AL23" i="3" s="1"/>
  <c r="K88" i="3" a="1"/>
  <c r="K88" i="3" s="1"/>
  <c r="AP23" i="3" a="1"/>
  <c r="AP23" i="3" s="1"/>
  <c r="BT23" i="3" a="1"/>
  <c r="BT23" i="3" s="1"/>
  <c r="BW87" i="3" a="1"/>
  <c r="BW87" i="3" s="1"/>
  <c r="AZ23" i="3" a="1"/>
  <c r="AZ23" i="3" s="1"/>
  <c r="DH23" i="3" a="1"/>
  <c r="DH23" i="3" s="1"/>
  <c r="DK23" i="3" a="1"/>
  <c r="DK23" i="3" s="1"/>
  <c r="CM23" i="3" a="1"/>
  <c r="CM23" i="3" s="1"/>
  <c r="BV87" i="3" a="1"/>
  <c r="BV87" i="3" s="1"/>
  <c r="BK22" i="3" a="1"/>
  <c r="BK22" i="3" s="1"/>
  <c r="CV22" i="3" a="1"/>
  <c r="CV22" i="3" s="1"/>
  <c r="BU23" i="3" a="1"/>
  <c r="BU23" i="3" s="1"/>
  <c r="BA22" i="3" a="1"/>
  <c r="BA22" i="3" s="1"/>
  <c r="CU48" i="3" a="1"/>
  <c r="CU48" i="3" s="1"/>
  <c r="AJ48" i="3" a="1"/>
  <c r="AJ48" i="3" s="1"/>
  <c r="G22" i="3" a="1"/>
  <c r="G22" i="3" s="1"/>
  <c r="H87" i="3" a="1"/>
  <c r="H87" i="3" s="1"/>
  <c r="J87" i="3" a="1"/>
  <c r="J87" i="3" s="1"/>
  <c r="CA87" i="3" a="1"/>
  <c r="CA87" i="3" s="1"/>
  <c r="BM48" i="3" a="1"/>
  <c r="BM48" i="3" s="1"/>
  <c r="BD48" i="3" a="1"/>
  <c r="BD48" i="3" s="1"/>
  <c r="BF23" i="3" a="1"/>
  <c r="BF23" i="3" s="1"/>
  <c r="CF23" i="3" a="1"/>
  <c r="CF23" i="3" s="1"/>
  <c r="DG23" i="3" a="1"/>
  <c r="DG23" i="3" s="1"/>
  <c r="AV23" i="3" a="1"/>
  <c r="AV23" i="3" s="1"/>
  <c r="DB23" i="3" a="1"/>
  <c r="DB23" i="3" s="1"/>
  <c r="CG23" i="3" a="1"/>
  <c r="CG23" i="3" s="1"/>
  <c r="BS23" i="3" a="1"/>
  <c r="BS23" i="3" s="1"/>
  <c r="H23" i="3" a="1"/>
  <c r="H23" i="3" s="1"/>
  <c r="E23" i="3" a="1"/>
  <c r="E23" i="3" s="1"/>
  <c r="R88" i="3" a="1"/>
  <c r="R88" i="3" s="1"/>
  <c r="DL23" i="3" a="1"/>
  <c r="DL23" i="3" s="1"/>
  <c r="BC23" i="3" a="1"/>
  <c r="BC23" i="3" s="1"/>
  <c r="CQ23" i="3" a="1"/>
  <c r="CQ23" i="3" s="1"/>
  <c r="CA23" i="3" a="1"/>
  <c r="CA23" i="3" s="1"/>
  <c r="AW23" i="3" a="1"/>
  <c r="AW23" i="3" s="1"/>
  <c r="CU23" i="3" a="1"/>
  <c r="CU23" i="3" s="1"/>
  <c r="BQ23" i="3" a="1"/>
  <c r="BQ23" i="3" s="1"/>
  <c r="BP87" i="3" a="1"/>
  <c r="BP87" i="3" s="1"/>
  <c r="I48" i="3" a="1"/>
  <c r="I48" i="3" s="1"/>
  <c r="DN22" i="3" a="1"/>
  <c r="DN22" i="3" s="1"/>
  <c r="AN22" i="3" a="1"/>
  <c r="AN22" i="3" s="1"/>
  <c r="CJ87" i="3" a="1"/>
  <c r="CJ87" i="3" s="1"/>
  <c r="BK48" i="3" a="1"/>
  <c r="BK48" i="3" s="1"/>
  <c r="DA48" i="3" a="1"/>
  <c r="DA48" i="3" s="1"/>
  <c r="AU87" i="3" a="1"/>
  <c r="AU87" i="3" s="1"/>
  <c r="AF48" i="3" a="1"/>
  <c r="AF48" i="3" s="1"/>
  <c r="N87" i="3" a="1"/>
  <c r="N87" i="3" s="1"/>
  <c r="BW22" i="3" a="1"/>
  <c r="BW22" i="3" s="1"/>
  <c r="D23" i="3" a="1"/>
  <c r="D23" i="3" s="1"/>
  <c r="CI23" i="3" a="1"/>
  <c r="CI23" i="3" s="1"/>
  <c r="AB23" i="3" a="1"/>
  <c r="AB23" i="3" s="1"/>
  <c r="BL23" i="3" a="1"/>
  <c r="BL23" i="3" s="1"/>
  <c r="BM23" i="3" a="1"/>
  <c r="BM23" i="3" s="1"/>
  <c r="CJ23" i="3" a="1"/>
  <c r="CJ23" i="3" s="1"/>
  <c r="AK23" i="3" a="1"/>
  <c r="AK23" i="3" s="1"/>
  <c r="CH23" i="3" a="1"/>
  <c r="CH23" i="3" s="1"/>
  <c r="CO23" i="3" a="1"/>
  <c r="CO23" i="3" s="1"/>
  <c r="AT23" i="3" a="1"/>
  <c r="AT23" i="3" s="1"/>
  <c r="DO23" i="3" a="1"/>
  <c r="DO23" i="3" s="1"/>
  <c r="BH23" i="3" a="1"/>
  <c r="BH23" i="3" s="1"/>
  <c r="M23" i="3" a="1"/>
  <c r="M23" i="3" s="1"/>
  <c r="BO23" i="3" a="1"/>
  <c r="BO23" i="3" s="1"/>
  <c r="R23" i="3" a="1"/>
  <c r="R23" i="3" s="1"/>
  <c r="CA48" i="3" a="1"/>
  <c r="CA48" i="3" s="1"/>
  <c r="T23" i="3" a="1"/>
  <c r="T23" i="3" s="1"/>
  <c r="DN23" i="3" a="1"/>
  <c r="DN23" i="3" s="1"/>
  <c r="BO49" i="3" a="1"/>
  <c r="BO49" i="3" s="1"/>
  <c r="BW23" i="3" a="1"/>
  <c r="BW23" i="3" s="1"/>
  <c r="AE23" i="3" a="1"/>
  <c r="AE23" i="3" s="1"/>
  <c r="AD23" i="3" a="1"/>
  <c r="AD23" i="3" s="1"/>
  <c r="DK48" i="3" a="1"/>
  <c r="DK48" i="3" s="1"/>
  <c r="H48" i="3" a="1"/>
  <c r="H48" i="3" s="1"/>
  <c r="V87" i="3" a="1"/>
  <c r="V87" i="3" s="1"/>
  <c r="BT22" i="3" a="1"/>
  <c r="BT22" i="3" s="1"/>
  <c r="BD87" i="3" a="1"/>
  <c r="BD87" i="3" s="1"/>
  <c r="BJ22" i="3" a="1"/>
  <c r="BJ22" i="3" s="1"/>
  <c r="N22" i="3" a="1"/>
  <c r="N22" i="3" s="1"/>
  <c r="DI22" i="3" a="1"/>
  <c r="DI22" i="3" s="1"/>
  <c r="AF87" i="3" a="1"/>
  <c r="AF87" i="3" s="1"/>
  <c r="BF22" i="3" a="1"/>
  <c r="BF22" i="3" s="1"/>
  <c r="BG22" i="3" a="1"/>
  <c r="BG22" i="3" s="1"/>
  <c r="T49" i="3" a="1"/>
  <c r="T49" i="3" s="1"/>
  <c r="I23" i="3" a="1"/>
  <c r="I23" i="3" s="1"/>
  <c r="BP23" i="3" a="1"/>
  <c r="BP23" i="3" s="1"/>
  <c r="BE87" i="3" a="1"/>
  <c r="BE87" i="3" s="1"/>
  <c r="AZ87" i="3" a="1"/>
  <c r="AZ87" i="3" s="1"/>
  <c r="CX87" i="3" a="1"/>
  <c r="CX87" i="3" s="1"/>
  <c r="BT87" i="3" a="1"/>
  <c r="BT87" i="3" s="1"/>
  <c r="CO87" i="3" a="1"/>
  <c r="CO87" i="3" s="1"/>
  <c r="CR48" i="3" a="1"/>
  <c r="CR48" i="3" s="1"/>
  <c r="DH87" i="3" a="1"/>
  <c r="DH87" i="3" s="1"/>
  <c r="AF49" i="3" a="1"/>
  <c r="AF49" i="3" s="1"/>
  <c r="AR87" i="3" a="1"/>
  <c r="AR87" i="3" s="1"/>
  <c r="Q87" i="3" a="1"/>
  <c r="Q87" i="3" s="1"/>
  <c r="R48" i="3" a="1"/>
  <c r="R48" i="3" s="1"/>
  <c r="DK87" i="3" a="1"/>
  <c r="DK87" i="3" s="1"/>
  <c r="BN87" i="3" a="1"/>
  <c r="BN87" i="3" s="1"/>
  <c r="AO48" i="3" a="1"/>
  <c r="AO48" i="3" s="1"/>
  <c r="BS87" i="3" a="1"/>
  <c r="BS87" i="3" s="1"/>
  <c r="X48" i="3" a="1"/>
  <c r="X48" i="3" s="1"/>
  <c r="DD87" i="3" a="1"/>
  <c r="DD87" i="3" s="1"/>
  <c r="AE48" i="3" a="1"/>
  <c r="AE48" i="3" s="1"/>
  <c r="CS48" i="3" a="1"/>
  <c r="CS48" i="3" s="1"/>
  <c r="AA88" i="3" a="1"/>
  <c r="AA88" i="3" s="1"/>
  <c r="BX23" i="3" a="1"/>
  <c r="BX23" i="3" s="1"/>
  <c r="BG23" i="3" a="1"/>
  <c r="BG23" i="3" s="1"/>
  <c r="AR23" i="3" a="1"/>
  <c r="AR23" i="3" s="1"/>
  <c r="BK23" i="3" a="1"/>
  <c r="BK23" i="3" s="1"/>
  <c r="P23" i="3" a="1"/>
  <c r="P23" i="3" s="1"/>
  <c r="AA23" i="3" a="1"/>
  <c r="AA23" i="3" s="1"/>
  <c r="CX48" i="3" a="1"/>
  <c r="CX48" i="3" s="1"/>
  <c r="BQ87" i="3" a="1"/>
  <c r="BQ87" i="3" s="1"/>
  <c r="DO48" i="3" a="1"/>
  <c r="DO48" i="3" s="1"/>
  <c r="AN87" i="3" a="1"/>
  <c r="AN87" i="3" s="1"/>
  <c r="AY87" i="3" a="1"/>
  <c r="AY87" i="3" s="1"/>
  <c r="BP48" i="3" a="1"/>
  <c r="BP48" i="3" s="1"/>
  <c r="DO87" i="3" a="1"/>
  <c r="DO87" i="3" s="1"/>
  <c r="L87" i="3" a="1"/>
  <c r="L87" i="3" s="1"/>
  <c r="AW87" i="3" a="1"/>
  <c r="AW87" i="3" s="1"/>
  <c r="F23" i="3" a="1"/>
  <c r="F23" i="3" s="1"/>
  <c r="J23" i="3" a="1"/>
  <c r="J23" i="3" s="1"/>
  <c r="AC23" i="3" a="1"/>
  <c r="AC23" i="3" s="1"/>
  <c r="CN23" i="3" a="1"/>
  <c r="CN23" i="3" s="1"/>
  <c r="BI23" i="3" a="1"/>
  <c r="BI23" i="3" s="1"/>
  <c r="AG23" i="3" a="1"/>
  <c r="AG23" i="3" s="1"/>
  <c r="DP23" i="3" a="1"/>
  <c r="DP23" i="3" s="1"/>
  <c r="CK23" i="3" a="1"/>
  <c r="CK23" i="3" s="1"/>
  <c r="AB87" i="3" a="1"/>
  <c r="AB87" i="3" s="1"/>
  <c r="D48" i="3" a="1"/>
  <c r="D48" i="3" s="1"/>
  <c r="AT48" i="3" a="1"/>
  <c r="AT48" i="3" s="1"/>
  <c r="AI87" i="3" a="1"/>
  <c r="AI87" i="3" s="1"/>
  <c r="BF48" i="3" a="1"/>
  <c r="BF48" i="3" s="1"/>
  <c r="CZ48" i="3" a="1"/>
  <c r="CZ48" i="3" s="1"/>
  <c r="CB48" i="3" a="1"/>
  <c r="CB48" i="3" s="1"/>
  <c r="CC87" i="3" a="1"/>
  <c r="CC87" i="3" s="1"/>
  <c r="DR23" i="3" a="1"/>
  <c r="DR23" i="3" s="1"/>
  <c r="BV23" i="3" a="1"/>
  <c r="BV23" i="3" s="1"/>
  <c r="BY23" i="3" a="1"/>
  <c r="BY23" i="3" s="1"/>
  <c r="BJ23" i="3" a="1"/>
  <c r="BJ23" i="3" s="1"/>
  <c r="DC23" i="3" a="1"/>
  <c r="DC23" i="3" s="1"/>
  <c r="Y23" i="3" a="1"/>
  <c r="Y23" i="3" s="1"/>
  <c r="CT23" i="3" a="1"/>
  <c r="CT23" i="3" s="1"/>
  <c r="DI75" i="3" a="1"/>
  <c r="DI75" i="3" s="1"/>
  <c r="AV75" i="3" a="1"/>
  <c r="AV75" i="3" s="1"/>
  <c r="P75" i="3" a="1"/>
  <c r="P75" i="3" s="1"/>
  <c r="CP75" i="3" a="1"/>
  <c r="CP75" i="3" s="1"/>
  <c r="BX63" i="3" a="1"/>
  <c r="BX63" i="3" s="1"/>
  <c r="AB75" i="3" a="1"/>
  <c r="AB75" i="3" s="1"/>
  <c r="CB63" i="3" a="1"/>
  <c r="CB63" i="3" s="1"/>
  <c r="CC75" i="3" a="1"/>
  <c r="CC75" i="3" s="1"/>
  <c r="AW75" i="3" a="1"/>
  <c r="AW75" i="3" s="1"/>
  <c r="AG75" i="3" a="1"/>
  <c r="AG75" i="3" s="1"/>
  <c r="CS63" i="3" a="1"/>
  <c r="CS63" i="3" s="1"/>
  <c r="BL63" i="3" a="1"/>
  <c r="BL63" i="3" s="1"/>
  <c r="DF75" i="3" a="1"/>
  <c r="DF75" i="3" s="1"/>
  <c r="N75" i="3" a="1"/>
  <c r="N75" i="3" s="1"/>
  <c r="CS75" i="3" a="1"/>
  <c r="CS75" i="3" s="1"/>
  <c r="CR63" i="3" a="1"/>
  <c r="CR63" i="3" s="1"/>
  <c r="CR75" i="3" a="1"/>
  <c r="CR75" i="3" s="1"/>
  <c r="BZ63" i="3" a="1"/>
  <c r="BZ63" i="3" s="1"/>
  <c r="Q75" i="3" a="1"/>
  <c r="Q75" i="3" s="1"/>
  <c r="CP63" i="3" a="1"/>
  <c r="CP63" i="3" s="1"/>
  <c r="DI63" i="3" a="1"/>
  <c r="DI63" i="3" s="1"/>
  <c r="CC63" i="3" a="1"/>
  <c r="CC63" i="3" s="1"/>
  <c r="BM63" i="3" a="1"/>
  <c r="BM63" i="3" s="1"/>
  <c r="DH75" i="3" a="1"/>
  <c r="DH75" i="3" s="1"/>
  <c r="BL75" i="3" a="1"/>
  <c r="BL75" i="3" s="1"/>
  <c r="AT75" i="3" a="1"/>
  <c r="AT75" i="3" s="1"/>
  <c r="AT63" i="3" a="1"/>
  <c r="AT63" i="3" s="1"/>
  <c r="AD75" i="3" a="1"/>
  <c r="AD75" i="3" s="1"/>
  <c r="M75" i="3" a="1"/>
  <c r="M75" i="3" s="1"/>
  <c r="AR63" i="3" a="1"/>
  <c r="AR63" i="3" s="1"/>
  <c r="AU63" i="3" a="1"/>
  <c r="AU63" i="3" s="1"/>
  <c r="AA75" i="3" a="1"/>
  <c r="AA75" i="3" s="1"/>
  <c r="CL75" i="3" a="1"/>
  <c r="CL75" i="3" s="1"/>
  <c r="BJ63" i="3" a="1"/>
  <c r="BJ63" i="3" s="1"/>
  <c r="DE75" i="3" a="1"/>
  <c r="DE75" i="3" s="1"/>
  <c r="CN63" i="3" a="1"/>
  <c r="CN63" i="3" s="1"/>
  <c r="CQ75" i="3" a="1"/>
  <c r="CQ75" i="3" s="1"/>
  <c r="L63" i="3" a="1"/>
  <c r="L63" i="3" s="1"/>
  <c r="BG63" i="3" a="1"/>
  <c r="BG63" i="3" s="1"/>
  <c r="CA75" i="3" a="1"/>
  <c r="CA75" i="3" s="1"/>
  <c r="AQ75" i="3" a="1"/>
  <c r="AQ75" i="3" s="1"/>
  <c r="AW63" i="3" a="1"/>
  <c r="AW63" i="3" s="1"/>
  <c r="BM75" i="3" a="1"/>
  <c r="BM75" i="3" s="1"/>
  <c r="CB75" i="3" a="1"/>
  <c r="CB75" i="3" s="1"/>
  <c r="AV63" i="3" a="1"/>
  <c r="AV63" i="3" s="1"/>
  <c r="M63" i="3" a="1"/>
  <c r="M63" i="3" s="1"/>
  <c r="CA63" i="3" a="1"/>
  <c r="CA63" i="3" s="1"/>
  <c r="O75" i="3" a="1"/>
  <c r="O75" i="3" s="1"/>
  <c r="BW75" i="3" a="1"/>
  <c r="BW75" i="3" s="1"/>
  <c r="Z75" i="3" a="1"/>
  <c r="Z75" i="3" s="1"/>
  <c r="AG63" i="3" a="1"/>
  <c r="AG63" i="3" s="1"/>
  <c r="Q63" i="3" a="1"/>
  <c r="Q63" i="3" s="1"/>
  <c r="AD63" i="3" a="1"/>
  <c r="AD63" i="3" s="1"/>
  <c r="BI75" i="3" a="1"/>
  <c r="BI75" i="3" s="1"/>
  <c r="BH63" i="3" a="1"/>
  <c r="BH63" i="3" s="1"/>
  <c r="AU75" i="3" a="1"/>
  <c r="AU75" i="3" s="1"/>
  <c r="AQ63" i="3" a="1"/>
  <c r="AQ63" i="3" s="1"/>
  <c r="DH63" i="3" a="1"/>
  <c r="DH63" i="3" s="1"/>
  <c r="P63" i="3" a="1"/>
  <c r="P63" i="3" s="1"/>
  <c r="BZ75" i="3" a="1"/>
  <c r="BZ75" i="3" s="1"/>
  <c r="DE63" i="3" a="1"/>
  <c r="DE63" i="3" s="1"/>
  <c r="CO63" i="3" a="1"/>
  <c r="CO63" i="3" s="1"/>
  <c r="BI63" i="3" a="1"/>
  <c r="BI63" i="3" s="1"/>
  <c r="AS75" i="3" a="1"/>
  <c r="AS75" i="3" s="1"/>
  <c r="CN75" i="3" a="1"/>
  <c r="CN75" i="3" s="1"/>
  <c r="AE75" i="3" a="1"/>
  <c r="AE75" i="3" s="1"/>
  <c r="AF63" i="3" a="1"/>
  <c r="AF63" i="3" s="1"/>
  <c r="CO75" i="3" a="1"/>
  <c r="CO75" i="3" s="1"/>
  <c r="BY75" i="3" a="1"/>
  <c r="BY75" i="3" s="1"/>
  <c r="AE63" i="3" a="1"/>
  <c r="AE63" i="3" s="1"/>
  <c r="DQ63" i="3" a="1"/>
  <c r="DQ63" i="3" s="1"/>
  <c r="BE63" i="3" a="1"/>
  <c r="BE63" i="3" s="1"/>
  <c r="AN63" i="3" a="1"/>
  <c r="AN63" i="3" s="1"/>
  <c r="CM75" i="3" a="1"/>
  <c r="CM75" i="3" s="1"/>
  <c r="AP63" i="3" a="1"/>
  <c r="AP63" i="3" s="1"/>
  <c r="DQ75" i="3" a="1"/>
  <c r="DQ75" i="3" s="1"/>
  <c r="I63" i="3" a="1"/>
  <c r="I63" i="3" s="1"/>
  <c r="BT75" i="3" a="1"/>
  <c r="BT75" i="3" s="1"/>
  <c r="BK63" i="3" a="1"/>
  <c r="BK63" i="3" s="1"/>
  <c r="K63" i="3" a="1"/>
  <c r="K63" i="3" s="1"/>
  <c r="AO75" i="3" a="1"/>
  <c r="AO75" i="3" s="1"/>
  <c r="AO63" i="3" a="1"/>
  <c r="AO63" i="3" s="1"/>
  <c r="BT63" i="3" a="1"/>
  <c r="BT63" i="3" s="1"/>
  <c r="CI75" i="3" a="1"/>
  <c r="CI75" i="3" s="1"/>
  <c r="CI63" i="3" a="1"/>
  <c r="CI63" i="3" s="1"/>
  <c r="DG63" i="3" a="1"/>
  <c r="DG63" i="3" s="1"/>
  <c r="AA63" i="3" a="1"/>
  <c r="AA63" i="3" s="1"/>
  <c r="DB75" i="3" a="1"/>
  <c r="DB75" i="3" s="1"/>
  <c r="DA75" i="3" a="1"/>
  <c r="DA75" i="3" s="1"/>
  <c r="CZ63" i="3" a="1"/>
  <c r="CZ63" i="3" s="1"/>
  <c r="BX75" i="3" a="1"/>
  <c r="BX75" i="3" s="1"/>
  <c r="DD63" i="3" a="1"/>
  <c r="DD63" i="3" s="1"/>
  <c r="L75" i="3" a="1"/>
  <c r="L75" i="3" s="1"/>
  <c r="DC75" i="3" a="1"/>
  <c r="DC75" i="3" s="1"/>
  <c r="DA63" i="3" a="1"/>
  <c r="DA63" i="3" s="1"/>
  <c r="BU75" i="3" a="1"/>
  <c r="BU75" i="3" s="1"/>
  <c r="DP75" i="3" a="1"/>
  <c r="DP75" i="3" s="1"/>
  <c r="N63" i="3" a="1"/>
  <c r="N63" i="3" s="1"/>
  <c r="AC75" i="3" a="1"/>
  <c r="AC75" i="3" s="1"/>
  <c r="BH75" i="3" a="1"/>
  <c r="BH75" i="3" s="1"/>
  <c r="DG75" i="3" a="1"/>
  <c r="DG75" i="3" s="1"/>
  <c r="CQ63" i="3" a="1"/>
  <c r="CQ63" i="3" s="1"/>
  <c r="O63" i="3" a="1"/>
  <c r="O63" i="3" s="1"/>
  <c r="K75" i="3" a="1"/>
  <c r="K75" i="3" s="1"/>
  <c r="CL63" i="3" a="1"/>
  <c r="CL63" i="3" s="1"/>
  <c r="BF75" i="3" a="1"/>
  <c r="BF75" i="3" s="1"/>
  <c r="BE75" i="3" a="1"/>
  <c r="BE75" i="3" s="1"/>
  <c r="AF75" i="3" a="1"/>
  <c r="AF75" i="3" s="1"/>
  <c r="CM63" i="3" a="1"/>
  <c r="CM63" i="3" s="1"/>
  <c r="BG75" i="3" a="1"/>
  <c r="BG75" i="3" s="1"/>
  <c r="J75" i="3" a="1"/>
  <c r="J75" i="3" s="1"/>
  <c r="CK75" i="3" a="1"/>
  <c r="CK75" i="3" s="1"/>
  <c r="CZ75" i="3" a="1"/>
  <c r="CZ75" i="3" s="1"/>
  <c r="X75" i="3" a="1"/>
  <c r="X75" i="3" s="1"/>
  <c r="AB63" i="3" a="1"/>
  <c r="AB63" i="3" s="1"/>
  <c r="CY75" i="3" a="1"/>
  <c r="CY75" i="3" s="1"/>
  <c r="CY63" i="3" a="1"/>
  <c r="CY63" i="3" s="1"/>
  <c r="CV63" i="3" a="1"/>
  <c r="CV63" i="3" s="1"/>
  <c r="DD75" i="3" a="1"/>
  <c r="DD75" i="3" s="1"/>
  <c r="BV75" i="3" a="1"/>
  <c r="BV75" i="3" s="1"/>
  <c r="BD75" i="3" a="1"/>
  <c r="BD75" i="3" s="1"/>
  <c r="BC75" i="3" a="1"/>
  <c r="BC75" i="3" s="1"/>
  <c r="DR63" i="3" a="1"/>
  <c r="DR63" i="3" s="1"/>
  <c r="J63" i="3" a="1"/>
  <c r="J63" i="3" s="1"/>
  <c r="CJ63" i="3" a="1"/>
  <c r="CJ63" i="3" s="1"/>
  <c r="BJ75" i="3" a="1"/>
  <c r="BJ75" i="3" s="1"/>
  <c r="AC63" i="3" a="1"/>
  <c r="AC63" i="3" s="1"/>
  <c r="Y63" i="3" a="1"/>
  <c r="Y63" i="3" s="1"/>
  <c r="BV63" i="3" a="1"/>
  <c r="BV63" i="3" s="1"/>
  <c r="BU63" i="3" a="1"/>
  <c r="BU63" i="3" s="1"/>
  <c r="DO75" i="3" a="1"/>
  <c r="DO75" i="3" s="1"/>
  <c r="BC63" i="3" a="1"/>
  <c r="BC63" i="3" s="1"/>
  <c r="DN63" i="3" a="1"/>
  <c r="DN63" i="3" s="1"/>
  <c r="CH75" i="3" a="1"/>
  <c r="CH75" i="3" s="1"/>
  <c r="DF63" i="3" a="1"/>
  <c r="DF63" i="3" s="1"/>
  <c r="DR75" i="3" a="1"/>
  <c r="DR75" i="3" s="1"/>
  <c r="AP75" i="3" a="1"/>
  <c r="AP75" i="3" s="1"/>
  <c r="BD63" i="3" a="1"/>
  <c r="BD63" i="3" s="1"/>
  <c r="BS63" i="3" a="1"/>
  <c r="BS63" i="3" s="1"/>
  <c r="DB63" i="3" a="1"/>
  <c r="DB63" i="3" s="1"/>
  <c r="BY63" i="3" a="1"/>
  <c r="BY63" i="3" s="1"/>
  <c r="Y75" i="3" a="1"/>
  <c r="Y75" i="3" s="1"/>
  <c r="DP63" i="3" a="1"/>
  <c r="DP63" i="3" s="1"/>
  <c r="DC63" i="3" a="1"/>
  <c r="DC63" i="3" s="1"/>
  <c r="BP63" i="3" a="1"/>
  <c r="BP63" i="3" s="1"/>
  <c r="AZ75" i="3" a="1"/>
  <c r="AZ75" i="3" s="1"/>
  <c r="BB63" i="3" a="1"/>
  <c r="BB63" i="3" s="1"/>
  <c r="AL63" i="3" a="1"/>
  <c r="AL63" i="3" s="1"/>
  <c r="DK63" i="3" a="1"/>
  <c r="DK63" i="3" s="1"/>
  <c r="C63" i="3" a="1"/>
  <c r="C63" i="3" s="1"/>
  <c r="BN63" i="3" a="1"/>
  <c r="BN63" i="3" s="1"/>
  <c r="DN75" i="3" a="1"/>
  <c r="DN75" i="3" s="1"/>
  <c r="BR63" i="3" a="1"/>
  <c r="BR63" i="3" s="1"/>
  <c r="V75" i="3" a="1"/>
  <c r="V75" i="3" s="1"/>
  <c r="CU63" i="3" a="1"/>
  <c r="CU63" i="3" s="1"/>
  <c r="AI63" i="3" a="1"/>
  <c r="AI63" i="3" s="1"/>
  <c r="AX75" i="3" a="1"/>
  <c r="AX75" i="3" s="1"/>
  <c r="AS63" i="3" a="1"/>
  <c r="AS63" i="3" s="1"/>
  <c r="BW63" i="3" a="1"/>
  <c r="BW63" i="3" s="1"/>
  <c r="D75" i="3" a="1"/>
  <c r="D75" i="3" s="1"/>
  <c r="DM63" i="3" a="1"/>
  <c r="DM63" i="3" s="1"/>
  <c r="CW63" i="3" a="1"/>
  <c r="CW63" i="3" s="1"/>
  <c r="BQ63" i="3" a="1"/>
  <c r="BQ63" i="3" s="1"/>
  <c r="AY63" i="3" a="1"/>
  <c r="AY63" i="3" s="1"/>
  <c r="DJ63" i="3" a="1"/>
  <c r="DJ63" i="3" s="1"/>
  <c r="W63" i="3" a="1"/>
  <c r="W63" i="3" s="1"/>
  <c r="CF63" i="3" a="1"/>
  <c r="CF63" i="3" s="1"/>
  <c r="D63" i="3" a="1"/>
  <c r="D63" i="3" s="1"/>
  <c r="CW75" i="3" a="1"/>
  <c r="CW75" i="3" s="1"/>
  <c r="U75" i="3" a="1"/>
  <c r="U75" i="3" s="1"/>
  <c r="BO75" i="3" a="1"/>
  <c r="BO75" i="3" s="1"/>
  <c r="AY75" i="3" a="1"/>
  <c r="AY75" i="3" s="1"/>
  <c r="S75" i="3" a="1"/>
  <c r="S75" i="3" s="1"/>
  <c r="BN75" i="3" a="1"/>
  <c r="BN75" i="3" s="1"/>
  <c r="AH63" i="3" a="1"/>
  <c r="AH63" i="3" s="1"/>
  <c r="CJ75" i="3" a="1"/>
  <c r="CJ75" i="3" s="1"/>
  <c r="CV75" i="3" a="1"/>
  <c r="CV75" i="3" s="1"/>
  <c r="CT63" i="3" a="1"/>
  <c r="CT63" i="3" s="1"/>
  <c r="AX63" i="3" a="1"/>
  <c r="AX63" i="3" s="1"/>
  <c r="R75" i="3" a="1"/>
  <c r="R75" i="3" s="1"/>
  <c r="I75" i="3" a="1"/>
  <c r="I75" i="3" s="1"/>
  <c r="CX63" i="3" a="1"/>
  <c r="CX63" i="3" s="1"/>
  <c r="T75" i="3" a="1"/>
  <c r="T75" i="3" s="1"/>
  <c r="DM75" i="3" a="1"/>
  <c r="DM75" i="3" s="1"/>
  <c r="CG63" i="3" a="1"/>
  <c r="CG63" i="3" s="1"/>
  <c r="BA63" i="3" a="1"/>
  <c r="BA63" i="3" s="1"/>
  <c r="AK63" i="3" a="1"/>
  <c r="AK63" i="3" s="1"/>
  <c r="E75" i="3" a="1"/>
  <c r="E75" i="3" s="1"/>
  <c r="DJ75" i="3" a="1"/>
  <c r="DJ75" i="3" s="1"/>
  <c r="BS75" i="3" a="1"/>
  <c r="BS75" i="3" s="1"/>
  <c r="AM63" i="3" a="1"/>
  <c r="AM63" i="3" s="1"/>
  <c r="DL63" i="3" a="1"/>
  <c r="DL63" i="3" s="1"/>
  <c r="E63" i="3" a="1"/>
  <c r="E63" i="3" s="1"/>
  <c r="DK75" i="3" a="1"/>
  <c r="DK75" i="3" s="1"/>
  <c r="H75" i="3" a="1"/>
  <c r="H75" i="3" s="1"/>
  <c r="CF75" i="3" a="1"/>
  <c r="CF75" i="3" s="1"/>
  <c r="BP75" i="3" a="1"/>
  <c r="BP75" i="3" s="1"/>
  <c r="BA75" i="3" a="1"/>
  <c r="BA75" i="3" s="1"/>
  <c r="CE63" i="3" a="1"/>
  <c r="CE63" i="3" s="1"/>
  <c r="X63" i="3" a="1"/>
  <c r="X63" i="3" s="1"/>
  <c r="AM75" i="3" a="1"/>
  <c r="AM75" i="3" s="1"/>
  <c r="DL75" i="3" a="1"/>
  <c r="DL75" i="3" s="1"/>
  <c r="AJ63" i="3" a="1"/>
  <c r="AJ63" i="3" s="1"/>
  <c r="BB75" i="3" a="1"/>
  <c r="BB75" i="3" s="1"/>
  <c r="C75" i="3" a="1"/>
  <c r="C75" i="3" s="1"/>
  <c r="CH63" i="3" a="1"/>
  <c r="CH63" i="3" s="1"/>
  <c r="T63" i="3" a="1"/>
  <c r="T63" i="3" s="1"/>
  <c r="V63" i="3" a="1"/>
  <c r="V63" i="3" s="1"/>
  <c r="F75" i="3" a="1"/>
  <c r="F75" i="3" s="1"/>
  <c r="U63" i="3" a="1"/>
  <c r="U63" i="3" s="1"/>
  <c r="CU75" i="3" a="1"/>
  <c r="CU75" i="3" s="1"/>
  <c r="BO63" i="3" a="1"/>
  <c r="BO63" i="3" s="1"/>
  <c r="AR75" i="3" a="1"/>
  <c r="AR75" i="3" s="1"/>
  <c r="Z63" i="3" a="1"/>
  <c r="Z63" i="3" s="1"/>
  <c r="S63" i="3" a="1"/>
  <c r="S63" i="3" s="1"/>
  <c r="CK63" i="3" a="1"/>
  <c r="CK63" i="3" s="1"/>
  <c r="H63" i="3" a="1"/>
  <c r="H63" i="3" s="1"/>
  <c r="W75" i="3" a="1"/>
  <c r="W75" i="3" s="1"/>
  <c r="G63" i="3" a="1"/>
  <c r="G63" i="3" s="1"/>
  <c r="CG75" i="3" a="1"/>
  <c r="CG75" i="3" s="1"/>
  <c r="CT75" i="3" a="1"/>
  <c r="CT75" i="3" s="1"/>
  <c r="BK75" i="3" a="1"/>
  <c r="BK75" i="3" s="1"/>
  <c r="F63" i="3" a="1"/>
  <c r="F63" i="3" s="1"/>
  <c r="AH75" i="3" a="1"/>
  <c r="AH75" i="3" s="1"/>
  <c r="AN75" i="3" a="1"/>
  <c r="AN75" i="3" s="1"/>
  <c r="AL75" i="3" a="1"/>
  <c r="AL75" i="3" s="1"/>
  <c r="DO63" i="3" a="1"/>
  <c r="DO63" i="3" s="1"/>
  <c r="AZ63" i="3" a="1"/>
  <c r="AZ63" i="3" s="1"/>
  <c r="CX75" i="3" a="1"/>
  <c r="CX75" i="3" s="1"/>
  <c r="R63" i="3" a="1"/>
  <c r="R63" i="3" s="1"/>
  <c r="CD75" i="3" a="1"/>
  <c r="CD75" i="3" s="1"/>
  <c r="AK75" i="3" a="1"/>
  <c r="AK75" i="3" s="1"/>
  <c r="G75" i="3" a="1"/>
  <c r="G75" i="3" s="1"/>
  <c r="BF63" i="3" a="1"/>
  <c r="BF63" i="3" s="1"/>
  <c r="BR75" i="3" a="1"/>
  <c r="BR75" i="3" s="1"/>
  <c r="AJ75" i="3" a="1"/>
  <c r="AJ75" i="3" s="1"/>
  <c r="BQ75" i="3" a="1"/>
  <c r="BQ75" i="3" s="1"/>
  <c r="CD63" i="3" a="1"/>
  <c r="CD63" i="3" s="1"/>
  <c r="CE75" i="3" a="1"/>
  <c r="CE75" i="3" s="1"/>
  <c r="AI75" i="3" a="1"/>
  <c r="AI75" i="3" s="1"/>
  <c r="BJ88" i="3" a="1"/>
  <c r="BJ88" i="3" s="1"/>
  <c r="AB88" i="3" a="1"/>
  <c r="AB88" i="3" s="1"/>
  <c r="BG88" i="3" a="1"/>
  <c r="BG88" i="3" s="1"/>
  <c r="BX49" i="3" a="1"/>
  <c r="BX49" i="3" s="1"/>
  <c r="BU49" i="3" a="1"/>
  <c r="BU49" i="3" s="1"/>
  <c r="I88" i="3" a="1"/>
  <c r="I88" i="3" s="1"/>
  <c r="AE49" i="3" a="1"/>
  <c r="AE49" i="3" s="1"/>
  <c r="DQ49" i="3" a="1"/>
  <c r="DQ49" i="3" s="1"/>
  <c r="DG49" i="3" a="1"/>
  <c r="DG49" i="3" s="1"/>
  <c r="BS88" i="3" a="1"/>
  <c r="BS88" i="3" s="1"/>
  <c r="CE49" i="3" a="1"/>
  <c r="CE49" i="3" s="1"/>
  <c r="DR49" i="3" a="1"/>
  <c r="DR49" i="3" s="1"/>
  <c r="AJ49" i="3" a="1"/>
  <c r="AJ49" i="3" s="1"/>
  <c r="AX49" i="3" a="1"/>
  <c r="AX49" i="3" s="1"/>
  <c r="CI49" i="3" a="1"/>
  <c r="CI49" i="3" s="1"/>
  <c r="AX88" i="3" a="1"/>
  <c r="AX88" i="3" s="1"/>
  <c r="BM49" i="3" a="1"/>
  <c r="BM49" i="3" s="1"/>
  <c r="P88" i="3" a="1"/>
  <c r="P88" i="3" s="1"/>
  <c r="BH49" i="3" a="1"/>
  <c r="BH49" i="3" s="1"/>
  <c r="Z49" i="3" a="1"/>
  <c r="Z49" i="3" s="1"/>
  <c r="AF88" i="3" a="1"/>
  <c r="AF88" i="3" s="1"/>
  <c r="DD49" i="3" a="1"/>
  <c r="DD49" i="3" s="1"/>
  <c r="BY88" i="3" a="1"/>
  <c r="BY88" i="3" s="1"/>
  <c r="DQ88" i="3" a="1"/>
  <c r="DQ88" i="3" s="1"/>
  <c r="CK88" i="3" a="1"/>
  <c r="CK88" i="3" s="1"/>
  <c r="DN49" i="3" a="1"/>
  <c r="DN49" i="3" s="1"/>
  <c r="CJ88" i="3" a="1"/>
  <c r="CJ88" i="3" s="1"/>
  <c r="Y88" i="3" a="1"/>
  <c r="Y88" i="3" s="1"/>
  <c r="AY49" i="3" a="1"/>
  <c r="AY49" i="3" s="1"/>
  <c r="AL88" i="3" a="1"/>
  <c r="AL88" i="3" s="1"/>
  <c r="BQ88" i="3" a="1"/>
  <c r="BQ88" i="3" s="1"/>
  <c r="W49" i="3" a="1"/>
  <c r="W49" i="3" s="1"/>
  <c r="E88" i="3" a="1"/>
  <c r="E88" i="3" s="1"/>
  <c r="F49" i="3" a="1"/>
  <c r="F49" i="3" s="1"/>
  <c r="CG49" i="3" a="1"/>
  <c r="CG49" i="3" s="1"/>
  <c r="BZ88" i="3" a="1"/>
  <c r="BZ88" i="3" s="1"/>
  <c r="CB49" i="3" a="1"/>
  <c r="CB49" i="3" s="1"/>
  <c r="DD88" i="3" a="1"/>
  <c r="DD88" i="3" s="1"/>
  <c r="CN88" i="3" a="1"/>
  <c r="CN88" i="3" s="1"/>
  <c r="CU49" i="3" a="1"/>
  <c r="CU49" i="3" s="1"/>
  <c r="BE88" i="3" a="1"/>
  <c r="BE88" i="3" s="1"/>
  <c r="BL88" i="3" a="1"/>
  <c r="BL88" i="3" s="1"/>
  <c r="AJ88" i="3" a="1"/>
  <c r="AJ88" i="3" s="1"/>
  <c r="CA49" i="3" a="1"/>
  <c r="CA49" i="3" s="1"/>
  <c r="AU49" i="3" a="1"/>
  <c r="AU49" i="3" s="1"/>
  <c r="AY88" i="3" a="1"/>
  <c r="AY88" i="3" s="1"/>
  <c r="AG49" i="3" a="1"/>
  <c r="AG49" i="3" s="1"/>
  <c r="CC88" i="3" a="1"/>
  <c r="CC88" i="3" s="1"/>
  <c r="CP49" i="3" a="1"/>
  <c r="CP49" i="3" s="1"/>
  <c r="CM88" i="3" a="1"/>
  <c r="CM88" i="3" s="1"/>
  <c r="N88" i="3" a="1"/>
  <c r="N88" i="3" s="1"/>
  <c r="CP88" i="3" a="1"/>
  <c r="CP88" i="3" s="1"/>
  <c r="CK49" i="3" a="1"/>
  <c r="CK49" i="3" s="1"/>
  <c r="BI88" i="3" a="1"/>
  <c r="BI88" i="3" s="1"/>
  <c r="I49" i="3" a="1"/>
  <c r="I49" i="3" s="1"/>
  <c r="BD49" i="3" a="1"/>
  <c r="BD49" i="3" s="1"/>
  <c r="BC88" i="3" a="1"/>
  <c r="BC88" i="3" s="1"/>
  <c r="AL49" i="3" a="1"/>
  <c r="AL49" i="3" s="1"/>
  <c r="DJ49" i="3" a="1"/>
  <c r="DJ49" i="3" s="1"/>
  <c r="CX88" i="3" a="1"/>
  <c r="CX88" i="3" s="1"/>
  <c r="AI88" i="3" a="1"/>
  <c r="AI88" i="3" s="1"/>
  <c r="C49" i="3" a="1"/>
  <c r="C49" i="3" s="1"/>
  <c r="U49" i="3" a="1"/>
  <c r="U49" i="3" s="1"/>
  <c r="Q49" i="3" a="1"/>
  <c r="Q49" i="3" s="1"/>
  <c r="CC49" i="3" a="1"/>
  <c r="CC49" i="3" s="1"/>
  <c r="DE49" i="3" a="1"/>
  <c r="DE49" i="3" s="1"/>
  <c r="CO49" i="3" a="1"/>
  <c r="CO49" i="3" s="1"/>
  <c r="M88" i="3" a="1"/>
  <c r="M88" i="3" s="1"/>
  <c r="BD88" i="3" a="1"/>
  <c r="BD88" i="3" s="1"/>
  <c r="AC49" i="3" a="1"/>
  <c r="AC49" i="3" s="1"/>
  <c r="AV49" i="3" a="1"/>
  <c r="AV49" i="3" s="1"/>
  <c r="AM49" i="3" a="1"/>
  <c r="AM49" i="3" s="1"/>
  <c r="DG88" i="3" a="1"/>
  <c r="DG88" i="3" s="1"/>
  <c r="BN49" i="3" a="1"/>
  <c r="BN49" i="3" s="1"/>
  <c r="AH49" i="3" a="1"/>
  <c r="AH49" i="3" s="1"/>
  <c r="CO88" i="3" a="1"/>
  <c r="CO88" i="3" s="1"/>
  <c r="BL49" i="3" a="1"/>
  <c r="BL49" i="3" s="1"/>
  <c r="DL49" i="3" a="1"/>
  <c r="DL49" i="3" s="1"/>
  <c r="CD49" i="3" a="1"/>
  <c r="CD49" i="3" s="1"/>
  <c r="DE88" i="3" a="1"/>
  <c r="DE88" i="3" s="1"/>
  <c r="BT49" i="3" a="1"/>
  <c r="BT49" i="3" s="1"/>
  <c r="CD88" i="3" a="1"/>
  <c r="CD88" i="3" s="1"/>
  <c r="CT49" i="3" a="1"/>
  <c r="CT49" i="3" s="1"/>
  <c r="F88" i="3" a="1"/>
  <c r="F88" i="3" s="1"/>
  <c r="AZ88" i="3" a="1"/>
  <c r="AZ88" i="3" s="1"/>
  <c r="V49" i="3" a="1"/>
  <c r="V49" i="3" s="1"/>
  <c r="DA49" i="3" a="1"/>
  <c r="DA49" i="3" s="1"/>
  <c r="CT88" i="3" a="1"/>
  <c r="CT88" i="3" s="1"/>
  <c r="E49" i="3" a="1"/>
  <c r="E49" i="3" s="1"/>
  <c r="BF88" i="3" a="1"/>
  <c r="BF88" i="3" s="1"/>
  <c r="W88" i="3" a="1"/>
  <c r="W88" i="3" s="1"/>
  <c r="DC88" i="3" a="1"/>
  <c r="DC88" i="3" s="1"/>
  <c r="AB49" i="3" a="1"/>
  <c r="AB49" i="3" s="1"/>
  <c r="DN88" i="3" a="1"/>
  <c r="DN88" i="3" s="1"/>
  <c r="BM88" i="3" a="1"/>
  <c r="BM88" i="3" s="1"/>
  <c r="CS88" i="3" a="1"/>
  <c r="CS88" i="3" s="1"/>
  <c r="CX49" i="3" a="1"/>
  <c r="CX49" i="3" s="1"/>
  <c r="L49" i="3" a="1"/>
  <c r="L49" i="3" s="1"/>
  <c r="BX88" i="3" a="1"/>
  <c r="BX88" i="3" s="1"/>
  <c r="BA49" i="3" a="1"/>
  <c r="BA49" i="3" s="1"/>
  <c r="U88" i="3" a="1"/>
  <c r="U88" i="3" s="1"/>
  <c r="AW49" i="3" a="1"/>
  <c r="AW49" i="3" s="1"/>
  <c r="AD49" i="3" a="1"/>
  <c r="AD49" i="3" s="1"/>
  <c r="BP49" i="3" a="1"/>
  <c r="BP49" i="3" s="1"/>
  <c r="DH88" i="3" a="1"/>
  <c r="DH88" i="3" s="1"/>
  <c r="AS88" i="3" a="1"/>
  <c r="AS88" i="3" s="1"/>
  <c r="BC49" i="3" a="1"/>
  <c r="BC49" i="3" s="1"/>
  <c r="AI49" i="3" a="1"/>
  <c r="AI49" i="3" s="1"/>
  <c r="CR49" i="3" a="1"/>
  <c r="CR49" i="3" s="1"/>
  <c r="AP49" i="3" a="1"/>
  <c r="AP49" i="3" s="1"/>
  <c r="DM88" i="3" a="1"/>
  <c r="DM88" i="3" s="1"/>
  <c r="CF88" i="3" a="1"/>
  <c r="CF88" i="3" s="1"/>
  <c r="AT88" i="3" a="1"/>
  <c r="AT88" i="3" s="1"/>
  <c r="AT49" i="3" a="1"/>
  <c r="AT49" i="3" s="1"/>
  <c r="H49" i="3" a="1"/>
  <c r="H49" i="3" s="1"/>
  <c r="CW88" i="3" a="1"/>
  <c r="CW88" i="3" s="1"/>
  <c r="AE88" i="3" a="1"/>
  <c r="AE88" i="3" s="1"/>
  <c r="AQ88" i="3" a="1"/>
  <c r="AQ88" i="3" s="1"/>
  <c r="G49" i="3" a="1"/>
  <c r="G49" i="3" s="1"/>
  <c r="BS49" i="3" a="1"/>
  <c r="BS49" i="3" s="1"/>
  <c r="CA88" i="3" a="1"/>
  <c r="CA88" i="3" s="1"/>
  <c r="CI88" i="3" a="1"/>
  <c r="CI88" i="3" s="1"/>
  <c r="Z88" i="3" a="1"/>
  <c r="Z88" i="3" s="1"/>
  <c r="CM49" i="3" a="1"/>
  <c r="CM49" i="3" s="1"/>
  <c r="AC88" i="3" a="1"/>
  <c r="AC88" i="3" s="1"/>
  <c r="P49" i="3" a="1"/>
  <c r="P49" i="3" s="1"/>
  <c r="CL49" i="3" a="1"/>
  <c r="CL49" i="3" s="1"/>
  <c r="K49" i="3" a="1"/>
  <c r="K49" i="3" s="1"/>
  <c r="AU88" i="3" a="1"/>
  <c r="AU88" i="3" s="1"/>
  <c r="BW88" i="3" a="1"/>
  <c r="BW88" i="3" s="1"/>
  <c r="DP88" i="3" a="1"/>
  <c r="DP88" i="3" s="1"/>
  <c r="AN49" i="3" a="1"/>
  <c r="AN49" i="3" s="1"/>
  <c r="BB88" i="3" a="1"/>
  <c r="BB88" i="3" s="1"/>
  <c r="CY88" i="3" a="1"/>
  <c r="CY88" i="3" s="1"/>
  <c r="T88" i="3" a="1"/>
  <c r="T88" i="3" s="1"/>
  <c r="BR88" i="3" a="1"/>
  <c r="BR88" i="3" s="1"/>
  <c r="CV49" i="3" a="1"/>
  <c r="CV49" i="3" s="1"/>
  <c r="BU88" i="3" a="1"/>
  <c r="BU88" i="3" s="1"/>
  <c r="X88" i="3" a="1"/>
  <c r="X88" i="3" s="1"/>
  <c r="CL88" i="3" a="1"/>
  <c r="CL88" i="3" s="1"/>
  <c r="CS49" i="3" a="1"/>
  <c r="CS49" i="3" s="1"/>
  <c r="CQ88" i="3" a="1"/>
  <c r="CQ88" i="3" s="1"/>
  <c r="BV88" i="3" a="1"/>
  <c r="BV88" i="3" s="1"/>
  <c r="AQ49" i="3" a="1"/>
  <c r="AQ49" i="3" s="1"/>
  <c r="CQ49" i="3" a="1"/>
  <c r="CQ49" i="3" s="1"/>
  <c r="J88" i="3" a="1"/>
  <c r="J88" i="3" s="1"/>
  <c r="AP88" i="3" a="1"/>
  <c r="AP88" i="3" s="1"/>
  <c r="AN88" i="3" a="1"/>
  <c r="AN88" i="3" s="1"/>
  <c r="CE88" i="3" a="1"/>
  <c r="CE88" i="3" s="1"/>
  <c r="CU88" i="3" a="1"/>
  <c r="CU88" i="3" s="1"/>
  <c r="BO88" i="3" a="1"/>
  <c r="BO88" i="3" s="1"/>
  <c r="AZ49" i="3" a="1"/>
  <c r="AZ49" i="3" s="1"/>
  <c r="CG88" i="3" a="1"/>
  <c r="CG88" i="3" s="1"/>
  <c r="Y49" i="3" a="1"/>
  <c r="Y49" i="3" s="1"/>
  <c r="V88" i="3" a="1"/>
  <c r="V88" i="3" s="1"/>
  <c r="CB88" i="3" a="1"/>
  <c r="CB88" i="3" s="1"/>
  <c r="O88" i="3" a="1"/>
  <c r="O88" i="3" s="1"/>
  <c r="BA88" i="3" a="1"/>
  <c r="BA88" i="3" s="1"/>
  <c r="BT88" i="3" a="1"/>
  <c r="BT88" i="3" s="1"/>
  <c r="AW88" i="3" a="1"/>
  <c r="AW88" i="3" s="1"/>
  <c r="AO49" i="3" a="1"/>
  <c r="AO49" i="3" s="1"/>
  <c r="DP49" i="3" a="1"/>
  <c r="DP49" i="3" s="1"/>
  <c r="CZ49" i="3" a="1"/>
  <c r="CZ49" i="3" s="1"/>
  <c r="BR49" i="3" a="1"/>
  <c r="BR49" i="3" s="1"/>
  <c r="N49" i="3" a="1"/>
  <c r="N49" i="3" s="1"/>
  <c r="DF49" i="3" a="1"/>
  <c r="DF49" i="3" s="1"/>
  <c r="AM88" i="3" a="1"/>
  <c r="AM88" i="3" s="1"/>
  <c r="DM49" i="3" a="1"/>
  <c r="DM49" i="3" s="1"/>
  <c r="S88" i="3" a="1"/>
  <c r="S88" i="3" s="1"/>
  <c r="BN88" i="3" a="1"/>
  <c r="BN88" i="3" s="1"/>
  <c r="DK88" i="3" a="1"/>
  <c r="DK88" i="3" s="1"/>
  <c r="S49" i="3" a="1"/>
  <c r="S49" i="3" s="1"/>
  <c r="Q88" i="3" a="1"/>
  <c r="Q88" i="3" s="1"/>
  <c r="DI88" i="3" a="1"/>
  <c r="DI88" i="3" s="1"/>
  <c r="AG88" i="3" a="1"/>
  <c r="AG88" i="3" s="1"/>
  <c r="M49" i="3" a="1"/>
  <c r="M49" i="3" s="1"/>
  <c r="O49" i="3" a="1"/>
  <c r="O49" i="3" s="1"/>
  <c r="BJ49" i="3" a="1"/>
  <c r="BJ49" i="3" s="1"/>
  <c r="CJ49" i="3" a="1"/>
  <c r="CJ49" i="3" s="1"/>
  <c r="AD88" i="3" a="1"/>
  <c r="AD88" i="3" s="1"/>
  <c r="X49" i="3" a="1"/>
  <c r="X49" i="3" s="1"/>
  <c r="AR49" i="3" a="1"/>
  <c r="AR49" i="3" s="1"/>
  <c r="CH49" i="3" a="1"/>
  <c r="CH49" i="3" s="1"/>
  <c r="CV88" i="3" a="1"/>
  <c r="CV88" i="3" s="1"/>
  <c r="AK88" i="3" a="1"/>
  <c r="AK88" i="3" s="1"/>
  <c r="CH88" i="3" a="1"/>
  <c r="CH88" i="3" s="1"/>
  <c r="BQ49" i="3" a="1"/>
  <c r="BQ49" i="3" s="1"/>
  <c r="C88" i="3" a="1"/>
  <c r="C88" i="3" s="1"/>
  <c r="BZ49" i="3" a="1"/>
  <c r="BZ49" i="3" s="1"/>
  <c r="DJ88" i="3" a="1"/>
  <c r="DJ88" i="3" s="1"/>
  <c r="DF88" i="3" a="1"/>
  <c r="DF88" i="3" s="1"/>
  <c r="DH49" i="3" a="1"/>
  <c r="DH49" i="3" s="1"/>
  <c r="AV88" i="3" a="1"/>
  <c r="AV88" i="3" s="1"/>
  <c r="CR88" i="3" a="1"/>
  <c r="CR88" i="3" s="1"/>
  <c r="AS49" i="3" a="1"/>
  <c r="AS49" i="3" s="1"/>
  <c r="AR88" i="3" a="1"/>
  <c r="AR88" i="3" s="1"/>
  <c r="DO88" i="3" a="1"/>
  <c r="DO88" i="3" s="1"/>
  <c r="BK49" i="3" a="1"/>
  <c r="BK49" i="3" s="1"/>
  <c r="BB49" i="3" a="1"/>
  <c r="BB49" i="3" s="1"/>
  <c r="DK49" i="3" a="1"/>
  <c r="DK49" i="3" s="1"/>
  <c r="AK49" i="3" a="1"/>
  <c r="AK49" i="3" s="1"/>
  <c r="J49" i="3" a="1"/>
  <c r="J49" i="3" s="1"/>
  <c r="CF49" i="3" a="1"/>
  <c r="CF49" i="3" s="1"/>
  <c r="CW49" i="3" a="1"/>
  <c r="CW49" i="3" s="1"/>
  <c r="G88" i="3" a="1"/>
  <c r="G88" i="3" s="1"/>
  <c r="BI49" i="3" a="1"/>
  <c r="BI49" i="3" s="1"/>
  <c r="DO49" i="3" a="1"/>
  <c r="DO49" i="3" s="1"/>
  <c r="H88" i="3" a="1"/>
  <c r="H88" i="3" s="1"/>
  <c r="CZ88" i="3" a="1"/>
  <c r="CZ88" i="3" s="1"/>
  <c r="BY49" i="3" a="1"/>
  <c r="BY49" i="3" s="1"/>
  <c r="D88" i="3" a="1"/>
  <c r="D88" i="3" s="1"/>
  <c r="DL88" i="3" a="1"/>
  <c r="DL88" i="3" s="1"/>
  <c r="BH88" i="3" a="1"/>
  <c r="BH88" i="3" s="1"/>
  <c r="AA49" i="3" a="1"/>
  <c r="AA49" i="3" s="1"/>
  <c r="CY49" i="3" a="1"/>
  <c r="CY49" i="3" s="1"/>
  <c r="CN49" i="3" a="1"/>
  <c r="CN49" i="3" s="1"/>
  <c r="AH88" i="3" a="1"/>
  <c r="AH88" i="3" s="1"/>
  <c r="BK88" i="3" a="1"/>
  <c r="BK88" i="3" s="1"/>
  <c r="AO88" i="3" a="1"/>
  <c r="AO88" i="3" s="1"/>
  <c r="L88" i="3" a="1"/>
  <c r="L88" i="3" s="1"/>
  <c r="BP88" i="3" a="1"/>
  <c r="BP88" i="3" s="1"/>
  <c r="BV49" i="3" a="1"/>
  <c r="BV49" i="3" s="1"/>
  <c r="BE49" i="3" a="1"/>
  <c r="BE49" i="3" s="1"/>
  <c r="DI49" i="3" a="1"/>
  <c r="DI49" i="3" s="1"/>
  <c r="R49" i="3" a="1"/>
  <c r="R49" i="3" s="1"/>
  <c r="DB88" i="3" a="1"/>
  <c r="DB88" i="3" s="1"/>
  <c r="DI48" i="3" a="1"/>
  <c r="DI48" i="3" s="1"/>
  <c r="CE48" i="3" a="1"/>
  <c r="CE48" i="3" s="1"/>
  <c r="AR48" i="3" a="1"/>
  <c r="AR48" i="3" s="1"/>
  <c r="AB22" i="3" a="1"/>
  <c r="AB22" i="3" s="1"/>
  <c r="AK48" i="3" a="1"/>
  <c r="AK48" i="3" s="1"/>
  <c r="DQ22" i="3" a="1"/>
  <c r="DQ22" i="3" s="1"/>
  <c r="BO87" i="3" a="1"/>
  <c r="BO87" i="3" s="1"/>
  <c r="W48" i="3" a="1"/>
  <c r="W48" i="3" s="1"/>
  <c r="CM48" i="3" a="1"/>
  <c r="CM48" i="3" s="1"/>
  <c r="CJ22" i="3" a="1"/>
  <c r="CJ22" i="3" s="1"/>
  <c r="DF23" i="3" a="1"/>
  <c r="DF23" i="3" s="1"/>
  <c r="BD23" i="3" a="1"/>
  <c r="BD23" i="3" s="1"/>
  <c r="AQ23" i="3" a="1"/>
  <c r="AQ23" i="3" s="1"/>
  <c r="CZ23" i="3" a="1"/>
  <c r="CZ23" i="3" s="1"/>
  <c r="X23" i="3" a="1"/>
  <c r="X23" i="3" s="1"/>
  <c r="BA23" i="3" a="1"/>
  <c r="BA23" i="3" s="1"/>
  <c r="D22" i="5"/>
  <c r="C22" i="5"/>
  <c r="E22" i="5"/>
  <c r="F22" i="5"/>
  <c r="G22" i="5"/>
  <c r="H22" i="5"/>
  <c r="AF74" i="3" a="1"/>
  <c r="AF74" i="3" s="1"/>
  <c r="DF62" i="3" a="1"/>
  <c r="DF62" i="3" s="1"/>
  <c r="CO62" i="3" a="1"/>
  <c r="CO62" i="3" s="1"/>
  <c r="BI62" i="3" a="1"/>
  <c r="BI62" i="3" s="1"/>
  <c r="BM62" i="3" a="1"/>
  <c r="BM62" i="3" s="1"/>
  <c r="AW62" i="3" a="1"/>
  <c r="AW62" i="3" s="1"/>
  <c r="DH74" i="3" a="1"/>
  <c r="DH74" i="3" s="1"/>
  <c r="BL62" i="3" a="1"/>
  <c r="BL62" i="3" s="1"/>
  <c r="DI62" i="3" a="1"/>
  <c r="DI62" i="3" s="1"/>
  <c r="CS62" i="3" a="1"/>
  <c r="CS62" i="3" s="1"/>
  <c r="CC74" i="3" a="1"/>
  <c r="CC74" i="3" s="1"/>
  <c r="DI74" i="3" a="1"/>
  <c r="DI74" i="3" s="1"/>
  <c r="CC62" i="3" a="1"/>
  <c r="CC62" i="3" s="1"/>
  <c r="AG74" i="3" a="1"/>
  <c r="AG74" i="3" s="1"/>
  <c r="AG62" i="3" a="1"/>
  <c r="AG62" i="3" s="1"/>
  <c r="Q74" i="3" a="1"/>
  <c r="Q74" i="3" s="1"/>
  <c r="CR62" i="3" a="1"/>
  <c r="CR62" i="3" s="1"/>
  <c r="P74" i="3" a="1"/>
  <c r="P74" i="3" s="1"/>
  <c r="AW74" i="3" a="1"/>
  <c r="AW74" i="3" s="1"/>
  <c r="BL74" i="3" a="1"/>
  <c r="BL74" i="3" s="1"/>
  <c r="P62" i="3" a="1"/>
  <c r="P62" i="3" s="1"/>
  <c r="CS74" i="3" a="1"/>
  <c r="CS74" i="3" s="1"/>
  <c r="Q62" i="3" a="1"/>
  <c r="Q62" i="3" s="1"/>
  <c r="CB62" i="3" a="1"/>
  <c r="CB62" i="3" s="1"/>
  <c r="AF62" i="3" a="1"/>
  <c r="AF62" i="3" s="1"/>
  <c r="CR74" i="3" a="1"/>
  <c r="CR74" i="3" s="1"/>
  <c r="CO74" i="3" a="1"/>
  <c r="CO74" i="3" s="1"/>
  <c r="BX74" i="3" a="1"/>
  <c r="BX74" i="3" s="1"/>
  <c r="O62" i="3" a="1"/>
  <c r="O62" i="3" s="1"/>
  <c r="DF74" i="3" a="1"/>
  <c r="DF74" i="3" s="1"/>
  <c r="CP62" i="3" a="1"/>
  <c r="CP62" i="3" s="1"/>
  <c r="AD74" i="3" a="1"/>
  <c r="AD74" i="3" s="1"/>
  <c r="DE74" i="3" a="1"/>
  <c r="DE74" i="3" s="1"/>
  <c r="AB74" i="3" a="1"/>
  <c r="AB74" i="3" s="1"/>
  <c r="AU74" i="3" a="1"/>
  <c r="AU74" i="3" s="1"/>
  <c r="BH74" i="3" a="1"/>
  <c r="BH74" i="3" s="1"/>
  <c r="AR62" i="3" a="1"/>
  <c r="AR62" i="3" s="1"/>
  <c r="O74" i="3" a="1"/>
  <c r="O74" i="3" s="1"/>
  <c r="BW74" i="3" a="1"/>
  <c r="BW74" i="3" s="1"/>
  <c r="DR74" i="3" a="1"/>
  <c r="DR74" i="3" s="1"/>
  <c r="AP74" i="3" a="1"/>
  <c r="AP74" i="3" s="1"/>
  <c r="AV74" i="3" a="1"/>
  <c r="AV74" i="3" s="1"/>
  <c r="AT62" i="3" a="1"/>
  <c r="AT62" i="3" s="1"/>
  <c r="M62" i="3" a="1"/>
  <c r="M62" i="3" s="1"/>
  <c r="DD62" i="3" a="1"/>
  <c r="DD62" i="3" s="1"/>
  <c r="AE74" i="3" a="1"/>
  <c r="AE74" i="3" s="1"/>
  <c r="BW62" i="3" a="1"/>
  <c r="BW62" i="3" s="1"/>
  <c r="K62" i="3" a="1"/>
  <c r="K62" i="3" s="1"/>
  <c r="DH62" i="3" a="1"/>
  <c r="DH62" i="3" s="1"/>
  <c r="CB74" i="3" a="1"/>
  <c r="CB74" i="3" s="1"/>
  <c r="N74" i="3" a="1"/>
  <c r="N74" i="3" s="1"/>
  <c r="BI74" i="3" a="1"/>
  <c r="BI74" i="3" s="1"/>
  <c r="CN74" i="3" a="1"/>
  <c r="CN74" i="3" s="1"/>
  <c r="DG74" i="3" a="1"/>
  <c r="DG74" i="3" s="1"/>
  <c r="CQ62" i="3" a="1"/>
  <c r="CQ62" i="3" s="1"/>
  <c r="AU62" i="3" a="1"/>
  <c r="AU62" i="3" s="1"/>
  <c r="Z74" i="3" a="1"/>
  <c r="Z74" i="3" s="1"/>
  <c r="BM74" i="3" a="1"/>
  <c r="BM74" i="3" s="1"/>
  <c r="AC62" i="3" a="1"/>
  <c r="AC62" i="3" s="1"/>
  <c r="BJ62" i="3" a="1"/>
  <c r="BJ62" i="3" s="1"/>
  <c r="BY74" i="3" a="1"/>
  <c r="BY74" i="3" s="1"/>
  <c r="AC74" i="3" a="1"/>
  <c r="AC74" i="3" s="1"/>
  <c r="AA74" i="3" a="1"/>
  <c r="AA74" i="3" s="1"/>
  <c r="BG62" i="3" a="1"/>
  <c r="BG62" i="3" s="1"/>
  <c r="AQ74" i="3" a="1"/>
  <c r="AQ74" i="3" s="1"/>
  <c r="BZ62" i="3" a="1"/>
  <c r="BZ62" i="3" s="1"/>
  <c r="AR74" i="3" a="1"/>
  <c r="AR74" i="3" s="1"/>
  <c r="Z62" i="3" a="1"/>
  <c r="Z62" i="3" s="1"/>
  <c r="J62" i="3" a="1"/>
  <c r="J62" i="3" s="1"/>
  <c r="BU74" i="3" a="1"/>
  <c r="BU74" i="3" s="1"/>
  <c r="CP74" i="3" a="1"/>
  <c r="CP74" i="3" s="1"/>
  <c r="N62" i="3" a="1"/>
  <c r="N62" i="3" s="1"/>
  <c r="AS74" i="3" a="1"/>
  <c r="AS74" i="3" s="1"/>
  <c r="BK62" i="3" a="1"/>
  <c r="BK62" i="3" s="1"/>
  <c r="K74" i="3" a="1"/>
  <c r="K74" i="3" s="1"/>
  <c r="BV74" i="3" a="1"/>
  <c r="BV74" i="3" s="1"/>
  <c r="AO62" i="3" a="1"/>
  <c r="AO62" i="3" s="1"/>
  <c r="CZ62" i="3" a="1"/>
  <c r="CZ62" i="3" s="1"/>
  <c r="DO62" i="3" a="1"/>
  <c r="DO62" i="3" s="1"/>
  <c r="BS62" i="3" a="1"/>
  <c r="BS62" i="3" s="1"/>
  <c r="BZ74" i="3" a="1"/>
  <c r="BZ74" i="3" s="1"/>
  <c r="BH62" i="3" a="1"/>
  <c r="BH62" i="3" s="1"/>
  <c r="AA62" i="3" a="1"/>
  <c r="AA62" i="3" s="1"/>
  <c r="DQ62" i="3" a="1"/>
  <c r="DQ62" i="3" s="1"/>
  <c r="DP74" i="3" a="1"/>
  <c r="DP74" i="3" s="1"/>
  <c r="CZ74" i="3" a="1"/>
  <c r="CZ74" i="3" s="1"/>
  <c r="L74" i="3" a="1"/>
  <c r="L74" i="3" s="1"/>
  <c r="DC74" i="3" a="1"/>
  <c r="DC74" i="3" s="1"/>
  <c r="CM62" i="3" a="1"/>
  <c r="CM62" i="3" s="1"/>
  <c r="AP62" i="3" a="1"/>
  <c r="AP62" i="3" s="1"/>
  <c r="Y62" i="3" a="1"/>
  <c r="Y62" i="3" s="1"/>
  <c r="BD74" i="3" a="1"/>
  <c r="BD74" i="3" s="1"/>
  <c r="X62" i="3" a="1"/>
  <c r="X62" i="3" s="1"/>
  <c r="DB74" i="3" a="1"/>
  <c r="DB74" i="3" s="1"/>
  <c r="BV62" i="3" a="1"/>
  <c r="BV62" i="3" s="1"/>
  <c r="DP62" i="3" a="1"/>
  <c r="DP62" i="3" s="1"/>
  <c r="BD62" i="3" a="1"/>
  <c r="BD62" i="3" s="1"/>
  <c r="H74" i="3" a="1"/>
  <c r="H74" i="3" s="1"/>
  <c r="BY62" i="3" a="1"/>
  <c r="BY62" i="3" s="1"/>
  <c r="AS62" i="3" a="1"/>
  <c r="AS62" i="3" s="1"/>
  <c r="AB62" i="3" a="1"/>
  <c r="AB62" i="3" s="1"/>
  <c r="CQ74" i="3" a="1"/>
  <c r="CQ74" i="3" s="1"/>
  <c r="AQ62" i="3" a="1"/>
  <c r="AQ62" i="3" s="1"/>
  <c r="X74" i="3" a="1"/>
  <c r="X74" i="3" s="1"/>
  <c r="BJ74" i="3" a="1"/>
  <c r="BJ74" i="3" s="1"/>
  <c r="AD62" i="3" a="1"/>
  <c r="AD62" i="3" s="1"/>
  <c r="DB62" i="3" a="1"/>
  <c r="DB62" i="3" s="1"/>
  <c r="AO74" i="3" a="1"/>
  <c r="AO74" i="3" s="1"/>
  <c r="AN62" i="3" a="1"/>
  <c r="AN62" i="3" s="1"/>
  <c r="AT74" i="3" a="1"/>
  <c r="AT74" i="3" s="1"/>
  <c r="CM74" i="3" a="1"/>
  <c r="CM74" i="3" s="1"/>
  <c r="DA62" i="3" a="1"/>
  <c r="DA62" i="3" s="1"/>
  <c r="CK62" i="3" a="1"/>
  <c r="CK62" i="3" s="1"/>
  <c r="BR74" i="3" a="1"/>
  <c r="BR74" i="3" s="1"/>
  <c r="DL62" i="3" a="1"/>
  <c r="DL62" i="3" s="1"/>
  <c r="BP62" i="3" a="1"/>
  <c r="BP62" i="3" s="1"/>
  <c r="AV62" i="3" a="1"/>
  <c r="AV62" i="3" s="1"/>
  <c r="CN62" i="3" a="1"/>
  <c r="CN62" i="3" s="1"/>
  <c r="CA74" i="3" a="1"/>
  <c r="CA74" i="3" s="1"/>
  <c r="AE62" i="3" a="1"/>
  <c r="AE62" i="3" s="1"/>
  <c r="DC62" i="3" a="1"/>
  <c r="DC62" i="3" s="1"/>
  <c r="DR62" i="3" a="1"/>
  <c r="DR62" i="3" s="1"/>
  <c r="CH62" i="3" a="1"/>
  <c r="CH62" i="3" s="1"/>
  <c r="DG62" i="3" a="1"/>
  <c r="DG62" i="3" s="1"/>
  <c r="CA62" i="3" a="1"/>
  <c r="CA62" i="3" s="1"/>
  <c r="BF74" i="3" a="1"/>
  <c r="BF74" i="3" s="1"/>
  <c r="BE62" i="3" a="1"/>
  <c r="BE62" i="3" s="1"/>
  <c r="BX62" i="3" a="1"/>
  <c r="BX62" i="3" s="1"/>
  <c r="DQ74" i="3" a="1"/>
  <c r="DQ74" i="3" s="1"/>
  <c r="CJ62" i="3" a="1"/>
  <c r="CJ62" i="3" s="1"/>
  <c r="BC74" i="3" a="1"/>
  <c r="BC74" i="3" s="1"/>
  <c r="BF62" i="3" a="1"/>
  <c r="BF62" i="3" s="1"/>
  <c r="CJ74" i="3" a="1"/>
  <c r="CJ74" i="3" s="1"/>
  <c r="BT74" i="3" a="1"/>
  <c r="BT74" i="3" s="1"/>
  <c r="AM62" i="3" a="1"/>
  <c r="AM62" i="3" s="1"/>
  <c r="W74" i="3" a="1"/>
  <c r="W74" i="3" s="1"/>
  <c r="M74" i="3" a="1"/>
  <c r="M74" i="3" s="1"/>
  <c r="BG74" i="3" a="1"/>
  <c r="BG74" i="3" s="1"/>
  <c r="I62" i="3" a="1"/>
  <c r="I62" i="3" s="1"/>
  <c r="BK74" i="3" a="1"/>
  <c r="BK74" i="3" s="1"/>
  <c r="I74" i="3" a="1"/>
  <c r="I74" i="3" s="1"/>
  <c r="AM74" i="3" a="1"/>
  <c r="AM74" i="3" s="1"/>
  <c r="G74" i="3" a="1"/>
  <c r="G74" i="3" s="1"/>
  <c r="CW62" i="3" a="1"/>
  <c r="CW62" i="3" s="1"/>
  <c r="CG74" i="3" a="1"/>
  <c r="CG74" i="3" s="1"/>
  <c r="DJ74" i="3" a="1"/>
  <c r="DJ74" i="3" s="1"/>
  <c r="CT62" i="3" a="1"/>
  <c r="CT62" i="3" s="1"/>
  <c r="BN62" i="3" a="1"/>
  <c r="BN62" i="3" s="1"/>
  <c r="AX74" i="3" a="1"/>
  <c r="AX74" i="3" s="1"/>
  <c r="AH74" i="3" a="1"/>
  <c r="AH74" i="3" s="1"/>
  <c r="BE74" i="3" a="1"/>
  <c r="BE74" i="3" s="1"/>
  <c r="AJ62" i="3" a="1"/>
  <c r="AJ62" i="3" s="1"/>
  <c r="BO74" i="3" a="1"/>
  <c r="BO74" i="3" s="1"/>
  <c r="C74" i="3" a="1"/>
  <c r="C74" i="3" s="1"/>
  <c r="BS74" i="3" a="1"/>
  <c r="BS74" i="3" s="1"/>
  <c r="W62" i="3" a="1"/>
  <c r="W62" i="3" s="1"/>
  <c r="AZ74" i="3" a="1"/>
  <c r="AZ74" i="3" s="1"/>
  <c r="CT74" i="3" a="1"/>
  <c r="CT74" i="3" s="1"/>
  <c r="CD74" i="3" a="1"/>
  <c r="CD74" i="3" s="1"/>
  <c r="L62" i="3" a="1"/>
  <c r="L62" i="3" s="1"/>
  <c r="J74" i="3" a="1"/>
  <c r="J74" i="3" s="1"/>
  <c r="CY74" i="3" a="1"/>
  <c r="CY74" i="3" s="1"/>
  <c r="CI74" i="3" a="1"/>
  <c r="CI74" i="3" s="1"/>
  <c r="BP74" i="3" a="1"/>
  <c r="BP74" i="3" s="1"/>
  <c r="DM74" i="3" a="1"/>
  <c r="DM74" i="3" s="1"/>
  <c r="CG62" i="3" a="1"/>
  <c r="CG62" i="3" s="1"/>
  <c r="BA62" i="3" a="1"/>
  <c r="BA62" i="3" s="1"/>
  <c r="AK62" i="3" a="1"/>
  <c r="AK62" i="3" s="1"/>
  <c r="CD62" i="3" a="1"/>
  <c r="CD62" i="3" s="1"/>
  <c r="BT62" i="3" a="1"/>
  <c r="BT62" i="3" s="1"/>
  <c r="G62" i="3" a="1"/>
  <c r="G62" i="3" s="1"/>
  <c r="V62" i="3" a="1"/>
  <c r="V62" i="3" s="1"/>
  <c r="AK74" i="3" a="1"/>
  <c r="AK74" i="3" s="1"/>
  <c r="E62" i="3" a="1"/>
  <c r="E62" i="3" s="1"/>
  <c r="E74" i="3" a="1"/>
  <c r="E74" i="3" s="1"/>
  <c r="DK74" i="3" a="1"/>
  <c r="DK74" i="3" s="1"/>
  <c r="AI74" i="3" a="1"/>
  <c r="AI74" i="3" s="1"/>
  <c r="C62" i="3" a="1"/>
  <c r="C62" i="3" s="1"/>
  <c r="CV62" i="3" a="1"/>
  <c r="CV62" i="3" s="1"/>
  <c r="BB62" i="3" a="1"/>
  <c r="BB62" i="3" s="1"/>
  <c r="BQ74" i="3" a="1"/>
  <c r="BQ74" i="3" s="1"/>
  <c r="U62" i="3" a="1"/>
  <c r="U62" i="3" s="1"/>
  <c r="Y74" i="3" a="1"/>
  <c r="Y74" i="3" s="1"/>
  <c r="AN74" i="3" a="1"/>
  <c r="AN74" i="3" s="1"/>
  <c r="CI62" i="3" a="1"/>
  <c r="CI62" i="3" s="1"/>
  <c r="AZ62" i="3" a="1"/>
  <c r="AZ62" i="3" s="1"/>
  <c r="F74" i="3" a="1"/>
  <c r="F74" i="3" s="1"/>
  <c r="DD74" i="3" a="1"/>
  <c r="DD74" i="3" s="1"/>
  <c r="CX74" i="3" a="1"/>
  <c r="CX74" i="3" s="1"/>
  <c r="DL74" i="3" a="1"/>
  <c r="DL74" i="3" s="1"/>
  <c r="AJ74" i="3" a="1"/>
  <c r="AJ74" i="3" s="1"/>
  <c r="AL62" i="3" a="1"/>
  <c r="AL62" i="3" s="1"/>
  <c r="AI62" i="3" a="1"/>
  <c r="AI62" i="3" s="1"/>
  <c r="BN74" i="3" a="1"/>
  <c r="BN74" i="3" s="1"/>
  <c r="DE62" i="3" a="1"/>
  <c r="DE62" i="3" s="1"/>
  <c r="CY62" i="3" a="1"/>
  <c r="CY62" i="3" s="1"/>
  <c r="CH74" i="3" a="1"/>
  <c r="CH74" i="3" s="1"/>
  <c r="AL74" i="3" a="1"/>
  <c r="AL74" i="3" s="1"/>
  <c r="DK62" i="3" a="1"/>
  <c r="DK62" i="3" s="1"/>
  <c r="CF74" i="3" a="1"/>
  <c r="CF74" i="3" s="1"/>
  <c r="F62" i="3" a="1"/>
  <c r="F62" i="3" s="1"/>
  <c r="BO62" i="3" a="1"/>
  <c r="BO62" i="3" s="1"/>
  <c r="CK74" i="3" a="1"/>
  <c r="CK74" i="3" s="1"/>
  <c r="DO74" i="3" a="1"/>
  <c r="DO74" i="3" s="1"/>
  <c r="CV74" i="3" a="1"/>
  <c r="CV74" i="3" s="1"/>
  <c r="AY74" i="3" a="1"/>
  <c r="AY74" i="3" s="1"/>
  <c r="S62" i="3" a="1"/>
  <c r="S62" i="3" s="1"/>
  <c r="DJ62" i="3" a="1"/>
  <c r="DJ62" i="3" s="1"/>
  <c r="DN62" i="3" a="1"/>
  <c r="DN62" i="3" s="1"/>
  <c r="T62" i="3" a="1"/>
  <c r="T62" i="3" s="1"/>
  <c r="CU74" i="3" a="1"/>
  <c r="CU74" i="3" s="1"/>
  <c r="AX62" i="3" a="1"/>
  <c r="AX62" i="3" s="1"/>
  <c r="AH62" i="3" a="1"/>
  <c r="AH62" i="3" s="1"/>
  <c r="CL62" i="3" a="1"/>
  <c r="CL62" i="3" s="1"/>
  <c r="CW74" i="3" a="1"/>
  <c r="CW74" i="3" s="1"/>
  <c r="BA74" i="3" a="1"/>
  <c r="BA74" i="3" s="1"/>
  <c r="AY62" i="3" a="1"/>
  <c r="AY62" i="3" s="1"/>
  <c r="H62" i="3" a="1"/>
  <c r="H62" i="3" s="1"/>
  <c r="R74" i="3" a="1"/>
  <c r="R74" i="3" s="1"/>
  <c r="CL74" i="3" a="1"/>
  <c r="CL74" i="3" s="1"/>
  <c r="BC62" i="3" a="1"/>
  <c r="BC62" i="3" s="1"/>
  <c r="DN74" i="3" a="1"/>
  <c r="DN74" i="3" s="1"/>
  <c r="CX62" i="3" a="1"/>
  <c r="CX62" i="3" s="1"/>
  <c r="V74" i="3" a="1"/>
  <c r="V74" i="3" s="1"/>
  <c r="DA74" i="3" a="1"/>
  <c r="DA74" i="3" s="1"/>
  <c r="D62" i="3" a="1"/>
  <c r="D62" i="3" s="1"/>
  <c r="CF62" i="3" a="1"/>
  <c r="CF62" i="3" s="1"/>
  <c r="D74" i="3" a="1"/>
  <c r="D74" i="3" s="1"/>
  <c r="DM62" i="3" a="1"/>
  <c r="DM62" i="3" s="1"/>
  <c r="CU62" i="3" a="1"/>
  <c r="CU62" i="3" s="1"/>
  <c r="BR62" i="3" a="1"/>
  <c r="BR62" i="3" s="1"/>
  <c r="CE74" i="3" a="1"/>
  <c r="CE74" i="3" s="1"/>
  <c r="CE62" i="3" a="1"/>
  <c r="CE62" i="3" s="1"/>
  <c r="T74" i="3" a="1"/>
  <c r="T74" i="3" s="1"/>
  <c r="BB74" i="3" a="1"/>
  <c r="BB74" i="3" s="1"/>
  <c r="U74" i="3" a="1"/>
  <c r="U74" i="3" s="1"/>
  <c r="BU62" i="3" a="1"/>
  <c r="BU62" i="3" s="1"/>
  <c r="BQ62" i="3" a="1"/>
  <c r="BQ62" i="3" s="1"/>
  <c r="R62" i="3" a="1"/>
  <c r="R62" i="3" s="1"/>
  <c r="S74" i="3" a="1"/>
  <c r="S74" i="3" s="1"/>
  <c r="S48" i="3" a="1"/>
  <c r="S48" i="3" s="1"/>
  <c r="BV48" i="3" a="1"/>
  <c r="BV48" i="3" s="1"/>
  <c r="AQ87" i="3" a="1"/>
  <c r="AQ87" i="3" s="1"/>
  <c r="CG48" i="3" a="1"/>
  <c r="CG48" i="3" s="1"/>
  <c r="CL48" i="3" a="1"/>
  <c r="CL48" i="3" s="1"/>
  <c r="BX22" i="3" a="1"/>
  <c r="BX22" i="3" s="1"/>
  <c r="CC22" i="3" a="1"/>
  <c r="CC22" i="3" s="1"/>
  <c r="DJ22" i="3" a="1"/>
  <c r="DJ22" i="3" s="1"/>
  <c r="BP22" i="3" a="1"/>
  <c r="BP22" i="3" s="1"/>
  <c r="AB48" i="3" a="1"/>
  <c r="AB48" i="3" s="1"/>
  <c r="CK48" i="3" a="1"/>
  <c r="CK48" i="3" s="1"/>
  <c r="DR48" i="3" a="1"/>
  <c r="DR48" i="3" s="1"/>
  <c r="DC22" i="3" a="1"/>
  <c r="DC22" i="3" s="1"/>
  <c r="DP87" i="3" a="1"/>
  <c r="DP87" i="3" s="1"/>
  <c r="DR87" i="3" a="1"/>
  <c r="DR87" i="3" s="1"/>
  <c r="BS22" i="3" a="1"/>
  <c r="BS22" i="3" s="1"/>
  <c r="DD48" i="3" a="1"/>
  <c r="DD48" i="3" s="1"/>
  <c r="AE87" i="3" a="1"/>
  <c r="AE87" i="3" s="1"/>
  <c r="DH22" i="3" a="1"/>
  <c r="DH22" i="3" s="1"/>
  <c r="CD22" i="3" a="1"/>
  <c r="CD22" i="3" s="1"/>
  <c r="DO22" i="3" a="1"/>
  <c r="DO22" i="3" s="1"/>
  <c r="DA87" i="3" a="1"/>
  <c r="DA87" i="3" s="1"/>
  <c r="K48" i="3" a="1"/>
  <c r="K48" i="3" s="1"/>
  <c r="AU48" i="3" a="1"/>
  <c r="AU48" i="3" s="1"/>
  <c r="CI48" i="3" a="1"/>
  <c r="CI48" i="3" s="1"/>
  <c r="AY48" i="3" a="1"/>
  <c r="AY48" i="3" s="1"/>
  <c r="BT48" i="3" a="1"/>
  <c r="BT48" i="3" s="1"/>
  <c r="DC48" i="3" a="1"/>
  <c r="DC48" i="3" s="1"/>
  <c r="CC48" i="3" a="1"/>
  <c r="CC48" i="3" s="1"/>
  <c r="CO48" i="3" a="1"/>
  <c r="CO48" i="3" s="1"/>
  <c r="AN48" i="3" a="1"/>
  <c r="AN48" i="3" s="1"/>
  <c r="E87" i="3" a="1"/>
  <c r="E87" i="3" s="1"/>
  <c r="CH87" i="3" a="1"/>
  <c r="CH87" i="3" s="1"/>
  <c r="AM87" i="3" a="1"/>
  <c r="AM87" i="3" s="1"/>
  <c r="CZ22" i="3" a="1"/>
  <c r="CZ22" i="3" s="1"/>
  <c r="CG87" i="3" a="1"/>
  <c r="CG87" i="3" s="1"/>
  <c r="G87" i="3" a="1"/>
  <c r="G87" i="3" s="1"/>
  <c r="DG48" i="3" a="1"/>
  <c r="DG48" i="3" s="1"/>
  <c r="BW48" i="3" a="1"/>
  <c r="BW48" i="3" s="1"/>
  <c r="BM87" i="3" a="1"/>
  <c r="BM87" i="3" s="1"/>
  <c r="R87" i="3" a="1"/>
  <c r="R87" i="3" s="1"/>
  <c r="DL48" i="3" a="1"/>
  <c r="DL48" i="3" s="1"/>
  <c r="O22" i="3" a="1"/>
  <c r="O22" i="3" s="1"/>
  <c r="N48" i="3" a="1"/>
  <c r="N48" i="3" s="1"/>
  <c r="AJ22" i="3" a="1"/>
  <c r="AJ22" i="3" s="1"/>
  <c r="O48" i="3" a="1"/>
  <c r="O48" i="3" s="1"/>
  <c r="C87" i="3" a="1"/>
  <c r="C87" i="3" s="1"/>
  <c r="BY87" i="3" a="1"/>
  <c r="BY87" i="3" s="1"/>
  <c r="AG48" i="3" a="1"/>
  <c r="AG48" i="3" s="1"/>
  <c r="BE22" i="3" a="1"/>
  <c r="BE22" i="3" s="1"/>
  <c r="F12" i="3" a="1"/>
  <c r="F12" i="3" s="1"/>
  <c r="V12" i="3" a="1"/>
  <c r="V12" i="3" s="1"/>
  <c r="AL12" i="3" a="1"/>
  <c r="AL12" i="3" s="1"/>
  <c r="BR12" i="3" a="1"/>
  <c r="BR12" i="3" s="1"/>
  <c r="CH12" i="3" a="1"/>
  <c r="CH12" i="3" s="1"/>
  <c r="CX12" i="3" a="1"/>
  <c r="CX12" i="3" s="1"/>
  <c r="DN12" i="3" a="1"/>
  <c r="DN12" i="3" s="1"/>
  <c r="G12" i="3" a="1"/>
  <c r="G12" i="3" s="1"/>
  <c r="W12" i="3" a="1"/>
  <c r="W12" i="3" s="1"/>
  <c r="AM12" i="3" a="1"/>
  <c r="AM12" i="3" s="1"/>
  <c r="CI12" i="3" a="1"/>
  <c r="CI12" i="3" s="1"/>
  <c r="CY12" i="3" a="1"/>
  <c r="CY12" i="3" s="1"/>
  <c r="H12" i="3" a="1"/>
  <c r="H12" i="3" s="1"/>
  <c r="BD12" i="3" a="1"/>
  <c r="BD12" i="3" s="1"/>
  <c r="CJ12" i="3" a="1"/>
  <c r="CJ12" i="3" s="1"/>
  <c r="BC12" i="3" a="1"/>
  <c r="BC12" i="3" s="1"/>
  <c r="BS12" i="3" a="1"/>
  <c r="BS12" i="3" s="1"/>
  <c r="DO12" i="3" a="1"/>
  <c r="DO12" i="3" s="1"/>
  <c r="X12" i="3" a="1"/>
  <c r="X12" i="3" s="1"/>
  <c r="BT12" i="3" a="1"/>
  <c r="BT12" i="3" s="1"/>
  <c r="CZ12" i="3" a="1"/>
  <c r="CZ12" i="3" s="1"/>
  <c r="AN12" i="3" a="1"/>
  <c r="AN12" i="3" s="1"/>
  <c r="DP12" i="3" a="1"/>
  <c r="DP12" i="3" s="1"/>
  <c r="M12" i="3" a="1"/>
  <c r="M12" i="3" s="1"/>
  <c r="AA12" i="3" a="1"/>
  <c r="AA12" i="3" s="1"/>
  <c r="AO12" i="3" a="1"/>
  <c r="AO12" i="3" s="1"/>
  <c r="AZ12" i="3" a="1"/>
  <c r="AZ12" i="3" s="1"/>
  <c r="BN12" i="3" a="1"/>
  <c r="BN12" i="3" s="1"/>
  <c r="BY12" i="3" a="1"/>
  <c r="BY12" i="3" s="1"/>
  <c r="CM12" i="3" a="1"/>
  <c r="CM12" i="3" s="1"/>
  <c r="DA12" i="3" a="1"/>
  <c r="DA12" i="3" s="1"/>
  <c r="DL12" i="3" a="1"/>
  <c r="DL12" i="3" s="1"/>
  <c r="AC12" i="3" a="1"/>
  <c r="AC12" i="3" s="1"/>
  <c r="BQ12" i="3" a="1"/>
  <c r="BQ12" i="3" s="1"/>
  <c r="DE12" i="3" a="1"/>
  <c r="DE12" i="3" s="1"/>
  <c r="AJ12" i="3" a="1"/>
  <c r="AJ12" i="3" s="1"/>
  <c r="L12" i="3" a="1"/>
  <c r="L12" i="3" s="1"/>
  <c r="C12" i="3" a="1"/>
  <c r="C12" i="3" s="1"/>
  <c r="AP12" i="3" a="1"/>
  <c r="AP12" i="3" s="1"/>
  <c r="BA12" i="3" a="1"/>
  <c r="BA12" i="3" s="1"/>
  <c r="BB12" i="3" a="1"/>
  <c r="BB12" i="3" s="1"/>
  <c r="CC12" i="3" a="1"/>
  <c r="CC12" i="3" s="1"/>
  <c r="DB12" i="3" a="1"/>
  <c r="DB12" i="3" s="1"/>
  <c r="D12" i="3" a="1"/>
  <c r="D12" i="3" s="1"/>
  <c r="CS12" i="3" a="1"/>
  <c r="CS12" i="3" s="1"/>
  <c r="Z12" i="3" a="1"/>
  <c r="Z12" i="3" s="1"/>
  <c r="CW12" i="3" a="1"/>
  <c r="CW12" i="3" s="1"/>
  <c r="BO12" i="3" a="1"/>
  <c r="BO12" i="3" s="1"/>
  <c r="DM12" i="3" a="1"/>
  <c r="DM12" i="3" s="1"/>
  <c r="R12" i="3" a="1"/>
  <c r="R12" i="3" s="1"/>
  <c r="AQ12" i="3" a="1"/>
  <c r="AQ12" i="3" s="1"/>
  <c r="CE12" i="3" a="1"/>
  <c r="CE12" i="3" s="1"/>
  <c r="BU12" i="3" a="1"/>
  <c r="BU12" i="3" s="1"/>
  <c r="AW12" i="3" a="1"/>
  <c r="AW12" i="3" s="1"/>
  <c r="DI12" i="3" a="1"/>
  <c r="DI12" i="3" s="1"/>
  <c r="AX12" i="3" a="1"/>
  <c r="AX12" i="3" s="1"/>
  <c r="DR12" i="3" a="1"/>
  <c r="DR12" i="3" s="1"/>
  <c r="U12" i="3" a="1"/>
  <c r="U12" i="3" s="1"/>
  <c r="CU12" i="3" a="1"/>
  <c r="CU12" i="3" s="1"/>
  <c r="BE12" i="3" a="1"/>
  <c r="BE12" i="3" s="1"/>
  <c r="BP12" i="3" a="1"/>
  <c r="BP12" i="3" s="1"/>
  <c r="CD12" i="3" a="1"/>
  <c r="CD12" i="3" s="1"/>
  <c r="CO12" i="3" a="1"/>
  <c r="CO12" i="3" s="1"/>
  <c r="DC12" i="3" a="1"/>
  <c r="DC12" i="3" s="1"/>
  <c r="DQ12" i="3" a="1"/>
  <c r="DQ12" i="3" s="1"/>
  <c r="S12" i="3" a="1"/>
  <c r="S12" i="3" s="1"/>
  <c r="BF12" i="3" a="1"/>
  <c r="BF12" i="3" s="1"/>
  <c r="CF12" i="3" a="1"/>
  <c r="CF12" i="3" s="1"/>
  <c r="DK12" i="3" a="1"/>
  <c r="DK12" i="3" s="1"/>
  <c r="E12" i="3" a="1"/>
  <c r="E12" i="3" s="1"/>
  <c r="AG12" i="3" a="1"/>
  <c r="AG12" i="3" s="1"/>
  <c r="AR12" i="3" a="1"/>
  <c r="AR12" i="3" s="1"/>
  <c r="DD12" i="3" a="1"/>
  <c r="DD12" i="3" s="1"/>
  <c r="CT12" i="3" a="1"/>
  <c r="CT12" i="3" s="1"/>
  <c r="CL12" i="3" a="1"/>
  <c r="CL12" i="3" s="1"/>
  <c r="I12" i="3" a="1"/>
  <c r="I12" i="3" s="1"/>
  <c r="T12" i="3" a="1"/>
  <c r="T12" i="3" s="1"/>
  <c r="AH12" i="3" a="1"/>
  <c r="AH12" i="3" s="1"/>
  <c r="AS12" i="3" a="1"/>
  <c r="AS12" i="3" s="1"/>
  <c r="BG12" i="3" a="1"/>
  <c r="BG12" i="3" s="1"/>
  <c r="J12" i="3" a="1"/>
  <c r="J12" i="3" s="1"/>
  <c r="BV12" i="3" a="1"/>
  <c r="BV12" i="3" s="1"/>
  <c r="K12" i="3" a="1"/>
  <c r="K12" i="3" s="1"/>
  <c r="CG12" i="3" a="1"/>
  <c r="CG12" i="3" s="1"/>
  <c r="Y12" i="3" a="1"/>
  <c r="Y12" i="3" s="1"/>
  <c r="AY12" i="3" a="1"/>
  <c r="AY12" i="3" s="1"/>
  <c r="BM12" i="3" a="1"/>
  <c r="BM12" i="3" s="1"/>
  <c r="AI12" i="3" a="1"/>
  <c r="AI12" i="3" s="1"/>
  <c r="BH12" i="3" a="1"/>
  <c r="BH12" i="3" s="1"/>
  <c r="AK12" i="3" a="1"/>
  <c r="AK12" i="3" s="1"/>
  <c r="BX12" i="3" a="1"/>
  <c r="BX12" i="3" s="1"/>
  <c r="BI12" i="3" a="1"/>
  <c r="BI12" i="3" s="1"/>
  <c r="BW12" i="3" a="1"/>
  <c r="BW12" i="3" s="1"/>
  <c r="CK12" i="3" a="1"/>
  <c r="CK12" i="3" s="1"/>
  <c r="CV12" i="3" a="1"/>
  <c r="CV12" i="3" s="1"/>
  <c r="DJ12" i="3" a="1"/>
  <c r="DJ12" i="3" s="1"/>
  <c r="DF12" i="3" a="1"/>
  <c r="DF12" i="3" s="1"/>
  <c r="BL12" i="3" a="1"/>
  <c r="BL12" i="3" s="1"/>
  <c r="CR12" i="3" a="1"/>
  <c r="CR12" i="3" s="1"/>
  <c r="BJ12" i="3" a="1"/>
  <c r="BJ12" i="3" s="1"/>
  <c r="CN12" i="3" a="1"/>
  <c r="CN12" i="3" s="1"/>
  <c r="DH12" i="3" a="1"/>
  <c r="DH12" i="3" s="1"/>
  <c r="AF12" i="3" a="1"/>
  <c r="AF12" i="3" s="1"/>
  <c r="AV12" i="3" a="1"/>
  <c r="AV12" i="3" s="1"/>
  <c r="N12" i="3" a="1"/>
  <c r="N12" i="3" s="1"/>
  <c r="AD12" i="3" a="1"/>
  <c r="AD12" i="3" s="1"/>
  <c r="AB12" i="3" a="1"/>
  <c r="AB12" i="3" s="1"/>
  <c r="CB12" i="3" a="1"/>
  <c r="CB12" i="3" s="1"/>
  <c r="CP12" i="3" a="1"/>
  <c r="CP12" i="3" s="1"/>
  <c r="P12" i="3" a="1"/>
  <c r="P12" i="3" s="1"/>
  <c r="BZ12" i="3" a="1"/>
  <c r="BZ12" i="3" s="1"/>
  <c r="DG12" i="3" a="1"/>
  <c r="DG12" i="3" s="1"/>
  <c r="AT12" i="3" a="1"/>
  <c r="AT12" i="3" s="1"/>
  <c r="CA12" i="3" a="1"/>
  <c r="CA12" i="3" s="1"/>
  <c r="CQ12" i="3" a="1"/>
  <c r="CQ12" i="3" s="1"/>
  <c r="AU12" i="3" a="1"/>
  <c r="AU12" i="3" s="1"/>
  <c r="Q12" i="3" a="1"/>
  <c r="Q12" i="3" s="1"/>
  <c r="BK12" i="3" a="1"/>
  <c r="BK12" i="3" s="1"/>
  <c r="AE12" i="3" a="1"/>
  <c r="AE12" i="3" s="1"/>
  <c r="O12" i="3" a="1"/>
  <c r="O12" i="3" s="1"/>
  <c r="AL87" i="3" a="1"/>
  <c r="AL87" i="3" s="1"/>
  <c r="CN87" i="3" a="1"/>
  <c r="CN87" i="3" s="1"/>
  <c r="DB48" i="3" a="1"/>
  <c r="DB48" i="3" s="1"/>
  <c r="AM22" i="3" a="1"/>
  <c r="AM22" i="3" s="1"/>
  <c r="AC87" i="3" a="1"/>
  <c r="AC87" i="3" s="1"/>
  <c r="BF87" i="3" a="1"/>
  <c r="BF87" i="3" s="1"/>
  <c r="BY22" i="3" a="1"/>
  <c r="BY22" i="3" s="1"/>
  <c r="BN48" i="3" a="1"/>
  <c r="BN48" i="3" s="1"/>
  <c r="DQ87" i="3" a="1"/>
  <c r="DQ87" i="3" s="1"/>
  <c r="DE48" i="3" a="1"/>
  <c r="DE48" i="3" s="1"/>
  <c r="DF22" i="3" a="1"/>
  <c r="DF22" i="3" s="1"/>
  <c r="DE87" i="3" a="1"/>
  <c r="DE87" i="3" s="1"/>
  <c r="AT87" i="3" a="1"/>
  <c r="AT87" i="3" s="1"/>
  <c r="CU22" i="3" a="1"/>
  <c r="CU22" i="3" s="1"/>
  <c r="CG22" i="3" a="1"/>
  <c r="CG22" i="3" s="1"/>
  <c r="CV87" i="3" a="1"/>
  <c r="CV87" i="3" s="1"/>
  <c r="CL22" i="3" a="1"/>
  <c r="CL22" i="3" s="1"/>
  <c r="S87" i="3" a="1"/>
  <c r="S87" i="3" s="1"/>
  <c r="BR48" i="3" a="1"/>
  <c r="BR48" i="3" s="1"/>
  <c r="DJ87" i="3" a="1"/>
  <c r="DJ87" i="3" s="1"/>
  <c r="AS87" i="3" a="1"/>
  <c r="AS87" i="3" s="1"/>
  <c r="G48" i="3" a="1"/>
  <c r="G48" i="3" s="1"/>
  <c r="K87" i="3" a="1"/>
  <c r="K87" i="3" s="1"/>
  <c r="BI22" i="3" a="1"/>
  <c r="BI22" i="3" s="1"/>
  <c r="AF22" i="3" a="1"/>
  <c r="AF22" i="3" s="1"/>
  <c r="L22" i="3" a="1"/>
  <c r="L22" i="3" s="1"/>
  <c r="C48" i="3" a="1"/>
  <c r="C48" i="3" s="1"/>
  <c r="AW48" i="3" a="1"/>
  <c r="AW48" i="3" s="1"/>
  <c r="BL87" i="3" a="1"/>
  <c r="BL87" i="3" s="1"/>
  <c r="M48" i="3" a="1"/>
  <c r="M48" i="3" s="1"/>
  <c r="CP22" i="3" a="1"/>
  <c r="CP22" i="3" s="1"/>
  <c r="AG87" i="3" a="1"/>
  <c r="AG87" i="3" s="1"/>
  <c r="BI87" i="3" a="1"/>
  <c r="BI87" i="3" s="1"/>
  <c r="Y22" i="3" a="1"/>
  <c r="Y22" i="3" s="1"/>
  <c r="R22" i="3" a="1"/>
  <c r="R22" i="3" s="1"/>
  <c r="DL22" i="3" a="1"/>
  <c r="DL22" i="3" s="1"/>
  <c r="AX48" i="3" a="1"/>
  <c r="AX48" i="3" s="1"/>
  <c r="BQ22" i="3" a="1"/>
  <c r="BQ22" i="3" s="1"/>
  <c r="E48" i="3" a="1"/>
  <c r="E48" i="3" s="1"/>
  <c r="H22" i="3" a="1"/>
  <c r="H22" i="3" s="1"/>
  <c r="F22" i="3" a="1"/>
  <c r="F22" i="3" s="1"/>
  <c r="AK87" i="3" a="1"/>
  <c r="AK87" i="3" s="1"/>
  <c r="W22" i="3" a="1"/>
  <c r="W22" i="3" s="1"/>
  <c r="CM87" i="3" a="1"/>
  <c r="CM87" i="3" s="1"/>
  <c r="DP22" i="3" a="1"/>
  <c r="DP22" i="3" s="1"/>
  <c r="BD22" i="3" a="1"/>
  <c r="BD22" i="3" s="1"/>
  <c r="CS22" i="3" a="1"/>
  <c r="CS22" i="3" s="1"/>
  <c r="BG87" i="3" a="1"/>
  <c r="BG87" i="3" s="1"/>
  <c r="M87" i="3" a="1"/>
  <c r="M87" i="3" s="1"/>
  <c r="BL48" i="3" a="1"/>
  <c r="BL48" i="3" s="1"/>
  <c r="BZ22" i="3" a="1"/>
  <c r="BZ22" i="3" s="1"/>
  <c r="J22" i="3" a="1"/>
  <c r="J22" i="3" s="1"/>
  <c r="S22" i="3" a="1"/>
  <c r="S22" i="3" s="1"/>
  <c r="D22" i="3" a="1"/>
  <c r="D22" i="3" s="1"/>
  <c r="CR23" i="3" a="1"/>
  <c r="CR23" i="3" s="1"/>
  <c r="CY48" i="3" a="1"/>
  <c r="CY48" i="3" s="1"/>
  <c r="DM48" i="3" a="1"/>
  <c r="DM48" i="3" s="1"/>
  <c r="AD48" i="3" a="1"/>
  <c r="AD48" i="3" s="1"/>
  <c r="BZ111" i="3" a="1"/>
  <c r="BZ111" i="3" s="1"/>
  <c r="BJ99" i="3" a="1"/>
  <c r="BJ99" i="3" s="1"/>
  <c r="N111" i="3" a="1"/>
  <c r="N111" i="3" s="1"/>
  <c r="DE111" i="3" a="1"/>
  <c r="DE111" i="3" s="1"/>
  <c r="BY99" i="3" a="1"/>
  <c r="BY99" i="3" s="1"/>
  <c r="DI99" i="3" a="1"/>
  <c r="DI99" i="3" s="1"/>
  <c r="AD99" i="3" a="1"/>
  <c r="AD99" i="3" s="1"/>
  <c r="DE99" i="3" a="1"/>
  <c r="DE99" i="3" s="1"/>
  <c r="AB99" i="3" a="1"/>
  <c r="AB99" i="3" s="1"/>
  <c r="AW99" i="3" a="1"/>
  <c r="AW99" i="3" s="1"/>
  <c r="AG99" i="3" a="1"/>
  <c r="AG99" i="3" s="1"/>
  <c r="Q99" i="3" a="1"/>
  <c r="Q99" i="3" s="1"/>
  <c r="AF99" i="3" a="1"/>
  <c r="AF99" i="3" s="1"/>
  <c r="P99" i="3" a="1"/>
  <c r="P99" i="3" s="1"/>
  <c r="DI111" i="3" a="1"/>
  <c r="DI111" i="3" s="1"/>
  <c r="CC111" i="3" a="1"/>
  <c r="CC111" i="3" s="1"/>
  <c r="DF99" i="3" a="1"/>
  <c r="DF99" i="3" s="1"/>
  <c r="CS99" i="3" a="1"/>
  <c r="CS99" i="3" s="1"/>
  <c r="CR99" i="3" a="1"/>
  <c r="CR99" i="3" s="1"/>
  <c r="P111" i="3" a="1"/>
  <c r="P111" i="3" s="1"/>
  <c r="BJ111" i="3" a="1"/>
  <c r="BJ111" i="3" s="1"/>
  <c r="DH99" i="3" a="1"/>
  <c r="DH99" i="3" s="1"/>
  <c r="CP111" i="3" a="1"/>
  <c r="CP111" i="3" s="1"/>
  <c r="BM111" i="3" a="1"/>
  <c r="BM111" i="3" s="1"/>
  <c r="BL99" i="3" a="1"/>
  <c r="BL99" i="3" s="1"/>
  <c r="AW111" i="3" a="1"/>
  <c r="AW111" i="3" s="1"/>
  <c r="AG111" i="3" a="1"/>
  <c r="AG111" i="3" s="1"/>
  <c r="Q111" i="3" a="1"/>
  <c r="Q111" i="3" s="1"/>
  <c r="DF111" i="3" a="1"/>
  <c r="DF111" i="3" s="1"/>
  <c r="CC99" i="3" a="1"/>
  <c r="CC99" i="3" s="1"/>
  <c r="DH111" i="3" a="1"/>
  <c r="DH111" i="3" s="1"/>
  <c r="CP99" i="3" a="1"/>
  <c r="CP99" i="3" s="1"/>
  <c r="CB99" i="3" a="1"/>
  <c r="CB99" i="3" s="1"/>
  <c r="AV99" i="3" a="1"/>
  <c r="AV99" i="3" s="1"/>
  <c r="O99" i="3" a="1"/>
  <c r="O99" i="3" s="1"/>
  <c r="CO99" i="3" a="1"/>
  <c r="CO99" i="3" s="1"/>
  <c r="AR99" i="3" a="1"/>
  <c r="AR99" i="3" s="1"/>
  <c r="CQ111" i="3" a="1"/>
  <c r="CQ111" i="3" s="1"/>
  <c r="AQ99" i="3" a="1"/>
  <c r="AQ99" i="3" s="1"/>
  <c r="CL111" i="3" a="1"/>
  <c r="CL111" i="3" s="1"/>
  <c r="AT99" i="3" a="1"/>
  <c r="AT99" i="3" s="1"/>
  <c r="BY111" i="3" a="1"/>
  <c r="BY111" i="3" s="1"/>
  <c r="DG111" i="3" a="1"/>
  <c r="DG111" i="3" s="1"/>
  <c r="CM99" i="3" a="1"/>
  <c r="CM99" i="3" s="1"/>
  <c r="BW111" i="3" a="1"/>
  <c r="BW111" i="3" s="1"/>
  <c r="BL111" i="3" a="1"/>
  <c r="BL111" i="3" s="1"/>
  <c r="BZ99" i="3" a="1"/>
  <c r="BZ99" i="3" s="1"/>
  <c r="AE99" i="3" a="1"/>
  <c r="AE99" i="3" s="1"/>
  <c r="O111" i="3" a="1"/>
  <c r="O111" i="3" s="1"/>
  <c r="AA111" i="3" a="1"/>
  <c r="AA111" i="3" s="1"/>
  <c r="K111" i="3" a="1"/>
  <c r="K111" i="3" s="1"/>
  <c r="AF111" i="3" a="1"/>
  <c r="AF111" i="3" s="1"/>
  <c r="BI111" i="3" a="1"/>
  <c r="BI111" i="3" s="1"/>
  <c r="AC111" i="3" a="1"/>
  <c r="AC111" i="3" s="1"/>
  <c r="M99" i="3" a="1"/>
  <c r="M99" i="3" s="1"/>
  <c r="Z99" i="3" a="1"/>
  <c r="Z99" i="3" s="1"/>
  <c r="CR111" i="3" a="1"/>
  <c r="CR111" i="3" s="1"/>
  <c r="CS111" i="3" a="1"/>
  <c r="CS111" i="3" s="1"/>
  <c r="N99" i="3" a="1"/>
  <c r="N99" i="3" s="1"/>
  <c r="AS111" i="3" a="1"/>
  <c r="AS111" i="3" s="1"/>
  <c r="AC99" i="3" a="1"/>
  <c r="AC99" i="3" s="1"/>
  <c r="L99" i="3" a="1"/>
  <c r="L99" i="3" s="1"/>
  <c r="DG99" i="3" a="1"/>
  <c r="DG99" i="3" s="1"/>
  <c r="BK111" i="3" a="1"/>
  <c r="BK111" i="3" s="1"/>
  <c r="BK99" i="3" a="1"/>
  <c r="BK99" i="3" s="1"/>
  <c r="DB111" i="3" a="1"/>
  <c r="DB111" i="3" s="1"/>
  <c r="J111" i="3" a="1"/>
  <c r="J111" i="3" s="1"/>
  <c r="CB111" i="3" a="1"/>
  <c r="CB111" i="3" s="1"/>
  <c r="AV111" i="3" a="1"/>
  <c r="AV111" i="3" s="1"/>
  <c r="AS99" i="3" a="1"/>
  <c r="AS99" i="3" s="1"/>
  <c r="DD99" i="3" a="1"/>
  <c r="DD99" i="3" s="1"/>
  <c r="CN111" i="3" a="1"/>
  <c r="CN111" i="3" s="1"/>
  <c r="BH99" i="3" a="1"/>
  <c r="BH99" i="3" s="1"/>
  <c r="AR111" i="3" a="1"/>
  <c r="AR111" i="3" s="1"/>
  <c r="AA99" i="3" a="1"/>
  <c r="AA99" i="3" s="1"/>
  <c r="AD111" i="3" a="1"/>
  <c r="AD111" i="3" s="1"/>
  <c r="BI99" i="3" a="1"/>
  <c r="BI99" i="3" s="1"/>
  <c r="CA111" i="3" a="1"/>
  <c r="CA111" i="3" s="1"/>
  <c r="BW99" i="3" a="1"/>
  <c r="BW99" i="3" s="1"/>
  <c r="AU111" i="3" a="1"/>
  <c r="AU111" i="3" s="1"/>
  <c r="AQ111" i="3" a="1"/>
  <c r="AQ111" i="3" s="1"/>
  <c r="CL99" i="3" a="1"/>
  <c r="CL99" i="3" s="1"/>
  <c r="BE111" i="3" a="1"/>
  <c r="BE111" i="3" s="1"/>
  <c r="CM111" i="3" a="1"/>
  <c r="CM111" i="3" s="1"/>
  <c r="BU99" i="3" a="1"/>
  <c r="BU99" i="3" s="1"/>
  <c r="I111" i="3" a="1"/>
  <c r="I111" i="3" s="1"/>
  <c r="CO111" i="3" a="1"/>
  <c r="CO111" i="3" s="1"/>
  <c r="CA99" i="3" a="1"/>
  <c r="CA99" i="3" s="1"/>
  <c r="K99" i="3" a="1"/>
  <c r="K99" i="3" s="1"/>
  <c r="BF99" i="3" a="1"/>
  <c r="BF99" i="3" s="1"/>
  <c r="BT99" i="3" a="1"/>
  <c r="BT99" i="3" s="1"/>
  <c r="DP99" i="3" a="1"/>
  <c r="DP99" i="3" s="1"/>
  <c r="M111" i="3" a="1"/>
  <c r="M111" i="3" s="1"/>
  <c r="DC111" i="3" a="1"/>
  <c r="DC111" i="3" s="1"/>
  <c r="DR99" i="3" a="1"/>
  <c r="DR99" i="3" s="1"/>
  <c r="DA111" i="3" a="1"/>
  <c r="DA111" i="3" s="1"/>
  <c r="CK111" i="3" a="1"/>
  <c r="CK111" i="3" s="1"/>
  <c r="CJ99" i="3" a="1"/>
  <c r="CJ99" i="3" s="1"/>
  <c r="AN99" i="3" a="1"/>
  <c r="AN99" i="3" s="1"/>
  <c r="X111" i="3" a="1"/>
  <c r="X111" i="3" s="1"/>
  <c r="AT111" i="3" a="1"/>
  <c r="AT111" i="3" s="1"/>
  <c r="CN99" i="3" a="1"/>
  <c r="CN99" i="3" s="1"/>
  <c r="I99" i="3" a="1"/>
  <c r="I99" i="3" s="1"/>
  <c r="BX99" i="3" a="1"/>
  <c r="BX99" i="3" s="1"/>
  <c r="BV99" i="3" a="1"/>
  <c r="BV99" i="3" s="1"/>
  <c r="AP111" i="3" a="1"/>
  <c r="AP111" i="3" s="1"/>
  <c r="L111" i="3" a="1"/>
  <c r="L111" i="3" s="1"/>
  <c r="BG111" i="3" a="1"/>
  <c r="BG111" i="3" s="1"/>
  <c r="DR111" i="3" a="1"/>
  <c r="DR111" i="3" s="1"/>
  <c r="CZ111" i="3" a="1"/>
  <c r="CZ111" i="3" s="1"/>
  <c r="DA99" i="3" a="1"/>
  <c r="DA99" i="3" s="1"/>
  <c r="BE99" i="3" a="1"/>
  <c r="BE99" i="3" s="1"/>
  <c r="BS99" i="3" a="1"/>
  <c r="BS99" i="3" s="1"/>
  <c r="BM99" i="3" a="1"/>
  <c r="BM99" i="3" s="1"/>
  <c r="CJ111" i="3" a="1"/>
  <c r="CJ111" i="3" s="1"/>
  <c r="BD99" i="3" a="1"/>
  <c r="BD99" i="3" s="1"/>
  <c r="X99" i="3" a="1"/>
  <c r="X99" i="3" s="1"/>
  <c r="CV99" i="3" a="1"/>
  <c r="CV99" i="3" s="1"/>
  <c r="Y111" i="3" a="1"/>
  <c r="Y111" i="3" s="1"/>
  <c r="W111" i="3" a="1"/>
  <c r="W111" i="3" s="1"/>
  <c r="BH111" i="3" a="1"/>
  <c r="BH111" i="3" s="1"/>
  <c r="CQ99" i="3" a="1"/>
  <c r="CQ99" i="3" s="1"/>
  <c r="BV111" i="3" a="1"/>
  <c r="BV111" i="3" s="1"/>
  <c r="H99" i="3" a="1"/>
  <c r="H99" i="3" s="1"/>
  <c r="J99" i="3" a="1"/>
  <c r="J99" i="3" s="1"/>
  <c r="DP111" i="3" a="1"/>
  <c r="DP111" i="3" s="1"/>
  <c r="CI99" i="3" a="1"/>
  <c r="CI99" i="3" s="1"/>
  <c r="DC99" i="3" a="1"/>
  <c r="DC99" i="3" s="1"/>
  <c r="DB99" i="3" a="1"/>
  <c r="DB99" i="3" s="1"/>
  <c r="BU111" i="3" a="1"/>
  <c r="BU111" i="3" s="1"/>
  <c r="Y99" i="3" a="1"/>
  <c r="Y99" i="3" s="1"/>
  <c r="BS111" i="3" a="1"/>
  <c r="BS111" i="3" s="1"/>
  <c r="BG99" i="3" a="1"/>
  <c r="BG99" i="3" s="1"/>
  <c r="DO111" i="3" a="1"/>
  <c r="DO111" i="3" s="1"/>
  <c r="BX111" i="3" a="1"/>
  <c r="BX111" i="3" s="1"/>
  <c r="CZ99" i="3" a="1"/>
  <c r="CZ99" i="3" s="1"/>
  <c r="DD111" i="3" a="1"/>
  <c r="DD111" i="3" s="1"/>
  <c r="AO111" i="3" a="1"/>
  <c r="AO111" i="3" s="1"/>
  <c r="AN111" i="3" a="1"/>
  <c r="AN111" i="3" s="1"/>
  <c r="BR99" i="3" a="1"/>
  <c r="BR99" i="3" s="1"/>
  <c r="BF111" i="3" a="1"/>
  <c r="BF111" i="3" s="1"/>
  <c r="Z111" i="3" a="1"/>
  <c r="Z111" i="3" s="1"/>
  <c r="AO99" i="3" a="1"/>
  <c r="AO99" i="3" s="1"/>
  <c r="DO99" i="3" a="1"/>
  <c r="DO99" i="3" s="1"/>
  <c r="CX99" i="3" a="1"/>
  <c r="CX99" i="3" s="1"/>
  <c r="CF111" i="3" a="1"/>
  <c r="CF111" i="3" s="1"/>
  <c r="CF99" i="3" a="1"/>
  <c r="CF99" i="3" s="1"/>
  <c r="CW99" i="3" a="1"/>
  <c r="CW99" i="3" s="1"/>
  <c r="BA99" i="3" a="1"/>
  <c r="BA99" i="3" s="1"/>
  <c r="CD111" i="3" a="1"/>
  <c r="CD111" i="3" s="1"/>
  <c r="BD111" i="3" a="1"/>
  <c r="BD111" i="3" s="1"/>
  <c r="BB99" i="3" a="1"/>
  <c r="BB99" i="3" s="1"/>
  <c r="BO99" i="3" a="1"/>
  <c r="BO99" i="3" s="1"/>
  <c r="AJ99" i="3" a="1"/>
  <c r="AJ99" i="3" s="1"/>
  <c r="V99" i="3" a="1"/>
  <c r="V99" i="3" s="1"/>
  <c r="AY99" i="3" a="1"/>
  <c r="AY99" i="3" s="1"/>
  <c r="S111" i="3" a="1"/>
  <c r="S111" i="3" s="1"/>
  <c r="AX111" i="3" a="1"/>
  <c r="AX111" i="3" s="1"/>
  <c r="AZ99" i="3" a="1"/>
  <c r="AZ99" i="3" s="1"/>
  <c r="F99" i="3" a="1"/>
  <c r="F99" i="3" s="1"/>
  <c r="BQ99" i="3" a="1"/>
  <c r="BQ99" i="3" s="1"/>
  <c r="CT111" i="3" a="1"/>
  <c r="CT111" i="3" s="1"/>
  <c r="CH111" i="3" a="1"/>
  <c r="CH111" i="3" s="1"/>
  <c r="DL99" i="3" a="1"/>
  <c r="DL99" i="3" s="1"/>
  <c r="CE99" i="3" a="1"/>
  <c r="CE99" i="3" s="1"/>
  <c r="DJ111" i="3" a="1"/>
  <c r="DJ111" i="3" s="1"/>
  <c r="BT111" i="3" a="1"/>
  <c r="BT111" i="3" s="1"/>
  <c r="CY99" i="3" a="1"/>
  <c r="CY99" i="3" s="1"/>
  <c r="AM99" i="3" a="1"/>
  <c r="AM99" i="3" s="1"/>
  <c r="DN111" i="3" a="1"/>
  <c r="DN111" i="3" s="1"/>
  <c r="D99" i="3" a="1"/>
  <c r="D99" i="3" s="1"/>
  <c r="CG111" i="3" a="1"/>
  <c r="CG111" i="3" s="1"/>
  <c r="DK99" i="3" a="1"/>
  <c r="DK99" i="3" s="1"/>
  <c r="C99" i="3" a="1"/>
  <c r="C99" i="3" s="1"/>
  <c r="CH99" i="3" a="1"/>
  <c r="CH99" i="3" s="1"/>
  <c r="DM111" i="3" a="1"/>
  <c r="DM111" i="3" s="1"/>
  <c r="CU99" i="3" a="1"/>
  <c r="CU99" i="3" s="1"/>
  <c r="BN99" i="3" a="1"/>
  <c r="BN99" i="3" s="1"/>
  <c r="AH111" i="3" a="1"/>
  <c r="AH111" i="3" s="1"/>
  <c r="CI111" i="3" a="1"/>
  <c r="CI111" i="3" s="1"/>
  <c r="BP99" i="3" a="1"/>
  <c r="BP99" i="3" s="1"/>
  <c r="AZ111" i="3" a="1"/>
  <c r="AZ111" i="3" s="1"/>
  <c r="BB111" i="3" a="1"/>
  <c r="BB111" i="3" s="1"/>
  <c r="CW111" i="3" a="1"/>
  <c r="CW111" i="3" s="1"/>
  <c r="BA111" i="3" a="1"/>
  <c r="BA111" i="3" s="1"/>
  <c r="AK111" i="3" a="1"/>
  <c r="AK111" i="3" s="1"/>
  <c r="E99" i="3" a="1"/>
  <c r="E99" i="3" s="1"/>
  <c r="AI99" i="3" a="1"/>
  <c r="AI99" i="3" s="1"/>
  <c r="S99" i="3" a="1"/>
  <c r="S99" i="3" s="1"/>
  <c r="AB111" i="3" a="1"/>
  <c r="AB111" i="3" s="1"/>
  <c r="D111" i="3" a="1"/>
  <c r="D111" i="3" s="1"/>
  <c r="AL111" i="3" a="1"/>
  <c r="AL111" i="3" s="1"/>
  <c r="AL99" i="3" a="1"/>
  <c r="AL99" i="3" s="1"/>
  <c r="V111" i="3" a="1"/>
  <c r="V111" i="3" s="1"/>
  <c r="BQ111" i="3" a="1"/>
  <c r="BQ111" i="3" s="1"/>
  <c r="DJ99" i="3" a="1"/>
  <c r="DJ99" i="3" s="1"/>
  <c r="CD99" i="3" a="1"/>
  <c r="CD99" i="3" s="1"/>
  <c r="AX99" i="3" a="1"/>
  <c r="AX99" i="3" s="1"/>
  <c r="H111" i="3" a="1"/>
  <c r="H111" i="3" s="1"/>
  <c r="DQ111" i="3" a="1"/>
  <c r="DQ111" i="3" s="1"/>
  <c r="CV111" i="3" a="1"/>
  <c r="CV111" i="3" s="1"/>
  <c r="T99" i="3" a="1"/>
  <c r="T99" i="3" s="1"/>
  <c r="F111" i="3" a="1"/>
  <c r="F111" i="3" s="1"/>
  <c r="AY111" i="3" a="1"/>
  <c r="AY111" i="3" s="1"/>
  <c r="R99" i="3" a="1"/>
  <c r="R99" i="3" s="1"/>
  <c r="AU99" i="3" a="1"/>
  <c r="AU99" i="3" s="1"/>
  <c r="AE111" i="3" a="1"/>
  <c r="AE111" i="3" s="1"/>
  <c r="AP99" i="3" a="1"/>
  <c r="AP99" i="3" s="1"/>
  <c r="DQ99" i="3" a="1"/>
  <c r="DQ99" i="3" s="1"/>
  <c r="CY111" i="3" a="1"/>
  <c r="CY111" i="3" s="1"/>
  <c r="BR111" i="3" a="1"/>
  <c r="BR111" i="3" s="1"/>
  <c r="T111" i="3" a="1"/>
  <c r="T111" i="3" s="1"/>
  <c r="CE111" i="3" a="1"/>
  <c r="CE111" i="3" s="1"/>
  <c r="BO111" i="3" a="1"/>
  <c r="BO111" i="3" s="1"/>
  <c r="CT99" i="3" a="1"/>
  <c r="CT99" i="3" s="1"/>
  <c r="CG99" i="3" a="1"/>
  <c r="CG99" i="3" s="1"/>
  <c r="DN99" i="3" a="1"/>
  <c r="DN99" i="3" s="1"/>
  <c r="BC99" i="3" a="1"/>
  <c r="BC99" i="3" s="1"/>
  <c r="E111" i="3" a="1"/>
  <c r="E111" i="3" s="1"/>
  <c r="U111" i="3" a="1"/>
  <c r="U111" i="3" s="1"/>
  <c r="AJ111" i="3" a="1"/>
  <c r="AJ111" i="3" s="1"/>
  <c r="AK99" i="3" a="1"/>
  <c r="AK99" i="3" s="1"/>
  <c r="U99" i="3" a="1"/>
  <c r="U99" i="3" s="1"/>
  <c r="DK111" i="3" a="1"/>
  <c r="DK111" i="3" s="1"/>
  <c r="BN111" i="3" a="1"/>
  <c r="BN111" i="3" s="1"/>
  <c r="DL111" i="3" a="1"/>
  <c r="DL111" i="3" s="1"/>
  <c r="AI111" i="3" a="1"/>
  <c r="AI111" i="3" s="1"/>
  <c r="R111" i="3" a="1"/>
  <c r="R111" i="3" s="1"/>
  <c r="DM99" i="3" a="1"/>
  <c r="DM99" i="3" s="1"/>
  <c r="CK99" i="3" a="1"/>
  <c r="CK99" i="3" s="1"/>
  <c r="W99" i="3" a="1"/>
  <c r="W99" i="3" s="1"/>
  <c r="G111" i="3" a="1"/>
  <c r="G111" i="3" s="1"/>
  <c r="AH99" i="3" a="1"/>
  <c r="AH99" i="3" s="1"/>
  <c r="G99" i="3" a="1"/>
  <c r="G99" i="3" s="1"/>
  <c r="BP111" i="3" a="1"/>
  <c r="BP111" i="3" s="1"/>
  <c r="C111" i="3" a="1"/>
  <c r="C111" i="3" s="1"/>
  <c r="AM111" i="3" a="1"/>
  <c r="AM111" i="3" s="1"/>
  <c r="CU111" i="3" a="1"/>
  <c r="CU111" i="3" s="1"/>
  <c r="CX111" i="3" a="1"/>
  <c r="CX111" i="3" s="1"/>
  <c r="BC111" i="3" a="1"/>
  <c r="BC111" i="3" s="1"/>
  <c r="T48" i="3" a="1"/>
  <c r="T48" i="3" s="1"/>
  <c r="AE22" i="3" a="1"/>
  <c r="AE22" i="3" s="1"/>
  <c r="BX87" i="3" a="1"/>
  <c r="BX87" i="3" s="1"/>
  <c r="Q48" i="3" a="1"/>
  <c r="Q48" i="3" s="1"/>
  <c r="CW87" i="3" a="1"/>
  <c r="CW87" i="3" s="1"/>
  <c r="BK87" i="3" a="1"/>
  <c r="BK87" i="3" s="1"/>
  <c r="DC87" i="3" a="1"/>
  <c r="DC87" i="3" s="1"/>
  <c r="CT48" i="3" a="1"/>
  <c r="CT48" i="3" s="1"/>
  <c r="DM22" i="3" a="1"/>
  <c r="DM22" i="3" s="1"/>
  <c r="BU87" i="3" a="1"/>
  <c r="BU87" i="3" s="1"/>
  <c r="CQ48" i="3" a="1"/>
  <c r="CQ48" i="3" s="1"/>
  <c r="CN48" i="3" a="1"/>
  <c r="CN48" i="3" s="1"/>
  <c r="CD48" i="3" a="1"/>
  <c r="CD48" i="3" s="1"/>
  <c r="BA87" i="3" a="1"/>
  <c r="BA87" i="3" s="1"/>
  <c r="AX87" i="3" a="1"/>
  <c r="AX87" i="3" s="1"/>
  <c r="AP87" i="3" a="1"/>
  <c r="AP87" i="3" s="1"/>
  <c r="AA48" i="3" a="1"/>
  <c r="AA48" i="3" s="1"/>
  <c r="AS22" i="3" a="1"/>
  <c r="AS22" i="3" s="1"/>
  <c r="BJ87" i="3" a="1"/>
  <c r="BJ87" i="3" s="1"/>
  <c r="AC22" i="3" a="1"/>
  <c r="AC22" i="3" s="1"/>
  <c r="BR87" i="3" a="1"/>
  <c r="BR87" i="3" s="1"/>
  <c r="DJ48" i="3" a="1"/>
  <c r="DJ48" i="3" s="1"/>
  <c r="CF48" i="3" a="1"/>
  <c r="CF48" i="3" s="1"/>
  <c r="BA48" i="3" a="1"/>
  <c r="BA48" i="3" s="1"/>
  <c r="F48" i="3" a="1"/>
  <c r="F48" i="3" s="1"/>
  <c r="BC87" i="3" a="1"/>
  <c r="BC87" i="3" s="1"/>
  <c r="CM22" i="3" a="1"/>
  <c r="CM22" i="3" s="1"/>
  <c r="J48" i="3" a="1"/>
  <c r="J48" i="3" s="1"/>
  <c r="M22" i="3" a="1"/>
  <c r="M22" i="3" s="1"/>
  <c r="BE48" i="3" a="1"/>
  <c r="BE48" i="3" s="1"/>
  <c r="AQ22" i="3" a="1"/>
  <c r="AQ22" i="3" s="1"/>
  <c r="BH48" i="3" a="1"/>
  <c r="BH48" i="3" s="1"/>
  <c r="BZ87" i="3" a="1"/>
  <c r="BZ87" i="3" s="1"/>
  <c r="CR22" i="3" a="1"/>
  <c r="CR22" i="3" s="1"/>
  <c r="DF48" i="3" a="1"/>
  <c r="DF48" i="3" s="1"/>
  <c r="AV48" i="3" a="1"/>
  <c r="AV48" i="3" s="1"/>
  <c r="AR22" i="3" a="1"/>
  <c r="AR22" i="3" s="1"/>
  <c r="BH22" i="3" a="1"/>
  <c r="BH22" i="3" s="1"/>
  <c r="AH48" i="3" a="1"/>
  <c r="AH48" i="3" s="1"/>
  <c r="AZ22" i="3" a="1"/>
  <c r="AZ22" i="3" s="1"/>
  <c r="BV112" i="3" a="1"/>
  <c r="BV112" i="3" s="1"/>
  <c r="CS112" i="3" a="1"/>
  <c r="CS112" i="3" s="1"/>
  <c r="AW112" i="3" a="1"/>
  <c r="AW112" i="3" s="1"/>
  <c r="AF112" i="3" a="1"/>
  <c r="AF112" i="3" s="1"/>
  <c r="AC100" i="3" a="1"/>
  <c r="AC100" i="3" s="1"/>
  <c r="BZ112" i="3" a="1"/>
  <c r="BZ112" i="3" s="1"/>
  <c r="CO112" i="3" a="1"/>
  <c r="CO112" i="3" s="1"/>
  <c r="BY112" i="3" a="1"/>
  <c r="BY112" i="3" s="1"/>
  <c r="AS112" i="3" a="1"/>
  <c r="AS112" i="3" s="1"/>
  <c r="BM100" i="3" a="1"/>
  <c r="BM100" i="3" s="1"/>
  <c r="DF112" i="3" a="1"/>
  <c r="DF112" i="3" s="1"/>
  <c r="AW100" i="3" a="1"/>
  <c r="AW100" i="3" s="1"/>
  <c r="Q112" i="3" a="1"/>
  <c r="Q112" i="3" s="1"/>
  <c r="DH100" i="3" a="1"/>
  <c r="DH100" i="3" s="1"/>
  <c r="BL112" i="3" a="1"/>
  <c r="BL112" i="3" s="1"/>
  <c r="AG100" i="3" a="1"/>
  <c r="AG100" i="3" s="1"/>
  <c r="Q100" i="3" a="1"/>
  <c r="Q100" i="3" s="1"/>
  <c r="AF100" i="3" a="1"/>
  <c r="AF100" i="3" s="1"/>
  <c r="CP100" i="3" a="1"/>
  <c r="CP100" i="3" s="1"/>
  <c r="CS100" i="3" a="1"/>
  <c r="CS100" i="3" s="1"/>
  <c r="CC100" i="3" a="1"/>
  <c r="CC100" i="3" s="1"/>
  <c r="CC112" i="3" a="1"/>
  <c r="CC112" i="3" s="1"/>
  <c r="AD100" i="3" a="1"/>
  <c r="AD100" i="3" s="1"/>
  <c r="DI100" i="3" a="1"/>
  <c r="DI100" i="3" s="1"/>
  <c r="BM112" i="3" a="1"/>
  <c r="BM112" i="3" s="1"/>
  <c r="CR112" i="3" a="1"/>
  <c r="CR112" i="3" s="1"/>
  <c r="P100" i="3" a="1"/>
  <c r="P100" i="3" s="1"/>
  <c r="CR100" i="3" a="1"/>
  <c r="CR100" i="3" s="1"/>
  <c r="CB112" i="3" a="1"/>
  <c r="CB112" i="3" s="1"/>
  <c r="CP112" i="3" a="1"/>
  <c r="CP112" i="3" s="1"/>
  <c r="AV100" i="3" a="1"/>
  <c r="AV100" i="3" s="1"/>
  <c r="CO100" i="3" a="1"/>
  <c r="CO100" i="3" s="1"/>
  <c r="BI100" i="3" a="1"/>
  <c r="BI100" i="3" s="1"/>
  <c r="M112" i="3" a="1"/>
  <c r="M112" i="3" s="1"/>
  <c r="DH112" i="3" a="1"/>
  <c r="DH112" i="3" s="1"/>
  <c r="AC112" i="3" a="1"/>
  <c r="AC112" i="3" s="1"/>
  <c r="CQ112" i="3" a="1"/>
  <c r="CQ112" i="3" s="1"/>
  <c r="O112" i="3" a="1"/>
  <c r="O112" i="3" s="1"/>
  <c r="BW112" i="3" a="1"/>
  <c r="BW112" i="3" s="1"/>
  <c r="BG112" i="3" a="1"/>
  <c r="BG112" i="3" s="1"/>
  <c r="AP112" i="3" a="1"/>
  <c r="AP112" i="3" s="1"/>
  <c r="BZ100" i="3" a="1"/>
  <c r="BZ100" i="3" s="1"/>
  <c r="N112" i="3" a="1"/>
  <c r="N112" i="3" s="1"/>
  <c r="BH112" i="3" a="1"/>
  <c r="BH112" i="3" s="1"/>
  <c r="AU100" i="3" a="1"/>
  <c r="AU100" i="3" s="1"/>
  <c r="P112" i="3" a="1"/>
  <c r="P112" i="3" s="1"/>
  <c r="DE100" i="3" a="1"/>
  <c r="DE100" i="3" s="1"/>
  <c r="M100" i="3" a="1"/>
  <c r="M100" i="3" s="1"/>
  <c r="BL100" i="3" a="1"/>
  <c r="BL100" i="3" s="1"/>
  <c r="BW100" i="3" a="1"/>
  <c r="BW100" i="3" s="1"/>
  <c r="K112" i="3" a="1"/>
  <c r="K112" i="3" s="1"/>
  <c r="BV100" i="3" a="1"/>
  <c r="BV100" i="3" s="1"/>
  <c r="DI112" i="3" a="1"/>
  <c r="DI112" i="3" s="1"/>
  <c r="DE112" i="3" a="1"/>
  <c r="DE112" i="3" s="1"/>
  <c r="BI112" i="3" a="1"/>
  <c r="BI112" i="3" s="1"/>
  <c r="AB112" i="3" a="1"/>
  <c r="AB112" i="3" s="1"/>
  <c r="CQ100" i="3" a="1"/>
  <c r="CQ100" i="3" s="1"/>
  <c r="AQ100" i="3" a="1"/>
  <c r="AQ100" i="3" s="1"/>
  <c r="AA100" i="3" a="1"/>
  <c r="AA100" i="3" s="1"/>
  <c r="AG112" i="3" a="1"/>
  <c r="AG112" i="3" s="1"/>
  <c r="DF100" i="3" a="1"/>
  <c r="DF100" i="3" s="1"/>
  <c r="BJ112" i="3" a="1"/>
  <c r="BJ112" i="3" s="1"/>
  <c r="AT100" i="3" a="1"/>
  <c r="AT100" i="3" s="1"/>
  <c r="BX112" i="3" a="1"/>
  <c r="BX112" i="3" s="1"/>
  <c r="DD112" i="3" a="1"/>
  <c r="DD112" i="3" s="1"/>
  <c r="DG100" i="3" a="1"/>
  <c r="DG100" i="3" s="1"/>
  <c r="CB100" i="3" a="1"/>
  <c r="CB100" i="3" s="1"/>
  <c r="AT112" i="3" a="1"/>
  <c r="AT112" i="3" s="1"/>
  <c r="N100" i="3" a="1"/>
  <c r="N100" i="3" s="1"/>
  <c r="DD100" i="3" a="1"/>
  <c r="DD100" i="3" s="1"/>
  <c r="AR100" i="3" a="1"/>
  <c r="AR100" i="3" s="1"/>
  <c r="L112" i="3" a="1"/>
  <c r="L112" i="3" s="1"/>
  <c r="DC112" i="3" a="1"/>
  <c r="DC112" i="3" s="1"/>
  <c r="CM112" i="3" a="1"/>
  <c r="CM112" i="3" s="1"/>
  <c r="BY100" i="3" a="1"/>
  <c r="BY100" i="3" s="1"/>
  <c r="CN100" i="3" a="1"/>
  <c r="CN100" i="3" s="1"/>
  <c r="AP100" i="3" a="1"/>
  <c r="AP100" i="3" s="1"/>
  <c r="Y100" i="3" a="1"/>
  <c r="Y100" i="3" s="1"/>
  <c r="I112" i="3" a="1"/>
  <c r="I112" i="3" s="1"/>
  <c r="BJ100" i="3" a="1"/>
  <c r="BJ100" i="3" s="1"/>
  <c r="AD112" i="3" a="1"/>
  <c r="AD112" i="3" s="1"/>
  <c r="BH100" i="3" a="1"/>
  <c r="BH100" i="3" s="1"/>
  <c r="DB112" i="3" a="1"/>
  <c r="DB112" i="3" s="1"/>
  <c r="DB100" i="3" a="1"/>
  <c r="DB100" i="3" s="1"/>
  <c r="DP112" i="3" a="1"/>
  <c r="DP112" i="3" s="1"/>
  <c r="CZ100" i="3" a="1"/>
  <c r="CZ100" i="3" s="1"/>
  <c r="BU100" i="3" a="1"/>
  <c r="BU100" i="3" s="1"/>
  <c r="AO100" i="3" a="1"/>
  <c r="AO100" i="3" s="1"/>
  <c r="AS100" i="3" a="1"/>
  <c r="AS100" i="3" s="1"/>
  <c r="AE100" i="3" a="1"/>
  <c r="AE100" i="3" s="1"/>
  <c r="BF100" i="3" a="1"/>
  <c r="BF100" i="3" s="1"/>
  <c r="J112" i="3" a="1"/>
  <c r="J112" i="3" s="1"/>
  <c r="BU112" i="3" a="1"/>
  <c r="BU112" i="3" s="1"/>
  <c r="AN112" i="3" a="1"/>
  <c r="AN112" i="3" s="1"/>
  <c r="BK112" i="3" a="1"/>
  <c r="BK112" i="3" s="1"/>
  <c r="BS112" i="3" a="1"/>
  <c r="BS112" i="3" s="1"/>
  <c r="BK100" i="3" a="1"/>
  <c r="BK100" i="3" s="1"/>
  <c r="Z112" i="3" a="1"/>
  <c r="Z112" i="3" s="1"/>
  <c r="Y112" i="3" a="1"/>
  <c r="Y112" i="3" s="1"/>
  <c r="DP100" i="3" a="1"/>
  <c r="DP100" i="3" s="1"/>
  <c r="BD100" i="3" a="1"/>
  <c r="BD100" i="3" s="1"/>
  <c r="BX100" i="3" a="1"/>
  <c r="BX100" i="3" s="1"/>
  <c r="CM100" i="3" a="1"/>
  <c r="CM100" i="3" s="1"/>
  <c r="DA100" i="3" a="1"/>
  <c r="DA100" i="3" s="1"/>
  <c r="CK100" i="3" a="1"/>
  <c r="CK100" i="3" s="1"/>
  <c r="BE112" i="3" a="1"/>
  <c r="BE112" i="3" s="1"/>
  <c r="CJ112" i="3" a="1"/>
  <c r="CJ112" i="3" s="1"/>
  <c r="H100" i="3" a="1"/>
  <c r="H100" i="3" s="1"/>
  <c r="DG112" i="3" a="1"/>
  <c r="DG112" i="3" s="1"/>
  <c r="BF112" i="3" a="1"/>
  <c r="BF112" i="3" s="1"/>
  <c r="DQ100" i="3" a="1"/>
  <c r="DQ100" i="3" s="1"/>
  <c r="BT112" i="3" a="1"/>
  <c r="BT112" i="3" s="1"/>
  <c r="AV112" i="3" a="1"/>
  <c r="AV112" i="3" s="1"/>
  <c r="CJ100" i="3" a="1"/>
  <c r="CJ100" i="3" s="1"/>
  <c r="BT100" i="3" a="1"/>
  <c r="BT100" i="3" s="1"/>
  <c r="DR112" i="3" a="1"/>
  <c r="DR112" i="3" s="1"/>
  <c r="DA112" i="3" a="1"/>
  <c r="DA112" i="3" s="1"/>
  <c r="BE100" i="3" a="1"/>
  <c r="BE100" i="3" s="1"/>
  <c r="CY112" i="3" a="1"/>
  <c r="CY112" i="3" s="1"/>
  <c r="CH112" i="3" a="1"/>
  <c r="CH112" i="3" s="1"/>
  <c r="BP112" i="3" a="1"/>
  <c r="BP112" i="3" s="1"/>
  <c r="DO100" i="3" a="1"/>
  <c r="DO100" i="3" s="1"/>
  <c r="DQ112" i="3" a="1"/>
  <c r="DQ112" i="3" s="1"/>
  <c r="CZ112" i="3" a="1"/>
  <c r="CZ112" i="3" s="1"/>
  <c r="W100" i="3" a="1"/>
  <c r="W100" i="3" s="1"/>
  <c r="BR100" i="3" a="1"/>
  <c r="BR100" i="3" s="1"/>
  <c r="CN112" i="3" a="1"/>
  <c r="CN112" i="3" s="1"/>
  <c r="O100" i="3" a="1"/>
  <c r="O100" i="3" s="1"/>
  <c r="CK112" i="3" a="1"/>
  <c r="CK112" i="3" s="1"/>
  <c r="W112" i="3" a="1"/>
  <c r="W112" i="3" s="1"/>
  <c r="DN100" i="3" a="1"/>
  <c r="DN100" i="3" s="1"/>
  <c r="L100" i="3" a="1"/>
  <c r="L100" i="3" s="1"/>
  <c r="AO112" i="3" a="1"/>
  <c r="AO112" i="3" s="1"/>
  <c r="H112" i="3" a="1"/>
  <c r="H112" i="3" s="1"/>
  <c r="DC100" i="3" a="1"/>
  <c r="DC100" i="3" s="1"/>
  <c r="AQ112" i="3" a="1"/>
  <c r="AQ112" i="3" s="1"/>
  <c r="AY112" i="3" a="1"/>
  <c r="AY112" i="3" s="1"/>
  <c r="AI112" i="3" a="1"/>
  <c r="AI112" i="3" s="1"/>
  <c r="AX112" i="3" a="1"/>
  <c r="AX112" i="3" s="1"/>
  <c r="CL112" i="3" a="1"/>
  <c r="CL112" i="3" s="1"/>
  <c r="AJ112" i="3" a="1"/>
  <c r="AJ112" i="3" s="1"/>
  <c r="BB100" i="3" a="1"/>
  <c r="BB100" i="3" s="1"/>
  <c r="CE100" i="3" a="1"/>
  <c r="CE100" i="3" s="1"/>
  <c r="S100" i="3" a="1"/>
  <c r="S100" i="3" s="1"/>
  <c r="BN112" i="3" a="1"/>
  <c r="BN112" i="3" s="1"/>
  <c r="C112" i="3" a="1"/>
  <c r="C112" i="3" s="1"/>
  <c r="DJ112" i="3" a="1"/>
  <c r="DJ112" i="3" s="1"/>
  <c r="BD112" i="3" a="1"/>
  <c r="BD112" i="3" s="1"/>
  <c r="AN100" i="3" a="1"/>
  <c r="AN100" i="3" s="1"/>
  <c r="AM112" i="3" a="1"/>
  <c r="AM112" i="3" s="1"/>
  <c r="AZ100" i="3" a="1"/>
  <c r="AZ100" i="3" s="1"/>
  <c r="F100" i="3" a="1"/>
  <c r="F100" i="3" s="1"/>
  <c r="E100" i="3" a="1"/>
  <c r="E100" i="3" s="1"/>
  <c r="CT112" i="3" a="1"/>
  <c r="CT112" i="3" s="1"/>
  <c r="AH112" i="3" a="1"/>
  <c r="AH112" i="3" s="1"/>
  <c r="AR112" i="3" a="1"/>
  <c r="AR112" i="3" s="1"/>
  <c r="CA112" i="3" a="1"/>
  <c r="CA112" i="3" s="1"/>
  <c r="CY100" i="3" a="1"/>
  <c r="CY100" i="3" s="1"/>
  <c r="DN112" i="3" a="1"/>
  <c r="DN112" i="3" s="1"/>
  <c r="V100" i="3" a="1"/>
  <c r="V100" i="3" s="1"/>
  <c r="CW112" i="3" a="1"/>
  <c r="CW112" i="3" s="1"/>
  <c r="U100" i="3" a="1"/>
  <c r="U100" i="3" s="1"/>
  <c r="BO100" i="3" a="1"/>
  <c r="BO100" i="3" s="1"/>
  <c r="CD112" i="3" a="1"/>
  <c r="CD112" i="3" s="1"/>
  <c r="CL100" i="3" a="1"/>
  <c r="CL100" i="3" s="1"/>
  <c r="Z100" i="3" a="1"/>
  <c r="Z100" i="3" s="1"/>
  <c r="CV100" i="3" a="1"/>
  <c r="CV100" i="3" s="1"/>
  <c r="DM112" i="3" a="1"/>
  <c r="DM112" i="3" s="1"/>
  <c r="BA100" i="3" a="1"/>
  <c r="BA100" i="3" s="1"/>
  <c r="BG100" i="3" a="1"/>
  <c r="BG100" i="3" s="1"/>
  <c r="AA112" i="3" a="1"/>
  <c r="AA112" i="3" s="1"/>
  <c r="CI112" i="3" a="1"/>
  <c r="CI112" i="3" s="1"/>
  <c r="BP100" i="3" a="1"/>
  <c r="BP100" i="3" s="1"/>
  <c r="T100" i="3" a="1"/>
  <c r="T100" i="3" s="1"/>
  <c r="F112" i="3" a="1"/>
  <c r="F112" i="3" s="1"/>
  <c r="BQ100" i="3" a="1"/>
  <c r="BQ100" i="3" s="1"/>
  <c r="AM100" i="3" a="1"/>
  <c r="AM100" i="3" s="1"/>
  <c r="AK100" i="3" a="1"/>
  <c r="AK100" i="3" s="1"/>
  <c r="I100" i="3" a="1"/>
  <c r="I100" i="3" s="1"/>
  <c r="AL100" i="3" a="1"/>
  <c r="AL100" i="3" s="1"/>
  <c r="AY100" i="3" a="1"/>
  <c r="AY100" i="3" s="1"/>
  <c r="CA100" i="3" a="1"/>
  <c r="CA100" i="3" s="1"/>
  <c r="AU112" i="3" a="1"/>
  <c r="AU112" i="3" s="1"/>
  <c r="DR100" i="3" a="1"/>
  <c r="DR100" i="3" s="1"/>
  <c r="G100" i="3" a="1"/>
  <c r="G100" i="3" s="1"/>
  <c r="CF100" i="3" a="1"/>
  <c r="CF100" i="3" s="1"/>
  <c r="BB112" i="3" a="1"/>
  <c r="BB112" i="3" s="1"/>
  <c r="BA112" i="3" a="1"/>
  <c r="BA112" i="3" s="1"/>
  <c r="BO112" i="3" a="1"/>
  <c r="BO112" i="3" s="1"/>
  <c r="BN100" i="3" a="1"/>
  <c r="BN100" i="3" s="1"/>
  <c r="BC112" i="3" a="1"/>
  <c r="BC112" i="3" s="1"/>
  <c r="BC100" i="3" a="1"/>
  <c r="BC100" i="3" s="1"/>
  <c r="DL100" i="3" a="1"/>
  <c r="DL100" i="3" s="1"/>
  <c r="AJ100" i="3" a="1"/>
  <c r="AJ100" i="3" s="1"/>
  <c r="BQ112" i="3" a="1"/>
  <c r="BQ112" i="3" s="1"/>
  <c r="E112" i="3" a="1"/>
  <c r="E112" i="3" s="1"/>
  <c r="AI100" i="3" a="1"/>
  <c r="AI100" i="3" s="1"/>
  <c r="CD100" i="3" a="1"/>
  <c r="CD100" i="3" s="1"/>
  <c r="AB100" i="3" a="1"/>
  <c r="AB100" i="3" s="1"/>
  <c r="AE112" i="3" a="1"/>
  <c r="AE112" i="3" s="1"/>
  <c r="X112" i="3" a="1"/>
  <c r="X112" i="3" s="1"/>
  <c r="CX112" i="3" a="1"/>
  <c r="CX112" i="3" s="1"/>
  <c r="V112" i="3" a="1"/>
  <c r="V112" i="3" s="1"/>
  <c r="CG112" i="3" a="1"/>
  <c r="CG112" i="3" s="1"/>
  <c r="AK112" i="3" a="1"/>
  <c r="AK112" i="3" s="1"/>
  <c r="DK112" i="3" a="1"/>
  <c r="DK112" i="3" s="1"/>
  <c r="AX100" i="3" a="1"/>
  <c r="AX100" i="3" s="1"/>
  <c r="X100" i="3" a="1"/>
  <c r="X100" i="3" s="1"/>
  <c r="BS100" i="3" a="1"/>
  <c r="BS100" i="3" s="1"/>
  <c r="CF112" i="3" a="1"/>
  <c r="CF112" i="3" s="1"/>
  <c r="D112" i="3" a="1"/>
  <c r="D112" i="3" s="1"/>
  <c r="AL112" i="3" a="1"/>
  <c r="AL112" i="3" s="1"/>
  <c r="DM100" i="3" a="1"/>
  <c r="DM100" i="3" s="1"/>
  <c r="DK100" i="3" a="1"/>
  <c r="DK100" i="3" s="1"/>
  <c r="DJ100" i="3" a="1"/>
  <c r="DJ100" i="3" s="1"/>
  <c r="CW100" i="3" a="1"/>
  <c r="CW100" i="3" s="1"/>
  <c r="CH100" i="3" a="1"/>
  <c r="CH100" i="3" s="1"/>
  <c r="R112" i="3" a="1"/>
  <c r="R112" i="3" s="1"/>
  <c r="K100" i="3" a="1"/>
  <c r="K100" i="3" s="1"/>
  <c r="AZ112" i="3" a="1"/>
  <c r="AZ112" i="3" s="1"/>
  <c r="U112" i="3" a="1"/>
  <c r="U112" i="3" s="1"/>
  <c r="DL112" i="3" a="1"/>
  <c r="DL112" i="3" s="1"/>
  <c r="G112" i="3" a="1"/>
  <c r="G112" i="3" s="1"/>
  <c r="BR112" i="3" a="1"/>
  <c r="BR112" i="3" s="1"/>
  <c r="CG100" i="3" a="1"/>
  <c r="CG100" i="3" s="1"/>
  <c r="CX100" i="3" a="1"/>
  <c r="CX100" i="3" s="1"/>
  <c r="DO112" i="3" a="1"/>
  <c r="DO112" i="3" s="1"/>
  <c r="CT100" i="3" a="1"/>
  <c r="CT100" i="3" s="1"/>
  <c r="CU112" i="3" a="1"/>
  <c r="CU112" i="3" s="1"/>
  <c r="S112" i="3" a="1"/>
  <c r="S112" i="3" s="1"/>
  <c r="AH100" i="3" a="1"/>
  <c r="AH100" i="3" s="1"/>
  <c r="D100" i="3" a="1"/>
  <c r="D100" i="3" s="1"/>
  <c r="J100" i="3" a="1"/>
  <c r="J100" i="3" s="1"/>
  <c r="CI100" i="3" a="1"/>
  <c r="CI100" i="3" s="1"/>
  <c r="C100" i="3" a="1"/>
  <c r="C100" i="3" s="1"/>
  <c r="CU100" i="3" a="1"/>
  <c r="CU100" i="3" s="1"/>
  <c r="CE112" i="3" a="1"/>
  <c r="CE112" i="3" s="1"/>
  <c r="R100" i="3" a="1"/>
  <c r="R100" i="3" s="1"/>
  <c r="CV112" i="3" a="1"/>
  <c r="CV112" i="3" s="1"/>
  <c r="T112" i="3" a="1"/>
  <c r="T112" i="3" s="1"/>
  <c r="I11" i="24"/>
  <c r="H46" i="19" l="1" a="1"/>
  <c r="H46" i="19" s="1"/>
  <c r="F46" i="19" a="1"/>
  <c r="F46" i="19" s="1"/>
  <c r="D8" i="10"/>
  <c r="F9" i="13" a="1"/>
  <c r="F9" i="13" s="1"/>
  <c r="G17" i="13"/>
  <c r="K21" i="13" a="1"/>
  <c r="K21" i="13" s="1"/>
  <c r="K78" i="19" a="1"/>
  <c r="K78" i="19" s="1"/>
  <c r="G31" i="19" a="1"/>
  <c r="G31" i="19" s="1"/>
  <c r="D9" i="13" a="1"/>
  <c r="D9" i="13" s="1"/>
  <c r="I11" i="13" a="1"/>
  <c r="I11" i="13" s="1"/>
  <c r="I21" i="13" a="1"/>
  <c r="I21" i="13" s="1"/>
  <c r="E8" i="10"/>
  <c r="H10" i="13"/>
  <c r="F17" i="13"/>
  <c r="H8" i="13"/>
  <c r="H8" i="4" s="1"/>
  <c r="H33" i="4" s="1"/>
  <c r="H44" i="4" s="1"/>
  <c r="E38" i="4"/>
  <c r="C8" i="13"/>
  <c r="C8" i="4" s="1"/>
  <c r="C33" i="4" s="1"/>
  <c r="E9" i="13" a="1"/>
  <c r="E9" i="13" s="1"/>
  <c r="K10" i="13"/>
  <c r="H32" i="19" a="1"/>
  <c r="H32" i="19" s="1"/>
  <c r="G8" i="13"/>
  <c r="G8" i="4" s="1"/>
  <c r="G33" i="4" s="1"/>
  <c r="G44" i="4" s="1"/>
  <c r="F32" i="19" a="1"/>
  <c r="F32" i="19" s="1"/>
  <c r="G46" i="19" a="1"/>
  <c r="G46" i="19" s="1"/>
  <c r="J46" i="19" s="1"/>
  <c r="K46" i="19" s="1" a="1"/>
  <c r="K46" i="19" s="1"/>
  <c r="J12" i="13" a="1"/>
  <c r="J12" i="13" s="1"/>
  <c r="I13" i="13"/>
  <c r="L8" i="10"/>
  <c r="J8" i="13"/>
  <c r="J8" i="4" s="1"/>
  <c r="J33" i="4" s="1"/>
  <c r="J41" i="4" s="1"/>
  <c r="G8" i="10"/>
  <c r="I12" i="13" a="1"/>
  <c r="I12" i="13" s="1"/>
  <c r="J9" i="13" a="1"/>
  <c r="J9" i="13" s="1"/>
  <c r="L17" i="13"/>
  <c r="C13" i="13"/>
  <c r="G10" i="13"/>
  <c r="C12" i="13" a="1"/>
  <c r="C12" i="13" s="1"/>
  <c r="L21" i="13" a="1"/>
  <c r="L21" i="13" s="1"/>
  <c r="I17" i="13"/>
  <c r="H45" i="19" a="1"/>
  <c r="H45" i="19" s="1"/>
  <c r="K13" i="13"/>
  <c r="E8" i="13"/>
  <c r="E8" i="4" s="1"/>
  <c r="E33" i="4" s="1"/>
  <c r="J17" i="13"/>
  <c r="C17" i="13"/>
  <c r="I10" i="13"/>
  <c r="L8" i="13"/>
  <c r="L8" i="4" s="1"/>
  <c r="L33" i="4" s="1"/>
  <c r="L44" i="4" s="1"/>
  <c r="H13" i="13"/>
  <c r="K38" i="4"/>
  <c r="L38" i="4"/>
  <c r="D8" i="13"/>
  <c r="D8" i="4" s="1"/>
  <c r="D33" i="4" s="1"/>
  <c r="E13" i="13"/>
  <c r="D38" i="4"/>
  <c r="I32" i="19" a="1"/>
  <c r="I32" i="19" s="1"/>
  <c r="E17" i="13"/>
  <c r="G12" i="13" a="1"/>
  <c r="G12" i="13" s="1"/>
  <c r="C38" i="4"/>
  <c r="G32" i="19" a="1"/>
  <c r="G32" i="19" s="1"/>
  <c r="D32" i="19" a="1"/>
  <c r="D32" i="19" s="1"/>
  <c r="H31" i="19" a="1"/>
  <c r="H31" i="19" s="1"/>
  <c r="G38" i="4"/>
  <c r="G13" i="13"/>
  <c r="D17" i="13"/>
  <c r="L13" i="13"/>
  <c r="C21" i="13" a="1"/>
  <c r="C21" i="13" s="1"/>
  <c r="D12" i="13" a="1"/>
  <c r="D12" i="13" s="1"/>
  <c r="J11" i="13" a="1"/>
  <c r="J11" i="13" s="1"/>
  <c r="K8" i="10"/>
  <c r="I8" i="13"/>
  <c r="I8" i="4" s="1"/>
  <c r="I33" i="4" s="1"/>
  <c r="I44" i="4" s="1"/>
  <c r="AL7" i="2" a="1"/>
  <c r="AL7" i="2" s="1"/>
  <c r="AM7" i="2" s="1"/>
  <c r="C11" i="13" a="1"/>
  <c r="C11" i="13" s="1"/>
  <c r="F12" i="13" a="1"/>
  <c r="F12" i="13" s="1"/>
  <c r="K9" i="13" a="1"/>
  <c r="K9" i="13" s="1"/>
  <c r="K8" i="13"/>
  <c r="K8" i="4" s="1"/>
  <c r="K33" i="4" s="1"/>
  <c r="K41" i="4" s="1"/>
  <c r="G21" i="13" a="1"/>
  <c r="G21" i="13" s="1"/>
  <c r="C9" i="13" a="1"/>
  <c r="C9" i="13" s="1"/>
  <c r="J13" i="13"/>
  <c r="G9" i="13" a="1"/>
  <c r="G9" i="13" s="1"/>
  <c r="F8" i="13"/>
  <c r="F8" i="4" s="1"/>
  <c r="F33" i="4" s="1"/>
  <c r="F44" i="4" s="1"/>
  <c r="L9" i="13" a="1"/>
  <c r="L9" i="13" s="1"/>
  <c r="L12" i="13" a="1"/>
  <c r="L12" i="13" s="1"/>
  <c r="H11" i="13" a="1"/>
  <c r="H11" i="13" s="1"/>
  <c r="J21" i="13" a="1"/>
  <c r="J21" i="13" s="1"/>
  <c r="K11" i="13" a="1"/>
  <c r="K11" i="13" s="1"/>
  <c r="I45" i="19" a="1"/>
  <c r="I45" i="19" s="1"/>
  <c r="C10" i="13"/>
  <c r="E10" i="13"/>
  <c r="I31" i="19" a="1"/>
  <c r="I31" i="19" s="1"/>
  <c r="F10" i="13"/>
  <c r="D31" i="19" a="1"/>
  <c r="D31" i="19" s="1"/>
  <c r="D45" i="19" a="1"/>
  <c r="D45" i="19" s="1"/>
  <c r="H12" i="13" a="1"/>
  <c r="H12" i="13" s="1"/>
  <c r="E31" i="19" a="1"/>
  <c r="E31" i="19" s="1"/>
  <c r="D21" i="13" a="1"/>
  <c r="D21" i="13" s="1"/>
  <c r="F21" i="13" a="1"/>
  <c r="F21" i="13" s="1"/>
  <c r="AD7" i="2"/>
  <c r="AE7" i="2" s="1"/>
  <c r="H21" i="13" a="1"/>
  <c r="H21" i="13" s="1"/>
  <c r="F8" i="10"/>
  <c r="J10" i="13"/>
  <c r="J42" i="4" s="1"/>
  <c r="K12" i="13" a="1"/>
  <c r="K12" i="13" s="1"/>
  <c r="H8" i="10"/>
  <c r="H17" i="13"/>
  <c r="J8" i="10"/>
  <c r="K17" i="13"/>
  <c r="I38" i="4"/>
  <c r="E45" i="19" a="1"/>
  <c r="E45" i="19" s="1"/>
  <c r="D10" i="13"/>
  <c r="F31" i="19" a="1"/>
  <c r="F31" i="19" s="1"/>
  <c r="L11" i="13" a="1"/>
  <c r="L11" i="13" s="1"/>
  <c r="F45" i="19" a="1"/>
  <c r="F45" i="19" s="1"/>
  <c r="E42" i="13"/>
  <c r="F42" i="13"/>
  <c r="D42" i="13"/>
  <c r="K26" i="13"/>
  <c r="K42" i="13"/>
  <c r="H42" i="13"/>
  <c r="L42" i="13"/>
  <c r="L10" i="13"/>
  <c r="J42" i="13"/>
  <c r="J26" i="13"/>
  <c r="E26" i="13"/>
  <c r="G42" i="13"/>
  <c r="D26" i="13"/>
  <c r="H26" i="13"/>
  <c r="I42" i="13"/>
  <c r="F26" i="13"/>
  <c r="I26" i="13"/>
  <c r="C26" i="13"/>
  <c r="L26" i="13"/>
  <c r="I47" i="19" a="1"/>
  <c r="I47" i="19" s="1"/>
  <c r="I33" i="19" a="1"/>
  <c r="I33" i="19" s="1"/>
  <c r="H47" i="19" a="1"/>
  <c r="H47" i="19" s="1"/>
  <c r="H33" i="19" a="1"/>
  <c r="H33" i="19" s="1"/>
  <c r="G47" i="19" a="1"/>
  <c r="G47" i="19" s="1"/>
  <c r="G33" i="19" a="1"/>
  <c r="G33" i="19" s="1"/>
  <c r="K80" i="19" a="1"/>
  <c r="K80" i="19" s="1"/>
  <c r="F33" i="19" a="1"/>
  <c r="F33" i="19" s="1"/>
  <c r="F47" i="19" a="1"/>
  <c r="F47" i="19" s="1"/>
  <c r="E33" i="19" a="1"/>
  <c r="E33" i="19" s="1"/>
  <c r="E47" i="19" a="1"/>
  <c r="E47" i="19" s="1"/>
  <c r="D33" i="19" a="1"/>
  <c r="D33" i="19" s="1"/>
  <c r="D47" i="19" a="1"/>
  <c r="D47" i="19" s="1"/>
  <c r="G26" i="13"/>
  <c r="C42" i="13"/>
  <c r="E119" i="19" a="1"/>
  <c r="E119" i="19" s="1"/>
  <c r="J34" i="19"/>
  <c r="K34" i="19" s="1" a="1"/>
  <c r="K34" i="19" s="1"/>
  <c r="J48" i="19"/>
  <c r="K48" i="19" s="1" a="1"/>
  <c r="K48" i="19" s="1"/>
  <c r="C38" i="21"/>
  <c r="B41" i="21"/>
  <c r="C147" i="14"/>
  <c r="D7" i="19"/>
  <c r="D8" i="19" s="1" a="1"/>
  <c r="D8" i="19" s="1"/>
  <c r="D9" i="19" s="1"/>
  <c r="E7" i="19"/>
  <c r="E8" i="19" s="1" a="1"/>
  <c r="E8" i="19" s="1"/>
  <c r="E9" i="19" s="1"/>
  <c r="F7" i="19"/>
  <c r="F8" i="19" s="1" a="1"/>
  <c r="F8" i="19" s="1"/>
  <c r="F9" i="19" s="1"/>
  <c r="D177" i="19"/>
  <c r="C6" i="20"/>
  <c r="C34" i="21"/>
  <c r="E177" i="19"/>
  <c r="F177" i="19"/>
  <c r="C17" i="14"/>
  <c r="D91" i="16" a="1"/>
  <c r="D91" i="16" s="1"/>
  <c r="F110" i="19" a="1"/>
  <c r="F110" i="19" s="1"/>
  <c r="E19" i="4"/>
  <c r="E34" i="4" s="1"/>
  <c r="E39" i="4" s="1"/>
  <c r="F106" i="19" a="1"/>
  <c r="F106" i="19" s="1"/>
  <c r="D90" i="16" a="1"/>
  <c r="D90" i="16" s="1"/>
  <c r="F109" i="19" a="1"/>
  <c r="F109" i="19" s="1"/>
  <c r="F52" i="4"/>
  <c r="L66" i="4"/>
  <c r="G52" i="4"/>
  <c r="K66" i="4"/>
  <c r="J38" i="4"/>
  <c r="H52" i="4"/>
  <c r="J66" i="4"/>
  <c r="C52" i="4"/>
  <c r="F38" i="4"/>
  <c r="I52" i="4"/>
  <c r="C128" i="13"/>
  <c r="D66" i="4"/>
  <c r="H66" i="4"/>
  <c r="K52" i="4"/>
  <c r="J52" i="4"/>
  <c r="C23" i="4"/>
  <c r="C90" i="4" s="1"/>
  <c r="C95" i="4" s="1"/>
  <c r="K23" i="4"/>
  <c r="K90" i="4" s="1"/>
  <c r="K95" i="4" s="1"/>
  <c r="D23" i="4"/>
  <c r="D90" i="4" s="1"/>
  <c r="D95" i="4" s="1"/>
  <c r="E23" i="4"/>
  <c r="E90" i="4" s="1"/>
  <c r="E95" i="4" s="1"/>
  <c r="F23" i="4"/>
  <c r="F90" i="4" s="1"/>
  <c r="F95" i="4" s="1"/>
  <c r="G23" i="4"/>
  <c r="G90" i="4" s="1"/>
  <c r="G95" i="4" s="1"/>
  <c r="H23" i="4"/>
  <c r="H90" i="4" s="1"/>
  <c r="H95" i="4" s="1"/>
  <c r="I23" i="4"/>
  <c r="I90" i="4" s="1"/>
  <c r="I95" i="4" s="1"/>
  <c r="J23" i="4"/>
  <c r="J90" i="4" s="1"/>
  <c r="J95" i="4" s="1"/>
  <c r="L23" i="4"/>
  <c r="L90" i="4" s="1"/>
  <c r="L95" i="4" s="1"/>
  <c r="D52" i="4"/>
  <c r="I66" i="4"/>
  <c r="E66" i="4"/>
  <c r="L52" i="4"/>
  <c r="C66" i="4"/>
  <c r="G66" i="4"/>
  <c r="F66" i="4"/>
  <c r="E52" i="4"/>
  <c r="H38" i="4"/>
  <c r="C127" i="13" a="1"/>
  <c r="C127" i="13" s="1"/>
  <c r="C19" i="16"/>
  <c r="C21" i="1"/>
  <c r="H48" i="22" a="1"/>
  <c r="H48" i="22" s="1"/>
  <c r="H117" i="22" a="1"/>
  <c r="H117" i="22" s="1"/>
  <c r="H23" i="22" a="1"/>
  <c r="H23" i="22" s="1"/>
  <c r="H33" i="22" a="1"/>
  <c r="H33" i="22" s="1"/>
  <c r="H98" i="22" a="1"/>
  <c r="H98" i="22" s="1"/>
  <c r="H108" i="22" a="1"/>
  <c r="H108" i="22" s="1"/>
  <c r="H87" i="22" a="1"/>
  <c r="H87" i="22" s="1"/>
  <c r="H62" i="22" a="1"/>
  <c r="H62" i="22" s="1"/>
  <c r="H52" i="22" a="1"/>
  <c r="H52" i="22" s="1"/>
  <c r="H31" i="22" a="1"/>
  <c r="H31" i="22" s="1"/>
  <c r="H45" i="22" a="1"/>
  <c r="H45" i="22" s="1"/>
  <c r="H39" i="22" a="1"/>
  <c r="H39" i="22" s="1"/>
  <c r="H114" i="22" a="1"/>
  <c r="H114" i="22" s="1"/>
  <c r="H121" i="22" a="1"/>
  <c r="H121" i="22" s="1"/>
  <c r="H26" i="22" a="1"/>
  <c r="H26" i="22" s="1"/>
  <c r="H101" i="22" a="1"/>
  <c r="H101" i="22" s="1"/>
  <c r="H69" i="22" a="1"/>
  <c r="H69" i="22" s="1"/>
  <c r="H65" i="22" a="1"/>
  <c r="H65" i="22" s="1"/>
  <c r="H74" i="22" a="1"/>
  <c r="H74" i="22" s="1"/>
  <c r="H103" i="22" a="1"/>
  <c r="H103" i="22" s="1"/>
  <c r="H96" i="22" a="1"/>
  <c r="H96" i="22" s="1"/>
  <c r="H50" i="22" a="1"/>
  <c r="H50" i="22" s="1"/>
  <c r="H66" i="22" a="1"/>
  <c r="H66" i="22" s="1"/>
  <c r="H37" i="22" a="1"/>
  <c r="H37" i="22" s="1"/>
  <c r="H76" i="22" a="1"/>
  <c r="H76" i="22" s="1"/>
  <c r="H22" i="22" a="1"/>
  <c r="H22" i="22" s="1"/>
  <c r="H83" i="22" a="1"/>
  <c r="H83" i="22" s="1"/>
  <c r="H120" i="22" a="1"/>
  <c r="H120" i="22" s="1"/>
  <c r="H15" i="22" a="1"/>
  <c r="H15" i="22" s="1"/>
  <c r="H32" i="22" a="1"/>
  <c r="H32" i="22" s="1"/>
  <c r="H90" i="22" a="1"/>
  <c r="H90" i="22" s="1"/>
  <c r="H8" i="22" a="1"/>
  <c r="H8" i="22" s="1"/>
  <c r="H47" i="22" a="1"/>
  <c r="H47" i="22" s="1"/>
  <c r="H13" i="22" a="1"/>
  <c r="H13" i="22" s="1"/>
  <c r="H63" i="22" a="1"/>
  <c r="H63" i="22" s="1"/>
  <c r="H18" i="22" a="1"/>
  <c r="H18" i="22" s="1"/>
  <c r="H92" i="22" a="1"/>
  <c r="H92" i="22" s="1"/>
  <c r="H80" i="22" a="1"/>
  <c r="H80" i="22" s="1"/>
  <c r="H55" i="22" a="1"/>
  <c r="H55" i="22" s="1"/>
  <c r="H36" i="22" a="1"/>
  <c r="H36" i="22" s="1"/>
  <c r="H11" i="22" a="1"/>
  <c r="H11" i="22" s="1"/>
  <c r="H116" i="22" a="1"/>
  <c r="H116" i="22" s="1"/>
  <c r="H77" i="22" a="1"/>
  <c r="H77" i="22" s="1"/>
  <c r="H14" i="22" a="1"/>
  <c r="H14" i="22" s="1"/>
  <c r="H44" i="22" a="1"/>
  <c r="H44" i="22" s="1"/>
  <c r="H28" i="22" a="1"/>
  <c r="H28" i="22" s="1"/>
  <c r="H42" i="22" a="1"/>
  <c r="H42" i="22" s="1"/>
  <c r="H43" i="22" a="1"/>
  <c r="H43" i="22" s="1"/>
  <c r="H119" i="22" a="1"/>
  <c r="H119" i="22" s="1"/>
  <c r="H97" i="22" a="1"/>
  <c r="H97" i="22" s="1"/>
  <c r="H64" i="22" a="1"/>
  <c r="H64" i="22" s="1"/>
  <c r="H118" i="22" a="1"/>
  <c r="H118" i="22" s="1"/>
  <c r="H6" i="22" a="1"/>
  <c r="H6" i="22" s="1"/>
  <c r="H78" i="22" a="1"/>
  <c r="H78" i="22" s="1"/>
  <c r="H91" i="22" a="1"/>
  <c r="H91" i="22" s="1"/>
  <c r="H16" i="22" a="1"/>
  <c r="H16" i="22" s="1"/>
  <c r="H86" i="22" a="1"/>
  <c r="H86" i="22" s="1"/>
  <c r="H102" i="22" a="1"/>
  <c r="H102" i="22" s="1"/>
  <c r="H9" i="22" a="1"/>
  <c r="H9" i="22" s="1"/>
  <c r="H46" i="22" a="1"/>
  <c r="H46" i="22" s="1"/>
  <c r="H70" i="22" a="1"/>
  <c r="H70" i="22" s="1"/>
  <c r="H115" i="22" a="1"/>
  <c r="H115" i="22" s="1"/>
  <c r="H25" i="22" a="1"/>
  <c r="H25" i="22" s="1"/>
  <c r="H10" i="22" a="1"/>
  <c r="H10" i="22" s="1"/>
  <c r="H100" i="22" a="1"/>
  <c r="H100" i="22" s="1"/>
  <c r="H73" i="22" a="1"/>
  <c r="H73" i="22" s="1"/>
  <c r="H58" i="22" a="1"/>
  <c r="H58" i="22" s="1"/>
  <c r="H41" i="22" a="1"/>
  <c r="H41" i="22" s="1"/>
  <c r="H56" i="22" a="1"/>
  <c r="H56" i="22" s="1"/>
  <c r="H17" i="22" a="1"/>
  <c r="H17" i="22" s="1"/>
  <c r="H85" i="22" a="1"/>
  <c r="H85" i="22" s="1"/>
  <c r="H111" i="22" a="1"/>
  <c r="H111" i="22" s="1"/>
  <c r="H30" i="22" a="1"/>
  <c r="H30" i="22" s="1"/>
  <c r="H21" i="22" a="1"/>
  <c r="H21" i="22" s="1"/>
  <c r="H57" i="22" a="1"/>
  <c r="H57" i="22" s="1"/>
  <c r="H51" i="22" a="1"/>
  <c r="H51" i="22" s="1"/>
  <c r="H125" i="22" a="1"/>
  <c r="H125" i="22" s="1"/>
  <c r="H82" i="22" a="1"/>
  <c r="H82" i="22" s="1"/>
  <c r="H95" i="22" a="1"/>
  <c r="H95" i="22" s="1"/>
  <c r="H122" i="22" a="1"/>
  <c r="H122" i="22" s="1"/>
  <c r="H112" i="22" a="1"/>
  <c r="H112" i="22" s="1"/>
  <c r="H67" i="22" a="1"/>
  <c r="H67" i="22" s="1"/>
  <c r="H79" i="22" a="1"/>
  <c r="H79" i="22" s="1"/>
  <c r="H34" i="22" a="1"/>
  <c r="H34" i="22" s="1"/>
  <c r="H105" i="22" a="1"/>
  <c r="H105" i="22" s="1"/>
  <c r="H110" i="22" a="1"/>
  <c r="H110" i="22" s="1"/>
  <c r="H106" i="22" a="1"/>
  <c r="H106" i="22" s="1"/>
  <c r="H109" i="22" a="1"/>
  <c r="H109" i="22" s="1"/>
  <c r="H88" i="22" a="1"/>
  <c r="H88" i="22" s="1"/>
  <c r="H81" i="22" a="1"/>
  <c r="H81" i="22" s="1"/>
  <c r="H35" i="22" a="1"/>
  <c r="H35" i="22" s="1"/>
  <c r="H19" i="22" a="1"/>
  <c r="H19" i="22" s="1"/>
  <c r="H68" i="22" a="1"/>
  <c r="H68" i="22" s="1"/>
  <c r="H61" i="22" a="1"/>
  <c r="H61" i="22" s="1"/>
  <c r="H59" i="22" a="1"/>
  <c r="H59" i="22" s="1"/>
  <c r="H27" i="22" a="1"/>
  <c r="H27" i="22" s="1"/>
  <c r="H38" i="22" a="1"/>
  <c r="H38" i="22" s="1"/>
  <c r="H53" i="22" a="1"/>
  <c r="H53" i="22" s="1"/>
  <c r="H54" i="22" a="1"/>
  <c r="H54" i="22" s="1"/>
  <c r="H113" i="22" a="1"/>
  <c r="H113" i="22" s="1"/>
  <c r="H84" i="22" a="1"/>
  <c r="H84" i="22" s="1"/>
  <c r="H60" i="22" a="1"/>
  <c r="H60" i="22" s="1"/>
  <c r="H40" i="22" a="1"/>
  <c r="H40" i="22" s="1"/>
  <c r="H24" i="22" a="1"/>
  <c r="H24" i="22" s="1"/>
  <c r="H7" i="22" a="1"/>
  <c r="H7" i="22" s="1"/>
  <c r="H107" i="22" a="1"/>
  <c r="H107" i="22" s="1"/>
  <c r="H99" i="22" a="1"/>
  <c r="H99" i="22" s="1"/>
  <c r="H94" i="22" a="1"/>
  <c r="H94" i="22" s="1"/>
  <c r="H123" i="22" a="1"/>
  <c r="H123" i="22" s="1"/>
  <c r="H20" i="22" a="1"/>
  <c r="H20" i="22" s="1"/>
  <c r="H75" i="22" a="1"/>
  <c r="H75" i="22" s="1"/>
  <c r="H93" i="22" a="1"/>
  <c r="H93" i="22" s="1"/>
  <c r="H29" i="22" a="1"/>
  <c r="H29" i="22" s="1"/>
  <c r="H12" i="22" a="1"/>
  <c r="H12" i="22" s="1"/>
  <c r="H71" i="22" a="1"/>
  <c r="H71" i="22" s="1"/>
  <c r="H104" i="22" a="1"/>
  <c r="H104" i="22" s="1"/>
  <c r="H72" i="22" a="1"/>
  <c r="H72" i="22" s="1"/>
  <c r="H49" i="22" a="1"/>
  <c r="H49" i="22" s="1"/>
  <c r="H89" i="22" a="1"/>
  <c r="H89" i="22" s="1"/>
  <c r="H124" i="22" a="1"/>
  <c r="H124" i="22" s="1"/>
  <c r="E34" i="10"/>
  <c r="D35" i="10"/>
  <c r="F34" i="10"/>
  <c r="C25" i="16"/>
  <c r="F26" i="10"/>
  <c r="C15" i="16"/>
  <c r="G15" i="16" s="1"/>
  <c r="C12" i="1"/>
  <c r="D87" i="16" a="1"/>
  <c r="D87" i="16" s="1"/>
  <c r="B37" i="16"/>
  <c r="C112" i="13"/>
  <c r="K10" i="10"/>
  <c r="D143" i="13" a="1"/>
  <c r="D143" i="13" s="1"/>
  <c r="E26" i="10"/>
  <c r="I34" i="10"/>
  <c r="J10" i="10"/>
  <c r="H9" i="10"/>
  <c r="C9" i="10"/>
  <c r="H26" i="10"/>
  <c r="D10" i="10"/>
  <c r="C8" i="10"/>
  <c r="I9" i="10"/>
  <c r="C34" i="10"/>
  <c r="L34" i="10"/>
  <c r="L9" i="10"/>
  <c r="D9" i="10"/>
  <c r="H10" i="10"/>
  <c r="H35" i="10"/>
  <c r="I8" i="10"/>
  <c r="E9" i="10"/>
  <c r="J35" i="10"/>
  <c r="I10" i="10"/>
  <c r="G34" i="10"/>
  <c r="G26" i="10"/>
  <c r="E35" i="10"/>
  <c r="C10" i="10"/>
  <c r="J34" i="10"/>
  <c r="G10" i="10"/>
  <c r="F128" i="13"/>
  <c r="D34" i="10"/>
  <c r="D26" i="10"/>
  <c r="K34" i="10"/>
  <c r="C26" i="10"/>
  <c r="E10" i="10"/>
  <c r="K9" i="10"/>
  <c r="J9" i="10"/>
  <c r="H34" i="10"/>
  <c r="F35" i="10"/>
  <c r="C35" i="10"/>
  <c r="L26" i="10"/>
  <c r="F10" i="10"/>
  <c r="L35" i="10"/>
  <c r="I26" i="10"/>
  <c r="G9" i="10"/>
  <c r="F9" i="10"/>
  <c r="I35" i="10"/>
  <c r="K35" i="10"/>
  <c r="G35" i="10"/>
  <c r="K26" i="10"/>
  <c r="J26" i="10"/>
  <c r="L10" i="10"/>
  <c r="AL10" i="2" a="1"/>
  <c r="AL10" i="2" s="1"/>
  <c r="AM10" i="2" s="1"/>
  <c r="AE12" i="2"/>
  <c r="F127" i="13" a="1"/>
  <c r="F127" i="13" s="1"/>
  <c r="F126" i="13"/>
  <c r="E128" i="13"/>
  <c r="E127" i="13" a="1"/>
  <c r="E127" i="13" s="1"/>
  <c r="G128" i="13"/>
  <c r="G127" i="13" a="1"/>
  <c r="G127" i="13" s="1"/>
  <c r="G126" i="13"/>
  <c r="AF61" i="3" a="1"/>
  <c r="AF61" i="3" s="1"/>
  <c r="E126" i="13"/>
  <c r="H126" i="13"/>
  <c r="K127" i="13" a="1"/>
  <c r="K127" i="13" s="1"/>
  <c r="L128" i="13"/>
  <c r="F11" i="13" a="1"/>
  <c r="F11" i="13" s="1"/>
  <c r="AA10" i="2"/>
  <c r="AB10" i="2" s="1"/>
  <c r="AC10" i="2" s="1"/>
  <c r="D127" i="13" a="1"/>
  <c r="D127" i="13" s="1"/>
  <c r="K126" i="13"/>
  <c r="H127" i="13" a="1"/>
  <c r="H127" i="13" s="1"/>
  <c r="H128" i="13"/>
  <c r="J128" i="13"/>
  <c r="T9" i="2"/>
  <c r="I127" i="13" a="1"/>
  <c r="I127" i="13" s="1"/>
  <c r="D142" i="13"/>
  <c r="I126" i="13"/>
  <c r="U9" i="2"/>
  <c r="K128" i="13"/>
  <c r="I128" i="13"/>
  <c r="C111" i="13" a="1"/>
  <c r="C111" i="13" s="1"/>
  <c r="D144" i="13"/>
  <c r="J98" i="13"/>
  <c r="J99" i="13" s="1"/>
  <c r="C126" i="13"/>
  <c r="AE14" i="2"/>
  <c r="AN20" i="2"/>
  <c r="AA6" i="2"/>
  <c r="AB6" i="2" s="1"/>
  <c r="D11" i="13" a="1"/>
  <c r="D11" i="13" s="1"/>
  <c r="AE15" i="2"/>
  <c r="H9" i="13" a="1"/>
  <c r="H9" i="13" s="1"/>
  <c r="W21" i="2"/>
  <c r="W20" i="2"/>
  <c r="L127" i="13" a="1"/>
  <c r="L127" i="13" s="1"/>
  <c r="L126" i="13"/>
  <c r="F98" i="13"/>
  <c r="F99" i="13" s="1"/>
  <c r="J127" i="13" a="1"/>
  <c r="J127" i="13" s="1"/>
  <c r="J126" i="13"/>
  <c r="AA9" i="2"/>
  <c r="AB9" i="2" s="1"/>
  <c r="I9" i="13" a="1"/>
  <c r="I9" i="13" s="1"/>
  <c r="D126" i="13"/>
  <c r="D128" i="13"/>
  <c r="AN21" i="2"/>
  <c r="C116" i="14" s="1"/>
  <c r="D13" i="13"/>
  <c r="E12" i="13" a="1"/>
  <c r="E12" i="13" s="1"/>
  <c r="E11" i="13" a="1"/>
  <c r="E11" i="13" s="1"/>
  <c r="F13" i="13"/>
  <c r="E110" i="13"/>
  <c r="C110" i="13"/>
  <c r="G11" i="13" a="1"/>
  <c r="G11" i="13" s="1"/>
  <c r="Y20" i="2"/>
  <c r="X6" i="2" a="1"/>
  <c r="X6" i="2" s="1"/>
  <c r="Y21" i="2"/>
  <c r="AL6" i="2" a="1"/>
  <c r="AL6" i="2" s="1"/>
  <c r="G98" i="13"/>
  <c r="G99" i="13" s="1"/>
  <c r="AM8" i="2"/>
  <c r="AJ8" i="2"/>
  <c r="E112" i="13"/>
  <c r="E111" i="13" a="1"/>
  <c r="E111" i="13" s="1"/>
  <c r="L84" i="13"/>
  <c r="C49" i="13"/>
  <c r="J49" i="13"/>
  <c r="L98" i="13"/>
  <c r="L99" i="13" s="1"/>
  <c r="E40" i="13"/>
  <c r="E10" i="4" s="1"/>
  <c r="E61" i="4" s="1"/>
  <c r="E45" i="13"/>
  <c r="E49" i="13"/>
  <c r="J29" i="13"/>
  <c r="D98" i="13"/>
  <c r="D99" i="13" s="1"/>
  <c r="H33" i="13"/>
  <c r="L53" i="13" a="1"/>
  <c r="L53" i="13" s="1"/>
  <c r="E98" i="13"/>
  <c r="E99" i="13" s="1"/>
  <c r="L49" i="13"/>
  <c r="F37" i="13" a="1"/>
  <c r="F37" i="13" s="1"/>
  <c r="C29" i="13"/>
  <c r="I98" i="13"/>
  <c r="I99" i="13" s="1"/>
  <c r="G29" i="13"/>
  <c r="L44" i="13" a="1"/>
  <c r="L44" i="13" s="1"/>
  <c r="L43" i="13" a="1"/>
  <c r="L43" i="13" s="1"/>
  <c r="L41" i="13" a="1"/>
  <c r="L41" i="13" s="1"/>
  <c r="I160" i="13"/>
  <c r="I159" i="13" a="1"/>
  <c r="I159" i="13" s="1"/>
  <c r="I158" i="13"/>
  <c r="K111" i="13" a="1"/>
  <c r="K111" i="13" s="1"/>
  <c r="K112" i="13"/>
  <c r="K110" i="13"/>
  <c r="L160" i="13"/>
  <c r="L158" i="13"/>
  <c r="L159" i="13" a="1"/>
  <c r="L159" i="13" s="1"/>
  <c r="D33" i="13"/>
  <c r="F41" i="13" a="1"/>
  <c r="F41" i="13" s="1"/>
  <c r="K41" i="13" a="1"/>
  <c r="K41" i="13" s="1"/>
  <c r="G45" i="13"/>
  <c r="E29" i="13"/>
  <c r="I37" i="13" a="1"/>
  <c r="I37" i="13" s="1"/>
  <c r="F44" i="13" a="1"/>
  <c r="F44" i="13" s="1"/>
  <c r="F43" i="13" a="1"/>
  <c r="F43" i="13" s="1"/>
  <c r="D53" i="13" a="1"/>
  <c r="D53" i="13" s="1"/>
  <c r="E53" i="13" a="1"/>
  <c r="E53" i="13" s="1"/>
  <c r="I28" i="13" a="1"/>
  <c r="I28" i="13" s="1"/>
  <c r="I27" i="13" a="1"/>
  <c r="I27" i="13" s="1"/>
  <c r="J24" i="13"/>
  <c r="J9" i="4" s="1"/>
  <c r="J47" i="4" s="1"/>
  <c r="H24" i="13"/>
  <c r="H9" i="4" s="1"/>
  <c r="H47" i="4" s="1"/>
  <c r="G142" i="13"/>
  <c r="G143" i="13" a="1"/>
  <c r="G143" i="13" s="1"/>
  <c r="G144" i="13"/>
  <c r="H98" i="13"/>
  <c r="H99" i="13" s="1"/>
  <c r="K33" i="13"/>
  <c r="K44" i="13" a="1"/>
  <c r="K44" i="13" s="1"/>
  <c r="K43" i="13" a="1"/>
  <c r="K43" i="13" s="1"/>
  <c r="C53" i="13" a="1"/>
  <c r="C53" i="13" s="1"/>
  <c r="F25" i="13" a="1"/>
  <c r="F25" i="13" s="1"/>
  <c r="K40" i="13"/>
  <c r="K10" i="4" s="1"/>
  <c r="K61" i="4" s="1"/>
  <c r="H142" i="13"/>
  <c r="H144" i="13"/>
  <c r="H143" i="13" a="1"/>
  <c r="H143" i="13" s="1"/>
  <c r="H41" i="13" a="1"/>
  <c r="H41" i="13" s="1"/>
  <c r="I45" i="13"/>
  <c r="H29" i="13"/>
  <c r="L25" i="13" a="1"/>
  <c r="L25" i="13" s="1"/>
  <c r="D37" i="13" a="1"/>
  <c r="D37" i="13" s="1"/>
  <c r="J53" i="13" a="1"/>
  <c r="J53" i="13" s="1"/>
  <c r="G110" i="13"/>
  <c r="G112" i="13"/>
  <c r="G111" i="13" a="1"/>
  <c r="G111" i="13" s="1"/>
  <c r="I111" i="13" a="1"/>
  <c r="I111" i="13" s="1"/>
  <c r="I112" i="13"/>
  <c r="I110" i="13"/>
  <c r="D29" i="13"/>
  <c r="BI90" i="3" a="1"/>
  <c r="BI90" i="3" s="1"/>
  <c r="I25" i="13" a="1"/>
  <c r="I25" i="13" s="1"/>
  <c r="F45" i="13"/>
  <c r="D45" i="13"/>
  <c r="J33" i="13"/>
  <c r="I33" i="13"/>
  <c r="L33" i="13"/>
  <c r="G25" i="13" a="1"/>
  <c r="G25" i="13" s="1"/>
  <c r="L37" i="13" a="1"/>
  <c r="L37" i="13" s="1"/>
  <c r="G53" i="13" a="1"/>
  <c r="G53" i="13" s="1"/>
  <c r="L40" i="13"/>
  <c r="L10" i="4" s="1"/>
  <c r="L61" i="4" s="1"/>
  <c r="C40" i="13"/>
  <c r="C10" i="4" s="1"/>
  <c r="C61" i="4" s="1"/>
  <c r="D24" i="13"/>
  <c r="D9" i="4" s="1"/>
  <c r="D47" i="4" s="1"/>
  <c r="F24" i="13"/>
  <c r="F9" i="4" s="1"/>
  <c r="F47" i="4" s="1"/>
  <c r="E144" i="13"/>
  <c r="E142" i="13"/>
  <c r="E143" i="13" a="1"/>
  <c r="E143" i="13" s="1"/>
  <c r="F159" i="13" a="1"/>
  <c r="F159" i="13" s="1"/>
  <c r="F158" i="13"/>
  <c r="F160" i="13"/>
  <c r="L143" i="13" a="1"/>
  <c r="L143" i="13" s="1"/>
  <c r="L144" i="13"/>
  <c r="L142" i="13"/>
  <c r="E25" i="13" a="1"/>
  <c r="E25" i="13" s="1"/>
  <c r="K45" i="13"/>
  <c r="G49" i="13"/>
  <c r="K29" i="13"/>
  <c r="C33" i="13"/>
  <c r="I84" i="13"/>
  <c r="J25" i="13" a="1"/>
  <c r="J25" i="13" s="1"/>
  <c r="E44" i="13" a="1"/>
  <c r="E44" i="13" s="1"/>
  <c r="E43" i="13" a="1"/>
  <c r="E43" i="13" s="1"/>
  <c r="G40" i="13"/>
  <c r="G10" i="4" s="1"/>
  <c r="G61" i="4" s="1"/>
  <c r="E24" i="13"/>
  <c r="E9" i="4" s="1"/>
  <c r="E47" i="4" s="1"/>
  <c r="C98" i="13"/>
  <c r="C99" i="13" s="1"/>
  <c r="E158" i="13"/>
  <c r="E160" i="13"/>
  <c r="E159" i="13" a="1"/>
  <c r="E159" i="13" s="1"/>
  <c r="H160" i="13"/>
  <c r="H159" i="13" a="1"/>
  <c r="H159" i="13" s="1"/>
  <c r="H158" i="13"/>
  <c r="F15" i="13" a="1"/>
  <c r="F15" i="13" s="1"/>
  <c r="F37" i="4" s="1"/>
  <c r="F29" i="13"/>
  <c r="I29" i="13"/>
  <c r="H37" i="13" a="1"/>
  <c r="H37" i="13" s="1"/>
  <c r="I44" i="13" a="1"/>
  <c r="I44" i="13" s="1"/>
  <c r="I43" i="13" a="1"/>
  <c r="I43" i="13" s="1"/>
  <c r="I143" i="13" a="1"/>
  <c r="I143" i="13" s="1"/>
  <c r="I142" i="13"/>
  <c r="I144" i="13"/>
  <c r="G33" i="13"/>
  <c r="K84" i="13"/>
  <c r="J84" i="13"/>
  <c r="G37" i="13" a="1"/>
  <c r="G37" i="13" s="1"/>
  <c r="J37" i="13" a="1"/>
  <c r="J37" i="13" s="1"/>
  <c r="D41" i="13" a="1"/>
  <c r="D41" i="13" s="1"/>
  <c r="H25" i="13" a="1"/>
  <c r="H25" i="13" s="1"/>
  <c r="K25" i="13" a="1"/>
  <c r="K25" i="13" s="1"/>
  <c r="H40" i="13"/>
  <c r="H10" i="4" s="1"/>
  <c r="H61" i="4" s="1"/>
  <c r="K24" i="13"/>
  <c r="K9" i="4" s="1"/>
  <c r="K47" i="4" s="1"/>
  <c r="D160" i="13"/>
  <c r="D159" i="13" a="1"/>
  <c r="D159" i="13" s="1"/>
  <c r="D158" i="13"/>
  <c r="I49" i="13"/>
  <c r="E33" i="13"/>
  <c r="L29" i="13"/>
  <c r="F84" i="13"/>
  <c r="H44" i="13" a="1"/>
  <c r="H44" i="13" s="1"/>
  <c r="H43" i="13" a="1"/>
  <c r="H43" i="13" s="1"/>
  <c r="K28" i="13" a="1"/>
  <c r="K28" i="13" s="1"/>
  <c r="K27" i="13" a="1"/>
  <c r="K27" i="13" s="1"/>
  <c r="F142" i="13"/>
  <c r="F144" i="13"/>
  <c r="F143" i="13" a="1"/>
  <c r="F143" i="13" s="1"/>
  <c r="C45" i="13"/>
  <c r="J41" i="13" a="1"/>
  <c r="J41" i="13" s="1"/>
  <c r="F53" i="13" a="1"/>
  <c r="F53" i="13" s="1"/>
  <c r="I53" i="13" a="1"/>
  <c r="I53" i="13" s="1"/>
  <c r="H53" i="13" a="1"/>
  <c r="H53" i="13" s="1"/>
  <c r="G28" i="13" a="1"/>
  <c r="G28" i="13" s="1"/>
  <c r="G27" i="13" a="1"/>
  <c r="G27" i="13" s="1"/>
  <c r="E28" i="13" a="1"/>
  <c r="E28" i="13" s="1"/>
  <c r="E27" i="13" a="1"/>
  <c r="E27" i="13" s="1"/>
  <c r="J40" i="13"/>
  <c r="J10" i="4" s="1"/>
  <c r="J61" i="4" s="1"/>
  <c r="I24" i="13"/>
  <c r="I9" i="4" s="1"/>
  <c r="I47" i="4" s="1"/>
  <c r="G160" i="13"/>
  <c r="G158" i="13"/>
  <c r="G159" i="13" a="1"/>
  <c r="G159" i="13" s="1"/>
  <c r="D49" i="13"/>
  <c r="F33" i="13"/>
  <c r="D84" i="13"/>
  <c r="C28" i="13" a="1"/>
  <c r="C28" i="13" s="1"/>
  <c r="C27" i="13" a="1"/>
  <c r="C27" i="13" s="1"/>
  <c r="K37" i="13" a="1"/>
  <c r="K37" i="13" s="1"/>
  <c r="C41" i="13" a="1"/>
  <c r="C41" i="13" s="1"/>
  <c r="G44" i="13" a="1"/>
  <c r="G44" i="13" s="1"/>
  <c r="G43" i="13" a="1"/>
  <c r="G43" i="13" s="1"/>
  <c r="I41" i="13" a="1"/>
  <c r="I41" i="13" s="1"/>
  <c r="G24" i="13"/>
  <c r="G9" i="4" s="1"/>
  <c r="G47" i="4" s="1"/>
  <c r="H45" i="13"/>
  <c r="C25" i="13" a="1"/>
  <c r="C25" i="13" s="1"/>
  <c r="D25" i="13" a="1"/>
  <c r="D25" i="13" s="1"/>
  <c r="D44" i="13" a="1"/>
  <c r="D44" i="13" s="1"/>
  <c r="D43" i="13" a="1"/>
  <c r="D43" i="13" s="1"/>
  <c r="G41" i="13" a="1"/>
  <c r="G41" i="13" s="1"/>
  <c r="L28" i="13" a="1"/>
  <c r="L28" i="13" s="1"/>
  <c r="L27" i="13" a="1"/>
  <c r="L27" i="13" s="1"/>
  <c r="J28" i="13" a="1"/>
  <c r="J28" i="13" s="1"/>
  <c r="J27" i="13" a="1"/>
  <c r="J27" i="13" s="1"/>
  <c r="K98" i="13"/>
  <c r="K99" i="13" s="1"/>
  <c r="D112" i="13"/>
  <c r="D110" i="13"/>
  <c r="D111" i="13" a="1"/>
  <c r="D111" i="13" s="1"/>
  <c r="L111" i="13" a="1"/>
  <c r="L111" i="13" s="1"/>
  <c r="L112" i="13"/>
  <c r="L110" i="13"/>
  <c r="H84" i="13"/>
  <c r="G84" i="13"/>
  <c r="C84" i="13"/>
  <c r="C44" i="13" a="1"/>
  <c r="C44" i="13" s="1"/>
  <c r="C43" i="13" a="1"/>
  <c r="C43" i="13" s="1"/>
  <c r="F40" i="13"/>
  <c r="F10" i="4" s="1"/>
  <c r="F61" i="4" s="1"/>
  <c r="C24" i="13"/>
  <c r="C9" i="4" s="1"/>
  <c r="C47" i="4" s="1"/>
  <c r="H112" i="13"/>
  <c r="H111" i="13" a="1"/>
  <c r="H111" i="13" s="1"/>
  <c r="H110" i="13"/>
  <c r="L15" i="13" a="1"/>
  <c r="L15" i="13" s="1"/>
  <c r="L37" i="4" s="1"/>
  <c r="H49" i="13"/>
  <c r="E84" i="13"/>
  <c r="F28" i="13" a="1"/>
  <c r="F28" i="13" s="1"/>
  <c r="F27" i="13" a="1"/>
  <c r="F27" i="13" s="1"/>
  <c r="L45" i="13"/>
  <c r="H28" i="13" a="1"/>
  <c r="H28" i="13" s="1"/>
  <c r="H27" i="13" a="1"/>
  <c r="H27" i="13" s="1"/>
  <c r="E41" i="13" a="1"/>
  <c r="E41" i="13" s="1"/>
  <c r="K53" i="13" a="1"/>
  <c r="K53" i="13" s="1"/>
  <c r="D28" i="13" a="1"/>
  <c r="D28" i="13" s="1"/>
  <c r="D27" i="13" a="1"/>
  <c r="D27" i="13" s="1"/>
  <c r="F110" i="13"/>
  <c r="F111" i="13" a="1"/>
  <c r="F111" i="13" s="1"/>
  <c r="F112" i="13"/>
  <c r="C160" i="13"/>
  <c r="C158" i="13"/>
  <c r="C159" i="13" a="1"/>
  <c r="C159" i="13" s="1"/>
  <c r="J111" i="13" a="1"/>
  <c r="J111" i="13" s="1"/>
  <c r="J112" i="13"/>
  <c r="J110" i="13"/>
  <c r="F49" i="13"/>
  <c r="K49" i="13"/>
  <c r="J45" i="13"/>
  <c r="C37" i="13" a="1"/>
  <c r="C37" i="13" s="1"/>
  <c r="J44" i="13" a="1"/>
  <c r="J44" i="13" s="1"/>
  <c r="J43" i="13" a="1"/>
  <c r="J43" i="13" s="1"/>
  <c r="D40" i="13"/>
  <c r="D10" i="4" s="1"/>
  <c r="D61" i="4" s="1"/>
  <c r="I40" i="13"/>
  <c r="I10" i="4" s="1"/>
  <c r="I61" i="4" s="1"/>
  <c r="L24" i="13"/>
  <c r="L9" i="4" s="1"/>
  <c r="L47" i="4" s="1"/>
  <c r="K143" i="13" a="1"/>
  <c r="K143" i="13" s="1"/>
  <c r="K144" i="13"/>
  <c r="K142" i="13"/>
  <c r="J142" i="13"/>
  <c r="J143" i="13" a="1"/>
  <c r="J143" i="13" s="1"/>
  <c r="J144" i="13"/>
  <c r="J159" i="13" a="1"/>
  <c r="J159" i="13" s="1"/>
  <c r="J160" i="13"/>
  <c r="J158" i="13"/>
  <c r="K160" i="13"/>
  <c r="K158" i="13"/>
  <c r="K159" i="13" a="1"/>
  <c r="K159" i="13" s="1"/>
  <c r="E14" i="13"/>
  <c r="E35" i="4" s="1"/>
  <c r="C144" i="13"/>
  <c r="C142" i="13"/>
  <c r="C143" i="13" a="1"/>
  <c r="C143" i="13" s="1"/>
  <c r="BT25" i="3" a="1"/>
  <c r="BT25" i="3" s="1"/>
  <c r="AO38" i="3" a="1"/>
  <c r="AO38" i="3" s="1"/>
  <c r="BE38" i="3" a="1"/>
  <c r="BE38" i="3" s="1"/>
  <c r="BU38" i="3" a="1"/>
  <c r="BU38" i="3" s="1"/>
  <c r="CK38" i="3" a="1"/>
  <c r="CK38" i="3" s="1"/>
  <c r="DA38" i="3" a="1"/>
  <c r="DA38" i="3" s="1"/>
  <c r="DQ38" i="3" a="1"/>
  <c r="DQ38" i="3" s="1"/>
  <c r="AP38" i="3" a="1"/>
  <c r="AP38" i="3" s="1"/>
  <c r="BF38" i="3" a="1"/>
  <c r="BF38" i="3" s="1"/>
  <c r="BV38" i="3" a="1"/>
  <c r="BV38" i="3" s="1"/>
  <c r="CL38" i="3" a="1"/>
  <c r="CL38" i="3" s="1"/>
  <c r="DB38" i="3" a="1"/>
  <c r="DB38" i="3" s="1"/>
  <c r="DR38" i="3" a="1"/>
  <c r="DR38" i="3" s="1"/>
  <c r="AQ38" i="3" a="1"/>
  <c r="AQ38" i="3" s="1"/>
  <c r="BG38" i="3" a="1"/>
  <c r="BG38" i="3" s="1"/>
  <c r="BW38" i="3" a="1"/>
  <c r="BW38" i="3" s="1"/>
  <c r="CM38" i="3" a="1"/>
  <c r="CM38" i="3" s="1"/>
  <c r="DC38" i="3" a="1"/>
  <c r="DC38" i="3" s="1"/>
  <c r="AR38" i="3" a="1"/>
  <c r="AR38" i="3" s="1"/>
  <c r="BH38" i="3" a="1"/>
  <c r="BH38" i="3" s="1"/>
  <c r="BX38" i="3" a="1"/>
  <c r="BX38" i="3" s="1"/>
  <c r="CN38" i="3" a="1"/>
  <c r="CN38" i="3" s="1"/>
  <c r="DD38" i="3" a="1"/>
  <c r="DD38" i="3" s="1"/>
  <c r="C38" i="3" a="1"/>
  <c r="C38" i="3" s="1"/>
  <c r="AS38" i="3" a="1"/>
  <c r="AS38" i="3" s="1"/>
  <c r="BI38" i="3" a="1"/>
  <c r="BI38" i="3" s="1"/>
  <c r="BY38" i="3" a="1"/>
  <c r="BY38" i="3" s="1"/>
  <c r="CO38" i="3" a="1"/>
  <c r="CO38" i="3" s="1"/>
  <c r="DE38" i="3" a="1"/>
  <c r="DE38" i="3" s="1"/>
  <c r="D38" i="3" a="1"/>
  <c r="D38" i="3" s="1"/>
  <c r="AT38" i="3" a="1"/>
  <c r="AT38" i="3" s="1"/>
  <c r="BJ38" i="3" a="1"/>
  <c r="BJ38" i="3" s="1"/>
  <c r="BZ38" i="3" a="1"/>
  <c r="BZ38" i="3" s="1"/>
  <c r="CP38" i="3" a="1"/>
  <c r="CP38" i="3" s="1"/>
  <c r="DF38" i="3" a="1"/>
  <c r="DF38" i="3" s="1"/>
  <c r="E38" i="3" a="1"/>
  <c r="E38" i="3" s="1"/>
  <c r="AU38" i="3" a="1"/>
  <c r="AU38" i="3" s="1"/>
  <c r="BK38" i="3" a="1"/>
  <c r="BK38" i="3" s="1"/>
  <c r="CA38" i="3" a="1"/>
  <c r="CA38" i="3" s="1"/>
  <c r="CQ38" i="3" a="1"/>
  <c r="CQ38" i="3" s="1"/>
  <c r="DG38" i="3" a="1"/>
  <c r="DG38" i="3" s="1"/>
  <c r="F38" i="3" a="1"/>
  <c r="F38" i="3" s="1"/>
  <c r="AV38" i="3" a="1"/>
  <c r="AV38" i="3" s="1"/>
  <c r="BL38" i="3" a="1"/>
  <c r="BL38" i="3" s="1"/>
  <c r="CB38" i="3" a="1"/>
  <c r="CB38" i="3" s="1"/>
  <c r="CR38" i="3" a="1"/>
  <c r="CR38" i="3" s="1"/>
  <c r="DH38" i="3" a="1"/>
  <c r="DH38" i="3" s="1"/>
  <c r="G38" i="3" a="1"/>
  <c r="G38" i="3" s="1"/>
  <c r="AW38" i="3" a="1"/>
  <c r="AW38" i="3" s="1"/>
  <c r="BM38" i="3" a="1"/>
  <c r="BM38" i="3" s="1"/>
  <c r="CC38" i="3" a="1"/>
  <c r="CC38" i="3" s="1"/>
  <c r="CS38" i="3" a="1"/>
  <c r="CS38" i="3" s="1"/>
  <c r="DI38" i="3" a="1"/>
  <c r="DI38" i="3" s="1"/>
  <c r="H38" i="3" a="1"/>
  <c r="H38" i="3" s="1"/>
  <c r="AX38" i="3" a="1"/>
  <c r="AX38" i="3" s="1"/>
  <c r="BN38" i="3" a="1"/>
  <c r="BN38" i="3" s="1"/>
  <c r="CD38" i="3" a="1"/>
  <c r="CD38" i="3" s="1"/>
  <c r="CT38" i="3" a="1"/>
  <c r="CT38" i="3" s="1"/>
  <c r="DJ38" i="3" a="1"/>
  <c r="DJ38" i="3" s="1"/>
  <c r="I38" i="3" a="1"/>
  <c r="I38" i="3" s="1"/>
  <c r="AY38" i="3" a="1"/>
  <c r="AY38" i="3" s="1"/>
  <c r="BO38" i="3" a="1"/>
  <c r="BO38" i="3" s="1"/>
  <c r="CE38" i="3" a="1"/>
  <c r="CE38" i="3" s="1"/>
  <c r="CU38" i="3" a="1"/>
  <c r="CU38" i="3" s="1"/>
  <c r="DK38" i="3" a="1"/>
  <c r="DK38" i="3" s="1"/>
  <c r="J38" i="3" a="1"/>
  <c r="J38" i="3" s="1"/>
  <c r="AZ38" i="3" a="1"/>
  <c r="AZ38" i="3" s="1"/>
  <c r="BP38" i="3" a="1"/>
  <c r="BP38" i="3" s="1"/>
  <c r="CF38" i="3" a="1"/>
  <c r="CF38" i="3" s="1"/>
  <c r="CV38" i="3" a="1"/>
  <c r="CV38" i="3" s="1"/>
  <c r="DL38" i="3" a="1"/>
  <c r="DL38" i="3" s="1"/>
  <c r="K38" i="3" a="1"/>
  <c r="K38" i="3" s="1"/>
  <c r="BA38" i="3" a="1"/>
  <c r="BA38" i="3" s="1"/>
  <c r="BQ38" i="3" a="1"/>
  <c r="BQ38" i="3" s="1"/>
  <c r="CG38" i="3" a="1"/>
  <c r="CG38" i="3" s="1"/>
  <c r="CW38" i="3" a="1"/>
  <c r="CW38" i="3" s="1"/>
  <c r="DM38" i="3" a="1"/>
  <c r="DM38" i="3" s="1"/>
  <c r="L38" i="3" a="1"/>
  <c r="L38" i="3" s="1"/>
  <c r="BB38" i="3" a="1"/>
  <c r="BB38" i="3" s="1"/>
  <c r="BR38" i="3" a="1"/>
  <c r="BR38" i="3" s="1"/>
  <c r="CH38" i="3" a="1"/>
  <c r="CH38" i="3" s="1"/>
  <c r="CX38" i="3" a="1"/>
  <c r="CX38" i="3" s="1"/>
  <c r="DN38" i="3" a="1"/>
  <c r="DN38" i="3" s="1"/>
  <c r="AM38" i="3" a="1"/>
  <c r="AM38" i="3" s="1"/>
  <c r="BC38" i="3" a="1"/>
  <c r="BC38" i="3" s="1"/>
  <c r="BS38" i="3" a="1"/>
  <c r="BS38" i="3" s="1"/>
  <c r="CI38" i="3" a="1"/>
  <c r="CI38" i="3" s="1"/>
  <c r="CY38" i="3" a="1"/>
  <c r="CY38" i="3" s="1"/>
  <c r="DO38" i="3" a="1"/>
  <c r="DO38" i="3" s="1"/>
  <c r="AN38" i="3" a="1"/>
  <c r="AN38" i="3" s="1"/>
  <c r="BD38" i="3" a="1"/>
  <c r="BD38" i="3" s="1"/>
  <c r="BT38" i="3" a="1"/>
  <c r="BT38" i="3" s="1"/>
  <c r="CJ38" i="3" a="1"/>
  <c r="CJ38" i="3" s="1"/>
  <c r="CZ38" i="3" a="1"/>
  <c r="CZ38" i="3" s="1"/>
  <c r="DP38" i="3" a="1"/>
  <c r="DP38" i="3" s="1"/>
  <c r="Z38" i="3" a="1"/>
  <c r="Z38" i="3" s="1"/>
  <c r="N38" i="3" a="1"/>
  <c r="N38" i="3" s="1"/>
  <c r="AL38" i="3" a="1"/>
  <c r="AL38" i="3" s="1"/>
  <c r="Y38" i="3" a="1"/>
  <c r="Y38" i="3" s="1"/>
  <c r="AA38" i="3" a="1"/>
  <c r="AA38" i="3" s="1"/>
  <c r="O38" i="3" a="1"/>
  <c r="O38" i="3" s="1"/>
  <c r="AF38" i="3" a="1"/>
  <c r="AF38" i="3" s="1"/>
  <c r="AE38" i="3" a="1"/>
  <c r="AE38" i="3" s="1"/>
  <c r="AB38" i="3" a="1"/>
  <c r="AB38" i="3" s="1"/>
  <c r="T38" i="3" a="1"/>
  <c r="T38" i="3" s="1"/>
  <c r="S38" i="3" a="1"/>
  <c r="S38" i="3" s="1"/>
  <c r="AD38" i="3" a="1"/>
  <c r="AD38" i="3" s="1"/>
  <c r="P38" i="3" a="1"/>
  <c r="P38" i="3" s="1"/>
  <c r="R38" i="3" a="1"/>
  <c r="R38" i="3" s="1"/>
  <c r="AH38" i="3" a="1"/>
  <c r="AH38" i="3" s="1"/>
  <c r="V38" i="3" a="1"/>
  <c r="V38" i="3" s="1"/>
  <c r="AG38" i="3" a="1"/>
  <c r="AG38" i="3" s="1"/>
  <c r="U38" i="3" a="1"/>
  <c r="U38" i="3" s="1"/>
  <c r="AI38" i="3" a="1"/>
  <c r="AI38" i="3" s="1"/>
  <c r="W38" i="3" a="1"/>
  <c r="W38" i="3" s="1"/>
  <c r="M38" i="3" a="1"/>
  <c r="M38" i="3" s="1"/>
  <c r="AK38" i="3" a="1"/>
  <c r="AK38" i="3" s="1"/>
  <c r="X38" i="3" a="1"/>
  <c r="X38" i="3" s="1"/>
  <c r="AC38" i="3" a="1"/>
  <c r="AC38" i="3" s="1"/>
  <c r="Q38" i="3" a="1"/>
  <c r="Q38" i="3" s="1"/>
  <c r="AJ38" i="3" a="1"/>
  <c r="AJ38" i="3" s="1"/>
  <c r="O60" i="26"/>
  <c r="AQ25" i="3" a="1"/>
  <c r="AQ25" i="3" s="1"/>
  <c r="BU25" i="3" a="1"/>
  <c r="BU25" i="3" s="1"/>
  <c r="O25" i="3" a="1"/>
  <c r="O25" i="3" s="1"/>
  <c r="W25" i="3" a="1"/>
  <c r="W25" i="3" s="1"/>
  <c r="AV90" i="3" a="1"/>
  <c r="AV90" i="3" s="1"/>
  <c r="AH25" i="3" a="1"/>
  <c r="AH25" i="3" s="1"/>
  <c r="AV25" i="3" a="1"/>
  <c r="AV25" i="3" s="1"/>
  <c r="AX25" i="3" a="1"/>
  <c r="AX25" i="3" s="1"/>
  <c r="X25" i="3" a="1"/>
  <c r="X25" i="3" s="1"/>
  <c r="J51" i="3" a="1"/>
  <c r="J51" i="3" s="1"/>
  <c r="BX25" i="3" a="1"/>
  <c r="BX25" i="3" s="1"/>
  <c r="AI51" i="3" a="1"/>
  <c r="AI51" i="3" s="1"/>
  <c r="BO90" i="3" a="1"/>
  <c r="BO90" i="3" s="1"/>
  <c r="CN25" i="3" a="1"/>
  <c r="CN25" i="3" s="1"/>
  <c r="G25" i="3" a="1"/>
  <c r="G25" i="3" s="1"/>
  <c r="CP51" i="3" a="1"/>
  <c r="CP51" i="3" s="1"/>
  <c r="J25" i="3" a="1"/>
  <c r="J25" i="3" s="1"/>
  <c r="DA25" i="3" a="1"/>
  <c r="DA25" i="3" s="1"/>
  <c r="DF90" i="3" a="1"/>
  <c r="DF90" i="3" s="1"/>
  <c r="CO51" i="3" a="1"/>
  <c r="CO51" i="3" s="1"/>
  <c r="BM90" i="3" a="1"/>
  <c r="BM90" i="3" s="1"/>
  <c r="CU90" i="3" a="1"/>
  <c r="CU90" i="3" s="1"/>
  <c r="O51" i="3" a="1"/>
  <c r="O51" i="3" s="1"/>
  <c r="CM51" i="3" a="1"/>
  <c r="CM51" i="3" s="1"/>
  <c r="L90" i="3" a="1"/>
  <c r="L90" i="3" s="1"/>
  <c r="E90" i="3" a="1"/>
  <c r="E90" i="3" s="1"/>
  <c r="CY25" i="3" a="1"/>
  <c r="CY25" i="3" s="1"/>
  <c r="CJ25" i="3" a="1"/>
  <c r="CJ25" i="3" s="1"/>
  <c r="AR25" i="3" a="1"/>
  <c r="AR25" i="3" s="1"/>
  <c r="M25" i="3" a="1"/>
  <c r="M25" i="3" s="1"/>
  <c r="V25" i="3" a="1"/>
  <c r="V25" i="3" s="1"/>
  <c r="CV25" i="3" a="1"/>
  <c r="CV25" i="3" s="1"/>
  <c r="DA90" i="3" a="1"/>
  <c r="DA90" i="3" s="1"/>
  <c r="AU25" i="3" a="1"/>
  <c r="AU25" i="3" s="1"/>
  <c r="CB25" i="3" a="1"/>
  <c r="CB25" i="3" s="1"/>
  <c r="BX51" i="3" a="1"/>
  <c r="BX51" i="3" s="1"/>
  <c r="CW25" i="3" a="1"/>
  <c r="CW25" i="3" s="1"/>
  <c r="CK25" i="3" a="1"/>
  <c r="CK25" i="3" s="1"/>
  <c r="CG51" i="3" a="1"/>
  <c r="CG51" i="3" s="1"/>
  <c r="CO90" i="3" a="1"/>
  <c r="CO90" i="3" s="1"/>
  <c r="Q51" i="3" a="1"/>
  <c r="Q51" i="3" s="1"/>
  <c r="DF25" i="3" a="1"/>
  <c r="DF25" i="3" s="1"/>
  <c r="CC25" i="3" a="1"/>
  <c r="CC25" i="3" s="1"/>
  <c r="AK90" i="3" a="1"/>
  <c r="AK90" i="3" s="1"/>
  <c r="CZ51" i="3" a="1"/>
  <c r="CZ51" i="3" s="1"/>
  <c r="L51" i="3" a="1"/>
  <c r="L51" i="3" s="1"/>
  <c r="Q25" i="3" a="1"/>
  <c r="Q25" i="3" s="1"/>
  <c r="CS90" i="3" a="1"/>
  <c r="CS90" i="3" s="1"/>
  <c r="DN25" i="3" a="1"/>
  <c r="DN25" i="3" s="1"/>
  <c r="CX25" i="3" a="1"/>
  <c r="CX25" i="3" s="1"/>
  <c r="AL25" i="3" a="1"/>
  <c r="AL25" i="3" s="1"/>
  <c r="AJ51" i="3" a="1"/>
  <c r="AJ51" i="3" s="1"/>
  <c r="CI90" i="3" a="1"/>
  <c r="CI90" i="3" s="1"/>
  <c r="CN51" i="3" a="1"/>
  <c r="CN51" i="3" s="1"/>
  <c r="CQ25" i="3" a="1"/>
  <c r="CQ25" i="3" s="1"/>
  <c r="P25" i="3" a="1"/>
  <c r="P25" i="3" s="1"/>
  <c r="BB25" i="3" a="1"/>
  <c r="BB25" i="3" s="1"/>
  <c r="BP51" i="3" a="1"/>
  <c r="BP51" i="3" s="1"/>
  <c r="AZ25" i="3" a="1"/>
  <c r="AZ25" i="3" s="1"/>
  <c r="AD90" i="3" a="1"/>
  <c r="AD90" i="3" s="1"/>
  <c r="CQ51" i="3" a="1"/>
  <c r="CQ51" i="3" s="1"/>
  <c r="CF25" i="3" a="1"/>
  <c r="CF25" i="3" s="1"/>
  <c r="D25" i="3" a="1"/>
  <c r="D25" i="3" s="1"/>
  <c r="CI25" i="3" a="1"/>
  <c r="CI25" i="3" s="1"/>
  <c r="X51" i="3" a="1"/>
  <c r="X51" i="3" s="1"/>
  <c r="L25" i="3" a="1"/>
  <c r="L25" i="3" s="1"/>
  <c r="AG25" i="3" a="1"/>
  <c r="AG25" i="3" s="1"/>
  <c r="DM51" i="3" a="1"/>
  <c r="DM51" i="3" s="1"/>
  <c r="AH51" i="3" a="1"/>
  <c r="AH51" i="3" s="1"/>
  <c r="AO25" i="3" a="1"/>
  <c r="AO25" i="3" s="1"/>
  <c r="CL25" i="3" a="1"/>
  <c r="CL25" i="3" s="1"/>
  <c r="AB25" i="3" a="1"/>
  <c r="AB25" i="3" s="1"/>
  <c r="AY25" i="3" a="1"/>
  <c r="AY25" i="3" s="1"/>
  <c r="BG25" i="3" a="1"/>
  <c r="BG25" i="3" s="1"/>
  <c r="BH51" i="3" a="1"/>
  <c r="BH51" i="3" s="1"/>
  <c r="BZ25" i="3" a="1"/>
  <c r="BZ25" i="3" s="1"/>
  <c r="DJ25" i="3" a="1"/>
  <c r="DJ25" i="3" s="1"/>
  <c r="AN25" i="3" a="1"/>
  <c r="AN25" i="3" s="1"/>
  <c r="DQ25" i="3" a="1"/>
  <c r="DQ25" i="3" s="1"/>
  <c r="I51" i="3" a="1"/>
  <c r="I51" i="3" s="1"/>
  <c r="CR51" i="3" a="1"/>
  <c r="CR51" i="3" s="1"/>
  <c r="C51" i="3" a="1"/>
  <c r="C51" i="3" s="1"/>
  <c r="BN25" i="3" a="1"/>
  <c r="BN25" i="3" s="1"/>
  <c r="CA51" i="3" a="1"/>
  <c r="CA51" i="3" s="1"/>
  <c r="BU90" i="3" a="1"/>
  <c r="BU90" i="3" s="1"/>
  <c r="DC25" i="3" a="1"/>
  <c r="DC25" i="3" s="1"/>
  <c r="AF25" i="3" a="1"/>
  <c r="AF25" i="3" s="1"/>
  <c r="DI51" i="3" a="1"/>
  <c r="DI51" i="3" s="1"/>
  <c r="BD25" i="3" a="1"/>
  <c r="BD25" i="3" s="1"/>
  <c r="AB90" i="3" a="1"/>
  <c r="AB90" i="3" s="1"/>
  <c r="C25" i="3" a="1"/>
  <c r="C25" i="3" s="1"/>
  <c r="CA25" i="3" a="1"/>
  <c r="CA25" i="3" s="1"/>
  <c r="CC90" i="3" a="1"/>
  <c r="CC90" i="3" s="1"/>
  <c r="DM25" i="3" a="1"/>
  <c r="DM25" i="3" s="1"/>
  <c r="C90" i="3" a="1"/>
  <c r="C90" i="3" s="1"/>
  <c r="CU51" i="3" a="1"/>
  <c r="CU51" i="3" s="1"/>
  <c r="CL51" i="3" a="1"/>
  <c r="CL51" i="3" s="1"/>
  <c r="AL65" i="3" a="1"/>
  <c r="AL65" i="3" s="1"/>
  <c r="CC77" i="3" a="1"/>
  <c r="CC77" i="3" s="1"/>
  <c r="DH77" i="3" a="1"/>
  <c r="DH77" i="3" s="1"/>
  <c r="CB77" i="3" a="1"/>
  <c r="CB77" i="3" s="1"/>
  <c r="AF77" i="3" a="1"/>
  <c r="AF77" i="3" s="1"/>
  <c r="DE65" i="3" a="1"/>
  <c r="DE65" i="3" s="1"/>
  <c r="DI65" i="3" a="1"/>
  <c r="DI65" i="3" s="1"/>
  <c r="CS77" i="3" a="1"/>
  <c r="CS77" i="3" s="1"/>
  <c r="AG65" i="3" a="1"/>
  <c r="AG65" i="3" s="1"/>
  <c r="BJ65" i="3" a="1"/>
  <c r="BJ65" i="3" s="1"/>
  <c r="AD77" i="3" a="1"/>
  <c r="AD77" i="3" s="1"/>
  <c r="CO65" i="3" a="1"/>
  <c r="CO65" i="3" s="1"/>
  <c r="AV65" i="3" a="1"/>
  <c r="AV65" i="3" s="1"/>
  <c r="BM77" i="3" a="1"/>
  <c r="BM77" i="3" s="1"/>
  <c r="Q77" i="3" a="1"/>
  <c r="Q77" i="3" s="1"/>
  <c r="CC65" i="3" a="1"/>
  <c r="CC65" i="3" s="1"/>
  <c r="DF65" i="3" a="1"/>
  <c r="DF65" i="3" s="1"/>
  <c r="BM65" i="3" a="1"/>
  <c r="BM65" i="3" s="1"/>
  <c r="AW65" i="3" a="1"/>
  <c r="AW65" i="3" s="1"/>
  <c r="CS65" i="3" a="1"/>
  <c r="CS65" i="3" s="1"/>
  <c r="Q65" i="3" a="1"/>
  <c r="Q65" i="3" s="1"/>
  <c r="CB65" i="3" a="1"/>
  <c r="CB65" i="3" s="1"/>
  <c r="BL65" i="3" a="1"/>
  <c r="BL65" i="3" s="1"/>
  <c r="N65" i="3" a="1"/>
  <c r="N65" i="3" s="1"/>
  <c r="AS77" i="3" a="1"/>
  <c r="AS77" i="3" s="1"/>
  <c r="AC77" i="3" a="1"/>
  <c r="AC77" i="3" s="1"/>
  <c r="AR65" i="3" a="1"/>
  <c r="AR65" i="3" s="1"/>
  <c r="CA65" i="3" a="1"/>
  <c r="CA65" i="3" s="1"/>
  <c r="BW77" i="3" a="1"/>
  <c r="BW77" i="3" s="1"/>
  <c r="BW65" i="3" a="1"/>
  <c r="BW65" i="3" s="1"/>
  <c r="AT65" i="3" a="1"/>
  <c r="AT65" i="3" s="1"/>
  <c r="BI77" i="3" a="1"/>
  <c r="BI77" i="3" s="1"/>
  <c r="AB65" i="3" a="1"/>
  <c r="AB65" i="3" s="1"/>
  <c r="BK65" i="3" a="1"/>
  <c r="BK65" i="3" s="1"/>
  <c r="K65" i="3" a="1"/>
  <c r="K65" i="3" s="1"/>
  <c r="DI77" i="3" a="1"/>
  <c r="DI77" i="3" s="1"/>
  <c r="CR77" i="3" a="1"/>
  <c r="CR77" i="3" s="1"/>
  <c r="AD65" i="3" a="1"/>
  <c r="AD65" i="3" s="1"/>
  <c r="BY77" i="3" a="1"/>
  <c r="BY77" i="3" s="1"/>
  <c r="CN65" i="3" a="1"/>
  <c r="CN65" i="3" s="1"/>
  <c r="BV65" i="3" a="1"/>
  <c r="BV65" i="3" s="1"/>
  <c r="P77" i="3" a="1"/>
  <c r="P77" i="3" s="1"/>
  <c r="BJ77" i="3" a="1"/>
  <c r="BJ77" i="3" s="1"/>
  <c r="CO77" i="3" a="1"/>
  <c r="CO77" i="3" s="1"/>
  <c r="DD65" i="3" a="1"/>
  <c r="DD65" i="3" s="1"/>
  <c r="CA77" i="3" a="1"/>
  <c r="CA77" i="3" s="1"/>
  <c r="AU65" i="3" a="1"/>
  <c r="AU65" i="3" s="1"/>
  <c r="AE77" i="3" a="1"/>
  <c r="AE77" i="3" s="1"/>
  <c r="DR65" i="3" a="1"/>
  <c r="DR65" i="3" s="1"/>
  <c r="BZ77" i="3" a="1"/>
  <c r="BZ77" i="3" s="1"/>
  <c r="BH77" i="3" a="1"/>
  <c r="BH77" i="3" s="1"/>
  <c r="AA77" i="3" a="1"/>
  <c r="AA77" i="3" s="1"/>
  <c r="BV77" i="3" a="1"/>
  <c r="BV77" i="3" s="1"/>
  <c r="AP65" i="3" a="1"/>
  <c r="AP65" i="3" s="1"/>
  <c r="AW77" i="3" a="1"/>
  <c r="AW77" i="3" s="1"/>
  <c r="AG77" i="3" a="1"/>
  <c r="AG77" i="3" s="1"/>
  <c r="CR65" i="3" a="1"/>
  <c r="CR65" i="3" s="1"/>
  <c r="DG77" i="3" a="1"/>
  <c r="DG77" i="3" s="1"/>
  <c r="CM77" i="3" a="1"/>
  <c r="CM77" i="3" s="1"/>
  <c r="Z77" i="3" a="1"/>
  <c r="Z77" i="3" s="1"/>
  <c r="AF65" i="3" a="1"/>
  <c r="AF65" i="3" s="1"/>
  <c r="AC65" i="3" a="1"/>
  <c r="AC65" i="3" s="1"/>
  <c r="K77" i="3" a="1"/>
  <c r="K77" i="3" s="1"/>
  <c r="L65" i="3" a="1"/>
  <c r="L65" i="3" s="1"/>
  <c r="CQ65" i="3" a="1"/>
  <c r="CQ65" i="3" s="1"/>
  <c r="O65" i="3" a="1"/>
  <c r="O65" i="3" s="1"/>
  <c r="DC65" i="3" a="1"/>
  <c r="DC65" i="3" s="1"/>
  <c r="BE65" i="3" a="1"/>
  <c r="BE65" i="3" s="1"/>
  <c r="AO65" i="3" a="1"/>
  <c r="AO65" i="3" s="1"/>
  <c r="Y65" i="3" a="1"/>
  <c r="Y65" i="3" s="1"/>
  <c r="I65" i="3" a="1"/>
  <c r="I65" i="3" s="1"/>
  <c r="CL65" i="3" a="1"/>
  <c r="CL65" i="3" s="1"/>
  <c r="BE77" i="3" a="1"/>
  <c r="BE77" i="3" s="1"/>
  <c r="CY77" i="3" a="1"/>
  <c r="CY77" i="3" s="1"/>
  <c r="AV77" i="3" a="1"/>
  <c r="AV77" i="3" s="1"/>
  <c r="CP77" i="3" a="1"/>
  <c r="CP77" i="3" s="1"/>
  <c r="AT77" i="3" a="1"/>
  <c r="AT77" i="3" s="1"/>
  <c r="N77" i="3" a="1"/>
  <c r="N77" i="3" s="1"/>
  <c r="DE77" i="3" a="1"/>
  <c r="DE77" i="3" s="1"/>
  <c r="O77" i="3" a="1"/>
  <c r="O77" i="3" s="1"/>
  <c r="BF77" i="3" a="1"/>
  <c r="BF77" i="3" s="1"/>
  <c r="BY65" i="3" a="1"/>
  <c r="BY65" i="3" s="1"/>
  <c r="DC77" i="3" a="1"/>
  <c r="DC77" i="3" s="1"/>
  <c r="BG65" i="3" a="1"/>
  <c r="BG65" i="3" s="1"/>
  <c r="DB77" i="3" a="1"/>
  <c r="DB77" i="3" s="1"/>
  <c r="DQ65" i="3" a="1"/>
  <c r="DQ65" i="3" s="1"/>
  <c r="AO77" i="3" a="1"/>
  <c r="AO77" i="3" s="1"/>
  <c r="DO77" i="3" a="1"/>
  <c r="DO77" i="3" s="1"/>
  <c r="BS77" i="3" a="1"/>
  <c r="BS77" i="3" s="1"/>
  <c r="DF77" i="3" a="1"/>
  <c r="DF77" i="3" s="1"/>
  <c r="AQ65" i="3" a="1"/>
  <c r="AQ65" i="3" s="1"/>
  <c r="Z65" i="3" a="1"/>
  <c r="Z65" i="3" s="1"/>
  <c r="CJ77" i="3" a="1"/>
  <c r="CJ77" i="3" s="1"/>
  <c r="H65" i="3" a="1"/>
  <c r="H65" i="3" s="1"/>
  <c r="CP65" i="3" a="1"/>
  <c r="CP65" i="3" s="1"/>
  <c r="BK77" i="3" a="1"/>
  <c r="BK77" i="3" s="1"/>
  <c r="CM65" i="3" a="1"/>
  <c r="CM65" i="3" s="1"/>
  <c r="AA65" i="3" a="1"/>
  <c r="AA65" i="3" s="1"/>
  <c r="DR77" i="3" a="1"/>
  <c r="DR77" i="3" s="1"/>
  <c r="AP77" i="3" a="1"/>
  <c r="AP77" i="3" s="1"/>
  <c r="DA77" i="3" a="1"/>
  <c r="DA77" i="3" s="1"/>
  <c r="CK65" i="3" a="1"/>
  <c r="CK65" i="3" s="1"/>
  <c r="I77" i="3" a="1"/>
  <c r="I77" i="3" s="1"/>
  <c r="DP65" i="3" a="1"/>
  <c r="DP65" i="3" s="1"/>
  <c r="CI77" i="3" a="1"/>
  <c r="CI77" i="3" s="1"/>
  <c r="BL77" i="3" a="1"/>
  <c r="BL77" i="3" s="1"/>
  <c r="M77" i="3" a="1"/>
  <c r="M77" i="3" s="1"/>
  <c r="AB77" i="3" a="1"/>
  <c r="AB77" i="3" s="1"/>
  <c r="BH65" i="3" a="1"/>
  <c r="BH65" i="3" s="1"/>
  <c r="AR77" i="3" a="1"/>
  <c r="AR77" i="3" s="1"/>
  <c r="AE65" i="3" a="1"/>
  <c r="AE65" i="3" s="1"/>
  <c r="Y77" i="3" a="1"/>
  <c r="Y77" i="3" s="1"/>
  <c r="P65" i="3" a="1"/>
  <c r="P65" i="3" s="1"/>
  <c r="BI65" i="3" a="1"/>
  <c r="BI65" i="3" s="1"/>
  <c r="DD77" i="3" a="1"/>
  <c r="DD77" i="3" s="1"/>
  <c r="DP77" i="3" a="1"/>
  <c r="DP77" i="3" s="1"/>
  <c r="CZ65" i="3" a="1"/>
  <c r="CZ65" i="3" s="1"/>
  <c r="CX77" i="3" a="1"/>
  <c r="CX77" i="3" s="1"/>
  <c r="BZ65" i="3" a="1"/>
  <c r="BZ65" i="3" s="1"/>
  <c r="BG77" i="3" a="1"/>
  <c r="BG77" i="3" s="1"/>
  <c r="BU77" i="3" a="1"/>
  <c r="BU77" i="3" s="1"/>
  <c r="X77" i="3" a="1"/>
  <c r="X77" i="3" s="1"/>
  <c r="CV77" i="3" a="1"/>
  <c r="CV77" i="3" s="1"/>
  <c r="DG65" i="3" a="1"/>
  <c r="DG65" i="3" s="1"/>
  <c r="CL77" i="3" a="1"/>
  <c r="CL77" i="3" s="1"/>
  <c r="DQ77" i="3" a="1"/>
  <c r="DQ77" i="3" s="1"/>
  <c r="H77" i="3" a="1"/>
  <c r="H77" i="3" s="1"/>
  <c r="CI65" i="3" a="1"/>
  <c r="CI65" i="3" s="1"/>
  <c r="BS65" i="3" a="1"/>
  <c r="BS65" i="3" s="1"/>
  <c r="BX77" i="3" a="1"/>
  <c r="BX77" i="3" s="1"/>
  <c r="BT65" i="3" a="1"/>
  <c r="BT65" i="3" s="1"/>
  <c r="AU77" i="3" a="1"/>
  <c r="AU77" i="3" s="1"/>
  <c r="BF65" i="3" a="1"/>
  <c r="BF65" i="3" s="1"/>
  <c r="DO65" i="3" a="1"/>
  <c r="DO65" i="3" s="1"/>
  <c r="CY65" i="3" a="1"/>
  <c r="CY65" i="3" s="1"/>
  <c r="CK77" i="3" a="1"/>
  <c r="CK77" i="3" s="1"/>
  <c r="G77" i="3" a="1"/>
  <c r="G77" i="3" s="1"/>
  <c r="BC77" i="3" a="1"/>
  <c r="BC77" i="3" s="1"/>
  <c r="AS65" i="3" a="1"/>
  <c r="AS65" i="3" s="1"/>
  <c r="BD65" i="3" a="1"/>
  <c r="BD65" i="3" s="1"/>
  <c r="AN65" i="3" a="1"/>
  <c r="AN65" i="3" s="1"/>
  <c r="J65" i="3" a="1"/>
  <c r="J65" i="3" s="1"/>
  <c r="DN77" i="3" a="1"/>
  <c r="DN77" i="3" s="1"/>
  <c r="DL65" i="3" a="1"/>
  <c r="DL65" i="3" s="1"/>
  <c r="AJ65" i="3" a="1"/>
  <c r="AJ65" i="3" s="1"/>
  <c r="U65" i="3" a="1"/>
  <c r="U65" i="3" s="1"/>
  <c r="E77" i="3" a="1"/>
  <c r="E77" i="3" s="1"/>
  <c r="AY77" i="3" a="1"/>
  <c r="AY77" i="3" s="1"/>
  <c r="BT77" i="3" a="1"/>
  <c r="BT77" i="3" s="1"/>
  <c r="DM65" i="3" a="1"/>
  <c r="DM65" i="3" s="1"/>
  <c r="BQ65" i="3" a="1"/>
  <c r="BQ65" i="3" s="1"/>
  <c r="T65" i="3" a="1"/>
  <c r="T65" i="3" s="1"/>
  <c r="BA77" i="3" a="1"/>
  <c r="BA77" i="3" s="1"/>
  <c r="AX65" i="3" a="1"/>
  <c r="AX65" i="3" s="1"/>
  <c r="CH65" i="3" a="1"/>
  <c r="CH65" i="3" s="1"/>
  <c r="F65" i="3" a="1"/>
  <c r="F65" i="3" s="1"/>
  <c r="AK65" i="3" a="1"/>
  <c r="AK65" i="3" s="1"/>
  <c r="DK65" i="3" a="1"/>
  <c r="DK65" i="3" s="1"/>
  <c r="AX77" i="3" a="1"/>
  <c r="AX77" i="3" s="1"/>
  <c r="W65" i="3" a="1"/>
  <c r="W65" i="3" s="1"/>
  <c r="BR65" i="3" a="1"/>
  <c r="BR65" i="3" s="1"/>
  <c r="AL77" i="3" a="1"/>
  <c r="AL77" i="3" s="1"/>
  <c r="DM77" i="3" a="1"/>
  <c r="DM77" i="3" s="1"/>
  <c r="CW77" i="3" a="1"/>
  <c r="CW77" i="3" s="1"/>
  <c r="C65" i="3" a="1"/>
  <c r="C65" i="3" s="1"/>
  <c r="CD65" i="3" a="1"/>
  <c r="CD65" i="3" s="1"/>
  <c r="R65" i="3" a="1"/>
  <c r="R65" i="3" s="1"/>
  <c r="DN65" i="3" a="1"/>
  <c r="DN65" i="3" s="1"/>
  <c r="S65" i="3" a="1"/>
  <c r="S65" i="3" s="1"/>
  <c r="DH65" i="3" a="1"/>
  <c r="DH65" i="3" s="1"/>
  <c r="CJ65" i="3" a="1"/>
  <c r="CJ65" i="3" s="1"/>
  <c r="V77" i="3" a="1"/>
  <c r="V77" i="3" s="1"/>
  <c r="E65" i="3" a="1"/>
  <c r="E65" i="3" s="1"/>
  <c r="AI77" i="3" a="1"/>
  <c r="AI77" i="3" s="1"/>
  <c r="DJ65" i="3" a="1"/>
  <c r="DJ65" i="3" s="1"/>
  <c r="CQ77" i="3" a="1"/>
  <c r="CQ77" i="3" s="1"/>
  <c r="DB65" i="3" a="1"/>
  <c r="DB65" i="3" s="1"/>
  <c r="W77" i="3" a="1"/>
  <c r="W77" i="3" s="1"/>
  <c r="DK77" i="3" a="1"/>
  <c r="DK77" i="3" s="1"/>
  <c r="AI65" i="3" a="1"/>
  <c r="AI65" i="3" s="1"/>
  <c r="BN65" i="3" a="1"/>
  <c r="BN65" i="3" s="1"/>
  <c r="AH77" i="3" a="1"/>
  <c r="AH77" i="3" s="1"/>
  <c r="DA65" i="3" a="1"/>
  <c r="DA65" i="3" s="1"/>
  <c r="BU65" i="3" a="1"/>
  <c r="BU65" i="3" s="1"/>
  <c r="CX65" i="3" a="1"/>
  <c r="CX65" i="3" s="1"/>
  <c r="AZ65" i="3" a="1"/>
  <c r="AZ65" i="3" s="1"/>
  <c r="CG65" i="3" a="1"/>
  <c r="CG65" i="3" s="1"/>
  <c r="CU77" i="3" a="1"/>
  <c r="CU77" i="3" s="1"/>
  <c r="CE77" i="3" a="1"/>
  <c r="CE77" i="3" s="1"/>
  <c r="M65" i="3" a="1"/>
  <c r="M65" i="3" s="1"/>
  <c r="BX65" i="3" a="1"/>
  <c r="BX65" i="3" s="1"/>
  <c r="DL77" i="3" a="1"/>
  <c r="DL77" i="3" s="1"/>
  <c r="BP77" i="3" a="1"/>
  <c r="BP77" i="3" s="1"/>
  <c r="AZ77" i="3" a="1"/>
  <c r="AZ77" i="3" s="1"/>
  <c r="AQ77" i="3" a="1"/>
  <c r="AQ77" i="3" s="1"/>
  <c r="AN77" i="3" a="1"/>
  <c r="AN77" i="3" s="1"/>
  <c r="X65" i="3" a="1"/>
  <c r="X65" i="3" s="1"/>
  <c r="BC65" i="3" a="1"/>
  <c r="BC65" i="3" s="1"/>
  <c r="CH77" i="3" a="1"/>
  <c r="CH77" i="3" s="1"/>
  <c r="CF77" i="3" a="1"/>
  <c r="CF77" i="3" s="1"/>
  <c r="AJ77" i="3" a="1"/>
  <c r="AJ77" i="3" s="1"/>
  <c r="CT65" i="3" a="1"/>
  <c r="CT65" i="3" s="1"/>
  <c r="G65" i="3" a="1"/>
  <c r="G65" i="3" s="1"/>
  <c r="CV65" i="3" a="1"/>
  <c r="CV65" i="3" s="1"/>
  <c r="BO77" i="3" a="1"/>
  <c r="BO77" i="3" s="1"/>
  <c r="S77" i="3" a="1"/>
  <c r="S77" i="3" s="1"/>
  <c r="C77" i="3" a="1"/>
  <c r="C77" i="3" s="1"/>
  <c r="R77" i="3" a="1"/>
  <c r="R77" i="3" s="1"/>
  <c r="CZ77" i="3" a="1"/>
  <c r="CZ77" i="3" s="1"/>
  <c r="BD77" i="3" a="1"/>
  <c r="BD77" i="3" s="1"/>
  <c r="D77" i="3" a="1"/>
  <c r="D77" i="3" s="1"/>
  <c r="BB77" i="3" a="1"/>
  <c r="BB77" i="3" s="1"/>
  <c r="V65" i="3" a="1"/>
  <c r="V65" i="3" s="1"/>
  <c r="AK77" i="3" a="1"/>
  <c r="AK77" i="3" s="1"/>
  <c r="CU65" i="3" a="1"/>
  <c r="CU65" i="3" s="1"/>
  <c r="CE65" i="3" a="1"/>
  <c r="CE65" i="3" s="1"/>
  <c r="BO65" i="3" a="1"/>
  <c r="BO65" i="3" s="1"/>
  <c r="CT77" i="3" a="1"/>
  <c r="CT77" i="3" s="1"/>
  <c r="F77" i="3" a="1"/>
  <c r="F77" i="3" s="1"/>
  <c r="BP65" i="3" a="1"/>
  <c r="BP65" i="3" s="1"/>
  <c r="BQ77" i="3" a="1"/>
  <c r="BQ77" i="3" s="1"/>
  <c r="DJ77" i="3" a="1"/>
  <c r="DJ77" i="3" s="1"/>
  <c r="AM65" i="3" a="1"/>
  <c r="AM65" i="3" s="1"/>
  <c r="CG77" i="3" a="1"/>
  <c r="CG77" i="3" s="1"/>
  <c r="BA65" i="3" a="1"/>
  <c r="BA65" i="3" s="1"/>
  <c r="BR77" i="3" a="1"/>
  <c r="BR77" i="3" s="1"/>
  <c r="L77" i="3" a="1"/>
  <c r="L77" i="3" s="1"/>
  <c r="AM77" i="3" a="1"/>
  <c r="AM77" i="3" s="1"/>
  <c r="U77" i="3" a="1"/>
  <c r="U77" i="3" s="1"/>
  <c r="T77" i="3" a="1"/>
  <c r="T77" i="3" s="1"/>
  <c r="CD77" i="3" a="1"/>
  <c r="CD77" i="3" s="1"/>
  <c r="BB65" i="3" a="1"/>
  <c r="BB65" i="3" s="1"/>
  <c r="D65" i="3" a="1"/>
  <c r="D65" i="3" s="1"/>
  <c r="CW65" i="3" a="1"/>
  <c r="CW65" i="3" s="1"/>
  <c r="AH65" i="3" a="1"/>
  <c r="AH65" i="3" s="1"/>
  <c r="CN77" i="3" a="1"/>
  <c r="CN77" i="3" s="1"/>
  <c r="CF65" i="3" a="1"/>
  <c r="CF65" i="3" s="1"/>
  <c r="J77" i="3" a="1"/>
  <c r="J77" i="3" s="1"/>
  <c r="AY65" i="3" a="1"/>
  <c r="AY65" i="3" s="1"/>
  <c r="BN77" i="3" a="1"/>
  <c r="BN77" i="3" s="1"/>
  <c r="CS51" i="3" a="1"/>
  <c r="CS51" i="3" s="1"/>
  <c r="AS51" i="3" a="1"/>
  <c r="AS51" i="3" s="1"/>
  <c r="DG90" i="3" a="1"/>
  <c r="DG90" i="3" s="1"/>
  <c r="G51" i="3" a="1"/>
  <c r="G51" i="3" s="1"/>
  <c r="H51" i="3" a="1"/>
  <c r="H51" i="3" s="1"/>
  <c r="AZ51" i="3" a="1"/>
  <c r="AZ51" i="3" s="1"/>
  <c r="DJ51" i="3" a="1"/>
  <c r="DJ51" i="3" s="1"/>
  <c r="CY90" i="3" a="1"/>
  <c r="CY90" i="3" s="1"/>
  <c r="F51" i="3" a="1"/>
  <c r="F51" i="3" s="1"/>
  <c r="BN90" i="3" a="1"/>
  <c r="BN90" i="3" s="1"/>
  <c r="CX51" i="3" a="1"/>
  <c r="CX51" i="3" s="1"/>
  <c r="Q90" i="3" a="1"/>
  <c r="Q90" i="3" s="1"/>
  <c r="DE51" i="3" a="1"/>
  <c r="DE51" i="3" s="1"/>
  <c r="BF90" i="3" a="1"/>
  <c r="BF90" i="3" s="1"/>
  <c r="BK51" i="3" a="1"/>
  <c r="BK51" i="3" s="1"/>
  <c r="AT90" i="3" a="1"/>
  <c r="AT90" i="3" s="1"/>
  <c r="AP90" i="3" a="1"/>
  <c r="AP90" i="3" s="1"/>
  <c r="K90" i="3" a="1"/>
  <c r="K90" i="3" s="1"/>
  <c r="AA51" i="3" a="1"/>
  <c r="AA51" i="3" s="1"/>
  <c r="DL51" i="3" a="1"/>
  <c r="DL51" i="3" s="1"/>
  <c r="DR51" i="3" a="1"/>
  <c r="DR51" i="3" s="1"/>
  <c r="U51" i="3" a="1"/>
  <c r="U51" i="3" s="1"/>
  <c r="CW90" i="3" a="1"/>
  <c r="CW90" i="3" s="1"/>
  <c r="CG90" i="3" a="1"/>
  <c r="CG90" i="3" s="1"/>
  <c r="R51" i="3" a="1"/>
  <c r="R51" i="3" s="1"/>
  <c r="AW51" i="3" a="1"/>
  <c r="AW51" i="3" s="1"/>
  <c r="AC51" i="3" a="1"/>
  <c r="AC51" i="3" s="1"/>
  <c r="CL90" i="3" a="1"/>
  <c r="CL90" i="3" s="1"/>
  <c r="BU51" i="3" a="1"/>
  <c r="BU51" i="3" s="1"/>
  <c r="CF90" i="3" a="1"/>
  <c r="CF90" i="3" s="1"/>
  <c r="AB51" i="3" a="1"/>
  <c r="AB51" i="3" s="1"/>
  <c r="CK90" i="3" a="1"/>
  <c r="CK90" i="3" s="1"/>
  <c r="AL90" i="3" a="1"/>
  <c r="AL90" i="3" s="1"/>
  <c r="CT51" i="3" a="1"/>
  <c r="CT51" i="3" s="1"/>
  <c r="AY51" i="3" a="1"/>
  <c r="AY51" i="3" s="1"/>
  <c r="BQ90" i="3" a="1"/>
  <c r="BQ90" i="3" s="1"/>
  <c r="AX90" i="3" a="1"/>
  <c r="AX90" i="3" s="1"/>
  <c r="AJ90" i="3" a="1"/>
  <c r="AJ90" i="3" s="1"/>
  <c r="CC51" i="3" a="1"/>
  <c r="CC51" i="3" s="1"/>
  <c r="AW90" i="3" a="1"/>
  <c r="AW90" i="3" s="1"/>
  <c r="CB51" i="3" a="1"/>
  <c r="CB51" i="3" s="1"/>
  <c r="DB51" i="3" a="1"/>
  <c r="DB51" i="3" s="1"/>
  <c r="CQ90" i="3" a="1"/>
  <c r="CQ90" i="3" s="1"/>
  <c r="AD51" i="3" a="1"/>
  <c r="AD51" i="3" s="1"/>
  <c r="DQ90" i="3" a="1"/>
  <c r="DQ90" i="3" s="1"/>
  <c r="CJ51" i="3" a="1"/>
  <c r="CJ51" i="3" s="1"/>
  <c r="CK51" i="3" a="1"/>
  <c r="CK51" i="3" s="1"/>
  <c r="DR90" i="3" a="1"/>
  <c r="DR90" i="3" s="1"/>
  <c r="DL90" i="3" a="1"/>
  <c r="DL90" i="3" s="1"/>
  <c r="R90" i="3" a="1"/>
  <c r="R90" i="3" s="1"/>
  <c r="DH90" i="3" a="1"/>
  <c r="DH90" i="3" s="1"/>
  <c r="S51" i="3" a="1"/>
  <c r="S51" i="3" s="1"/>
  <c r="AY90" i="3" a="1"/>
  <c r="AY90" i="3" s="1"/>
  <c r="AI90" i="3" a="1"/>
  <c r="AI90" i="3" s="1"/>
  <c r="AX51" i="3" a="1"/>
  <c r="AX51" i="3" s="1"/>
  <c r="BY51" i="3" a="1"/>
  <c r="BY51" i="3" s="1"/>
  <c r="DF51" i="3" a="1"/>
  <c r="DF51" i="3" s="1"/>
  <c r="BJ90" i="3" a="1"/>
  <c r="BJ90" i="3" s="1"/>
  <c r="DE90" i="3" a="1"/>
  <c r="DE90" i="3" s="1"/>
  <c r="BI51" i="3" a="1"/>
  <c r="BI51" i="3" s="1"/>
  <c r="AO90" i="3" a="1"/>
  <c r="AO90" i="3" s="1"/>
  <c r="BX90" i="3" a="1"/>
  <c r="BX90" i="3" s="1"/>
  <c r="Z51" i="3" a="1"/>
  <c r="Z51" i="3" s="1"/>
  <c r="AN90" i="3" a="1"/>
  <c r="AN90" i="3" s="1"/>
  <c r="T90" i="3" a="1"/>
  <c r="T90" i="3" s="1"/>
  <c r="CI51" i="3" a="1"/>
  <c r="CI51" i="3" s="1"/>
  <c r="BS51" i="3" a="1"/>
  <c r="BS51" i="3" s="1"/>
  <c r="BE51" i="3" a="1"/>
  <c r="BE51" i="3" s="1"/>
  <c r="S90" i="3" a="1"/>
  <c r="S90" i="3" s="1"/>
  <c r="V90" i="3" a="1"/>
  <c r="V90" i="3" s="1"/>
  <c r="BN51" i="3" a="1"/>
  <c r="BN51" i="3" s="1"/>
  <c r="N90" i="3" a="1"/>
  <c r="N90" i="3" s="1"/>
  <c r="AG51" i="3" a="1"/>
  <c r="AG51" i="3" s="1"/>
  <c r="M90" i="3" a="1"/>
  <c r="M90" i="3" s="1"/>
  <c r="AR51" i="3" a="1"/>
  <c r="AR51" i="3" s="1"/>
  <c r="CA90" i="3" a="1"/>
  <c r="CA90" i="3" s="1"/>
  <c r="BJ51" i="3" a="1"/>
  <c r="BJ51" i="3" s="1"/>
  <c r="DD90" i="3" a="1"/>
  <c r="DD90" i="3" s="1"/>
  <c r="DO51" i="3" a="1"/>
  <c r="DO51" i="3" s="1"/>
  <c r="BS90" i="3" a="1"/>
  <c r="BS90" i="3" s="1"/>
  <c r="H90" i="3" a="1"/>
  <c r="H90" i="3" s="1"/>
  <c r="AK51" i="3" a="1"/>
  <c r="AK51" i="3" s="1"/>
  <c r="CX90" i="3" a="1"/>
  <c r="CX90" i="3" s="1"/>
  <c r="CZ90" i="3" a="1"/>
  <c r="CZ90" i="3" s="1"/>
  <c r="Y51" i="3" a="1"/>
  <c r="Y51" i="3" s="1"/>
  <c r="W51" i="3" a="1"/>
  <c r="W51" i="3" s="1"/>
  <c r="O90" i="3" a="1"/>
  <c r="O90" i="3" s="1"/>
  <c r="DK90" i="3" a="1"/>
  <c r="DK90" i="3" s="1"/>
  <c r="CP90" i="3" a="1"/>
  <c r="CP90" i="3" s="1"/>
  <c r="DI90" i="3" a="1"/>
  <c r="DI90" i="3" s="1"/>
  <c r="DH51" i="3" a="1"/>
  <c r="DH51" i="3" s="1"/>
  <c r="DG51" i="3" a="1"/>
  <c r="DG51" i="3" s="1"/>
  <c r="DD51" i="3" a="1"/>
  <c r="DD51" i="3" s="1"/>
  <c r="AU90" i="3" a="1"/>
  <c r="AU90" i="3" s="1"/>
  <c r="N51" i="3" a="1"/>
  <c r="N51" i="3" s="1"/>
  <c r="AT51" i="3" a="1"/>
  <c r="AT51" i="3" s="1"/>
  <c r="AO51" i="3" a="1"/>
  <c r="AO51" i="3" s="1"/>
  <c r="G90" i="3" a="1"/>
  <c r="G90" i="3" s="1"/>
  <c r="E51" i="3" a="1"/>
  <c r="E51" i="3" s="1"/>
  <c r="AL51" i="3" a="1"/>
  <c r="AL51" i="3" s="1"/>
  <c r="BA90" i="3" a="1"/>
  <c r="BA90" i="3" s="1"/>
  <c r="AM90" i="3" a="1"/>
  <c r="AM90" i="3" s="1"/>
  <c r="CH51" i="3" a="1"/>
  <c r="CH51" i="3" s="1"/>
  <c r="CF51" i="3" a="1"/>
  <c r="CF51" i="3" s="1"/>
  <c r="BT90" i="3" a="1"/>
  <c r="BT90" i="3" s="1"/>
  <c r="DP90" i="3" a="1"/>
  <c r="DP90" i="3" s="1"/>
  <c r="BY90" i="3" a="1"/>
  <c r="BY90" i="3" s="1"/>
  <c r="AG90" i="3" a="1"/>
  <c r="AG90" i="3" s="1"/>
  <c r="AV51" i="3" a="1"/>
  <c r="AV51" i="3" s="1"/>
  <c r="BW90" i="3" a="1"/>
  <c r="BW90" i="3" s="1"/>
  <c r="AE90" i="3" a="1"/>
  <c r="AE90" i="3" s="1"/>
  <c r="BG90" i="3" a="1"/>
  <c r="BG90" i="3" s="1"/>
  <c r="AC90" i="3" a="1"/>
  <c r="AC90" i="3" s="1"/>
  <c r="AA90" i="3" a="1"/>
  <c r="AA90" i="3" s="1"/>
  <c r="DA51" i="3" a="1"/>
  <c r="DA51" i="3" s="1"/>
  <c r="AS90" i="3" a="1"/>
  <c r="AS90" i="3" s="1"/>
  <c r="X90" i="3" a="1"/>
  <c r="X90" i="3" s="1"/>
  <c r="CM90" i="3" a="1"/>
  <c r="CM90" i="3" s="1"/>
  <c r="DN51" i="3" a="1"/>
  <c r="DN51" i="3" s="1"/>
  <c r="AH90" i="3" a="1"/>
  <c r="AH90" i="3" s="1"/>
  <c r="CW51" i="3" a="1"/>
  <c r="CW51" i="3" s="1"/>
  <c r="CV90" i="3" a="1"/>
  <c r="CV90" i="3" s="1"/>
  <c r="F90" i="3" a="1"/>
  <c r="F90" i="3" s="1"/>
  <c r="CD51" i="3" a="1"/>
  <c r="CD51" i="3" s="1"/>
  <c r="BA51" i="3" a="1"/>
  <c r="BA51" i="3" s="1"/>
  <c r="BM51" i="3" a="1"/>
  <c r="BM51" i="3" s="1"/>
  <c r="AR90" i="3" a="1"/>
  <c r="AR90" i="3" s="1"/>
  <c r="BZ90" i="3" a="1"/>
  <c r="BZ90" i="3" s="1"/>
  <c r="DC51" i="3" a="1"/>
  <c r="DC51" i="3" s="1"/>
  <c r="DO90" i="3" a="1"/>
  <c r="DO90" i="3" s="1"/>
  <c r="BD51" i="3" a="1"/>
  <c r="BD51" i="3" s="1"/>
  <c r="BR90" i="3" a="1"/>
  <c r="BR90" i="3" s="1"/>
  <c r="BE90" i="3" a="1"/>
  <c r="BE90" i="3" s="1"/>
  <c r="DN90" i="3" a="1"/>
  <c r="DN90" i="3" s="1"/>
  <c r="CH90" i="3" a="1"/>
  <c r="CH90" i="3" s="1"/>
  <c r="CE51" i="3" a="1"/>
  <c r="CE51" i="3" s="1"/>
  <c r="BW51" i="3" a="1"/>
  <c r="BW51" i="3" s="1"/>
  <c r="DQ51" i="3" a="1"/>
  <c r="DQ51" i="3" s="1"/>
  <c r="T51" i="3" a="1"/>
  <c r="T51" i="3" s="1"/>
  <c r="BV90" i="3" a="1"/>
  <c r="BV90" i="3" s="1"/>
  <c r="BO51" i="3" a="1"/>
  <c r="BO51" i="3" s="1"/>
  <c r="BZ51" i="3" a="1"/>
  <c r="BZ51" i="3" s="1"/>
  <c r="AE51" i="3" a="1"/>
  <c r="AE51" i="3" s="1"/>
  <c r="AQ90" i="3" a="1"/>
  <c r="AQ90" i="3" s="1"/>
  <c r="J90" i="3" a="1"/>
  <c r="J90" i="3" s="1"/>
  <c r="CB90" i="3" a="1"/>
  <c r="CB90" i="3" s="1"/>
  <c r="AN51" i="3" a="1"/>
  <c r="AN51" i="3" s="1"/>
  <c r="AF90" i="3" a="1"/>
  <c r="AF90" i="3" s="1"/>
  <c r="BC90" i="3" a="1"/>
  <c r="BC90" i="3" s="1"/>
  <c r="CV51" i="3" a="1"/>
  <c r="CV51" i="3" s="1"/>
  <c r="BT51" i="3" a="1"/>
  <c r="BT51" i="3" s="1"/>
  <c r="I90" i="3" a="1"/>
  <c r="I90" i="3" s="1"/>
  <c r="D51" i="3" a="1"/>
  <c r="D51" i="3" s="1"/>
  <c r="CD90" i="3" a="1"/>
  <c r="CD90" i="3" s="1"/>
  <c r="W90" i="3" a="1"/>
  <c r="W90" i="3" s="1"/>
  <c r="BL51" i="3" a="1"/>
  <c r="BL51" i="3" s="1"/>
  <c r="P51" i="3" a="1"/>
  <c r="P51" i="3" s="1"/>
  <c r="DB90" i="3" a="1"/>
  <c r="DB90" i="3" s="1"/>
  <c r="BF51" i="3" a="1"/>
  <c r="BF51" i="3" s="1"/>
  <c r="M51" i="3" a="1"/>
  <c r="M51" i="3" s="1"/>
  <c r="AM51" i="3" a="1"/>
  <c r="AM51" i="3" s="1"/>
  <c r="CY51" i="3" a="1"/>
  <c r="CY51" i="3" s="1"/>
  <c r="D90" i="3" a="1"/>
  <c r="D90" i="3" s="1"/>
  <c r="AU51" i="3" a="1"/>
  <c r="AU51" i="3" s="1"/>
  <c r="AZ90" i="3" a="1"/>
  <c r="AZ90" i="3" s="1"/>
  <c r="DM90" i="3" a="1"/>
  <c r="DM90" i="3" s="1"/>
  <c r="BB51" i="3" a="1"/>
  <c r="BB51" i="3" s="1"/>
  <c r="C11" i="3" a="1"/>
  <c r="C11" i="3" s="1"/>
  <c r="T11" i="3" a="1"/>
  <c r="T11" i="3" s="1"/>
  <c r="T18" i="3" s="1"/>
  <c r="AK11" i="3" a="1"/>
  <c r="AK11" i="3" s="1"/>
  <c r="AK18" i="3" s="1"/>
  <c r="BB11" i="3" a="1"/>
  <c r="BB11" i="3" s="1"/>
  <c r="BB18" i="3" s="1"/>
  <c r="BS11" i="3" a="1"/>
  <c r="BS11" i="3" s="1"/>
  <c r="BS18" i="3" s="1"/>
  <c r="CI11" i="3" a="1"/>
  <c r="CI11" i="3" s="1"/>
  <c r="CY11" i="3" a="1"/>
  <c r="CY11" i="3" s="1"/>
  <c r="CY18" i="3" s="1"/>
  <c r="DO11" i="3" a="1"/>
  <c r="DO11" i="3" s="1"/>
  <c r="DO18" i="3" s="1"/>
  <c r="BT11" i="3" a="1"/>
  <c r="BT11" i="3" s="1"/>
  <c r="BT18" i="3" s="1"/>
  <c r="CJ11" i="3" a="1"/>
  <c r="CJ11" i="3" s="1"/>
  <c r="CJ18" i="3" s="1"/>
  <c r="CZ11" i="3" a="1"/>
  <c r="CZ11" i="3" s="1"/>
  <c r="CZ18" i="3" s="1"/>
  <c r="E11" i="3" a="1"/>
  <c r="E11" i="3" s="1"/>
  <c r="E18" i="3" s="1"/>
  <c r="BU11" i="3" a="1"/>
  <c r="BU11" i="3" s="1"/>
  <c r="BU18" i="3" s="1"/>
  <c r="D11" i="3" a="1"/>
  <c r="D11" i="3" s="1"/>
  <c r="D18" i="3" s="1"/>
  <c r="U11" i="3" a="1"/>
  <c r="U11" i="3" s="1"/>
  <c r="U18" i="3" s="1"/>
  <c r="AL11" i="3" a="1"/>
  <c r="AL11" i="3" s="1"/>
  <c r="AL18" i="3" s="1"/>
  <c r="BC11" i="3" a="1"/>
  <c r="BC11" i="3" s="1"/>
  <c r="BC18" i="3" s="1"/>
  <c r="DP11" i="3" a="1"/>
  <c r="DP11" i="3" s="1"/>
  <c r="DP18" i="3" s="1"/>
  <c r="V11" i="3" a="1"/>
  <c r="V11" i="3" s="1"/>
  <c r="V18" i="3" s="1"/>
  <c r="BD11" i="3" a="1"/>
  <c r="BD11" i="3" s="1"/>
  <c r="BD18" i="3" s="1"/>
  <c r="CK11" i="3" a="1"/>
  <c r="CK11" i="3" s="1"/>
  <c r="CK18" i="3" s="1"/>
  <c r="DQ11" i="3" a="1"/>
  <c r="DQ11" i="3" s="1"/>
  <c r="DQ18" i="3" s="1"/>
  <c r="AM11" i="3" a="1"/>
  <c r="AM11" i="3" s="1"/>
  <c r="DA11" i="3" a="1"/>
  <c r="DA11" i="3" s="1"/>
  <c r="DA18" i="3" s="1"/>
  <c r="BF11" i="3" a="1"/>
  <c r="BF11" i="3" s="1"/>
  <c r="BF18" i="3" s="1"/>
  <c r="BR11" i="3" a="1"/>
  <c r="BR11" i="3" s="1"/>
  <c r="BR18" i="3" s="1"/>
  <c r="CF11" i="3" a="1"/>
  <c r="CF11" i="3" s="1"/>
  <c r="CF18" i="3" s="1"/>
  <c r="CT11" i="3" a="1"/>
  <c r="CT11" i="3" s="1"/>
  <c r="CT18" i="3" s="1"/>
  <c r="DE11" i="3" a="1"/>
  <c r="DE11" i="3" s="1"/>
  <c r="DE18" i="3" s="1"/>
  <c r="Q11" i="3" a="1"/>
  <c r="Q11" i="3" s="1"/>
  <c r="Q18" i="3" s="1"/>
  <c r="AF11" i="3" a="1"/>
  <c r="AF11" i="3" s="1"/>
  <c r="AF18" i="3" s="1"/>
  <c r="AR11" i="3" a="1"/>
  <c r="AR11" i="3" s="1"/>
  <c r="AR18" i="3" s="1"/>
  <c r="BG11" i="3" a="1"/>
  <c r="BG11" i="3" s="1"/>
  <c r="BG18" i="3" s="1"/>
  <c r="S11" i="3" a="1"/>
  <c r="S11" i="3" s="1"/>
  <c r="S18" i="3" s="1"/>
  <c r="CH11" i="3" a="1"/>
  <c r="CH11" i="3" s="1"/>
  <c r="CH18" i="3" s="1"/>
  <c r="DJ11" i="3" a="1"/>
  <c r="DJ11" i="3" s="1"/>
  <c r="DJ18" i="3" s="1"/>
  <c r="BM11" i="3" a="1"/>
  <c r="BM11" i="3" s="1"/>
  <c r="BM18" i="3" s="1"/>
  <c r="BN11" i="3" a="1"/>
  <c r="BN11" i="3" s="1"/>
  <c r="BN18" i="3" s="1"/>
  <c r="AN11" i="3" a="1"/>
  <c r="AN11" i="3" s="1"/>
  <c r="AN18" i="3" s="1"/>
  <c r="DM11" i="3" a="1"/>
  <c r="DM11" i="3" s="1"/>
  <c r="DM18" i="3" s="1"/>
  <c r="AO11" i="3" a="1"/>
  <c r="AO11" i="3" s="1"/>
  <c r="AO18" i="3" s="1"/>
  <c r="CO11" i="3" a="1"/>
  <c r="CO11" i="3" s="1"/>
  <c r="CO18" i="3" s="1"/>
  <c r="AP11" i="3" a="1"/>
  <c r="AP11" i="3" s="1"/>
  <c r="AP18" i="3" s="1"/>
  <c r="AZ11" i="3" a="1"/>
  <c r="AZ11" i="3" s="1"/>
  <c r="AZ18" i="3" s="1"/>
  <c r="F11" i="3" a="1"/>
  <c r="F11" i="3" s="1"/>
  <c r="F18" i="3" s="1"/>
  <c r="BV11" i="3" a="1"/>
  <c r="BV11" i="3" s="1"/>
  <c r="BV18" i="3" s="1"/>
  <c r="CG11" i="3" a="1"/>
  <c r="CG11" i="3" s="1"/>
  <c r="CG18" i="3" s="1"/>
  <c r="CU11" i="3" a="1"/>
  <c r="CU11" i="3" s="1"/>
  <c r="DF11" i="3" a="1"/>
  <c r="DF11" i="3" s="1"/>
  <c r="DF18" i="3" s="1"/>
  <c r="G11" i="3" a="1"/>
  <c r="G11" i="3" s="1"/>
  <c r="G18" i="3" s="1"/>
  <c r="BW11" i="3" a="1"/>
  <c r="BW11" i="3" s="1"/>
  <c r="BZ11" i="3" a="1"/>
  <c r="BZ11" i="3" s="1"/>
  <c r="BZ18" i="3" s="1"/>
  <c r="CD11" i="3" a="1"/>
  <c r="CD11" i="3" s="1"/>
  <c r="CD18" i="3" s="1"/>
  <c r="R11" i="3" a="1"/>
  <c r="R11" i="3" s="1"/>
  <c r="R18" i="3" s="1"/>
  <c r="AG11" i="3" a="1"/>
  <c r="AG11" i="3" s="1"/>
  <c r="AG18" i="3" s="1"/>
  <c r="AV11" i="3" a="1"/>
  <c r="AV11" i="3" s="1"/>
  <c r="AV18" i="3" s="1"/>
  <c r="CV11" i="3" a="1"/>
  <c r="CV11" i="3" s="1"/>
  <c r="CV18" i="3" s="1"/>
  <c r="J11" i="3" a="1"/>
  <c r="J11" i="3" s="1"/>
  <c r="J18" i="3" s="1"/>
  <c r="CN11" i="3" a="1"/>
  <c r="CN11" i="3" s="1"/>
  <c r="CN18" i="3" s="1"/>
  <c r="N11" i="3" a="1"/>
  <c r="N11" i="3" s="1"/>
  <c r="N18" i="3" s="1"/>
  <c r="Z11" i="3" a="1"/>
  <c r="Z11" i="3" s="1"/>
  <c r="Z18" i="3" s="1"/>
  <c r="DC11" i="3" a="1"/>
  <c r="DC11" i="3" s="1"/>
  <c r="DC18" i="3" s="1"/>
  <c r="BQ11" i="3" a="1"/>
  <c r="BQ11" i="3" s="1"/>
  <c r="BQ18" i="3" s="1"/>
  <c r="AH11" i="3" a="1"/>
  <c r="AH11" i="3" s="1"/>
  <c r="AH18" i="3" s="1"/>
  <c r="AW11" i="3" a="1"/>
  <c r="AW11" i="3" s="1"/>
  <c r="AW18" i="3" s="1"/>
  <c r="BI11" i="3" a="1"/>
  <c r="BI11" i="3" s="1"/>
  <c r="BI18" i="3" s="1"/>
  <c r="H11" i="3" a="1"/>
  <c r="H11" i="3" s="1"/>
  <c r="H18" i="3" s="1"/>
  <c r="AI11" i="3" a="1"/>
  <c r="AI11" i="3" s="1"/>
  <c r="AI18" i="3" s="1"/>
  <c r="CL11" i="3" a="1"/>
  <c r="CL11" i="3" s="1"/>
  <c r="CL18" i="3" s="1"/>
  <c r="DK11" i="3" a="1"/>
  <c r="DK11" i="3" s="1"/>
  <c r="DK18" i="3" s="1"/>
  <c r="AX11" i="3" a="1"/>
  <c r="AX11" i="3" s="1"/>
  <c r="AX18" i="3" s="1"/>
  <c r="Y11" i="3" a="1"/>
  <c r="Y11" i="3" s="1"/>
  <c r="Y18" i="3" s="1"/>
  <c r="P11" i="3" a="1"/>
  <c r="P11" i="3" s="1"/>
  <c r="P18" i="3" s="1"/>
  <c r="W11" i="3" a="1"/>
  <c r="W11" i="3" s="1"/>
  <c r="W18" i="3" s="1"/>
  <c r="CW11" i="3" a="1"/>
  <c r="CW11" i="3" s="1"/>
  <c r="CW18" i="3" s="1"/>
  <c r="DB11" i="3" a="1"/>
  <c r="DB11" i="3" s="1"/>
  <c r="DB18" i="3" s="1"/>
  <c r="I11" i="3" a="1"/>
  <c r="I11" i="3" s="1"/>
  <c r="I18" i="3" s="1"/>
  <c r="X11" i="3" a="1"/>
  <c r="X11" i="3" s="1"/>
  <c r="X18" i="3" s="1"/>
  <c r="AJ11" i="3" a="1"/>
  <c r="AJ11" i="3" s="1"/>
  <c r="AJ18" i="3" s="1"/>
  <c r="AY11" i="3" a="1"/>
  <c r="AY11" i="3" s="1"/>
  <c r="BY11" i="3" a="1"/>
  <c r="BY11" i="3" s="1"/>
  <c r="BY18" i="3" s="1"/>
  <c r="CM11" i="3" a="1"/>
  <c r="CM11" i="3" s="1"/>
  <c r="CM18" i="3" s="1"/>
  <c r="CX11" i="3" a="1"/>
  <c r="CX11" i="3" s="1"/>
  <c r="CX18" i="3" s="1"/>
  <c r="DL11" i="3" a="1"/>
  <c r="DL11" i="3" s="1"/>
  <c r="DL18" i="3" s="1"/>
  <c r="BO11" i="3" a="1"/>
  <c r="BO11" i="3" s="1"/>
  <c r="BO18" i="3" s="1"/>
  <c r="BP11" i="3" a="1"/>
  <c r="BP11" i="3" s="1"/>
  <c r="BP18" i="3" s="1"/>
  <c r="BE11" i="3" a="1"/>
  <c r="BE11" i="3" s="1"/>
  <c r="BE18" i="3" s="1"/>
  <c r="DR11" i="3" a="1"/>
  <c r="DR11" i="3" s="1"/>
  <c r="DR18" i="3" s="1"/>
  <c r="AE11" i="3" a="1"/>
  <c r="AE11" i="3" s="1"/>
  <c r="AE18" i="3" s="1"/>
  <c r="CE11" i="3" a="1"/>
  <c r="CE11" i="3" s="1"/>
  <c r="CE18" i="3" s="1"/>
  <c r="BA11" i="3" a="1"/>
  <c r="BA11" i="3" s="1"/>
  <c r="BA18" i="3" s="1"/>
  <c r="DN11" i="3" a="1"/>
  <c r="DN11" i="3" s="1"/>
  <c r="DN18" i="3" s="1"/>
  <c r="CP11" i="3" a="1"/>
  <c r="CP11" i="3" s="1"/>
  <c r="CP18" i="3" s="1"/>
  <c r="AQ11" i="3" a="1"/>
  <c r="AQ11" i="3" s="1"/>
  <c r="AQ18" i="3" s="1"/>
  <c r="O11" i="3" a="1"/>
  <c r="O11" i="3" s="1"/>
  <c r="AA11" i="3" a="1"/>
  <c r="AA11" i="3" s="1"/>
  <c r="DD11" i="3" a="1"/>
  <c r="DD11" i="3" s="1"/>
  <c r="DD18" i="3" s="1"/>
  <c r="CR11" i="3" a="1"/>
  <c r="CR11" i="3" s="1"/>
  <c r="CR18" i="3" s="1"/>
  <c r="BL11" i="3" a="1"/>
  <c r="BL11" i="3" s="1"/>
  <c r="BL18" i="3" s="1"/>
  <c r="CC11" i="3" a="1"/>
  <c r="CC11" i="3" s="1"/>
  <c r="CC18" i="3" s="1"/>
  <c r="BH11" i="3" a="1"/>
  <c r="BH11" i="3" s="1"/>
  <c r="BH18" i="3" s="1"/>
  <c r="CB11" i="3" a="1"/>
  <c r="CB11" i="3" s="1"/>
  <c r="CB18" i="3" s="1"/>
  <c r="DH11" i="3" a="1"/>
  <c r="DH11" i="3" s="1"/>
  <c r="DH18" i="3" s="1"/>
  <c r="CS11" i="3" a="1"/>
  <c r="CS11" i="3" s="1"/>
  <c r="CS18" i="3" s="1"/>
  <c r="DI11" i="3" a="1"/>
  <c r="DI11" i="3" s="1"/>
  <c r="DI18" i="3" s="1"/>
  <c r="AT11" i="3" a="1"/>
  <c r="AT11" i="3" s="1"/>
  <c r="AT18" i="3" s="1"/>
  <c r="BX11" i="3" a="1"/>
  <c r="BX11" i="3" s="1"/>
  <c r="BX18" i="3" s="1"/>
  <c r="M11" i="3" a="1"/>
  <c r="M11" i="3" s="1"/>
  <c r="M18" i="3" s="1"/>
  <c r="BJ11" i="3" a="1"/>
  <c r="BJ11" i="3" s="1"/>
  <c r="BJ18" i="3" s="1"/>
  <c r="AS11" i="3" a="1"/>
  <c r="AS11" i="3" s="1"/>
  <c r="AS18" i="3" s="1"/>
  <c r="AC11" i="3" a="1"/>
  <c r="AC11" i="3" s="1"/>
  <c r="AC18" i="3" s="1"/>
  <c r="AD11" i="3" a="1"/>
  <c r="AD11" i="3" s="1"/>
  <c r="AD18" i="3" s="1"/>
  <c r="AB11" i="3" a="1"/>
  <c r="AB11" i="3" s="1"/>
  <c r="AB18" i="3" s="1"/>
  <c r="L11" i="3" a="1"/>
  <c r="L11" i="3" s="1"/>
  <c r="L18" i="3" s="1"/>
  <c r="CQ11" i="3" a="1"/>
  <c r="CQ11" i="3" s="1"/>
  <c r="CQ18" i="3" s="1"/>
  <c r="BK11" i="3" a="1"/>
  <c r="BK11" i="3" s="1"/>
  <c r="K11" i="3" a="1"/>
  <c r="K11" i="3" s="1"/>
  <c r="K18" i="3" s="1"/>
  <c r="AU11" i="3" a="1"/>
  <c r="AU11" i="3" s="1"/>
  <c r="AU18" i="3" s="1"/>
  <c r="DG11" i="3" a="1"/>
  <c r="DG11" i="3" s="1"/>
  <c r="CA11" i="3" a="1"/>
  <c r="CA11" i="3" s="1"/>
  <c r="CA18" i="3" s="1"/>
  <c r="F42" i="5"/>
  <c r="DK51" i="3" a="1"/>
  <c r="DK51" i="3" s="1"/>
  <c r="BD90" i="3" a="1"/>
  <c r="BD90" i="3" s="1"/>
  <c r="DP51" i="3" a="1"/>
  <c r="DP51" i="3" s="1"/>
  <c r="C42" i="5"/>
  <c r="U90" i="3" a="1"/>
  <c r="U90" i="3" s="1"/>
  <c r="CT90" i="3" a="1"/>
  <c r="CT90" i="3" s="1"/>
  <c r="Z90" i="3" a="1"/>
  <c r="Z90" i="3" s="1"/>
  <c r="CR90" i="3" a="1"/>
  <c r="CR90" i="3" s="1"/>
  <c r="BR51" i="3" a="1"/>
  <c r="BR51" i="3" s="1"/>
  <c r="AQ51" i="3" a="1"/>
  <c r="AQ51" i="3" s="1"/>
  <c r="CJ90" i="3" a="1"/>
  <c r="CJ90" i="3" s="1"/>
  <c r="BG51" i="3" a="1"/>
  <c r="BG51" i="3" s="1"/>
  <c r="K51" i="3" a="1"/>
  <c r="K51" i="3" s="1"/>
  <c r="BV51" i="3" a="1"/>
  <c r="BV51" i="3" s="1"/>
  <c r="AF51" i="3" a="1"/>
  <c r="AF51" i="3" s="1"/>
  <c r="BB90" i="3" a="1"/>
  <c r="BB90" i="3" s="1"/>
  <c r="Y90" i="3" a="1"/>
  <c r="Y90" i="3" s="1"/>
  <c r="BK90" i="3" a="1"/>
  <c r="BK90" i="3" s="1"/>
  <c r="BH90" i="3" a="1"/>
  <c r="BH90" i="3" s="1"/>
  <c r="DJ90" i="3" a="1"/>
  <c r="DJ90" i="3" s="1"/>
  <c r="CE90" i="3" a="1"/>
  <c r="CE90" i="3" s="1"/>
  <c r="V51" i="3" a="1"/>
  <c r="V51" i="3" s="1"/>
  <c r="BQ51" i="3" a="1"/>
  <c r="BQ51" i="3" s="1"/>
  <c r="AP51" i="3" a="1"/>
  <c r="AP51" i="3" s="1"/>
  <c r="BC51" i="3" a="1"/>
  <c r="BC51" i="3" s="1"/>
  <c r="BP90" i="3" a="1"/>
  <c r="BP90" i="3" s="1"/>
  <c r="DC90" i="3" a="1"/>
  <c r="DC90" i="3" s="1"/>
  <c r="BL90" i="3" a="1"/>
  <c r="BL90" i="3" s="1"/>
  <c r="CN90" i="3" a="1"/>
  <c r="CN90" i="3" s="1"/>
  <c r="P90" i="3" a="1"/>
  <c r="P90" i="3" s="1"/>
  <c r="DP25" i="3" a="1"/>
  <c r="DP25" i="3" s="1"/>
  <c r="BO25" i="3" a="1"/>
  <c r="BO25" i="3" s="1"/>
  <c r="I25" i="3" a="1"/>
  <c r="I25" i="3" s="1"/>
  <c r="CH25" i="3" a="1"/>
  <c r="CH25" i="3" s="1"/>
  <c r="AA25" i="3" a="1"/>
  <c r="AA25" i="3" s="1"/>
  <c r="AS25" i="3" a="1"/>
  <c r="AS25" i="3" s="1"/>
  <c r="AW25" i="3" a="1"/>
  <c r="AW25" i="3" s="1"/>
  <c r="S25" i="3" a="1"/>
  <c r="S25" i="3" s="1"/>
  <c r="DO25" i="3" a="1"/>
  <c r="DO25" i="3" s="1"/>
  <c r="R25" i="3" a="1"/>
  <c r="R25" i="3" s="1"/>
  <c r="AI25" i="3" a="1"/>
  <c r="AI25" i="3" s="1"/>
  <c r="AJ25" i="3" a="1"/>
  <c r="AJ25" i="3" s="1"/>
  <c r="BY25" i="3" a="1"/>
  <c r="BY25" i="3" s="1"/>
  <c r="DG25" i="3" a="1"/>
  <c r="DG25" i="3" s="1"/>
  <c r="BW25" i="3" a="1"/>
  <c r="BW25" i="3" s="1"/>
  <c r="CZ25" i="3" a="1"/>
  <c r="CZ25" i="3" s="1"/>
  <c r="DI102" i="3" a="1"/>
  <c r="DI102" i="3" s="1"/>
  <c r="CS102" i="3" a="1"/>
  <c r="CS102" i="3" s="1"/>
  <c r="CC102" i="3" a="1"/>
  <c r="CC102" i="3" s="1"/>
  <c r="DH102" i="3" a="1"/>
  <c r="DH102" i="3" s="1"/>
  <c r="AT114" i="3" a="1"/>
  <c r="AT114" i="3" s="1"/>
  <c r="BY102" i="3" a="1"/>
  <c r="BY102" i="3" s="1"/>
  <c r="AB114" i="3" a="1"/>
  <c r="AB114" i="3" s="1"/>
  <c r="CS114" i="3" a="1"/>
  <c r="CS114" i="3" s="1"/>
  <c r="AG102" i="3" a="1"/>
  <c r="AG102" i="3" s="1"/>
  <c r="CR114" i="3" a="1"/>
  <c r="CR114" i="3" s="1"/>
  <c r="CR102" i="3" a="1"/>
  <c r="CR102" i="3" s="1"/>
  <c r="P114" i="3" a="1"/>
  <c r="P114" i="3" s="1"/>
  <c r="AV114" i="3" a="1"/>
  <c r="AV114" i="3" s="1"/>
  <c r="AV102" i="3" a="1"/>
  <c r="AV102" i="3" s="1"/>
  <c r="AF114" i="3" a="1"/>
  <c r="AF114" i="3" s="1"/>
  <c r="DF114" i="3" a="1"/>
  <c r="DF114" i="3" s="1"/>
  <c r="BZ114" i="3" a="1"/>
  <c r="BZ114" i="3" s="1"/>
  <c r="CC114" i="3" a="1"/>
  <c r="CC114" i="3" s="1"/>
  <c r="BL114" i="3" a="1"/>
  <c r="BL114" i="3" s="1"/>
  <c r="AW102" i="3" a="1"/>
  <c r="AW102" i="3" s="1"/>
  <c r="CB114" i="3" a="1"/>
  <c r="CB114" i="3" s="1"/>
  <c r="Q102" i="3" a="1"/>
  <c r="Q102" i="3" s="1"/>
  <c r="N114" i="3" a="1"/>
  <c r="N114" i="3" s="1"/>
  <c r="AC114" i="3" a="1"/>
  <c r="AC114" i="3" s="1"/>
  <c r="DD102" i="3" a="1"/>
  <c r="DD102" i="3" s="1"/>
  <c r="CN114" i="3" a="1"/>
  <c r="CN114" i="3" s="1"/>
  <c r="AR102" i="3" a="1"/>
  <c r="AR102" i="3" s="1"/>
  <c r="M114" i="3" a="1"/>
  <c r="M114" i="3" s="1"/>
  <c r="BH102" i="3" a="1"/>
  <c r="BH102" i="3" s="1"/>
  <c r="DR102" i="3" a="1"/>
  <c r="DR102" i="3" s="1"/>
  <c r="BM102" i="3" a="1"/>
  <c r="BM102" i="3" s="1"/>
  <c r="DH114" i="3" a="1"/>
  <c r="DH114" i="3" s="1"/>
  <c r="AS114" i="3" a="1"/>
  <c r="AS114" i="3" s="1"/>
  <c r="K114" i="3" a="1"/>
  <c r="K114" i="3" s="1"/>
  <c r="CL114" i="3" a="1"/>
  <c r="CL114" i="3" s="1"/>
  <c r="BF102" i="3" a="1"/>
  <c r="BF102" i="3" s="1"/>
  <c r="J102" i="3" a="1"/>
  <c r="J102" i="3" s="1"/>
  <c r="N102" i="3" a="1"/>
  <c r="N102" i="3" s="1"/>
  <c r="DC114" i="3" a="1"/>
  <c r="DC114" i="3" s="1"/>
  <c r="BW114" i="3" a="1"/>
  <c r="BW114" i="3" s="1"/>
  <c r="DF102" i="3" a="1"/>
  <c r="DF102" i="3" s="1"/>
  <c r="AU102" i="3" a="1"/>
  <c r="AU102" i="3" s="1"/>
  <c r="AE114" i="3" a="1"/>
  <c r="AE114" i="3" s="1"/>
  <c r="CM102" i="3" a="1"/>
  <c r="CM102" i="3" s="1"/>
  <c r="BG114" i="3" a="1"/>
  <c r="BG114" i="3" s="1"/>
  <c r="AA114" i="3" a="1"/>
  <c r="AA114" i="3" s="1"/>
  <c r="AP102" i="3" a="1"/>
  <c r="AP102" i="3" s="1"/>
  <c r="M102" i="3" a="1"/>
  <c r="M102" i="3" s="1"/>
  <c r="BH114" i="3" a="1"/>
  <c r="BH114" i="3" s="1"/>
  <c r="CM114" i="3" a="1"/>
  <c r="CM114" i="3" s="1"/>
  <c r="DB102" i="3" a="1"/>
  <c r="DB102" i="3" s="1"/>
  <c r="DI114" i="3" a="1"/>
  <c r="DI114" i="3" s="1"/>
  <c r="DE114" i="3" a="1"/>
  <c r="DE114" i="3" s="1"/>
  <c r="CO114" i="3" a="1"/>
  <c r="CO114" i="3" s="1"/>
  <c r="AW114" i="3" a="1"/>
  <c r="AW114" i="3" s="1"/>
  <c r="Q114" i="3" a="1"/>
  <c r="Q114" i="3" s="1"/>
  <c r="BL102" i="3" a="1"/>
  <c r="BL102" i="3" s="1"/>
  <c r="CP114" i="3" a="1"/>
  <c r="CP114" i="3" s="1"/>
  <c r="AD102" i="3" a="1"/>
  <c r="AD102" i="3" s="1"/>
  <c r="DE102" i="3" a="1"/>
  <c r="DE102" i="3" s="1"/>
  <c r="BX102" i="3" a="1"/>
  <c r="BX102" i="3" s="1"/>
  <c r="AB102" i="3" a="1"/>
  <c r="AB102" i="3" s="1"/>
  <c r="L114" i="3" a="1"/>
  <c r="L114" i="3" s="1"/>
  <c r="CQ102" i="3" a="1"/>
  <c r="CQ102" i="3" s="1"/>
  <c r="BW102" i="3" a="1"/>
  <c r="BW102" i="3" s="1"/>
  <c r="BG102" i="3" a="1"/>
  <c r="BG102" i="3" s="1"/>
  <c r="AQ102" i="3" a="1"/>
  <c r="AQ102" i="3" s="1"/>
  <c r="P102" i="3" a="1"/>
  <c r="P102" i="3" s="1"/>
  <c r="BJ102" i="3" a="1"/>
  <c r="BJ102" i="3" s="1"/>
  <c r="BY114" i="3" a="1"/>
  <c r="BY114" i="3" s="1"/>
  <c r="AR114" i="3" a="1"/>
  <c r="AR114" i="3" s="1"/>
  <c r="CA102" i="3" a="1"/>
  <c r="CA102" i="3" s="1"/>
  <c r="O114" i="3" a="1"/>
  <c r="O114" i="3" s="1"/>
  <c r="BI114" i="3" a="1"/>
  <c r="BI114" i="3" s="1"/>
  <c r="BK114" i="3" a="1"/>
  <c r="BK114" i="3" s="1"/>
  <c r="DA102" i="3" a="1"/>
  <c r="DA102" i="3" s="1"/>
  <c r="AS102" i="3" a="1"/>
  <c r="AS102" i="3" s="1"/>
  <c r="L102" i="3" a="1"/>
  <c r="L102" i="3" s="1"/>
  <c r="DQ102" i="3" a="1"/>
  <c r="DQ102" i="3" s="1"/>
  <c r="BD114" i="3" a="1"/>
  <c r="BD114" i="3" s="1"/>
  <c r="H114" i="3" a="1"/>
  <c r="H114" i="3" s="1"/>
  <c r="H102" i="3" a="1"/>
  <c r="H102" i="3" s="1"/>
  <c r="AD114" i="3" a="1"/>
  <c r="AD114" i="3" s="1"/>
  <c r="BI102" i="3" a="1"/>
  <c r="BI102" i="3" s="1"/>
  <c r="I102" i="3" a="1"/>
  <c r="I102" i="3" s="1"/>
  <c r="DP114" i="3" a="1"/>
  <c r="DP114" i="3" s="1"/>
  <c r="AT102" i="3" a="1"/>
  <c r="AT102" i="3" s="1"/>
  <c r="AC102" i="3" a="1"/>
  <c r="AC102" i="3" s="1"/>
  <c r="CQ114" i="3" a="1"/>
  <c r="CQ114" i="3" s="1"/>
  <c r="K102" i="3" a="1"/>
  <c r="K102" i="3" s="1"/>
  <c r="BV102" i="3" a="1"/>
  <c r="BV102" i="3" s="1"/>
  <c r="BE114" i="3" a="1"/>
  <c r="BE114" i="3" s="1"/>
  <c r="BT114" i="3" a="1"/>
  <c r="BT114" i="3" s="1"/>
  <c r="BT102" i="3" a="1"/>
  <c r="BT102" i="3" s="1"/>
  <c r="Y102" i="3" a="1"/>
  <c r="Y102" i="3" s="1"/>
  <c r="CZ114" i="3" a="1"/>
  <c r="CZ114" i="3" s="1"/>
  <c r="BX114" i="3" a="1"/>
  <c r="BX114" i="3" s="1"/>
  <c r="DG102" i="3" a="1"/>
  <c r="DG102" i="3" s="1"/>
  <c r="Z102" i="3" a="1"/>
  <c r="Z102" i="3" s="1"/>
  <c r="DQ114" i="3" a="1"/>
  <c r="DQ114" i="3" s="1"/>
  <c r="CK114" i="3" a="1"/>
  <c r="CK114" i="3" s="1"/>
  <c r="CP102" i="3" a="1"/>
  <c r="CP102" i="3" s="1"/>
  <c r="DB114" i="3" a="1"/>
  <c r="DB114" i="3" s="1"/>
  <c r="CK102" i="3" a="1"/>
  <c r="CK102" i="3" s="1"/>
  <c r="DP102" i="3" a="1"/>
  <c r="DP102" i="3" s="1"/>
  <c r="CZ102" i="3" a="1"/>
  <c r="CZ102" i="3" s="1"/>
  <c r="CY114" i="3" a="1"/>
  <c r="CY114" i="3" s="1"/>
  <c r="CI114" i="3" a="1"/>
  <c r="CI114" i="3" s="1"/>
  <c r="AG114" i="3" a="1"/>
  <c r="AG114" i="3" s="1"/>
  <c r="BV114" i="3" a="1"/>
  <c r="BV114" i="3" s="1"/>
  <c r="DA114" i="3" a="1"/>
  <c r="DA114" i="3" s="1"/>
  <c r="BE102" i="3" a="1"/>
  <c r="BE102" i="3" s="1"/>
  <c r="AN114" i="3" a="1"/>
  <c r="AN114" i="3" s="1"/>
  <c r="BM114" i="3" a="1"/>
  <c r="BM114" i="3" s="1"/>
  <c r="AO114" i="3" a="1"/>
  <c r="AO114" i="3" s="1"/>
  <c r="BD102" i="3" a="1"/>
  <c r="BD102" i="3" s="1"/>
  <c r="W102" i="3" a="1"/>
  <c r="W102" i="3" s="1"/>
  <c r="G102" i="3" a="1"/>
  <c r="G102" i="3" s="1"/>
  <c r="BR114" i="3" a="1"/>
  <c r="BR114" i="3" s="1"/>
  <c r="AE102" i="3" a="1"/>
  <c r="AE102" i="3" s="1"/>
  <c r="AQ114" i="3" a="1"/>
  <c r="AQ114" i="3" s="1"/>
  <c r="AA102" i="3" a="1"/>
  <c r="AA102" i="3" s="1"/>
  <c r="BS102" i="3" a="1"/>
  <c r="BS102" i="3" s="1"/>
  <c r="DR114" i="3" a="1"/>
  <c r="DR114" i="3" s="1"/>
  <c r="BU114" i="3" a="1"/>
  <c r="BU114" i="3" s="1"/>
  <c r="CJ114" i="3" a="1"/>
  <c r="CJ114" i="3" s="1"/>
  <c r="AN102" i="3" a="1"/>
  <c r="AN102" i="3" s="1"/>
  <c r="BK102" i="3" a="1"/>
  <c r="BK102" i="3" s="1"/>
  <c r="J114" i="3" a="1"/>
  <c r="J114" i="3" s="1"/>
  <c r="CJ102" i="3" a="1"/>
  <c r="CJ102" i="3" s="1"/>
  <c r="CH114" i="3" a="1"/>
  <c r="CH114" i="3" s="1"/>
  <c r="BZ102" i="3" a="1"/>
  <c r="BZ102" i="3" s="1"/>
  <c r="DD114" i="3" a="1"/>
  <c r="DD114" i="3" s="1"/>
  <c r="DG114" i="3" a="1"/>
  <c r="DG114" i="3" s="1"/>
  <c r="O102" i="3" a="1"/>
  <c r="O102" i="3" s="1"/>
  <c r="BF114" i="3" a="1"/>
  <c r="BF114" i="3" s="1"/>
  <c r="DO102" i="3" a="1"/>
  <c r="DO102" i="3" s="1"/>
  <c r="CX114" i="3" a="1"/>
  <c r="CX114" i="3" s="1"/>
  <c r="BJ114" i="3" a="1"/>
  <c r="BJ114" i="3" s="1"/>
  <c r="CL102" i="3" a="1"/>
  <c r="CL102" i="3" s="1"/>
  <c r="X114" i="3" a="1"/>
  <c r="X114" i="3" s="1"/>
  <c r="X102" i="3" a="1"/>
  <c r="X102" i="3" s="1"/>
  <c r="CF114" i="3" a="1"/>
  <c r="CF114" i="3" s="1"/>
  <c r="AJ114" i="3" a="1"/>
  <c r="AJ114" i="3" s="1"/>
  <c r="T114" i="3" a="1"/>
  <c r="T114" i="3" s="1"/>
  <c r="AL102" i="3" a="1"/>
  <c r="AL102" i="3" s="1"/>
  <c r="DM102" i="3" a="1"/>
  <c r="DM102" i="3" s="1"/>
  <c r="CY102" i="3" a="1"/>
  <c r="CY102" i="3" s="1"/>
  <c r="DL114" i="3" a="1"/>
  <c r="DL114" i="3" s="1"/>
  <c r="BQ102" i="3" a="1"/>
  <c r="BQ102" i="3" s="1"/>
  <c r="E102" i="3" a="1"/>
  <c r="E102" i="3" s="1"/>
  <c r="S114" i="3" a="1"/>
  <c r="S114" i="3" s="1"/>
  <c r="C114" i="3" a="1"/>
  <c r="C114" i="3" s="1"/>
  <c r="C102" i="3" a="1"/>
  <c r="C102" i="3" s="1"/>
  <c r="AH102" i="3" a="1"/>
  <c r="AH102" i="3" s="1"/>
  <c r="Z114" i="3" a="1"/>
  <c r="Z114" i="3" s="1"/>
  <c r="BS114" i="3" a="1"/>
  <c r="BS114" i="3" s="1"/>
  <c r="BP102" i="3" a="1"/>
  <c r="BP102" i="3" s="1"/>
  <c r="U102" i="3" a="1"/>
  <c r="U102" i="3" s="1"/>
  <c r="AI114" i="3" a="1"/>
  <c r="AI114" i="3" s="1"/>
  <c r="BN114" i="3" a="1"/>
  <c r="BN114" i="3" s="1"/>
  <c r="BN102" i="3" a="1"/>
  <c r="BN102" i="3" s="1"/>
  <c r="S102" i="3" a="1"/>
  <c r="S102" i="3" s="1"/>
  <c r="CD114" i="3" a="1"/>
  <c r="CD114" i="3" s="1"/>
  <c r="R114" i="3" a="1"/>
  <c r="R114" i="3" s="1"/>
  <c r="AF102" i="3" a="1"/>
  <c r="AF102" i="3" s="1"/>
  <c r="G114" i="3" a="1"/>
  <c r="G114" i="3" s="1"/>
  <c r="CW102" i="3" a="1"/>
  <c r="CW102" i="3" s="1"/>
  <c r="CG102" i="3" a="1"/>
  <c r="CG102" i="3" s="1"/>
  <c r="DJ114" i="3" a="1"/>
  <c r="DJ114" i="3" s="1"/>
  <c r="CA114" i="3" a="1"/>
  <c r="CA114" i="3" s="1"/>
  <c r="DK114" i="3" a="1"/>
  <c r="DK114" i="3" s="1"/>
  <c r="CU102" i="3" a="1"/>
  <c r="CU102" i="3" s="1"/>
  <c r="AX114" i="3" a="1"/>
  <c r="AX114" i="3" s="1"/>
  <c r="CB102" i="3" a="1"/>
  <c r="CB102" i="3" s="1"/>
  <c r="AO102" i="3" a="1"/>
  <c r="AO102" i="3" s="1"/>
  <c r="I114" i="3" a="1"/>
  <c r="I114" i="3" s="1"/>
  <c r="CH102" i="3" a="1"/>
  <c r="CH102" i="3" s="1"/>
  <c r="DL102" i="3" a="1"/>
  <c r="DL102" i="3" s="1"/>
  <c r="AK102" i="3" a="1"/>
  <c r="AK102" i="3" s="1"/>
  <c r="CT102" i="3" a="1"/>
  <c r="CT102" i="3" s="1"/>
  <c r="AX102" i="3" a="1"/>
  <c r="AX102" i="3" s="1"/>
  <c r="AH114" i="3" a="1"/>
  <c r="AH114" i="3" s="1"/>
  <c r="AU114" i="3" a="1"/>
  <c r="AU114" i="3" s="1"/>
  <c r="CT114" i="3" a="1"/>
  <c r="CT114" i="3" s="1"/>
  <c r="DN114" i="3" a="1"/>
  <c r="DN114" i="3" s="1"/>
  <c r="CV102" i="3" a="1"/>
  <c r="CV102" i="3" s="1"/>
  <c r="D102" i="3" a="1"/>
  <c r="D102" i="3" s="1"/>
  <c r="DK102" i="3" a="1"/>
  <c r="DK102" i="3" s="1"/>
  <c r="DJ102" i="3" a="1"/>
  <c r="DJ102" i="3" s="1"/>
  <c r="CO102" i="3" a="1"/>
  <c r="CO102" i="3" s="1"/>
  <c r="BU102" i="3" a="1"/>
  <c r="BU102" i="3" s="1"/>
  <c r="BC102" i="3" a="1"/>
  <c r="BC102" i="3" s="1"/>
  <c r="DC102" i="3" a="1"/>
  <c r="DC102" i="3" s="1"/>
  <c r="AZ102" i="3" a="1"/>
  <c r="AZ102" i="3" s="1"/>
  <c r="BB114" i="3" a="1"/>
  <c r="BB114" i="3" s="1"/>
  <c r="AL114" i="3" a="1"/>
  <c r="AL114" i="3" s="1"/>
  <c r="CN102" i="3" a="1"/>
  <c r="CN102" i="3" s="1"/>
  <c r="AP114" i="3" a="1"/>
  <c r="AP114" i="3" s="1"/>
  <c r="DN102" i="3" a="1"/>
  <c r="DN102" i="3" s="1"/>
  <c r="CF102" i="3" a="1"/>
  <c r="CF102" i="3" s="1"/>
  <c r="DM114" i="3" a="1"/>
  <c r="DM114" i="3" s="1"/>
  <c r="BQ114" i="3" a="1"/>
  <c r="BQ114" i="3" s="1"/>
  <c r="DO114" i="3" a="1"/>
  <c r="DO114" i="3" s="1"/>
  <c r="BC114" i="3" a="1"/>
  <c r="BC114" i="3" s="1"/>
  <c r="CX102" i="3" a="1"/>
  <c r="CX102" i="3" s="1"/>
  <c r="CV114" i="3" a="1"/>
  <c r="CV114" i="3" s="1"/>
  <c r="AJ102" i="3" a="1"/>
  <c r="AJ102" i="3" s="1"/>
  <c r="V114" i="3" a="1"/>
  <c r="V114" i="3" s="1"/>
  <c r="CW114" i="3" a="1"/>
  <c r="CW114" i="3" s="1"/>
  <c r="BA114" i="3" a="1"/>
  <c r="BA114" i="3" s="1"/>
  <c r="CU114" i="3" a="1"/>
  <c r="CU114" i="3" s="1"/>
  <c r="CE102" i="3" a="1"/>
  <c r="CE102" i="3" s="1"/>
  <c r="AY102" i="3" a="1"/>
  <c r="AY102" i="3" s="1"/>
  <c r="AI102" i="3" a="1"/>
  <c r="AI102" i="3" s="1"/>
  <c r="R102" i="3" a="1"/>
  <c r="R102" i="3" s="1"/>
  <c r="CG114" i="3" a="1"/>
  <c r="CG114" i="3" s="1"/>
  <c r="U114" i="3" a="1"/>
  <c r="U114" i="3" s="1"/>
  <c r="BO114" i="3" a="1"/>
  <c r="BO114" i="3" s="1"/>
  <c r="CD102" i="3" a="1"/>
  <c r="CD102" i="3" s="1"/>
  <c r="T102" i="3" a="1"/>
  <c r="T102" i="3" s="1"/>
  <c r="W114" i="3" a="1"/>
  <c r="W114" i="3" s="1"/>
  <c r="V102" i="3" a="1"/>
  <c r="V102" i="3" s="1"/>
  <c r="F114" i="3" a="1"/>
  <c r="F114" i="3" s="1"/>
  <c r="E114" i="3" a="1"/>
  <c r="E114" i="3" s="1"/>
  <c r="AY114" i="3" a="1"/>
  <c r="AY114" i="3" s="1"/>
  <c r="D114" i="3" a="1"/>
  <c r="D114" i="3" s="1"/>
  <c r="AM102" i="3" a="1"/>
  <c r="AM102" i="3" s="1"/>
  <c r="BR102" i="3" a="1"/>
  <c r="BR102" i="3" s="1"/>
  <c r="F102" i="3" a="1"/>
  <c r="F102" i="3" s="1"/>
  <c r="Y114" i="3" a="1"/>
  <c r="Y114" i="3" s="1"/>
  <c r="AM114" i="3" a="1"/>
  <c r="AM114" i="3" s="1"/>
  <c r="BP114" i="3" a="1"/>
  <c r="BP114" i="3" s="1"/>
  <c r="BO102" i="3" a="1"/>
  <c r="BO102" i="3" s="1"/>
  <c r="AK114" i="3" a="1"/>
  <c r="AK114" i="3" s="1"/>
  <c r="CI102" i="3" a="1"/>
  <c r="CI102" i="3" s="1"/>
  <c r="BB102" i="3" a="1"/>
  <c r="BB102" i="3" s="1"/>
  <c r="AZ114" i="3" a="1"/>
  <c r="AZ114" i="3" s="1"/>
  <c r="CE114" i="3" a="1"/>
  <c r="CE114" i="3" s="1"/>
  <c r="BA102" i="3" a="1"/>
  <c r="BA102" i="3" s="1"/>
  <c r="BQ25" i="3" a="1"/>
  <c r="BQ25" i="3" s="1"/>
  <c r="BI25" i="3" a="1"/>
  <c r="BI25" i="3" s="1"/>
  <c r="AP25" i="3" a="1"/>
  <c r="AP25" i="3" s="1"/>
  <c r="CM25" i="3" a="1"/>
  <c r="CM25" i="3" s="1"/>
  <c r="BK25" i="3" a="1"/>
  <c r="BK25" i="3" s="1"/>
  <c r="BP25" i="3" a="1"/>
  <c r="BP25" i="3" s="1"/>
  <c r="DL25" i="3" a="1"/>
  <c r="DL25" i="3" s="1"/>
  <c r="CG25" i="3" a="1"/>
  <c r="CG25" i="3" s="1"/>
  <c r="AE25" i="3" a="1"/>
  <c r="AE25" i="3" s="1"/>
  <c r="AT25" i="3" a="1"/>
  <c r="AT25" i="3" s="1"/>
  <c r="DE25" i="3" a="1"/>
  <c r="DE25" i="3" s="1"/>
  <c r="CP25" i="3" a="1"/>
  <c r="CP25" i="3" s="1"/>
  <c r="BA25" i="3" a="1"/>
  <c r="BA25" i="3" s="1"/>
  <c r="H42" i="5"/>
  <c r="Y25" i="3" a="1"/>
  <c r="Y25" i="3" s="1"/>
  <c r="BE25" i="3" a="1"/>
  <c r="BE25" i="3" s="1"/>
  <c r="AD25" i="3" a="1"/>
  <c r="AD25" i="3" s="1"/>
  <c r="AK25" i="3" a="1"/>
  <c r="AK25" i="3" s="1"/>
  <c r="G42" i="5"/>
  <c r="DK25" i="3" a="1"/>
  <c r="DK25" i="3" s="1"/>
  <c r="BH25" i="3" a="1"/>
  <c r="BH25" i="3" s="1"/>
  <c r="BF25" i="3" a="1"/>
  <c r="BF25" i="3" s="1"/>
  <c r="BJ25" i="3" a="1"/>
  <c r="BJ25" i="3" s="1"/>
  <c r="DH25" i="3" a="1"/>
  <c r="DH25" i="3" s="1"/>
  <c r="BL25" i="3" a="1"/>
  <c r="BL25" i="3" s="1"/>
  <c r="E42" i="5"/>
  <c r="CU25" i="3" a="1"/>
  <c r="CU25" i="3" s="1"/>
  <c r="U25" i="3" a="1"/>
  <c r="U25" i="3" s="1"/>
  <c r="DR25" i="3" a="1"/>
  <c r="DR25" i="3" s="1"/>
  <c r="Z25" i="3" a="1"/>
  <c r="Z25" i="3" s="1"/>
  <c r="CR25" i="3" a="1"/>
  <c r="CR25" i="3" s="1"/>
  <c r="BM25" i="3" a="1"/>
  <c r="BM25" i="3" s="1"/>
  <c r="AC25" i="3" a="1"/>
  <c r="AC25" i="3" s="1"/>
  <c r="BS25" i="3" a="1"/>
  <c r="BS25" i="3" s="1"/>
  <c r="D42" i="5"/>
  <c r="E25" i="3" a="1"/>
  <c r="E25" i="3" s="1"/>
  <c r="F25" i="3" a="1"/>
  <c r="F25" i="3" s="1"/>
  <c r="CT25" i="3" a="1"/>
  <c r="CT25" i="3" s="1"/>
  <c r="AM25" i="3" a="1"/>
  <c r="AM25" i="3" s="1"/>
  <c r="H25" i="3" a="1"/>
  <c r="H25" i="3" s="1"/>
  <c r="N25" i="3" a="1"/>
  <c r="N25" i="3" s="1"/>
  <c r="DI25" i="3" a="1"/>
  <c r="DI25" i="3" s="1"/>
  <c r="CD25" i="3" a="1"/>
  <c r="CD25" i="3" s="1"/>
  <c r="BR25" i="3" a="1"/>
  <c r="BR25" i="3" s="1"/>
  <c r="CO25" i="3" a="1"/>
  <c r="CO25" i="3" s="1"/>
  <c r="BV25" i="3" a="1"/>
  <c r="BV25" i="3" s="1"/>
  <c r="BC25" i="3" a="1"/>
  <c r="BC25" i="3" s="1"/>
  <c r="DD25" i="3" a="1"/>
  <c r="DD25" i="3" s="1"/>
  <c r="K25" i="3" a="1"/>
  <c r="K25" i="3" s="1"/>
  <c r="DB25" i="3" a="1"/>
  <c r="DB25" i="3" s="1"/>
  <c r="CS25" i="3" a="1"/>
  <c r="CS25" i="3" s="1"/>
  <c r="T25" i="3" a="1"/>
  <c r="T25" i="3" s="1"/>
  <c r="CE25" i="3" a="1"/>
  <c r="CE25" i="3" s="1"/>
  <c r="K44" i="4" l="1"/>
  <c r="C15" i="13" a="1"/>
  <c r="C15" i="13" s="1"/>
  <c r="C37" i="4" s="1"/>
  <c r="H41" i="4"/>
  <c r="H14" i="13"/>
  <c r="H35" i="4" s="1"/>
  <c r="J15" i="13" a="1"/>
  <c r="J15" i="13" s="1"/>
  <c r="J37" i="4" s="1"/>
  <c r="J44" i="4"/>
  <c r="D15" i="13" a="1"/>
  <c r="D15" i="13" s="1"/>
  <c r="D37" i="4" s="1"/>
  <c r="D16" i="13"/>
  <c r="D36" i="4" s="1"/>
  <c r="E37" i="13" a="1"/>
  <c r="E37" i="13" s="1"/>
  <c r="D14" i="13"/>
  <c r="D35" i="4" s="1"/>
  <c r="L14" i="13"/>
  <c r="L35" i="4" s="1"/>
  <c r="H15" i="13" a="1"/>
  <c r="H15" i="13" s="1"/>
  <c r="H37" i="4" s="1"/>
  <c r="F16" i="13"/>
  <c r="F36" i="4" s="1"/>
  <c r="E15" i="13" a="1"/>
  <c r="E15" i="13" s="1"/>
  <c r="E37" i="4" s="1"/>
  <c r="E40" i="4" s="1"/>
  <c r="E41" i="4" s="1"/>
  <c r="L16" i="13"/>
  <c r="L36" i="4" s="1"/>
  <c r="L40" i="4" s="1"/>
  <c r="L43" i="4" s="1"/>
  <c r="L124" i="4" s="1"/>
  <c r="H16" i="13"/>
  <c r="H36" i="4" s="1"/>
  <c r="F14" i="13"/>
  <c r="F35" i="4" s="1"/>
  <c r="E16" i="13"/>
  <c r="E36" i="4" s="1"/>
  <c r="J16" i="13"/>
  <c r="J36" i="4" s="1"/>
  <c r="L41" i="4"/>
  <c r="J14" i="13"/>
  <c r="J35" i="4" s="1"/>
  <c r="C16" i="13"/>
  <c r="C36" i="4" s="1"/>
  <c r="G42" i="4"/>
  <c r="C14" i="13"/>
  <c r="C35" i="4" s="1"/>
  <c r="I16" i="13"/>
  <c r="I36" i="4" s="1"/>
  <c r="I15" i="13" a="1"/>
  <c r="I15" i="13" s="1"/>
  <c r="I37" i="4" s="1"/>
  <c r="I41" i="4"/>
  <c r="I14" i="13"/>
  <c r="I35" i="4" s="1"/>
  <c r="K42" i="4"/>
  <c r="J32" i="19"/>
  <c r="K32" i="19" s="1" a="1"/>
  <c r="K32" i="19" s="1"/>
  <c r="G16" i="13"/>
  <c r="G36" i="4" s="1"/>
  <c r="G15" i="13" a="1"/>
  <c r="G15" i="13" s="1"/>
  <c r="G37" i="4" s="1"/>
  <c r="G14" i="13"/>
  <c r="G35" i="4" s="1"/>
  <c r="G41" i="4"/>
  <c r="AJ7" i="2"/>
  <c r="C42" i="4"/>
  <c r="K16" i="13"/>
  <c r="K36" i="4" s="1"/>
  <c r="K14" i="13"/>
  <c r="K35" i="4" s="1"/>
  <c r="K15" i="13" a="1"/>
  <c r="K15" i="13" s="1"/>
  <c r="K37" i="4" s="1"/>
  <c r="H42" i="4"/>
  <c r="F41" i="4"/>
  <c r="J45" i="19"/>
  <c r="K45" i="19" s="1" a="1"/>
  <c r="K45" i="19" s="1"/>
  <c r="L42" i="4"/>
  <c r="J31" i="19"/>
  <c r="K31" i="19" s="1" a="1"/>
  <c r="K31" i="19" s="1"/>
  <c r="E187" i="19" a="1"/>
  <c r="E187" i="19" s="1"/>
  <c r="D190" i="19" a="1"/>
  <c r="D190" i="19" s="1"/>
  <c r="F182" i="19" a="1"/>
  <c r="F182" i="19" s="1"/>
  <c r="D188" i="19" a="1"/>
  <c r="D188" i="19" s="1"/>
  <c r="D178" i="19" a="1"/>
  <c r="D178" i="19" s="1"/>
  <c r="F191" i="19" a="1"/>
  <c r="F191" i="19" s="1"/>
  <c r="F181" i="19" a="1"/>
  <c r="F181" i="19" s="1"/>
  <c r="L74" i="13"/>
  <c r="F180" i="19" a="1"/>
  <c r="F180" i="19" s="1"/>
  <c r="F179" i="19" a="1"/>
  <c r="F179" i="19" s="1"/>
  <c r="H74" i="13"/>
  <c r="F74" i="13"/>
  <c r="I74" i="13"/>
  <c r="F178" i="19" a="1"/>
  <c r="F178" i="19" s="1"/>
  <c r="J109" i="22" a="1"/>
  <c r="J109" i="22" s="1"/>
  <c r="E178" i="19" a="1"/>
  <c r="E178" i="19" s="1"/>
  <c r="D187" i="19" a="1"/>
  <c r="D187" i="19" s="1"/>
  <c r="J14" i="22" a="1"/>
  <c r="J14" i="22" s="1"/>
  <c r="E179" i="19" a="1"/>
  <c r="E179" i="19" s="1"/>
  <c r="E191" i="19" a="1"/>
  <c r="E191" i="19" s="1"/>
  <c r="E188" i="19" a="1"/>
  <c r="E188" i="19" s="1"/>
  <c r="F14" i="19" a="1"/>
  <c r="F14" i="19" s="1"/>
  <c r="E180" i="19" a="1"/>
  <c r="E180" i="19" s="1"/>
  <c r="D189" i="19" a="1"/>
  <c r="D189" i="19" s="1"/>
  <c r="D191" i="19" a="1"/>
  <c r="D191" i="19" s="1"/>
  <c r="E190" i="19" a="1"/>
  <c r="E190" i="19" s="1"/>
  <c r="D180" i="19" a="1"/>
  <c r="D180" i="19" s="1"/>
  <c r="K74" i="13"/>
  <c r="F188" i="19" a="1"/>
  <c r="F188" i="19" s="1"/>
  <c r="E182" i="19" a="1"/>
  <c r="E182" i="19" s="1"/>
  <c r="K77" i="19" a="1"/>
  <c r="K77" i="19" s="1"/>
  <c r="D44" i="19" a="1"/>
  <c r="D44" i="19" s="1"/>
  <c r="E44" i="19" a="1"/>
  <c r="E44" i="19" s="1"/>
  <c r="I44" i="19" a="1"/>
  <c r="I44" i="19" s="1"/>
  <c r="I30" i="19" a="1"/>
  <c r="I30" i="19" s="1"/>
  <c r="H44" i="19" a="1"/>
  <c r="H44" i="19" s="1"/>
  <c r="H30" i="19" a="1"/>
  <c r="H30" i="19" s="1"/>
  <c r="G44" i="19" a="1"/>
  <c r="G44" i="19" s="1"/>
  <c r="G30" i="19" a="1"/>
  <c r="G30" i="19" s="1"/>
  <c r="F44" i="19" a="1"/>
  <c r="F44" i="19" s="1"/>
  <c r="F30" i="19" a="1"/>
  <c r="F30" i="19" s="1"/>
  <c r="E30" i="19" a="1"/>
  <c r="E30" i="19" s="1"/>
  <c r="D30" i="19" a="1"/>
  <c r="D30" i="19" s="1"/>
  <c r="E181" i="19" a="1"/>
  <c r="E181" i="19" s="1"/>
  <c r="D181" i="19" a="1"/>
  <c r="D181" i="19" s="1"/>
  <c r="D179" i="19" a="1"/>
  <c r="D179" i="19" s="1"/>
  <c r="F190" i="19" a="1"/>
  <c r="F190" i="19" s="1"/>
  <c r="E14" i="19" a="1"/>
  <c r="E14" i="19" s="1"/>
  <c r="J9" i="19" s="1"/>
  <c r="D13" i="19" a="1"/>
  <c r="D13" i="19" s="1"/>
  <c r="AK9" i="2" a="1"/>
  <c r="AK9" i="2" s="1"/>
  <c r="E109" i="19" s="1" a="1"/>
  <c r="E109" i="19" s="1"/>
  <c r="AK15" i="2" a="1"/>
  <c r="AK15" i="2" s="1"/>
  <c r="E115" i="19" s="1" a="1"/>
  <c r="E115" i="19" s="1"/>
  <c r="AK12" i="2" a="1"/>
  <c r="AK12" i="2" s="1"/>
  <c r="E112" i="19" s="1" a="1"/>
  <c r="E112" i="19" s="1"/>
  <c r="AK14" i="2" a="1"/>
  <c r="AK14" i="2" s="1"/>
  <c r="E114" i="19" s="1" a="1"/>
  <c r="E114" i="19" s="1"/>
  <c r="AK11" i="2" a="1"/>
  <c r="AK11" i="2" s="1"/>
  <c r="E111" i="19" s="1" a="1"/>
  <c r="E111" i="19" s="1"/>
  <c r="AK13" i="2" a="1"/>
  <c r="AK13" i="2" s="1"/>
  <c r="E113" i="19" s="1" a="1"/>
  <c r="E113" i="19" s="1"/>
  <c r="J49" i="22" a="1"/>
  <c r="J49" i="22" s="1"/>
  <c r="J59" i="22" a="1"/>
  <c r="J59" i="22" s="1"/>
  <c r="J112" i="22" a="1"/>
  <c r="J112" i="22" s="1"/>
  <c r="J20" i="22" a="1"/>
  <c r="J20" i="22" s="1"/>
  <c r="J99" i="22" a="1"/>
  <c r="J99" i="22" s="1"/>
  <c r="J70" i="22" a="1"/>
  <c r="J70" i="22" s="1"/>
  <c r="J105" i="22" a="1"/>
  <c r="J105" i="22" s="1"/>
  <c r="J90" i="22" a="1"/>
  <c r="J90" i="22" s="1"/>
  <c r="J97" i="22" a="1"/>
  <c r="J97" i="22" s="1"/>
  <c r="J62" i="22" a="1"/>
  <c r="J62" i="22" s="1"/>
  <c r="J82" i="22" a="1"/>
  <c r="J82" i="22" s="1"/>
  <c r="J114" i="22" a="1"/>
  <c r="J114" i="22" s="1"/>
  <c r="J84" i="22" a="1"/>
  <c r="J84" i="22" s="1"/>
  <c r="J73" i="22" a="1"/>
  <c r="J73" i="22" s="1"/>
  <c r="J42" i="22" a="1"/>
  <c r="J42" i="22" s="1"/>
  <c r="J27" i="22" a="1"/>
  <c r="J27" i="22" s="1"/>
  <c r="J33" i="22" a="1"/>
  <c r="J33" i="22" s="1"/>
  <c r="J47" i="22" a="1"/>
  <c r="J47" i="22" s="1"/>
  <c r="J69" i="22" a="1"/>
  <c r="J69" i="22" s="1"/>
  <c r="J67" i="22" a="1"/>
  <c r="J67" i="22" s="1"/>
  <c r="J6" i="22" a="1"/>
  <c r="J6" i="22" s="1"/>
  <c r="J10" i="22" a="1"/>
  <c r="J10" i="22" s="1"/>
  <c r="J124" i="22" a="1"/>
  <c r="J124" i="22" s="1"/>
  <c r="J116" i="22" a="1"/>
  <c r="J116" i="22" s="1"/>
  <c r="J40" i="22" a="1"/>
  <c r="J40" i="22" s="1"/>
  <c r="J52" i="22" a="1"/>
  <c r="J52" i="22" s="1"/>
  <c r="J120" i="22" a="1"/>
  <c r="J120" i="22" s="1"/>
  <c r="J92" i="22" a="1"/>
  <c r="J92" i="22" s="1"/>
  <c r="J77" i="22" a="1"/>
  <c r="J77" i="22" s="1"/>
  <c r="J50" i="22" a="1"/>
  <c r="J50" i="22" s="1"/>
  <c r="J34" i="22" a="1"/>
  <c r="J34" i="22" s="1"/>
  <c r="J107" i="22" a="1"/>
  <c r="J107" i="22" s="1"/>
  <c r="J101" i="22" a="1"/>
  <c r="J101" i="22" s="1"/>
  <c r="J41" i="22" a="1"/>
  <c r="J41" i="22" s="1"/>
  <c r="J45" i="22" a="1"/>
  <c r="J45" i="22" s="1"/>
  <c r="J15" i="22" a="1"/>
  <c r="J15" i="22" s="1"/>
  <c r="J18" i="22" a="1"/>
  <c r="J18" i="22" s="1"/>
  <c r="J21" i="22" a="1"/>
  <c r="J21" i="22" s="1"/>
  <c r="J110" i="22" a="1"/>
  <c r="J110" i="22" s="1"/>
  <c r="J88" i="22" a="1"/>
  <c r="J88" i="22" s="1"/>
  <c r="J60" i="22" a="1"/>
  <c r="J60" i="22" s="1"/>
  <c r="J96" i="22" a="1"/>
  <c r="J96" i="22" s="1"/>
  <c r="J118" i="22" a="1"/>
  <c r="J118" i="22" s="1"/>
  <c r="J81" i="22" a="1"/>
  <c r="J81" i="22" s="1"/>
  <c r="J75" i="22" a="1"/>
  <c r="J75" i="22" s="1"/>
  <c r="J95" i="22" a="1"/>
  <c r="J95" i="22" s="1"/>
  <c r="J28" i="22" a="1"/>
  <c r="J28" i="22" s="1"/>
  <c r="J13" i="22" a="1"/>
  <c r="J13" i="22" s="1"/>
  <c r="J39" i="22" a="1"/>
  <c r="J39" i="22" s="1"/>
  <c r="J55" i="22" a="1"/>
  <c r="J55" i="22" s="1"/>
  <c r="AK8" i="2" a="1"/>
  <c r="AK8" i="2" s="1"/>
  <c r="E108" i="19" s="1" a="1"/>
  <c r="E108" i="19" s="1"/>
  <c r="J71" i="22" a="1"/>
  <c r="J71" i="22" s="1"/>
  <c r="J78" i="22" a="1"/>
  <c r="J78" i="22" s="1"/>
  <c r="J31" i="22" a="1"/>
  <c r="J31" i="22" s="1"/>
  <c r="J16" i="22" a="1"/>
  <c r="J16" i="22" s="1"/>
  <c r="J48" i="22" a="1"/>
  <c r="J48" i="22" s="1"/>
  <c r="J86" i="22" a="1"/>
  <c r="J86" i="22" s="1"/>
  <c r="J121" i="22" a="1"/>
  <c r="J121" i="22" s="1"/>
  <c r="J35" i="22" a="1"/>
  <c r="J35" i="22" s="1"/>
  <c r="J63" i="22" a="1"/>
  <c r="J63" i="22" s="1"/>
  <c r="J98" i="22" a="1"/>
  <c r="J98" i="22" s="1"/>
  <c r="J38" i="22" a="1"/>
  <c r="J38" i="22" s="1"/>
  <c r="J37" i="22" a="1"/>
  <c r="J37" i="22" s="1"/>
  <c r="J7" i="22" a="1"/>
  <c r="J7" i="22" s="1"/>
  <c r="J58" i="22" a="1"/>
  <c r="J58" i="22" s="1"/>
  <c r="AK7" i="2" a="1"/>
  <c r="AK7" i="2" s="1"/>
  <c r="E107" i="19" s="1" a="1"/>
  <c r="E107" i="19" s="1"/>
  <c r="J119" i="22" a="1"/>
  <c r="J119" i="22" s="1"/>
  <c r="J9" i="22" a="1"/>
  <c r="J9" i="22" s="1"/>
  <c r="J19" i="22" a="1"/>
  <c r="J19" i="22" s="1"/>
  <c r="J83" i="22" a="1"/>
  <c r="J83" i="22" s="1"/>
  <c r="J115" i="22" a="1"/>
  <c r="J115" i="22" s="1"/>
  <c r="J89" i="22" a="1"/>
  <c r="J89" i="22" s="1"/>
  <c r="J93" i="22" a="1"/>
  <c r="J93" i="22" s="1"/>
  <c r="J106" i="22" a="1"/>
  <c r="J106" i="22" s="1"/>
  <c r="J66" i="22" a="1"/>
  <c r="J66" i="22" s="1"/>
  <c r="J36" i="22" a="1"/>
  <c r="J36" i="22" s="1"/>
  <c r="J68" i="22" a="1"/>
  <c r="J68" i="22" s="1"/>
  <c r="J54" i="22" a="1"/>
  <c r="J54" i="22" s="1"/>
  <c r="J26" i="22" a="1"/>
  <c r="J26" i="22" s="1"/>
  <c r="J64" i="22" a="1"/>
  <c r="J64" i="22" s="1"/>
  <c r="J43" i="22" a="1"/>
  <c r="J43" i="22" s="1"/>
  <c r="J53" i="22" a="1"/>
  <c r="J53" i="22" s="1"/>
  <c r="J85" i="22" a="1"/>
  <c r="J85" i="22" s="1"/>
  <c r="J117" i="22" a="1"/>
  <c r="J117" i="22" s="1"/>
  <c r="J57" i="22" a="1"/>
  <c r="J57" i="22" s="1"/>
  <c r="J108" i="22" a="1"/>
  <c r="J108" i="22" s="1"/>
  <c r="J87" i="22" a="1"/>
  <c r="J87" i="22" s="1"/>
  <c r="J46" i="22" a="1"/>
  <c r="J46" i="22" s="1"/>
  <c r="J8" i="22" a="1"/>
  <c r="J8" i="22" s="1"/>
  <c r="J56" i="22" a="1"/>
  <c r="J56" i="22" s="1"/>
  <c r="J104" i="22" a="1"/>
  <c r="J104" i="22" s="1"/>
  <c r="J76" i="22" a="1"/>
  <c r="J76" i="22" s="1"/>
  <c r="J61" i="22" a="1"/>
  <c r="J61" i="22" s="1"/>
  <c r="J74" i="22" a="1"/>
  <c r="J74" i="22" s="1"/>
  <c r="J113" i="22" a="1"/>
  <c r="J113" i="22" s="1"/>
  <c r="J100" i="22" a="1"/>
  <c r="J100" i="22" s="1"/>
  <c r="J91" i="22" a="1"/>
  <c r="J91" i="22" s="1"/>
  <c r="J123" i="22" a="1"/>
  <c r="J123" i="22" s="1"/>
  <c r="J44" i="22" a="1"/>
  <c r="J44" i="22" s="1"/>
  <c r="J29" i="22" a="1"/>
  <c r="J29" i="22" s="1"/>
  <c r="J22" i="22" a="1"/>
  <c r="J22" i="22" s="1"/>
  <c r="J11" i="22" a="1"/>
  <c r="J11" i="22" s="1"/>
  <c r="J17" i="22" a="1"/>
  <c r="J17" i="22" s="1"/>
  <c r="J24" i="22" a="1"/>
  <c r="J24" i="22" s="1"/>
  <c r="J94" i="22" a="1"/>
  <c r="J94" i="22" s="1"/>
  <c r="J12" i="22" a="1"/>
  <c r="J12" i="22" s="1"/>
  <c r="J32" i="22" a="1"/>
  <c r="J32" i="22" s="1"/>
  <c r="J80" i="22" a="1"/>
  <c r="J80" i="22" s="1"/>
  <c r="J102" i="22" a="1"/>
  <c r="J102" i="22" s="1"/>
  <c r="J25" i="22" a="1"/>
  <c r="J25" i="22" s="1"/>
  <c r="J65" i="22" a="1"/>
  <c r="J65" i="22" s="1"/>
  <c r="J122" i="22" a="1"/>
  <c r="J122" i="22" s="1"/>
  <c r="J79" i="22" a="1"/>
  <c r="J79" i="22" s="1"/>
  <c r="J111" i="22" a="1"/>
  <c r="J111" i="22" s="1"/>
  <c r="J51" i="22" a="1"/>
  <c r="J51" i="22" s="1"/>
  <c r="J72" i="22" a="1"/>
  <c r="J72" i="22" s="1"/>
  <c r="J23" i="22" a="1"/>
  <c r="J23" i="22" s="1"/>
  <c r="J103" i="22" a="1"/>
  <c r="J103" i="22" s="1"/>
  <c r="AK6" i="2" a="1"/>
  <c r="AK6" i="2" s="1"/>
  <c r="E106" i="19" s="1" a="1"/>
  <c r="E106" i="19" s="1"/>
  <c r="E74" i="13"/>
  <c r="F13" i="19" a="1"/>
  <c r="F13" i="19" s="1"/>
  <c r="D14" i="19" a="1"/>
  <c r="D14" i="19" s="1"/>
  <c r="G74" i="13"/>
  <c r="J74" i="13"/>
  <c r="I21" i="22" a="1"/>
  <c r="I21" i="22" s="1"/>
  <c r="AK10" i="2" a="1"/>
  <c r="AK10" i="2" s="1"/>
  <c r="E110" i="19" s="1" a="1"/>
  <c r="E110" i="19" s="1"/>
  <c r="F189" i="19" a="1"/>
  <c r="F189" i="19" s="1"/>
  <c r="J125" i="22" a="1"/>
  <c r="J125" i="22" s="1"/>
  <c r="E13" i="19" a="1"/>
  <c r="E13" i="19" s="1"/>
  <c r="E147" i="19" s="1"/>
  <c r="F187" i="19" a="1"/>
  <c r="F187" i="19" s="1"/>
  <c r="E189" i="19" a="1"/>
  <c r="E189" i="19" s="1"/>
  <c r="C74" i="13"/>
  <c r="D74" i="13"/>
  <c r="D182" i="19" a="1"/>
  <c r="D182" i="19" s="1"/>
  <c r="J30" i="22" a="1"/>
  <c r="J30" i="22" s="1"/>
  <c r="F12" i="19"/>
  <c r="D12" i="19"/>
  <c r="E12" i="19"/>
  <c r="J8" i="19"/>
  <c r="J33" i="19"/>
  <c r="K33" i="19" s="1" a="1"/>
  <c r="K33" i="19" s="1"/>
  <c r="E120" i="19"/>
  <c r="E121" i="19" s="1"/>
  <c r="D11" i="19"/>
  <c r="E11" i="19"/>
  <c r="F11" i="19"/>
  <c r="C122" i="19"/>
  <c r="C107" i="14"/>
  <c r="J47" i="19"/>
  <c r="K47" i="19" s="1" a="1"/>
  <c r="K47" i="19" s="1"/>
  <c r="I116" i="22" a="1"/>
  <c r="I116" i="22" s="1"/>
  <c r="C83" i="14"/>
  <c r="E139" i="19"/>
  <c r="E165" i="19"/>
  <c r="E166" i="19"/>
  <c r="E167" i="19" s="1"/>
  <c r="F116" i="19"/>
  <c r="E140" i="19"/>
  <c r="D42" i="4"/>
  <c r="H40" i="4"/>
  <c r="H43" i="4" s="1"/>
  <c r="H124" i="4" s="1"/>
  <c r="E42" i="4"/>
  <c r="K40" i="4"/>
  <c r="K116" i="4" s="1"/>
  <c r="C70" i="4"/>
  <c r="I40" i="4"/>
  <c r="I116" i="4" s="1"/>
  <c r="D40" i="4"/>
  <c r="C94" i="4"/>
  <c r="D56" i="4"/>
  <c r="J94" i="4"/>
  <c r="K56" i="4"/>
  <c r="J40" i="4"/>
  <c r="J43" i="4" s="1"/>
  <c r="J124" i="4" s="1"/>
  <c r="C40" i="4"/>
  <c r="C43" i="4" s="1"/>
  <c r="L56" i="4"/>
  <c r="F70" i="4"/>
  <c r="F42" i="4"/>
  <c r="H72" i="4"/>
  <c r="H69" i="4"/>
  <c r="G56" i="4"/>
  <c r="F94" i="4"/>
  <c r="G94" i="4"/>
  <c r="E94" i="4"/>
  <c r="G58" i="4"/>
  <c r="G55" i="4"/>
  <c r="I55" i="4"/>
  <c r="I58" i="4"/>
  <c r="D70" i="4"/>
  <c r="G69" i="4"/>
  <c r="G72" i="4"/>
  <c r="K70" i="4"/>
  <c r="I70" i="4"/>
  <c r="I69" i="4"/>
  <c r="I72" i="4"/>
  <c r="H70" i="4"/>
  <c r="H55" i="4"/>
  <c r="H58" i="4"/>
  <c r="I23" i="22" a="1"/>
  <c r="I23" i="22" s="1"/>
  <c r="C143" i="1" a="1"/>
  <c r="C143" i="1" s="1"/>
  <c r="L70" i="4"/>
  <c r="I56" i="4"/>
  <c r="J58" i="4"/>
  <c r="J55" i="4"/>
  <c r="F58" i="4"/>
  <c r="F55" i="4"/>
  <c r="H56" i="4"/>
  <c r="L55" i="4"/>
  <c r="L58" i="4"/>
  <c r="G70" i="4"/>
  <c r="J69" i="4"/>
  <c r="J72" i="4"/>
  <c r="H94" i="4"/>
  <c r="D94" i="4"/>
  <c r="J56" i="4"/>
  <c r="K69" i="4"/>
  <c r="K72" i="4"/>
  <c r="C56" i="4"/>
  <c r="E70" i="4"/>
  <c r="J70" i="4"/>
  <c r="I94" i="4"/>
  <c r="I42" i="4"/>
  <c r="C130" i="13"/>
  <c r="C131" i="13" s="1"/>
  <c r="K94" i="4"/>
  <c r="L72" i="4"/>
  <c r="L69" i="4"/>
  <c r="F56" i="4"/>
  <c r="L94" i="4"/>
  <c r="K58" i="4"/>
  <c r="K55" i="4"/>
  <c r="E56" i="4"/>
  <c r="I24" i="22" a="1"/>
  <c r="I24" i="22" s="1"/>
  <c r="F72" i="4"/>
  <c r="F69" i="4"/>
  <c r="C22" i="4"/>
  <c r="C76" i="4" s="1"/>
  <c r="C81" i="4" s="1"/>
  <c r="E22" i="4"/>
  <c r="E76" i="4" s="1"/>
  <c r="E81" i="4" s="1"/>
  <c r="D22" i="4"/>
  <c r="D76" i="4" s="1"/>
  <c r="D81" i="4" s="1"/>
  <c r="F22" i="4"/>
  <c r="F76" i="4" s="1"/>
  <c r="F81" i="4" s="1"/>
  <c r="I22" i="4"/>
  <c r="I76" i="4" s="1"/>
  <c r="I81" i="4" s="1"/>
  <c r="H22" i="4"/>
  <c r="H76" i="4" s="1"/>
  <c r="H81" i="4" s="1"/>
  <c r="G22" i="4"/>
  <c r="G76" i="4" s="1"/>
  <c r="G81" i="4" s="1"/>
  <c r="K22" i="4"/>
  <c r="K76" i="4" s="1"/>
  <c r="K81" i="4" s="1"/>
  <c r="L22" i="4"/>
  <c r="L76" i="4" s="1"/>
  <c r="L81" i="4" s="1"/>
  <c r="J22" i="4"/>
  <c r="J76" i="4" s="1"/>
  <c r="J81" i="4" s="1"/>
  <c r="I10" i="22" a="1"/>
  <c r="I10" i="22" s="1"/>
  <c r="I46" i="22" a="1"/>
  <c r="I46" i="22" s="1"/>
  <c r="I29" i="22" a="1"/>
  <c r="I29" i="22" s="1"/>
  <c r="I83" i="22" a="1"/>
  <c r="I83" i="22" s="1"/>
  <c r="I30" i="22" a="1"/>
  <c r="I30" i="22" s="1"/>
  <c r="I91" i="22" a="1"/>
  <c r="I91" i="22" s="1"/>
  <c r="I56" i="22" a="1"/>
  <c r="I56" i="22" s="1"/>
  <c r="I115" i="22" a="1"/>
  <c r="I115" i="22" s="1"/>
  <c r="I74" i="22" a="1"/>
  <c r="I74" i="22" s="1"/>
  <c r="I76" i="22" a="1"/>
  <c r="I76" i="22" s="1"/>
  <c r="I41" i="22" a="1"/>
  <c r="I41" i="22" s="1"/>
  <c r="I120" i="22" a="1"/>
  <c r="I120" i="22" s="1"/>
  <c r="I62" i="22" a="1"/>
  <c r="I62" i="22" s="1"/>
  <c r="I59" i="22" a="1"/>
  <c r="I59" i="22" s="1"/>
  <c r="I103" i="22" a="1"/>
  <c r="I103" i="22" s="1"/>
  <c r="C56" i="1" a="1"/>
  <c r="C56" i="1" s="1"/>
  <c r="C140" i="1" a="1"/>
  <c r="C140" i="1" s="1"/>
  <c r="I11" i="22" a="1"/>
  <c r="I11" i="22" s="1"/>
  <c r="I39" i="22" a="1"/>
  <c r="I39" i="22" s="1"/>
  <c r="I27" i="22" a="1"/>
  <c r="I27" i="22" s="1"/>
  <c r="I45" i="22" a="1"/>
  <c r="I45" i="22" s="1"/>
  <c r="I32" i="22" a="1"/>
  <c r="I32" i="22" s="1"/>
  <c r="I110" i="22" a="1"/>
  <c r="I110" i="22" s="1"/>
  <c r="I20" i="22" a="1"/>
  <c r="I20" i="22" s="1"/>
  <c r="I71" i="22" a="1"/>
  <c r="I71" i="22" s="1"/>
  <c r="I100" i="22" a="1"/>
  <c r="I100" i="22" s="1"/>
  <c r="I44" i="22" a="1"/>
  <c r="I44" i="22" s="1"/>
  <c r="I17" i="22" a="1"/>
  <c r="I17" i="22" s="1"/>
  <c r="I7" i="22" a="1"/>
  <c r="I7" i="22" s="1"/>
  <c r="I69" i="22" a="1"/>
  <c r="I69" i="22" s="1"/>
  <c r="I85" i="22" a="1"/>
  <c r="I85" i="22" s="1"/>
  <c r="I61" i="22" a="1"/>
  <c r="I61" i="22" s="1"/>
  <c r="I15" i="22" a="1"/>
  <c r="I15" i="22" s="1"/>
  <c r="I51" i="22" a="1"/>
  <c r="I51" i="22" s="1"/>
  <c r="I121" i="22" a="1"/>
  <c r="I121" i="22" s="1"/>
  <c r="I48" i="22" a="1"/>
  <c r="I48" i="22" s="1"/>
  <c r="I117" i="22" a="1"/>
  <c r="I117" i="22" s="1"/>
  <c r="C141" i="1" a="1"/>
  <c r="C141" i="1" s="1"/>
  <c r="I109" i="22" a="1"/>
  <c r="I109" i="22" s="1"/>
  <c r="I16" i="22" a="1"/>
  <c r="I16" i="22" s="1"/>
  <c r="I18" i="22" a="1"/>
  <c r="I18" i="22" s="1"/>
  <c r="I42" i="22" a="1"/>
  <c r="I42" i="22" s="1"/>
  <c r="I34" i="22" a="1"/>
  <c r="I34" i="22" s="1"/>
  <c r="I70" i="22" a="1"/>
  <c r="I70" i="22" s="1"/>
  <c r="I65" i="22" a="1"/>
  <c r="I65" i="22" s="1"/>
  <c r="I93" i="22" a="1"/>
  <c r="I93" i="22" s="1"/>
  <c r="I99" i="22" a="1"/>
  <c r="I99" i="22" s="1"/>
  <c r="I112" i="22" a="1"/>
  <c r="I112" i="22" s="1"/>
  <c r="I6" i="22" a="1"/>
  <c r="I6" i="22" s="1"/>
  <c r="I73" i="22" a="1"/>
  <c r="I73" i="22" s="1"/>
  <c r="K96" i="22" a="1"/>
  <c r="K96" i="22" s="1"/>
  <c r="K100" i="22" a="1"/>
  <c r="K100" i="22" s="1"/>
  <c r="K94" i="22" a="1"/>
  <c r="K94" i="22" s="1"/>
  <c r="K116" i="22" a="1"/>
  <c r="K116" i="22" s="1"/>
  <c r="K106" i="22" a="1"/>
  <c r="K106" i="22" s="1"/>
  <c r="K108" i="22" a="1"/>
  <c r="K108" i="22" s="1"/>
  <c r="K109" i="22" a="1"/>
  <c r="K109" i="22" s="1"/>
  <c r="K105" i="22" a="1"/>
  <c r="K105" i="22" s="1"/>
  <c r="K111" i="22" a="1"/>
  <c r="K111" i="22" s="1"/>
  <c r="K117" i="22" a="1"/>
  <c r="K117" i="22" s="1"/>
  <c r="K120" i="22" a="1"/>
  <c r="K120" i="22" s="1"/>
  <c r="K90" i="22" a="1"/>
  <c r="K90" i="22" s="1"/>
  <c r="K121" i="22" a="1"/>
  <c r="K121" i="22" s="1"/>
  <c r="K93" i="22" a="1"/>
  <c r="K93" i="22" s="1"/>
  <c r="K91" i="22" a="1"/>
  <c r="K91" i="22" s="1"/>
  <c r="K107" i="22" a="1"/>
  <c r="K107" i="22" s="1"/>
  <c r="K119" i="22" a="1"/>
  <c r="K119" i="22" s="1"/>
  <c r="K102" i="22" a="1"/>
  <c r="K102" i="22" s="1"/>
  <c r="K113" i="22" a="1"/>
  <c r="K113" i="22" s="1"/>
  <c r="K101" i="22" a="1"/>
  <c r="K101" i="22" s="1"/>
  <c r="K89" i="22" a="1"/>
  <c r="K89" i="22" s="1"/>
  <c r="K124" i="22" a="1"/>
  <c r="K124" i="22" s="1"/>
  <c r="K99" i="22" a="1"/>
  <c r="K99" i="22" s="1"/>
  <c r="K122" i="22" a="1"/>
  <c r="K122" i="22" s="1"/>
  <c r="K114" i="22" a="1"/>
  <c r="K114" i="22" s="1"/>
  <c r="K110" i="22" a="1"/>
  <c r="K110" i="22" s="1"/>
  <c r="K97" i="22" a="1"/>
  <c r="K97" i="22" s="1"/>
  <c r="K123" i="22" a="1"/>
  <c r="K123" i="22" s="1"/>
  <c r="K125" i="22" a="1"/>
  <c r="K125" i="22" s="1"/>
  <c r="K103" i="22" a="1"/>
  <c r="K103" i="22" s="1"/>
  <c r="K95" i="22" a="1"/>
  <c r="K95" i="22" s="1"/>
  <c r="K115" i="22" a="1"/>
  <c r="K115" i="22" s="1"/>
  <c r="K112" i="22" a="1"/>
  <c r="K112" i="22" s="1"/>
  <c r="K118" i="22" a="1"/>
  <c r="K118" i="22" s="1"/>
  <c r="K92" i="22" a="1"/>
  <c r="K92" i="22" s="1"/>
  <c r="K98" i="22" a="1"/>
  <c r="K98" i="22" s="1"/>
  <c r="K104" i="22" a="1"/>
  <c r="K104" i="22" s="1"/>
  <c r="I25" i="22" a="1"/>
  <c r="I25" i="22" s="1"/>
  <c r="I84" i="22" a="1"/>
  <c r="I84" i="22" s="1"/>
  <c r="L25" i="10"/>
  <c r="L32" i="10" s="1"/>
  <c r="I107" i="22" a="1"/>
  <c r="I107" i="22" s="1"/>
  <c r="I125" i="22" a="1"/>
  <c r="I125" i="22" s="1"/>
  <c r="I68" i="22" a="1"/>
  <c r="I68" i="22" s="1"/>
  <c r="I36" i="22" a="1"/>
  <c r="I36" i="22" s="1"/>
  <c r="I40" i="22" a="1"/>
  <c r="I40" i="22" s="1"/>
  <c r="I104" i="22" a="1"/>
  <c r="I104" i="22" s="1"/>
  <c r="I53" i="22" a="1"/>
  <c r="I53" i="22" s="1"/>
  <c r="I89" i="22" a="1"/>
  <c r="I89" i="22" s="1"/>
  <c r="I25" i="10"/>
  <c r="I32" i="10" s="1"/>
  <c r="C37" i="10"/>
  <c r="I63" i="22" a="1"/>
  <c r="I63" i="22" s="1"/>
  <c r="I78" i="22" a="1"/>
  <c r="I78" i="22" s="1"/>
  <c r="I87" i="22" a="1"/>
  <c r="I87" i="22" s="1"/>
  <c r="I113" i="22" a="1"/>
  <c r="I113" i="22" s="1"/>
  <c r="I35" i="22" a="1"/>
  <c r="I35" i="22" s="1"/>
  <c r="I94" i="22" a="1"/>
  <c r="I94" i="22" s="1"/>
  <c r="I8" i="22" a="1"/>
  <c r="I8" i="22" s="1"/>
  <c r="I22" i="22" a="1"/>
  <c r="I22" i="22" s="1"/>
  <c r="I86" i="22" a="1"/>
  <c r="I86" i="22" s="1"/>
  <c r="I123" i="22" a="1"/>
  <c r="I123" i="22" s="1"/>
  <c r="I82" i="22" a="1"/>
  <c r="I82" i="22" s="1"/>
  <c r="I58" i="22" a="1"/>
  <c r="I58" i="22" s="1"/>
  <c r="I49" i="22" a="1"/>
  <c r="I49" i="22" s="1"/>
  <c r="I77" i="22" a="1"/>
  <c r="I77" i="22" s="1"/>
  <c r="I114" i="22" a="1"/>
  <c r="I114" i="22" s="1"/>
  <c r="I90" i="22" a="1"/>
  <c r="I90" i="22" s="1"/>
  <c r="I122" i="22" a="1"/>
  <c r="I122" i="22" s="1"/>
  <c r="I88" i="22" a="1"/>
  <c r="I88" i="22" s="1"/>
  <c r="I9" i="22" a="1"/>
  <c r="I9" i="22" s="1"/>
  <c r="I75" i="22" a="1"/>
  <c r="I75" i="22" s="1"/>
  <c r="I33" i="22" a="1"/>
  <c r="I33" i="22" s="1"/>
  <c r="I19" i="22" a="1"/>
  <c r="I19" i="22" s="1"/>
  <c r="I26" i="22" a="1"/>
  <c r="I26" i="22" s="1"/>
  <c r="I95" i="22" a="1"/>
  <c r="I95" i="22" s="1"/>
  <c r="I124" i="22" a="1"/>
  <c r="I124" i="22" s="1"/>
  <c r="I97" i="22" a="1"/>
  <c r="I97" i="22" s="1"/>
  <c r="I119" i="22" a="1"/>
  <c r="I119" i="22" s="1"/>
  <c r="I102" i="22" a="1"/>
  <c r="I102" i="22" s="1"/>
  <c r="I43" i="22" a="1"/>
  <c r="I43" i="22" s="1"/>
  <c r="I101" i="22" a="1"/>
  <c r="I101" i="22" s="1"/>
  <c r="I98" i="22" a="1"/>
  <c r="I98" i="22" s="1"/>
  <c r="I31" i="22" a="1"/>
  <c r="I31" i="22" s="1"/>
  <c r="I111" i="22" a="1"/>
  <c r="I111" i="22" s="1"/>
  <c r="I60" i="22" a="1"/>
  <c r="I60" i="22" s="1"/>
  <c r="I108" i="22" a="1"/>
  <c r="I108" i="22" s="1"/>
  <c r="I72" i="22" a="1"/>
  <c r="I72" i="22" s="1"/>
  <c r="I118" i="22" a="1"/>
  <c r="I118" i="22" s="1"/>
  <c r="I92" i="22" a="1"/>
  <c r="I92" i="22" s="1"/>
  <c r="I79" i="22" a="1"/>
  <c r="I79" i="22" s="1"/>
  <c r="I54" i="22" a="1"/>
  <c r="I54" i="22" s="1"/>
  <c r="I96" i="22" a="1"/>
  <c r="I96" i="22" s="1"/>
  <c r="I80" i="22" a="1"/>
  <c r="I80" i="22" s="1"/>
  <c r="I67" i="22" a="1"/>
  <c r="I67" i="22" s="1"/>
  <c r="I52" i="22" a="1"/>
  <c r="I52" i="22" s="1"/>
  <c r="I105" i="22" a="1"/>
  <c r="I105" i="22" s="1"/>
  <c r="I47" i="22" a="1"/>
  <c r="I47" i="22" s="1"/>
  <c r="I14" i="22" a="1"/>
  <c r="I14" i="22" s="1"/>
  <c r="I12" i="22" a="1"/>
  <c r="I12" i="22" s="1"/>
  <c r="I37" i="22" a="1"/>
  <c r="I37" i="22" s="1"/>
  <c r="I13" i="22" a="1"/>
  <c r="I13" i="22" s="1"/>
  <c r="I106" i="22" a="1"/>
  <c r="I106" i="22" s="1"/>
  <c r="I64" i="22" a="1"/>
  <c r="I64" i="22" s="1"/>
  <c r="I57" i="22" a="1"/>
  <c r="I57" i="22" s="1"/>
  <c r="I66" i="22" a="1"/>
  <c r="I66" i="22" s="1"/>
  <c r="I50" i="22" a="1"/>
  <c r="I50" i="22" s="1"/>
  <c r="I38" i="22" a="1"/>
  <c r="I38" i="22" s="1"/>
  <c r="I55" i="22" a="1"/>
  <c r="I55" i="22" s="1"/>
  <c r="I28" i="22" a="1"/>
  <c r="I28" i="22" s="1"/>
  <c r="I81" i="22" a="1"/>
  <c r="I81" i="22" s="1"/>
  <c r="F130" i="13"/>
  <c r="F131" i="13" s="1"/>
  <c r="Q33" i="22"/>
  <c r="K23" i="22" a="1"/>
  <c r="K23" i="22" s="1"/>
  <c r="K55" i="22" a="1"/>
  <c r="K55" i="22" s="1"/>
  <c r="K8" i="22" a="1"/>
  <c r="K8" i="22" s="1"/>
  <c r="K88" i="22" a="1"/>
  <c r="K88" i="22" s="1"/>
  <c r="K48" i="22" a="1"/>
  <c r="K48" i="22" s="1"/>
  <c r="K67" i="22" a="1"/>
  <c r="K67" i="22" s="1"/>
  <c r="K75" i="22" a="1"/>
  <c r="K75" i="22" s="1"/>
  <c r="K7" i="22" a="1"/>
  <c r="K7" i="22" s="1"/>
  <c r="K85" i="22" a="1"/>
  <c r="K85" i="22" s="1"/>
  <c r="K10" i="22" a="1"/>
  <c r="K10" i="22" s="1"/>
  <c r="K14" i="22" a="1"/>
  <c r="K14" i="22" s="1"/>
  <c r="K41" i="22" a="1"/>
  <c r="K41" i="22" s="1"/>
  <c r="K22" i="22" a="1"/>
  <c r="K22" i="22" s="1"/>
  <c r="K36" i="22" a="1"/>
  <c r="K36" i="22" s="1"/>
  <c r="K21" i="22" a="1"/>
  <c r="K21" i="22" s="1"/>
  <c r="K30" i="22" a="1"/>
  <c r="K30" i="22" s="1"/>
  <c r="K73" i="22" a="1"/>
  <c r="K73" i="22" s="1"/>
  <c r="K56" i="22" a="1"/>
  <c r="K56" i="22" s="1"/>
  <c r="K82" i="22" a="1"/>
  <c r="K82" i="22" s="1"/>
  <c r="K54" i="22" a="1"/>
  <c r="K54" i="22" s="1"/>
  <c r="K58" i="22" a="1"/>
  <c r="K58" i="22" s="1"/>
  <c r="K79" i="22" a="1"/>
  <c r="K79" i="22" s="1"/>
  <c r="K60" i="22" a="1"/>
  <c r="K60" i="22" s="1"/>
  <c r="K51" i="22" a="1"/>
  <c r="K51" i="22" s="1"/>
  <c r="K64" i="22" a="1"/>
  <c r="K64" i="22" s="1"/>
  <c r="K71" i="22" a="1"/>
  <c r="K71" i="22" s="1"/>
  <c r="K53" i="22" a="1"/>
  <c r="K53" i="22" s="1"/>
  <c r="K83" i="22" a="1"/>
  <c r="K83" i="22" s="1"/>
  <c r="K57" i="22" a="1"/>
  <c r="K57" i="22" s="1"/>
  <c r="K59" i="22" a="1"/>
  <c r="K59" i="22" s="1"/>
  <c r="K63" i="22" a="1"/>
  <c r="K63" i="22" s="1"/>
  <c r="K37" i="22" a="1"/>
  <c r="K37" i="22" s="1"/>
  <c r="K86" i="22" a="1"/>
  <c r="K86" i="22" s="1"/>
  <c r="K18" i="22" a="1"/>
  <c r="K18" i="22" s="1"/>
  <c r="K31" i="22" a="1"/>
  <c r="K31" i="22" s="1"/>
  <c r="K76" i="22" a="1"/>
  <c r="K76" i="22" s="1"/>
  <c r="K69" i="22" a="1"/>
  <c r="K69" i="22" s="1"/>
  <c r="K26" i="22" a="1"/>
  <c r="K26" i="22" s="1"/>
  <c r="K29" i="22" a="1"/>
  <c r="K29" i="22" s="1"/>
  <c r="K66" i="22" a="1"/>
  <c r="K66" i="22" s="1"/>
  <c r="K15" i="22" a="1"/>
  <c r="K15" i="22" s="1"/>
  <c r="K35" i="22" a="1"/>
  <c r="K35" i="22" s="1"/>
  <c r="K87" i="22" a="1"/>
  <c r="K87" i="22" s="1"/>
  <c r="K16" i="22" a="1"/>
  <c r="K16" i="22" s="1"/>
  <c r="K17" i="22" a="1"/>
  <c r="K17" i="22" s="1"/>
  <c r="K61" i="22" a="1"/>
  <c r="K61" i="22" s="1"/>
  <c r="K12" i="22" a="1"/>
  <c r="K12" i="22" s="1"/>
  <c r="K72" i="22" a="1"/>
  <c r="K72" i="22" s="1"/>
  <c r="K13" i="22" a="1"/>
  <c r="K13" i="22" s="1"/>
  <c r="K39" i="22" a="1"/>
  <c r="K39" i="22" s="1"/>
  <c r="K25" i="22" a="1"/>
  <c r="K25" i="22" s="1"/>
  <c r="K47" i="22" a="1"/>
  <c r="K47" i="22" s="1"/>
  <c r="K49" i="22" a="1"/>
  <c r="K49" i="22" s="1"/>
  <c r="K19" i="22" a="1"/>
  <c r="K19" i="22" s="1"/>
  <c r="K46" i="22" a="1"/>
  <c r="K46" i="22" s="1"/>
  <c r="K77" i="22" a="1"/>
  <c r="K77" i="22" s="1"/>
  <c r="K70" i="22" a="1"/>
  <c r="K70" i="22" s="1"/>
  <c r="K81" i="22" a="1"/>
  <c r="K81" i="22" s="1"/>
  <c r="K52" i="22" a="1"/>
  <c r="K52" i="22" s="1"/>
  <c r="K65" i="22" a="1"/>
  <c r="K65" i="22" s="1"/>
  <c r="K33" i="22" a="1"/>
  <c r="K33" i="22" s="1"/>
  <c r="K68" i="22" a="1"/>
  <c r="K68" i="22" s="1"/>
  <c r="K45" i="22" a="1"/>
  <c r="K45" i="22" s="1"/>
  <c r="K28" i="22" a="1"/>
  <c r="K28" i="22" s="1"/>
  <c r="K44" i="22" a="1"/>
  <c r="K44" i="22" s="1"/>
  <c r="K80" i="22" a="1"/>
  <c r="K80" i="22" s="1"/>
  <c r="K40" i="22" a="1"/>
  <c r="K40" i="22" s="1"/>
  <c r="K74" i="22" a="1"/>
  <c r="K74" i="22" s="1"/>
  <c r="K78" i="22" a="1"/>
  <c r="K78" i="22" s="1"/>
  <c r="K38" i="22" a="1"/>
  <c r="K38" i="22" s="1"/>
  <c r="K50" i="22" a="1"/>
  <c r="K50" i="22" s="1"/>
  <c r="K11" i="22" a="1"/>
  <c r="K11" i="22" s="1"/>
  <c r="K20" i="22" a="1"/>
  <c r="K20" i="22" s="1"/>
  <c r="K6" i="22" a="1"/>
  <c r="K6" i="22" s="1"/>
  <c r="K9" i="22" a="1"/>
  <c r="K9" i="22" s="1"/>
  <c r="K27" i="22" a="1"/>
  <c r="K27" i="22" s="1"/>
  <c r="K84" i="22" a="1"/>
  <c r="K84" i="22" s="1"/>
  <c r="K42" i="22" a="1"/>
  <c r="K42" i="22" s="1"/>
  <c r="K32" i="22" a="1"/>
  <c r="K32" i="22" s="1"/>
  <c r="K34" i="22" a="1"/>
  <c r="K34" i="22" s="1"/>
  <c r="K24" i="22" a="1"/>
  <c r="K24" i="22" s="1"/>
  <c r="K43" i="22" a="1"/>
  <c r="K43" i="22" s="1"/>
  <c r="K62" i="22" a="1"/>
  <c r="K62" i="22" s="1"/>
  <c r="E25" i="10"/>
  <c r="E32" i="10" s="1"/>
  <c r="G25" i="10"/>
  <c r="G32" i="10" s="1"/>
  <c r="K25" i="10"/>
  <c r="K32" i="10" s="1"/>
  <c r="K37" i="10"/>
  <c r="J12" i="10"/>
  <c r="C25" i="10"/>
  <c r="C32" i="10" s="1"/>
  <c r="F37" i="10"/>
  <c r="L12" i="10"/>
  <c r="G12" i="10"/>
  <c r="H37" i="10"/>
  <c r="E37" i="10"/>
  <c r="F12" i="10"/>
  <c r="AJ10" i="2"/>
  <c r="H12" i="10"/>
  <c r="D12" i="10"/>
  <c r="G37" i="10"/>
  <c r="D25" i="10"/>
  <c r="D32" i="10" s="1"/>
  <c r="E12" i="10"/>
  <c r="D37" i="10"/>
  <c r="C12" i="10"/>
  <c r="J37" i="10"/>
  <c r="L37" i="10"/>
  <c r="K12" i="10"/>
  <c r="F25" i="10"/>
  <c r="F32" i="10" s="1"/>
  <c r="I37" i="10"/>
  <c r="J25" i="10"/>
  <c r="J32" i="10" s="1"/>
  <c r="I12" i="10"/>
  <c r="H25" i="10"/>
  <c r="H32" i="10" s="1"/>
  <c r="AD10" i="2"/>
  <c r="F85" i="13" s="1" a="1"/>
  <c r="F85" i="13" s="1"/>
  <c r="C114" i="13"/>
  <c r="C115" i="13" s="1"/>
  <c r="D146" i="13"/>
  <c r="D147" i="13" s="1"/>
  <c r="E130" i="13"/>
  <c r="E131" i="13" s="1"/>
  <c r="I130" i="13"/>
  <c r="I131" i="13" s="1"/>
  <c r="G130" i="13"/>
  <c r="G131" i="13" s="1"/>
  <c r="K130" i="13"/>
  <c r="K131" i="13" s="1"/>
  <c r="AL9" i="2" a="1"/>
  <c r="AL9" i="2" s="1"/>
  <c r="E168" i="19" s="1" a="1"/>
  <c r="E168" i="19" s="1"/>
  <c r="H130" i="13"/>
  <c r="H131" i="13" s="1"/>
  <c r="AA20" i="2"/>
  <c r="L130" i="13"/>
  <c r="L131" i="13" s="1"/>
  <c r="J130" i="13"/>
  <c r="J131" i="13" s="1"/>
  <c r="D130" i="13"/>
  <c r="D131" i="13" s="1"/>
  <c r="AD6" i="2"/>
  <c r="AC6" i="2"/>
  <c r="AC9" i="2"/>
  <c r="AD9" i="2"/>
  <c r="AB20" i="2"/>
  <c r="E114" i="13"/>
  <c r="E115" i="13" s="1"/>
  <c r="H146" i="13"/>
  <c r="H147" i="13" s="1"/>
  <c r="K162" i="13"/>
  <c r="K163" i="13" s="1"/>
  <c r="D162" i="13"/>
  <c r="D163" i="13" s="1"/>
  <c r="I114" i="13"/>
  <c r="I115" i="13" s="1"/>
  <c r="K146" i="13"/>
  <c r="K147" i="13" s="1"/>
  <c r="X20" i="2"/>
  <c r="X21" i="2"/>
  <c r="G162" i="13"/>
  <c r="G163" i="13" s="1"/>
  <c r="G146" i="13"/>
  <c r="G147" i="13" s="1"/>
  <c r="E46" i="13"/>
  <c r="E63" i="4" s="1"/>
  <c r="E47" i="13" a="1"/>
  <c r="E47" i="13" s="1"/>
  <c r="E65" i="4" s="1"/>
  <c r="AM6" i="2"/>
  <c r="AJ6" i="2"/>
  <c r="E48" i="13"/>
  <c r="E64" i="4" s="1"/>
  <c r="I146" i="13"/>
  <c r="I147" i="13" s="1"/>
  <c r="G114" i="13"/>
  <c r="G115" i="13" s="1"/>
  <c r="L162" i="13"/>
  <c r="L163" i="13" s="1"/>
  <c r="K81" i="13"/>
  <c r="L114" i="13"/>
  <c r="L115" i="13" s="1"/>
  <c r="F18" i="13"/>
  <c r="F19" i="13" s="1"/>
  <c r="H114" i="13"/>
  <c r="H115" i="13" s="1"/>
  <c r="J146" i="13"/>
  <c r="J147" i="13" s="1"/>
  <c r="C162" i="13"/>
  <c r="C163" i="13" s="1"/>
  <c r="C18" i="13"/>
  <c r="C19" i="13" s="1"/>
  <c r="H162" i="13"/>
  <c r="H163" i="13" s="1"/>
  <c r="F162" i="13"/>
  <c r="F163" i="13" s="1"/>
  <c r="C146" i="13"/>
  <c r="C147" i="13" s="1"/>
  <c r="J114" i="13"/>
  <c r="J115" i="13" s="1"/>
  <c r="E146" i="13"/>
  <c r="E147" i="13" s="1"/>
  <c r="K114" i="13"/>
  <c r="K115" i="13" s="1"/>
  <c r="H77" i="13"/>
  <c r="E162" i="13"/>
  <c r="E163" i="13" s="1"/>
  <c r="D114" i="13"/>
  <c r="D115" i="13" s="1"/>
  <c r="I162" i="13"/>
  <c r="I163" i="13" s="1"/>
  <c r="F146" i="13"/>
  <c r="F147" i="13" s="1"/>
  <c r="H81" i="13"/>
  <c r="D72" i="13"/>
  <c r="D12" i="4" s="1"/>
  <c r="D89" i="4" s="1"/>
  <c r="L146" i="13"/>
  <c r="L147" i="13" s="1"/>
  <c r="L68" i="13"/>
  <c r="L244" i="13" s="1"/>
  <c r="F68" i="13"/>
  <c r="F244" i="13" s="1"/>
  <c r="J85" i="13" a="1"/>
  <c r="J85" i="13" s="1"/>
  <c r="E72" i="13"/>
  <c r="E12" i="4" s="1"/>
  <c r="E89" i="4" s="1"/>
  <c r="F72" i="13"/>
  <c r="F12" i="4" s="1"/>
  <c r="F89" i="4" s="1"/>
  <c r="D47" i="13" a="1"/>
  <c r="D47" i="13" s="1"/>
  <c r="D65" i="4" s="1"/>
  <c r="D48" i="13"/>
  <c r="D64" i="4" s="1"/>
  <c r="D46" i="13"/>
  <c r="D63" i="4" s="1"/>
  <c r="L46" i="13"/>
  <c r="L63" i="4" s="1"/>
  <c r="L47" i="13" a="1"/>
  <c r="L47" i="13" s="1"/>
  <c r="L65" i="4" s="1"/>
  <c r="L48" i="13"/>
  <c r="L64" i="4" s="1"/>
  <c r="E77" i="13"/>
  <c r="J68" i="13"/>
  <c r="J244" i="13" s="1"/>
  <c r="H73" i="13" a="1"/>
  <c r="H73" i="13" s="1"/>
  <c r="G85" i="13" a="1"/>
  <c r="G85" i="13" s="1"/>
  <c r="K46" i="13"/>
  <c r="K63" i="4" s="1"/>
  <c r="K47" i="13" a="1"/>
  <c r="K47" i="13" s="1"/>
  <c r="K65" i="4" s="1"/>
  <c r="K48" i="13"/>
  <c r="K64" i="4" s="1"/>
  <c r="J48" i="13"/>
  <c r="J64" i="4" s="1"/>
  <c r="J46" i="13"/>
  <c r="J63" i="4" s="1"/>
  <c r="J47" i="13" a="1"/>
  <c r="J47" i="13" s="1"/>
  <c r="J65" i="4" s="1"/>
  <c r="I76" i="13" a="1"/>
  <c r="I76" i="13" s="1"/>
  <c r="I75" i="13" a="1"/>
  <c r="I75" i="13" s="1"/>
  <c r="I85" i="13" a="1"/>
  <c r="I85" i="13" s="1"/>
  <c r="D73" i="13" a="1"/>
  <c r="D73" i="13" s="1"/>
  <c r="K18" i="13"/>
  <c r="J81" i="13"/>
  <c r="J77" i="13"/>
  <c r="H68" i="13"/>
  <c r="H244" i="13" s="1"/>
  <c r="K76" i="13" a="1"/>
  <c r="K76" i="13" s="1"/>
  <c r="K75" i="13" a="1"/>
  <c r="K75" i="13" s="1"/>
  <c r="G30" i="13"/>
  <c r="G49" i="4" s="1"/>
  <c r="G32" i="13"/>
  <c r="G50" i="4" s="1"/>
  <c r="G31" i="13" a="1"/>
  <c r="G31" i="13" s="1"/>
  <c r="G51" i="4" s="1"/>
  <c r="F73" i="13" a="1"/>
  <c r="F73" i="13" s="1"/>
  <c r="L73" i="13" a="1"/>
  <c r="L73" i="13" s="1"/>
  <c r="L85" i="13" a="1"/>
  <c r="L85" i="13" s="1"/>
  <c r="J75" i="13" a="1"/>
  <c r="J75" i="13" s="1"/>
  <c r="J76" i="13" a="1"/>
  <c r="J76" i="13" s="1"/>
  <c r="K72" i="13"/>
  <c r="K12" i="4" s="1"/>
  <c r="K89" i="4" s="1"/>
  <c r="I72" i="13"/>
  <c r="I12" i="4" s="1"/>
  <c r="I89" i="4" s="1"/>
  <c r="C48" i="13"/>
  <c r="C64" i="4" s="1"/>
  <c r="C46" i="13"/>
  <c r="C63" i="4" s="1"/>
  <c r="C47" i="13" a="1"/>
  <c r="C47" i="13" s="1"/>
  <c r="C65" i="4" s="1"/>
  <c r="C81" i="13"/>
  <c r="E81" i="13"/>
  <c r="H32" i="13"/>
  <c r="H50" i="4" s="1"/>
  <c r="H31" i="13" a="1"/>
  <c r="H31" i="13" s="1"/>
  <c r="H51" i="4" s="1"/>
  <c r="H30" i="13"/>
  <c r="H49" i="4" s="1"/>
  <c r="D77" i="13"/>
  <c r="C68" i="13"/>
  <c r="C244" i="13" s="1"/>
  <c r="C73" i="13" a="1"/>
  <c r="C73" i="13" s="1"/>
  <c r="J18" i="13"/>
  <c r="J32" i="13"/>
  <c r="J50" i="4" s="1"/>
  <c r="J30" i="13"/>
  <c r="J49" i="4" s="1"/>
  <c r="J31" i="13" a="1"/>
  <c r="J31" i="13" s="1"/>
  <c r="J51" i="4" s="1"/>
  <c r="C77" i="13"/>
  <c r="F77" i="13"/>
  <c r="I77" i="13"/>
  <c r="E68" i="13"/>
  <c r="E244" i="13" s="1"/>
  <c r="G68" i="13"/>
  <c r="G244" i="13" s="1"/>
  <c r="K68" i="13"/>
  <c r="K244" i="13" s="1"/>
  <c r="CS50" i="3" a="1"/>
  <c r="CS50" i="3" s="1"/>
  <c r="CS58" i="3" s="1" a="1"/>
  <c r="CS58" i="3" s="1"/>
  <c r="I73" i="13" a="1"/>
  <c r="I73" i="13" s="1"/>
  <c r="K73" i="13" a="1"/>
  <c r="K73" i="13" s="1"/>
  <c r="G72" i="13"/>
  <c r="G12" i="4" s="1"/>
  <c r="G89" i="4" s="1"/>
  <c r="C32" i="13"/>
  <c r="C50" i="4" s="1"/>
  <c r="C30" i="13"/>
  <c r="C49" i="4" s="1"/>
  <c r="C31" i="13" a="1"/>
  <c r="C31" i="13" s="1"/>
  <c r="C51" i="4" s="1"/>
  <c r="E31" i="13" a="1"/>
  <c r="E31" i="13" s="1"/>
  <c r="E51" i="4" s="1"/>
  <c r="E30" i="13"/>
  <c r="E49" i="4" s="1"/>
  <c r="E32" i="13"/>
  <c r="E50" i="4" s="1"/>
  <c r="D81" i="13"/>
  <c r="D68" i="13"/>
  <c r="D244" i="13" s="1"/>
  <c r="C76" i="13" a="1"/>
  <c r="C76" i="13" s="1"/>
  <c r="C75" i="13" a="1"/>
  <c r="C75" i="13" s="1"/>
  <c r="F47" i="13" a="1"/>
  <c r="F47" i="13" s="1"/>
  <c r="F65" i="4" s="1"/>
  <c r="F46" i="13"/>
  <c r="F63" i="4" s="1"/>
  <c r="F48" i="13"/>
  <c r="F64" i="4" s="1"/>
  <c r="G47" i="13" a="1"/>
  <c r="G47" i="13" s="1"/>
  <c r="G65" i="4" s="1"/>
  <c r="G46" i="13"/>
  <c r="G63" i="4" s="1"/>
  <c r="G48" i="13"/>
  <c r="G64" i="4" s="1"/>
  <c r="D18" i="13"/>
  <c r="G81" i="13"/>
  <c r="L77" i="13"/>
  <c r="D76" i="13" a="1"/>
  <c r="D76" i="13" s="1"/>
  <c r="D75" i="13" a="1"/>
  <c r="D75" i="13" s="1"/>
  <c r="K85" i="13" a="1"/>
  <c r="K85" i="13" s="1"/>
  <c r="I48" i="13"/>
  <c r="I64" i="4" s="1"/>
  <c r="I46" i="13"/>
  <c r="I63" i="4" s="1"/>
  <c r="I47" i="13" a="1"/>
  <c r="I47" i="13" s="1"/>
  <c r="I65" i="4" s="1"/>
  <c r="F76" i="13" a="1"/>
  <c r="F76" i="13" s="1"/>
  <c r="F75" i="13" a="1"/>
  <c r="F75" i="13" s="1"/>
  <c r="I68" i="13"/>
  <c r="I244" i="13" s="1"/>
  <c r="F81" i="13"/>
  <c r="K77" i="13"/>
  <c r="G75" i="13" a="1"/>
  <c r="G75" i="13" s="1"/>
  <c r="G76" i="13" a="1"/>
  <c r="G76" i="13" s="1"/>
  <c r="C85" i="13" a="1"/>
  <c r="C85" i="13" s="1"/>
  <c r="L72" i="13"/>
  <c r="L12" i="4" s="1"/>
  <c r="L89" i="4" s="1"/>
  <c r="K32" i="13"/>
  <c r="K50" i="4" s="1"/>
  <c r="K30" i="13"/>
  <c r="K49" i="4" s="1"/>
  <c r="K31" i="13" a="1"/>
  <c r="K31" i="13" s="1"/>
  <c r="K51" i="4" s="1"/>
  <c r="C72" i="13"/>
  <c r="C12" i="4" s="1"/>
  <c r="C89" i="4" s="1"/>
  <c r="J162" i="13"/>
  <c r="J163" i="13" s="1"/>
  <c r="H48" i="13"/>
  <c r="H64" i="4" s="1"/>
  <c r="H47" i="13" a="1"/>
  <c r="H47" i="13" s="1"/>
  <c r="H65" i="4" s="1"/>
  <c r="H46" i="13"/>
  <c r="H63" i="4" s="1"/>
  <c r="H76" i="13" a="1"/>
  <c r="H76" i="13" s="1"/>
  <c r="H75" i="13" a="1"/>
  <c r="H75" i="13" s="1"/>
  <c r="G77" i="13"/>
  <c r="L81" i="13"/>
  <c r="G73" i="13" a="1"/>
  <c r="G73" i="13" s="1"/>
  <c r="E73" i="13" a="1"/>
  <c r="E73" i="13" s="1"/>
  <c r="L75" i="13" a="1"/>
  <c r="L75" i="13" s="1"/>
  <c r="L76" i="13" a="1"/>
  <c r="L76" i="13" s="1"/>
  <c r="J72" i="13"/>
  <c r="J12" i="4" s="1"/>
  <c r="J89" i="4" s="1"/>
  <c r="F31" i="13" a="1"/>
  <c r="F31" i="13" s="1"/>
  <c r="F51" i="4" s="1"/>
  <c r="F30" i="13"/>
  <c r="F49" i="4" s="1"/>
  <c r="F32" i="13"/>
  <c r="F50" i="4" s="1"/>
  <c r="I81" i="13"/>
  <c r="E76" i="13" a="1"/>
  <c r="E76" i="13" s="1"/>
  <c r="E75" i="13" a="1"/>
  <c r="E75" i="13" s="1"/>
  <c r="J73" i="13" a="1"/>
  <c r="J73" i="13" s="1"/>
  <c r="E85" i="13" a="1"/>
  <c r="E85" i="13" s="1"/>
  <c r="D85" i="13" a="1"/>
  <c r="D85" i="13" s="1"/>
  <c r="H85" i="13" a="1"/>
  <c r="H85" i="13" s="1"/>
  <c r="H72" i="13"/>
  <c r="H12" i="4" s="1"/>
  <c r="H89" i="4" s="1"/>
  <c r="L31" i="13" a="1"/>
  <c r="L31" i="13" s="1"/>
  <c r="L51" i="4" s="1"/>
  <c r="L32" i="13"/>
  <c r="L50" i="4" s="1"/>
  <c r="L30" i="13"/>
  <c r="L49" i="4" s="1"/>
  <c r="F114" i="13"/>
  <c r="F115" i="13" s="1"/>
  <c r="I30" i="13"/>
  <c r="I49" i="4" s="1"/>
  <c r="I31" i="13" a="1"/>
  <c r="I31" i="13" s="1"/>
  <c r="I51" i="4" s="1"/>
  <c r="I32" i="13"/>
  <c r="I50" i="4" s="1"/>
  <c r="D32" i="13"/>
  <c r="D50" i="4" s="1"/>
  <c r="D30" i="13"/>
  <c r="D49" i="4" s="1"/>
  <c r="D31" i="13" a="1"/>
  <c r="D31" i="13" s="1"/>
  <c r="D51" i="4" s="1"/>
  <c r="K37" i="3" a="1"/>
  <c r="K37" i="3" s="1"/>
  <c r="K44" i="3" s="1"/>
  <c r="BD37" i="3" a="1"/>
  <c r="BD37" i="3" s="1"/>
  <c r="BD44" i="3" s="1"/>
  <c r="BT37" i="3" a="1"/>
  <c r="BT37" i="3" s="1"/>
  <c r="BT44" i="3" s="1"/>
  <c r="CI37" i="3" a="1"/>
  <c r="CI37" i="3" s="1"/>
  <c r="CY37" i="3" a="1"/>
  <c r="CY37" i="3" s="1"/>
  <c r="CY44" i="3" s="1"/>
  <c r="DO37" i="3" a="1"/>
  <c r="DO37" i="3" s="1"/>
  <c r="DO44" i="3" s="1"/>
  <c r="L37" i="3" a="1"/>
  <c r="L37" i="3" s="1"/>
  <c r="L44" i="3" s="1"/>
  <c r="BE37" i="3" a="1"/>
  <c r="BE37" i="3" s="1"/>
  <c r="BE44" i="3" s="1"/>
  <c r="BU37" i="3" a="1"/>
  <c r="BU37" i="3" s="1"/>
  <c r="BU44" i="3" s="1"/>
  <c r="CJ37" i="3" a="1"/>
  <c r="CJ37" i="3" s="1"/>
  <c r="CJ44" i="3" s="1"/>
  <c r="CZ37" i="3" a="1"/>
  <c r="CZ37" i="3" s="1"/>
  <c r="CZ44" i="3" s="1"/>
  <c r="DP37" i="3" a="1"/>
  <c r="DP37" i="3" s="1"/>
  <c r="DP44" i="3" s="1"/>
  <c r="M37" i="3" a="1"/>
  <c r="M37" i="3" s="1"/>
  <c r="M44" i="3" s="1"/>
  <c r="BF37" i="3" a="1"/>
  <c r="BF37" i="3" s="1"/>
  <c r="BF44" i="3" s="1"/>
  <c r="BV37" i="3" a="1"/>
  <c r="BV37" i="3" s="1"/>
  <c r="BV44" i="3" s="1"/>
  <c r="CK37" i="3" a="1"/>
  <c r="CK37" i="3" s="1"/>
  <c r="CK44" i="3" s="1"/>
  <c r="DA37" i="3" a="1"/>
  <c r="DA37" i="3" s="1"/>
  <c r="DA44" i="3" s="1"/>
  <c r="DQ37" i="3" a="1"/>
  <c r="DQ37" i="3" s="1"/>
  <c r="DQ44" i="3" s="1"/>
  <c r="N37" i="3" a="1"/>
  <c r="N37" i="3" s="1"/>
  <c r="N44" i="3" s="1"/>
  <c r="BG37" i="3" a="1"/>
  <c r="BG37" i="3" s="1"/>
  <c r="BG44" i="3" s="1"/>
  <c r="BW37" i="3" a="1"/>
  <c r="BW37" i="3" s="1"/>
  <c r="CL37" i="3" a="1"/>
  <c r="CL37" i="3" s="1"/>
  <c r="CL44" i="3" s="1"/>
  <c r="DB37" i="3" a="1"/>
  <c r="DB37" i="3" s="1"/>
  <c r="DB44" i="3" s="1"/>
  <c r="DR37" i="3" a="1"/>
  <c r="DR37" i="3" s="1"/>
  <c r="DR44" i="3" s="1"/>
  <c r="O37" i="3" a="1"/>
  <c r="O37" i="3" s="1"/>
  <c r="BH37" i="3" a="1"/>
  <c r="BH37" i="3" s="1"/>
  <c r="BH44" i="3" s="1"/>
  <c r="BX37" i="3" a="1"/>
  <c r="BX37" i="3" s="1"/>
  <c r="BX44" i="3" s="1"/>
  <c r="CM37" i="3" a="1"/>
  <c r="CM37" i="3" s="1"/>
  <c r="CM44" i="3" s="1"/>
  <c r="DC37" i="3" a="1"/>
  <c r="DC37" i="3" s="1"/>
  <c r="DC44" i="3" s="1"/>
  <c r="AS37" i="3" a="1"/>
  <c r="AS37" i="3" s="1"/>
  <c r="AS44" i="3" s="1"/>
  <c r="BI37" i="3" a="1"/>
  <c r="BI37" i="3" s="1"/>
  <c r="BI44" i="3" s="1"/>
  <c r="BY37" i="3" a="1"/>
  <c r="BY37" i="3" s="1"/>
  <c r="BY44" i="3" s="1"/>
  <c r="CN37" i="3" a="1"/>
  <c r="CN37" i="3" s="1"/>
  <c r="CN44" i="3" s="1"/>
  <c r="DD37" i="3" a="1"/>
  <c r="DD37" i="3" s="1"/>
  <c r="DD44" i="3" s="1"/>
  <c r="AT37" i="3" a="1"/>
  <c r="AT37" i="3" s="1"/>
  <c r="AT44" i="3" s="1"/>
  <c r="BJ37" i="3" a="1"/>
  <c r="BJ37" i="3" s="1"/>
  <c r="BJ44" i="3" s="1"/>
  <c r="BZ37" i="3" a="1"/>
  <c r="BZ37" i="3" s="1"/>
  <c r="BZ44" i="3" s="1"/>
  <c r="CO37" i="3" a="1"/>
  <c r="CO37" i="3" s="1"/>
  <c r="CO44" i="3" s="1"/>
  <c r="DE37" i="3" a="1"/>
  <c r="DE37" i="3" s="1"/>
  <c r="DE44" i="3" s="1"/>
  <c r="AU37" i="3" a="1"/>
  <c r="AU37" i="3" s="1"/>
  <c r="AU44" i="3" s="1"/>
  <c r="BK37" i="3" a="1"/>
  <c r="BK37" i="3" s="1"/>
  <c r="CA37" i="3" a="1"/>
  <c r="CA37" i="3" s="1"/>
  <c r="CA44" i="3" s="1"/>
  <c r="CP37" i="3" a="1"/>
  <c r="CP37" i="3" s="1"/>
  <c r="CP44" i="3" s="1"/>
  <c r="DF37" i="3" a="1"/>
  <c r="DF37" i="3" s="1"/>
  <c r="DF44" i="3" s="1"/>
  <c r="C37" i="3" a="1"/>
  <c r="C37" i="3" s="1"/>
  <c r="AV37" i="3" a="1"/>
  <c r="AV37" i="3" s="1"/>
  <c r="AV44" i="3" s="1"/>
  <c r="BL37" i="3" a="1"/>
  <c r="BL37" i="3" s="1"/>
  <c r="BL44" i="3" s="1"/>
  <c r="CB37" i="3" a="1"/>
  <c r="CB37" i="3" s="1"/>
  <c r="CB44" i="3" s="1"/>
  <c r="CQ37" i="3" a="1"/>
  <c r="CQ37" i="3" s="1"/>
  <c r="CQ44" i="3" s="1"/>
  <c r="DG37" i="3" a="1"/>
  <c r="DG37" i="3" s="1"/>
  <c r="D37" i="3" a="1"/>
  <c r="D37" i="3" s="1"/>
  <c r="D44" i="3" s="1"/>
  <c r="AW37" i="3" a="1"/>
  <c r="AW37" i="3" s="1"/>
  <c r="AW44" i="3" s="1"/>
  <c r="BM37" i="3" a="1"/>
  <c r="BM37" i="3" s="1"/>
  <c r="BM44" i="3" s="1"/>
  <c r="CR37" i="3" a="1"/>
  <c r="CR37" i="3" s="1"/>
  <c r="CR44" i="3" s="1"/>
  <c r="DH37" i="3" a="1"/>
  <c r="DH37" i="3" s="1"/>
  <c r="DH44" i="3" s="1"/>
  <c r="E37" i="3" a="1"/>
  <c r="E37" i="3" s="1"/>
  <c r="E44" i="3" s="1"/>
  <c r="AX37" i="3" a="1"/>
  <c r="AX37" i="3" s="1"/>
  <c r="AX44" i="3" s="1"/>
  <c r="BN37" i="3" a="1"/>
  <c r="BN37" i="3" s="1"/>
  <c r="BN44" i="3" s="1"/>
  <c r="CC37" i="3" a="1"/>
  <c r="CC37" i="3" s="1"/>
  <c r="CC44" i="3" s="1"/>
  <c r="CS37" i="3" a="1"/>
  <c r="CS37" i="3" s="1"/>
  <c r="CS44" i="3" s="1"/>
  <c r="DI37" i="3" a="1"/>
  <c r="DI37" i="3" s="1"/>
  <c r="DI44" i="3" s="1"/>
  <c r="F37" i="3" a="1"/>
  <c r="F37" i="3" s="1"/>
  <c r="F44" i="3" s="1"/>
  <c r="AY37" i="3" a="1"/>
  <c r="AY37" i="3" s="1"/>
  <c r="BO37" i="3" a="1"/>
  <c r="BO37" i="3" s="1"/>
  <c r="BO44" i="3" s="1"/>
  <c r="CD37" i="3" a="1"/>
  <c r="CD37" i="3" s="1"/>
  <c r="CD44" i="3" s="1"/>
  <c r="CT37" i="3" a="1"/>
  <c r="CT37" i="3" s="1"/>
  <c r="CT44" i="3" s="1"/>
  <c r="DJ37" i="3" a="1"/>
  <c r="DJ37" i="3" s="1"/>
  <c r="DJ44" i="3" s="1"/>
  <c r="G37" i="3" a="1"/>
  <c r="G37" i="3" s="1"/>
  <c r="G44" i="3" s="1"/>
  <c r="AZ37" i="3" a="1"/>
  <c r="AZ37" i="3" s="1"/>
  <c r="AZ44" i="3" s="1"/>
  <c r="BP37" i="3" a="1"/>
  <c r="BP37" i="3" s="1"/>
  <c r="BP44" i="3" s="1"/>
  <c r="CE37" i="3" a="1"/>
  <c r="CE37" i="3" s="1"/>
  <c r="CE44" i="3" s="1"/>
  <c r="CU37" i="3" a="1"/>
  <c r="CU37" i="3" s="1"/>
  <c r="DK37" i="3" a="1"/>
  <c r="DK37" i="3" s="1"/>
  <c r="DK44" i="3" s="1"/>
  <c r="H37" i="3" a="1"/>
  <c r="H37" i="3" s="1"/>
  <c r="H44" i="3" s="1"/>
  <c r="BA37" i="3" a="1"/>
  <c r="BA37" i="3" s="1"/>
  <c r="BA44" i="3" s="1"/>
  <c r="BQ37" i="3" a="1"/>
  <c r="BQ37" i="3" s="1"/>
  <c r="BQ44" i="3" s="1"/>
  <c r="CF37" i="3" a="1"/>
  <c r="CF37" i="3" s="1"/>
  <c r="CF44" i="3" s="1"/>
  <c r="CV37" i="3" a="1"/>
  <c r="CV37" i="3" s="1"/>
  <c r="CV44" i="3" s="1"/>
  <c r="DL37" i="3" a="1"/>
  <c r="DL37" i="3" s="1"/>
  <c r="DL44" i="3" s="1"/>
  <c r="I37" i="3" a="1"/>
  <c r="I37" i="3" s="1"/>
  <c r="I44" i="3" s="1"/>
  <c r="BB37" i="3" a="1"/>
  <c r="BB37" i="3" s="1"/>
  <c r="BB44" i="3" s="1"/>
  <c r="BR37" i="3" a="1"/>
  <c r="BR37" i="3" s="1"/>
  <c r="BR44" i="3" s="1"/>
  <c r="CG37" i="3" a="1"/>
  <c r="CG37" i="3" s="1"/>
  <c r="CG44" i="3" s="1"/>
  <c r="CW37" i="3" a="1"/>
  <c r="CW37" i="3" s="1"/>
  <c r="CW44" i="3" s="1"/>
  <c r="DM37" i="3" a="1"/>
  <c r="DM37" i="3" s="1"/>
  <c r="DM44" i="3" s="1"/>
  <c r="J37" i="3" a="1"/>
  <c r="J37" i="3" s="1"/>
  <c r="J44" i="3" s="1"/>
  <c r="BC37" i="3" a="1"/>
  <c r="BC37" i="3" s="1"/>
  <c r="BC44" i="3" s="1"/>
  <c r="BS37" i="3" a="1"/>
  <c r="BS37" i="3" s="1"/>
  <c r="BS44" i="3" s="1"/>
  <c r="CH37" i="3" a="1"/>
  <c r="CH37" i="3" s="1"/>
  <c r="CH44" i="3" s="1"/>
  <c r="CX37" i="3" a="1"/>
  <c r="CX37" i="3" s="1"/>
  <c r="CX44" i="3" s="1"/>
  <c r="DN37" i="3" a="1"/>
  <c r="DN37" i="3" s="1"/>
  <c r="DN44" i="3" s="1"/>
  <c r="AN37" i="3" a="1"/>
  <c r="AN37" i="3" s="1"/>
  <c r="AN44" i="3" s="1"/>
  <c r="AH37" i="3" a="1"/>
  <c r="AH37" i="3" s="1"/>
  <c r="AH44" i="3" s="1"/>
  <c r="AJ37" i="3" a="1"/>
  <c r="AJ37" i="3" s="1"/>
  <c r="AJ44" i="3" s="1"/>
  <c r="V37" i="3" a="1"/>
  <c r="V37" i="3" s="1"/>
  <c r="V44" i="3" s="1"/>
  <c r="X37" i="3" a="1"/>
  <c r="X37" i="3" s="1"/>
  <c r="X44" i="3" s="1"/>
  <c r="AK37" i="3" a="1"/>
  <c r="AK37" i="3" s="1"/>
  <c r="AK44" i="3" s="1"/>
  <c r="Y37" i="3" a="1"/>
  <c r="Y37" i="3" s="1"/>
  <c r="Y44" i="3" s="1"/>
  <c r="AQ37" i="3" a="1"/>
  <c r="AQ37" i="3" s="1"/>
  <c r="AQ44" i="3" s="1"/>
  <c r="AI37" i="3" a="1"/>
  <c r="AI37" i="3" s="1"/>
  <c r="AI44" i="3" s="1"/>
  <c r="AR37" i="3" a="1"/>
  <c r="AR37" i="3" s="1"/>
  <c r="AR44" i="3" s="1"/>
  <c r="AE37" i="3" a="1"/>
  <c r="AE37" i="3" s="1"/>
  <c r="AE44" i="3" s="1"/>
  <c r="W37" i="3" a="1"/>
  <c r="W37" i="3" s="1"/>
  <c r="W44" i="3" s="1"/>
  <c r="AF37" i="3" a="1"/>
  <c r="AF37" i="3" s="1"/>
  <c r="AF44" i="3" s="1"/>
  <c r="S37" i="3" a="1"/>
  <c r="S37" i="3" s="1"/>
  <c r="S44" i="3" s="1"/>
  <c r="T37" i="3" a="1"/>
  <c r="T37" i="3" s="1"/>
  <c r="T44" i="3" s="1"/>
  <c r="AC37" i="3" a="1"/>
  <c r="AC37" i="3" s="1"/>
  <c r="AC44" i="3" s="1"/>
  <c r="Q37" i="3" a="1"/>
  <c r="Q37" i="3" s="1"/>
  <c r="Q44" i="3" s="1"/>
  <c r="AO37" i="3" a="1"/>
  <c r="AO37" i="3" s="1"/>
  <c r="AO44" i="3" s="1"/>
  <c r="AG37" i="3" a="1"/>
  <c r="AG37" i="3" s="1"/>
  <c r="AG44" i="3" s="1"/>
  <c r="AA37" i="3" a="1"/>
  <c r="AA37" i="3" s="1"/>
  <c r="Z37" i="3" a="1"/>
  <c r="Z37" i="3" s="1"/>
  <c r="Z44" i="3" s="1"/>
  <c r="U37" i="3" a="1"/>
  <c r="U37" i="3" s="1"/>
  <c r="U44" i="3" s="1"/>
  <c r="AM37" i="3" a="1"/>
  <c r="AM37" i="3" s="1"/>
  <c r="AL37" i="3" a="1"/>
  <c r="AL37" i="3" s="1"/>
  <c r="AL44" i="3" s="1"/>
  <c r="AB37" i="3" a="1"/>
  <c r="AB37" i="3" s="1"/>
  <c r="AB44" i="3" s="1"/>
  <c r="P37" i="3" a="1"/>
  <c r="P37" i="3" s="1"/>
  <c r="P44" i="3" s="1"/>
  <c r="AP37" i="3" a="1"/>
  <c r="AP37" i="3" s="1"/>
  <c r="AP44" i="3" s="1"/>
  <c r="AD37" i="3" a="1"/>
  <c r="AD37" i="3" s="1"/>
  <c r="AD44" i="3" s="1"/>
  <c r="R37" i="3" a="1"/>
  <c r="R37" i="3" s="1"/>
  <c r="R44" i="3" s="1"/>
  <c r="CH89" i="3" a="1"/>
  <c r="CH89" i="3" s="1"/>
  <c r="AF89" i="3" a="1"/>
  <c r="AF89" i="3" s="1"/>
  <c r="Y89" i="3" a="1"/>
  <c r="Y89" i="3" s="1"/>
  <c r="J89" i="3" a="1"/>
  <c r="J89" i="3" s="1"/>
  <c r="R89" i="3" a="1"/>
  <c r="R89" i="3" s="1"/>
  <c r="CD89" i="3" a="1"/>
  <c r="CD89" i="3" s="1"/>
  <c r="Z89" i="3" a="1"/>
  <c r="Z89" i="3" s="1"/>
  <c r="G89" i="3" a="1"/>
  <c r="G89" i="3" s="1"/>
  <c r="DR50" i="3" a="1"/>
  <c r="DR50" i="3" s="1"/>
  <c r="CG89" i="3" a="1"/>
  <c r="CG89" i="3" s="1"/>
  <c r="AP50" i="3" a="1"/>
  <c r="AP50" i="3" s="1"/>
  <c r="AP57" i="3" s="1"/>
  <c r="V89" i="3" a="1"/>
  <c r="V89" i="3" s="1"/>
  <c r="Q50" i="3" a="1"/>
  <c r="Q50" i="3" s="1"/>
  <c r="Q57" i="3" s="1"/>
  <c r="BV89" i="3" a="1"/>
  <c r="BV89" i="3" s="1"/>
  <c r="CU89" i="3" a="1"/>
  <c r="CU89" i="3" s="1"/>
  <c r="DA50" i="3" a="1"/>
  <c r="DA50" i="3" s="1"/>
  <c r="DA57" i="3" s="1"/>
  <c r="BJ50" i="3" a="1"/>
  <c r="BJ50" i="3" s="1"/>
  <c r="BJ57" i="3" s="1"/>
  <c r="L89" i="3" a="1"/>
  <c r="L89" i="3" s="1"/>
  <c r="F89" i="3" a="1"/>
  <c r="F89" i="3" s="1"/>
  <c r="CW89" i="3" a="1"/>
  <c r="CW89" i="3" s="1"/>
  <c r="DG89" i="3" a="1"/>
  <c r="DG89" i="3" s="1"/>
  <c r="AE89" i="3" a="1"/>
  <c r="AE89" i="3" s="1"/>
  <c r="AI89" i="3" a="1"/>
  <c r="AI89" i="3" s="1"/>
  <c r="DL89" i="3" a="1"/>
  <c r="DL89" i="3" s="1"/>
  <c r="AU50" i="3" a="1"/>
  <c r="AU50" i="3" s="1"/>
  <c r="AU58" i="3" s="1" a="1"/>
  <c r="AU58" i="3" s="1"/>
  <c r="AG89" i="3" a="1"/>
  <c r="AG89" i="3" s="1"/>
  <c r="BA89" i="3" a="1"/>
  <c r="BA89" i="3" s="1"/>
  <c r="DL50" i="3" a="1"/>
  <c r="DL50" i="3" s="1"/>
  <c r="AH89" i="3" a="1"/>
  <c r="AH89" i="3" s="1"/>
  <c r="DP89" i="3" a="1"/>
  <c r="DP89" i="3" s="1"/>
  <c r="BY50" i="3" a="1"/>
  <c r="BY50" i="3" s="1"/>
  <c r="BY58" i="3" s="1" a="1"/>
  <c r="BY58" i="3" s="1"/>
  <c r="DI50" i="3" a="1"/>
  <c r="DI50" i="3" s="1"/>
  <c r="BN89" i="3" a="1"/>
  <c r="BN89" i="3" s="1"/>
  <c r="T50" i="3" a="1"/>
  <c r="T50" i="3" s="1"/>
  <c r="T58" i="3" s="1" a="1"/>
  <c r="T58" i="3" s="1"/>
  <c r="DP50" i="3" a="1"/>
  <c r="DP50" i="3" s="1"/>
  <c r="DP57" i="3" s="1"/>
  <c r="BR50" i="3" a="1"/>
  <c r="BR50" i="3" s="1"/>
  <c r="BR57" i="3" s="1"/>
  <c r="O50" i="3" a="1"/>
  <c r="O50" i="3" s="1"/>
  <c r="BJ89" i="3" a="1"/>
  <c r="BJ89" i="3" s="1"/>
  <c r="CD50" i="3" a="1"/>
  <c r="CD50" i="3" s="1"/>
  <c r="CD57" i="3" s="1"/>
  <c r="BV50" i="3" a="1"/>
  <c r="BV50" i="3" s="1"/>
  <c r="BV57" i="3" s="1"/>
  <c r="BS89" i="3" a="1"/>
  <c r="BS89" i="3" s="1"/>
  <c r="T89" i="3" a="1"/>
  <c r="T89" i="3" s="1"/>
  <c r="BQ89" i="3" a="1"/>
  <c r="BQ89" i="3" s="1"/>
  <c r="CI50" i="3" a="1"/>
  <c r="CI50" i="3" s="1"/>
  <c r="C89" i="3" a="1"/>
  <c r="C89" i="3" s="1"/>
  <c r="DM89" i="3" a="1"/>
  <c r="DM89" i="3" s="1"/>
  <c r="CV89" i="3" a="1"/>
  <c r="CV89" i="3" s="1"/>
  <c r="BH50" i="3" a="1"/>
  <c r="BH50" i="3" s="1"/>
  <c r="DC50" i="3" a="1"/>
  <c r="DC50" i="3" s="1"/>
  <c r="DC58" i="3" s="1" a="1"/>
  <c r="DC58" i="3" s="1"/>
  <c r="DF89" i="3" a="1"/>
  <c r="DF89" i="3" s="1"/>
  <c r="AI50" i="3" a="1"/>
  <c r="AI50" i="3" s="1"/>
  <c r="AI58" i="3" s="1" a="1"/>
  <c r="AI58" i="3" s="1"/>
  <c r="V50" i="3" a="1"/>
  <c r="V50" i="3" s="1"/>
  <c r="V57" i="3" s="1"/>
  <c r="CN50" i="3" a="1"/>
  <c r="CN50" i="3" s="1"/>
  <c r="CN58" i="3" s="1" a="1"/>
  <c r="CN58" i="3" s="1"/>
  <c r="O89" i="3" a="1"/>
  <c r="O89" i="3" s="1"/>
  <c r="AX89" i="3" a="1"/>
  <c r="AX89" i="3" s="1"/>
  <c r="D50" i="3" a="1"/>
  <c r="D50" i="3" s="1"/>
  <c r="D58" i="3" s="1" a="1"/>
  <c r="D58" i="3" s="1"/>
  <c r="CX50" i="3" a="1"/>
  <c r="CX50" i="3" s="1"/>
  <c r="CX57" i="3" s="1"/>
  <c r="CN89" i="3" a="1"/>
  <c r="CN89" i="3" s="1"/>
  <c r="CB50" i="3" a="1"/>
  <c r="CB50" i="3" s="1"/>
  <c r="CB57" i="3" s="1"/>
  <c r="BN50" i="3" a="1"/>
  <c r="BN50" i="3" s="1"/>
  <c r="BR89" i="3" a="1"/>
  <c r="BR89" i="3" s="1"/>
  <c r="CI89" i="3" a="1"/>
  <c r="CI89" i="3" s="1"/>
  <c r="DD89" i="3" a="1"/>
  <c r="DD89" i="3" s="1"/>
  <c r="CR89" i="3" a="1"/>
  <c r="CR89" i="3" s="1"/>
  <c r="CC89" i="3" a="1"/>
  <c r="CC89" i="3" s="1"/>
  <c r="CT89" i="3" a="1"/>
  <c r="CT89" i="3" s="1"/>
  <c r="AZ89" i="3" a="1"/>
  <c r="AZ89" i="3" s="1"/>
  <c r="I89" i="3" a="1"/>
  <c r="I89" i="3" s="1"/>
  <c r="CK89" i="3" a="1"/>
  <c r="CK89" i="3" s="1"/>
  <c r="AT89" i="3" a="1"/>
  <c r="AT89" i="3" s="1"/>
  <c r="CG50" i="3" a="1"/>
  <c r="CG50" i="3" s="1"/>
  <c r="CG58" i="3" s="1" a="1"/>
  <c r="CG58" i="3" s="1"/>
  <c r="E89" i="3" a="1"/>
  <c r="E89" i="3" s="1"/>
  <c r="BI89" i="3" a="1"/>
  <c r="BI89" i="3" s="1"/>
  <c r="Y50" i="3" a="1"/>
  <c r="Y50" i="3" s="1"/>
  <c r="DG50" i="3" a="1"/>
  <c r="DG50" i="3" s="1"/>
  <c r="BX89" i="3" a="1"/>
  <c r="BX89" i="3" s="1"/>
  <c r="DH50" i="3" a="1"/>
  <c r="DH50" i="3" s="1"/>
  <c r="DH58" i="3" s="1" a="1"/>
  <c r="DH58" i="3" s="1"/>
  <c r="CP89" i="3" a="1"/>
  <c r="CP89" i="3" s="1"/>
  <c r="DJ89" i="3" a="1"/>
  <c r="DJ89" i="3" s="1"/>
  <c r="S89" i="3" a="1"/>
  <c r="S89" i="3" s="1"/>
  <c r="BB50" i="3" a="1"/>
  <c r="BB50" i="3" s="1"/>
  <c r="BB58" i="3" s="1" a="1"/>
  <c r="BB58" i="3" s="1"/>
  <c r="U50" i="3" a="1"/>
  <c r="U50" i="3" s="1"/>
  <c r="BG89" i="3" a="1"/>
  <c r="BG89" i="3" s="1"/>
  <c r="BX50" i="3" a="1"/>
  <c r="BX50" i="3" s="1"/>
  <c r="BX57" i="3" s="1"/>
  <c r="CK50" i="3" a="1"/>
  <c r="CK50" i="3" s="1"/>
  <c r="CK58" i="3" s="1" a="1"/>
  <c r="CK58" i="3" s="1"/>
  <c r="BU50" i="3" a="1"/>
  <c r="BU50" i="3" s="1"/>
  <c r="BU57" i="3" s="1"/>
  <c r="AT24" i="3" a="1"/>
  <c r="AT24" i="3" s="1"/>
  <c r="AT31" i="3" s="1"/>
  <c r="M50" i="3" a="1"/>
  <c r="M50" i="3" s="1"/>
  <c r="M57" i="3" s="1"/>
  <c r="BM89" i="3" a="1"/>
  <c r="BM89" i="3" s="1"/>
  <c r="BM50" i="3" a="1"/>
  <c r="BM50" i="3" s="1"/>
  <c r="BM57" i="3" s="1"/>
  <c r="D89" i="3" a="1"/>
  <c r="D89" i="3" s="1"/>
  <c r="AZ50" i="3" a="1"/>
  <c r="AZ50" i="3" s="1"/>
  <c r="AZ58" i="3" s="1" a="1"/>
  <c r="AZ58" i="3" s="1"/>
  <c r="CF89" i="3" a="1"/>
  <c r="CF89" i="3" s="1"/>
  <c r="BP89" i="3" a="1"/>
  <c r="BP89" i="3" s="1"/>
  <c r="AX50" i="3" a="1"/>
  <c r="AX50" i="3" s="1"/>
  <c r="AX57" i="3" s="1"/>
  <c r="CX89" i="3" a="1"/>
  <c r="CX89" i="3" s="1"/>
  <c r="AN89" i="3" a="1"/>
  <c r="AN89" i="3" s="1"/>
  <c r="AB50" i="3" a="1"/>
  <c r="AB50" i="3" s="1"/>
  <c r="AB57" i="3" s="1"/>
  <c r="AW89" i="3" a="1"/>
  <c r="AW89" i="3" s="1"/>
  <c r="CQ50" i="3" a="1"/>
  <c r="CQ50" i="3" s="1"/>
  <c r="CQ57" i="3" s="1"/>
  <c r="CS89" i="3" a="1"/>
  <c r="CS89" i="3" s="1"/>
  <c r="AJ89" i="3" a="1"/>
  <c r="AJ89" i="3" s="1"/>
  <c r="C50" i="3" a="1"/>
  <c r="C50" i="3" s="1"/>
  <c r="AN50" i="3" a="1"/>
  <c r="AN50" i="3" s="1"/>
  <c r="AN58" i="3" s="1" a="1"/>
  <c r="AN58" i="3" s="1"/>
  <c r="AM50" i="3" a="1"/>
  <c r="AM50" i="3" s="1"/>
  <c r="X89" i="3" a="1"/>
  <c r="X89" i="3" s="1"/>
  <c r="BD89" i="3" a="1"/>
  <c r="BD89" i="3" s="1"/>
  <c r="BI50" i="3" a="1"/>
  <c r="BI50" i="3" s="1"/>
  <c r="BI58" i="3" s="1" a="1"/>
  <c r="BI58" i="3" s="1"/>
  <c r="AQ50" i="3" a="1"/>
  <c r="AQ50" i="3" s="1"/>
  <c r="AQ57" i="3" s="1"/>
  <c r="E50" i="3" a="1"/>
  <c r="E50" i="3" s="1"/>
  <c r="E57" i="3" s="1"/>
  <c r="DK50" i="3" a="1"/>
  <c r="DK50" i="3" s="1"/>
  <c r="DK58" i="3" s="1" a="1"/>
  <c r="DK58" i="3" s="1"/>
  <c r="AA89" i="3" a="1"/>
  <c r="AA89" i="3" s="1"/>
  <c r="BD50" i="3" a="1"/>
  <c r="BD50" i="3" s="1"/>
  <c r="BD58" i="3" s="1" a="1"/>
  <c r="BD58" i="3" s="1"/>
  <c r="CY89" i="3" a="1"/>
  <c r="CY89" i="3" s="1"/>
  <c r="DA89" i="3" a="1"/>
  <c r="DA89" i="3" s="1"/>
  <c r="CJ89" i="3" a="1"/>
  <c r="CJ89" i="3" s="1"/>
  <c r="DB50" i="3" a="1"/>
  <c r="DB50" i="3" s="1"/>
  <c r="DB58" i="3" s="1" a="1"/>
  <c r="DB58" i="3" s="1"/>
  <c r="DE50" i="3" a="1"/>
  <c r="DE50" i="3" s="1"/>
  <c r="DE57" i="3" s="1"/>
  <c r="CM50" i="3" a="1"/>
  <c r="CM50" i="3" s="1"/>
  <c r="CM58" i="3" s="1" a="1"/>
  <c r="CM58" i="3" s="1"/>
  <c r="P89" i="3" a="1"/>
  <c r="P89" i="3" s="1"/>
  <c r="BE50" i="3" a="1"/>
  <c r="BE50" i="3" s="1"/>
  <c r="BE58" i="3" s="1" a="1"/>
  <c r="BE58" i="3" s="1"/>
  <c r="U89" i="3" a="1"/>
  <c r="U89" i="3" s="1"/>
  <c r="S50" i="3" a="1"/>
  <c r="S50" i="3" s="1"/>
  <c r="BO89" i="3" a="1"/>
  <c r="BO89" i="3" s="1"/>
  <c r="CJ50" i="3" a="1"/>
  <c r="CJ50" i="3" s="1"/>
  <c r="CJ58" i="3" s="1" a="1"/>
  <c r="CJ58" i="3" s="1"/>
  <c r="CM89" i="3" a="1"/>
  <c r="CM89" i="3" s="1"/>
  <c r="DQ50" i="3" a="1"/>
  <c r="DQ50" i="3" s="1"/>
  <c r="DQ57" i="3" s="1"/>
  <c r="BW89" i="3" a="1"/>
  <c r="BW89" i="3" s="1"/>
  <c r="AR50" i="3" a="1"/>
  <c r="AR50" i="3" s="1"/>
  <c r="DH89" i="3" a="1"/>
  <c r="DH89" i="3" s="1"/>
  <c r="AV89" i="3" a="1"/>
  <c r="AV89" i="3" s="1"/>
  <c r="AH50" i="3" a="1"/>
  <c r="AH50" i="3" s="1"/>
  <c r="AH57" i="3" s="1"/>
  <c r="AK89" i="3" a="1"/>
  <c r="AK89" i="3" s="1"/>
  <c r="BQ50" i="3" a="1"/>
  <c r="BQ50" i="3" s="1"/>
  <c r="BQ58" i="3" s="1" a="1"/>
  <c r="BQ58" i="3" s="1"/>
  <c r="Z50" i="3" a="1"/>
  <c r="Z50" i="3" s="1"/>
  <c r="Z58" i="3" s="1" a="1"/>
  <c r="Z58" i="3" s="1"/>
  <c r="AC89" i="3" a="1"/>
  <c r="AC89" i="3" s="1"/>
  <c r="CL50" i="3" a="1"/>
  <c r="CL50" i="3" s="1"/>
  <c r="CO89" i="3" a="1"/>
  <c r="CO89" i="3" s="1"/>
  <c r="AF50" i="3" a="1"/>
  <c r="AF50" i="3" s="1"/>
  <c r="AF58" i="3" s="1" a="1"/>
  <c r="AF58" i="3" s="1"/>
  <c r="BL50" i="3" a="1"/>
  <c r="BL50" i="3" s="1"/>
  <c r="BL57" i="3" s="1"/>
  <c r="AM89" i="3" a="1"/>
  <c r="AM89" i="3" s="1"/>
  <c r="BP50" i="3" a="1"/>
  <c r="BP50" i="3" s="1"/>
  <c r="BP58" i="3" s="1" a="1"/>
  <c r="BP58" i="3" s="1"/>
  <c r="G50" i="3" a="1"/>
  <c r="G50" i="3" s="1"/>
  <c r="G57" i="3" s="1"/>
  <c r="DM50" i="3" a="1"/>
  <c r="DM50" i="3" s="1"/>
  <c r="DM57" i="3" s="1"/>
  <c r="DN50" i="3" a="1"/>
  <c r="DN50" i="3" s="1"/>
  <c r="DN58" i="3" s="1" a="1"/>
  <c r="DN58" i="3" s="1"/>
  <c r="CF50" i="3" a="1"/>
  <c r="CF50" i="3" s="1"/>
  <c r="CF57" i="3" s="1"/>
  <c r="K89" i="3" a="1"/>
  <c r="K89" i="3" s="1"/>
  <c r="X50" i="3" a="1"/>
  <c r="X50" i="3" s="1"/>
  <c r="X57" i="3" s="1"/>
  <c r="BF50" i="3" a="1"/>
  <c r="BF50" i="3" s="1"/>
  <c r="BF57" i="3" s="1"/>
  <c r="DB89" i="3" a="1"/>
  <c r="DB89" i="3" s="1"/>
  <c r="CP50" i="3" a="1"/>
  <c r="CP50" i="3" s="1"/>
  <c r="CP57" i="3" s="1"/>
  <c r="Q89" i="3" a="1"/>
  <c r="Q89" i="3" s="1"/>
  <c r="BT89" i="3" a="1"/>
  <c r="BT89" i="3" s="1"/>
  <c r="BC50" i="3" a="1"/>
  <c r="BC50" i="3" s="1"/>
  <c r="BC58" i="3" s="1" a="1"/>
  <c r="BC58" i="3" s="1"/>
  <c r="AA50" i="3" a="1"/>
  <c r="AA50" i="3" s="1"/>
  <c r="CY50" i="3" a="1"/>
  <c r="CY50" i="3" s="1"/>
  <c r="CY57" i="3" s="1"/>
  <c r="CH50" i="3" a="1"/>
  <c r="CH50" i="3" s="1"/>
  <c r="CH57" i="3" s="1"/>
  <c r="DD50" i="3" a="1"/>
  <c r="DD50" i="3" s="1"/>
  <c r="DD57" i="3" s="1"/>
  <c r="CZ89" i="3" a="1"/>
  <c r="CZ89" i="3" s="1"/>
  <c r="DR89" i="3" a="1"/>
  <c r="DR89" i="3" s="1"/>
  <c r="AQ89" i="3" a="1"/>
  <c r="AQ89" i="3" s="1"/>
  <c r="CR50" i="3" a="1"/>
  <c r="CR50" i="3" s="1"/>
  <c r="CR58" i="3" s="1" a="1"/>
  <c r="CR58" i="3" s="1"/>
  <c r="AC50" i="3" a="1"/>
  <c r="AC50" i="3" s="1"/>
  <c r="AC57" i="3" s="1"/>
  <c r="DO24" i="3" a="1"/>
  <c r="DO24" i="3" s="1"/>
  <c r="DO31" i="3" s="1"/>
  <c r="BB89" i="3" a="1"/>
  <c r="BB89" i="3" s="1"/>
  <c r="AY89" i="3" a="1"/>
  <c r="AY89" i="3" s="1"/>
  <c r="CE50" i="3" a="1"/>
  <c r="CE50" i="3" s="1"/>
  <c r="CE57" i="3" s="1"/>
  <c r="CW50" i="3" a="1"/>
  <c r="CW50" i="3" s="1"/>
  <c r="CW57" i="3" s="1"/>
  <c r="BT50" i="3" a="1"/>
  <c r="BT50" i="3" s="1"/>
  <c r="BT57" i="3" s="1"/>
  <c r="W50" i="3" a="1"/>
  <c r="W50" i="3" s="1"/>
  <c r="AS50" i="3" a="1"/>
  <c r="AS50" i="3" s="1"/>
  <c r="AS58" i="3" s="1" a="1"/>
  <c r="AS58" i="3" s="1"/>
  <c r="CL89" i="3" a="1"/>
  <c r="CL89" i="3" s="1"/>
  <c r="BK50" i="3" a="1"/>
  <c r="BK50" i="3" s="1"/>
  <c r="BW50" i="3" a="1"/>
  <c r="BW50" i="3" s="1"/>
  <c r="DF50" i="3" a="1"/>
  <c r="DF50" i="3" s="1"/>
  <c r="DF58" i="3" s="1" a="1"/>
  <c r="DF58" i="3" s="1"/>
  <c r="AO50" i="3" a="1"/>
  <c r="AO50" i="3" s="1"/>
  <c r="AO57" i="3" s="1"/>
  <c r="N89" i="3" a="1"/>
  <c r="N89" i="3" s="1"/>
  <c r="BK89" i="3" a="1"/>
  <c r="BK89" i="3" s="1"/>
  <c r="CQ89" i="3" a="1"/>
  <c r="CQ89" i="3" s="1"/>
  <c r="AV50" i="3" a="1"/>
  <c r="AV50" i="3" s="1"/>
  <c r="AP89" i="3" a="1"/>
  <c r="AP89" i="3" s="1"/>
  <c r="AG50" i="3" a="1"/>
  <c r="AG50" i="3" s="1"/>
  <c r="AG57" i="3" s="1"/>
  <c r="L50" i="3" a="1"/>
  <c r="L50" i="3" s="1"/>
  <c r="L57" i="3" s="1"/>
  <c r="BL89" i="3" a="1"/>
  <c r="BL89" i="3" s="1"/>
  <c r="P50" i="3" a="1"/>
  <c r="P50" i="3" s="1"/>
  <c r="P58" i="3" s="1" a="1"/>
  <c r="P58" i="3" s="1"/>
  <c r="AO89" i="3" a="1"/>
  <c r="AO89" i="3" s="1"/>
  <c r="AY50" i="3" a="1"/>
  <c r="AY50" i="3" s="1"/>
  <c r="DO89" i="3" a="1"/>
  <c r="DO89" i="3" s="1"/>
  <c r="BS50" i="3" a="1"/>
  <c r="BS50" i="3" s="1"/>
  <c r="BS58" i="3" s="1" a="1"/>
  <c r="BS58" i="3" s="1"/>
  <c r="DC89" i="3" a="1"/>
  <c r="DC89" i="3" s="1"/>
  <c r="BC89" i="3" a="1"/>
  <c r="BC89" i="3" s="1"/>
  <c r="J50" i="3" a="1"/>
  <c r="J50" i="3" s="1"/>
  <c r="I50" i="3" a="1"/>
  <c r="I50" i="3" s="1"/>
  <c r="I57" i="3" s="1"/>
  <c r="BH89" i="3" a="1"/>
  <c r="BH89" i="3" s="1"/>
  <c r="M89" i="3" a="1"/>
  <c r="M89" i="3" s="1"/>
  <c r="AR89" i="3" a="1"/>
  <c r="AR89" i="3" s="1"/>
  <c r="BG50" i="3" a="1"/>
  <c r="BG50" i="3" s="1"/>
  <c r="BG58" i="3" s="1" a="1"/>
  <c r="BG58" i="3" s="1"/>
  <c r="CC50" i="3" a="1"/>
  <c r="CC50" i="3" s="1"/>
  <c r="CC57" i="3" s="1"/>
  <c r="AD50" i="3" a="1"/>
  <c r="AD50" i="3" s="1"/>
  <c r="AB89" i="3" a="1"/>
  <c r="AB89" i="3" s="1"/>
  <c r="CA50" i="3" a="1"/>
  <c r="CA50" i="3" s="1"/>
  <c r="CA57" i="3" s="1"/>
  <c r="BZ89" i="3" a="1"/>
  <c r="BZ89" i="3" s="1"/>
  <c r="DK89" i="3" a="1"/>
  <c r="DK89" i="3" s="1"/>
  <c r="CT50" i="3" a="1"/>
  <c r="CT50" i="3" s="1"/>
  <c r="W89" i="3" a="1"/>
  <c r="W89" i="3" s="1"/>
  <c r="BO50" i="3" a="1"/>
  <c r="BO50" i="3" s="1"/>
  <c r="BO57" i="3" s="1"/>
  <c r="BA50" i="3" a="1"/>
  <c r="BA50" i="3" s="1"/>
  <c r="BA58" i="3" s="1" a="1"/>
  <c r="BA58" i="3" s="1"/>
  <c r="AL89" i="3" a="1"/>
  <c r="AL89" i="3" s="1"/>
  <c r="H89" i="3" a="1"/>
  <c r="H89" i="3" s="1"/>
  <c r="AT50" i="3" a="1"/>
  <c r="AT50" i="3" s="1"/>
  <c r="AT57" i="3" s="1"/>
  <c r="CO50" i="3" a="1"/>
  <c r="CO50" i="3" s="1"/>
  <c r="H50" i="3" a="1"/>
  <c r="H50" i="3" s="1"/>
  <c r="H57" i="3" s="1"/>
  <c r="AU89" i="3" a="1"/>
  <c r="AU89" i="3" s="1"/>
  <c r="N50" i="3" a="1"/>
  <c r="N50" i="3" s="1"/>
  <c r="K50" i="3" a="1"/>
  <c r="K50" i="3" s="1"/>
  <c r="K57" i="3" s="1"/>
  <c r="AD89" i="3" a="1"/>
  <c r="AD89" i="3" s="1"/>
  <c r="AJ50" i="3" a="1"/>
  <c r="AJ50" i="3" s="1"/>
  <c r="AJ58" i="3" s="1" a="1"/>
  <c r="AJ58" i="3" s="1"/>
  <c r="AL50" i="3" a="1"/>
  <c r="AL50" i="3" s="1"/>
  <c r="AL58" i="3" s="1" a="1"/>
  <c r="AL58" i="3" s="1"/>
  <c r="CU50" i="3" a="1"/>
  <c r="CU50" i="3" s="1"/>
  <c r="F50" i="3" a="1"/>
  <c r="F50" i="3" s="1"/>
  <c r="F58" i="3" s="1" a="1"/>
  <c r="F58" i="3" s="1"/>
  <c r="R50" i="3" a="1"/>
  <c r="R50" i="3" s="1"/>
  <c r="R58" i="3" s="1" a="1"/>
  <c r="R58" i="3" s="1"/>
  <c r="CZ50" i="3" a="1"/>
  <c r="CZ50" i="3" s="1"/>
  <c r="CZ58" i="3" s="1" a="1"/>
  <c r="CZ58" i="3" s="1"/>
  <c r="DO50" i="3" a="1"/>
  <c r="DO50" i="3" s="1"/>
  <c r="DO58" i="3" s="1" a="1"/>
  <c r="DO58" i="3" s="1"/>
  <c r="BZ50" i="3" a="1"/>
  <c r="BZ50" i="3" s="1"/>
  <c r="CA89" i="3" a="1"/>
  <c r="CA89" i="3" s="1"/>
  <c r="DQ89" i="3" a="1"/>
  <c r="DQ89" i="3" s="1"/>
  <c r="AS89" i="3" a="1"/>
  <c r="AS89" i="3" s="1"/>
  <c r="BF89" i="3" a="1"/>
  <c r="BF89" i="3" s="1"/>
  <c r="AW50" i="3" a="1"/>
  <c r="AW50" i="3" s="1"/>
  <c r="BG24" i="3" a="1"/>
  <c r="BG24" i="3" s="1"/>
  <c r="BG31" i="3" s="1"/>
  <c r="D24" i="3" a="1"/>
  <c r="D24" i="3" s="1"/>
  <c r="D31" i="3" s="1"/>
  <c r="AR24" i="3" a="1"/>
  <c r="AR24" i="3" s="1"/>
  <c r="AR31" i="3" s="1"/>
  <c r="CZ24" i="3" a="1"/>
  <c r="CZ24" i="3" s="1"/>
  <c r="CZ31" i="3" s="1"/>
  <c r="BZ24" i="3" a="1"/>
  <c r="BZ24" i="3" s="1"/>
  <c r="BZ31" i="3" s="1"/>
  <c r="AO24" i="3" a="1"/>
  <c r="AO24" i="3" s="1"/>
  <c r="AO31" i="3" s="1"/>
  <c r="Y24" i="3" a="1"/>
  <c r="Y24" i="3" s="1"/>
  <c r="Y31" i="3" s="1"/>
  <c r="DA24" i="3" a="1"/>
  <c r="DA24" i="3" s="1"/>
  <c r="DA31" i="3" s="1"/>
  <c r="CI24" i="3" a="1"/>
  <c r="CI24" i="3" s="1"/>
  <c r="S24" i="3" a="1"/>
  <c r="S24" i="3" s="1"/>
  <c r="S31" i="3" s="1"/>
  <c r="BU24" i="3" a="1"/>
  <c r="BU24" i="3" s="1"/>
  <c r="BU31" i="3" s="1"/>
  <c r="K24" i="3" a="1"/>
  <c r="K24" i="3" s="1"/>
  <c r="K31" i="3" s="1"/>
  <c r="P24" i="3" a="1"/>
  <c r="P24" i="3" s="1"/>
  <c r="P31" i="3" s="1"/>
  <c r="W24" i="3" a="1"/>
  <c r="W24" i="3" s="1"/>
  <c r="W31" i="3" s="1"/>
  <c r="DI24" i="3" a="1"/>
  <c r="DI24" i="3" s="1"/>
  <c r="DI31" i="3" s="1"/>
  <c r="AH24" i="3" a="1"/>
  <c r="AH24" i="3" s="1"/>
  <c r="AH31" i="3" s="1"/>
  <c r="G24" i="3" a="1"/>
  <c r="G24" i="3" s="1"/>
  <c r="G31" i="3" s="1"/>
  <c r="DG24" i="3" a="1"/>
  <c r="DG24" i="3" s="1"/>
  <c r="V24" i="3" a="1"/>
  <c r="V24" i="3" s="1"/>
  <c r="V31" i="3" s="1"/>
  <c r="Z24" i="3" a="1"/>
  <c r="Z24" i="3" s="1"/>
  <c r="Z31" i="3" s="1"/>
  <c r="CS24" i="3" a="1"/>
  <c r="CS24" i="3" s="1"/>
  <c r="CS31" i="3" s="1"/>
  <c r="BN24" i="3" a="1"/>
  <c r="BN24" i="3" s="1"/>
  <c r="BN31" i="3" s="1"/>
  <c r="AZ24" i="3" a="1"/>
  <c r="AZ24" i="3" s="1"/>
  <c r="AZ31" i="3" s="1"/>
  <c r="DL24" i="3" a="1"/>
  <c r="DL24" i="3" s="1"/>
  <c r="DL31" i="3" s="1"/>
  <c r="CW24" i="3" a="1"/>
  <c r="CW24" i="3" s="1"/>
  <c r="CW31" i="3" s="1"/>
  <c r="BV24" i="3" a="1"/>
  <c r="BV24" i="3" s="1"/>
  <c r="BV31" i="3" s="1"/>
  <c r="DC24" i="3" a="1"/>
  <c r="DC24" i="3" s="1"/>
  <c r="DC31" i="3" s="1"/>
  <c r="BK24" i="3" a="1"/>
  <c r="BK24" i="3" s="1"/>
  <c r="DD24" i="3" a="1"/>
  <c r="DD24" i="3" s="1"/>
  <c r="DD31" i="3" s="1"/>
  <c r="CO24" i="3" a="1"/>
  <c r="CO24" i="3" s="1"/>
  <c r="CO31" i="3" s="1"/>
  <c r="DR24" i="3" a="1"/>
  <c r="DR24" i="3" s="1"/>
  <c r="DR31" i="3" s="1"/>
  <c r="CT24" i="3" a="1"/>
  <c r="CT24" i="3" s="1"/>
  <c r="CT31" i="3" s="1"/>
  <c r="CJ24" i="3" a="1"/>
  <c r="CJ24" i="3" s="1"/>
  <c r="CJ31" i="3" s="1"/>
  <c r="CG24" i="3" a="1"/>
  <c r="CG24" i="3" s="1"/>
  <c r="CG31" i="3" s="1"/>
  <c r="O24" i="3" a="1"/>
  <c r="O24" i="3" s="1"/>
  <c r="CE24" i="3" a="1"/>
  <c r="CE24" i="3" s="1"/>
  <c r="CE31" i="3" s="1"/>
  <c r="DB24" i="3" a="1"/>
  <c r="DB24" i="3" s="1"/>
  <c r="DB31" i="3" s="1"/>
  <c r="CP24" i="3" a="1"/>
  <c r="CP24" i="3" s="1"/>
  <c r="CP31" i="3" s="1"/>
  <c r="AU24" i="3" a="1"/>
  <c r="AU24" i="3" s="1"/>
  <c r="AU31" i="3" s="1"/>
  <c r="BS24" i="3" a="1"/>
  <c r="BS24" i="3" s="1"/>
  <c r="BS31" i="3" s="1"/>
  <c r="BQ24" i="3" a="1"/>
  <c r="BQ24" i="3" s="1"/>
  <c r="BQ31" i="3" s="1"/>
  <c r="BT24" i="3" a="1"/>
  <c r="BT24" i="3" s="1"/>
  <c r="BT31" i="3" s="1"/>
  <c r="BM24" i="3" a="1"/>
  <c r="BM24" i="3" s="1"/>
  <c r="BM31" i="3" s="1"/>
  <c r="AS24" i="3" a="1"/>
  <c r="AS24" i="3" s="1"/>
  <c r="AS31" i="3" s="1"/>
  <c r="BE24" i="3" a="1"/>
  <c r="BE24" i="3" s="1"/>
  <c r="BE31" i="3" s="1"/>
  <c r="DN24" i="3" a="1"/>
  <c r="DN24" i="3" s="1"/>
  <c r="DN31" i="3" s="1"/>
  <c r="BA24" i="3" a="1"/>
  <c r="BA24" i="3" s="1"/>
  <c r="BA31" i="3" s="1"/>
  <c r="CA24" i="3" a="1"/>
  <c r="CA24" i="3" s="1"/>
  <c r="CA31" i="3" s="1"/>
  <c r="AL24" i="3" a="1"/>
  <c r="AL24" i="3" s="1"/>
  <c r="AL31" i="3" s="1"/>
  <c r="BJ24" i="3" a="1"/>
  <c r="BJ24" i="3" s="1"/>
  <c r="BJ31" i="3" s="1"/>
  <c r="J24" i="3" a="1"/>
  <c r="J24" i="3" s="1"/>
  <c r="J31" i="3" s="1"/>
  <c r="CH24" i="3" a="1"/>
  <c r="CH24" i="3" s="1"/>
  <c r="CH31" i="3" s="1"/>
  <c r="AK24" i="3" a="1"/>
  <c r="AK24" i="3" s="1"/>
  <c r="AK31" i="3" s="1"/>
  <c r="BR24" i="3" a="1"/>
  <c r="BR24" i="3" s="1"/>
  <c r="BR31" i="3" s="1"/>
  <c r="BY24" i="3" a="1"/>
  <c r="BY24" i="3" s="1"/>
  <c r="BY31" i="3" s="1"/>
  <c r="L24" i="3" a="1"/>
  <c r="L24" i="3" s="1"/>
  <c r="L31" i="3" s="1"/>
  <c r="AV24" i="3" a="1"/>
  <c r="AV24" i="3" s="1"/>
  <c r="AV31" i="3" s="1"/>
  <c r="AC24" i="3" a="1"/>
  <c r="AC24" i="3" s="1"/>
  <c r="AC31" i="3" s="1"/>
  <c r="BP24" i="3" a="1"/>
  <c r="BP24" i="3" s="1"/>
  <c r="BP31" i="3" s="1"/>
  <c r="BC24" i="3" a="1"/>
  <c r="BC24" i="3" s="1"/>
  <c r="BC31" i="3" s="1"/>
  <c r="AN24" i="3" a="1"/>
  <c r="AN24" i="3" s="1"/>
  <c r="AN31" i="3" s="1"/>
  <c r="U24" i="3" a="1"/>
  <c r="U24" i="3" s="1"/>
  <c r="U31" i="3" s="1"/>
  <c r="F24" i="3" a="1"/>
  <c r="F24" i="3" s="1"/>
  <c r="F31" i="3" s="1"/>
  <c r="AI24" i="3" a="1"/>
  <c r="AI24" i="3" s="1"/>
  <c r="AI31" i="3" s="1"/>
  <c r="AM24" i="3" a="1"/>
  <c r="AM24" i="3" s="1"/>
  <c r="AJ24" i="3" a="1"/>
  <c r="AJ24" i="3" s="1"/>
  <c r="AJ31" i="3" s="1"/>
  <c r="AW24" i="3" a="1"/>
  <c r="AW24" i="3" s="1"/>
  <c r="AW31" i="3" s="1"/>
  <c r="AP24" i="3" a="1"/>
  <c r="AP24" i="3" s="1"/>
  <c r="AP31" i="3" s="1"/>
  <c r="H24" i="3" a="1"/>
  <c r="H24" i="3" s="1"/>
  <c r="H31" i="3" s="1"/>
  <c r="AX24" i="3" a="1"/>
  <c r="AX24" i="3" s="1"/>
  <c r="AX31" i="3" s="1"/>
  <c r="DJ24" i="3" a="1"/>
  <c r="DJ24" i="3" s="1"/>
  <c r="DJ31" i="3" s="1"/>
  <c r="E24" i="3" a="1"/>
  <c r="E24" i="3" s="1"/>
  <c r="E31" i="3" s="1"/>
  <c r="C24" i="3" a="1"/>
  <c r="C24" i="3" s="1"/>
  <c r="BI24" i="3" a="1"/>
  <c r="BI24" i="3" s="1"/>
  <c r="BI31" i="3" s="1"/>
  <c r="CY24" i="3" a="1"/>
  <c r="CY24" i="3" s="1"/>
  <c r="CY31" i="3" s="1"/>
  <c r="X24" i="3" a="1"/>
  <c r="X24" i="3" s="1"/>
  <c r="X31" i="3" s="1"/>
  <c r="DP24" i="3" a="1"/>
  <c r="DP24" i="3" s="1"/>
  <c r="DP31" i="3" s="1"/>
  <c r="DF24" i="3" a="1"/>
  <c r="DF24" i="3" s="1"/>
  <c r="DF31" i="3" s="1"/>
  <c r="DQ24" i="3" a="1"/>
  <c r="DQ24" i="3" s="1"/>
  <c r="DQ31" i="3" s="1"/>
  <c r="CD24" i="3" a="1"/>
  <c r="CD24" i="3" s="1"/>
  <c r="CD31" i="3" s="1"/>
  <c r="DK24" i="3" a="1"/>
  <c r="DK24" i="3" s="1"/>
  <c r="DK31" i="3" s="1"/>
  <c r="AQ24" i="3" a="1"/>
  <c r="AQ24" i="3" s="1"/>
  <c r="AQ31" i="3" s="1"/>
  <c r="AD24" i="3" a="1"/>
  <c r="AD24" i="3" s="1"/>
  <c r="AD31" i="3" s="1"/>
  <c r="CB24" i="3" a="1"/>
  <c r="CB24" i="3" s="1"/>
  <c r="CB31" i="3" s="1"/>
  <c r="R24" i="3" a="1"/>
  <c r="R24" i="3" s="1"/>
  <c r="R31" i="3" s="1"/>
  <c r="CV24" i="3" a="1"/>
  <c r="CV24" i="3" s="1"/>
  <c r="CV31" i="3" s="1"/>
  <c r="CU24" i="3" a="1"/>
  <c r="CU24" i="3" s="1"/>
  <c r="BB24" i="3" a="1"/>
  <c r="BB24" i="3" s="1"/>
  <c r="BB31" i="3" s="1"/>
  <c r="CQ24" i="3" a="1"/>
  <c r="CQ24" i="3" s="1"/>
  <c r="CQ31" i="3" s="1"/>
  <c r="CN24" i="3" a="1"/>
  <c r="CN24" i="3" s="1"/>
  <c r="CN31" i="3" s="1"/>
  <c r="CM24" i="3" a="1"/>
  <c r="CM24" i="3" s="1"/>
  <c r="CM31" i="3" s="1"/>
  <c r="DH24" i="3" a="1"/>
  <c r="DH24" i="3" s="1"/>
  <c r="DH31" i="3" s="1"/>
  <c r="AB24" i="3" a="1"/>
  <c r="AB24" i="3" s="1"/>
  <c r="AB31" i="3" s="1"/>
  <c r="Q24" i="3" a="1"/>
  <c r="Q24" i="3" s="1"/>
  <c r="Q31" i="3" s="1"/>
  <c r="AE24" i="3" a="1"/>
  <c r="AE24" i="3" s="1"/>
  <c r="AE31" i="3" s="1"/>
  <c r="CL24" i="3" a="1"/>
  <c r="CL24" i="3" s="1"/>
  <c r="CL31" i="3" s="1"/>
  <c r="CK24" i="3" a="1"/>
  <c r="CK24" i="3" s="1"/>
  <c r="CK31" i="3" s="1"/>
  <c r="BO24" i="3" a="1"/>
  <c r="BO24" i="3" s="1"/>
  <c r="BO31" i="3" s="1"/>
  <c r="N24" i="3" a="1"/>
  <c r="N24" i="3" s="1"/>
  <c r="N31" i="3" s="1"/>
  <c r="CC24" i="3" a="1"/>
  <c r="CC24" i="3" s="1"/>
  <c r="CC31" i="3" s="1"/>
  <c r="BD24" i="3" a="1"/>
  <c r="BD24" i="3" s="1"/>
  <c r="BD31" i="3" s="1"/>
  <c r="DE24" i="3" a="1"/>
  <c r="DE24" i="3" s="1"/>
  <c r="DE31" i="3" s="1"/>
  <c r="BH24" i="3" a="1"/>
  <c r="BH24" i="3" s="1"/>
  <c r="BH31" i="3" s="1"/>
  <c r="M24" i="3" a="1"/>
  <c r="M24" i="3" s="1"/>
  <c r="M31" i="3" s="1"/>
  <c r="CR24" i="3" a="1"/>
  <c r="CR24" i="3" s="1"/>
  <c r="CR31" i="3" s="1"/>
  <c r="CX24" i="3" a="1"/>
  <c r="CX24" i="3" s="1"/>
  <c r="CX31" i="3" s="1"/>
  <c r="I24" i="3" a="1"/>
  <c r="I24" i="3" s="1"/>
  <c r="I31" i="3" s="1"/>
  <c r="DG18" i="3"/>
  <c r="BK18" i="3"/>
  <c r="AM18" i="3"/>
  <c r="AA18" i="3"/>
  <c r="O18" i="3"/>
  <c r="BW18" i="3"/>
  <c r="CU18" i="3"/>
  <c r="AY18" i="3"/>
  <c r="CI18" i="3"/>
  <c r="CR76" i="3" a="1"/>
  <c r="CR76" i="3" s="1"/>
  <c r="CR83" i="3" s="1"/>
  <c r="CR64" i="3" a="1"/>
  <c r="CR64" i="3" s="1"/>
  <c r="CR71" i="3" s="1"/>
  <c r="BL76" i="3" a="1"/>
  <c r="BL76" i="3" s="1"/>
  <c r="BL83" i="3" s="1"/>
  <c r="CO64" i="3" a="1"/>
  <c r="CO64" i="3" s="1"/>
  <c r="CO71" i="3" s="1"/>
  <c r="BY64" i="3" a="1"/>
  <c r="BY64" i="3" s="1"/>
  <c r="BY71" i="3" s="1"/>
  <c r="BM76" i="3" a="1"/>
  <c r="BM76" i="3" s="1"/>
  <c r="BM83" i="3" s="1"/>
  <c r="CC76" i="3" a="1"/>
  <c r="CC76" i="3" s="1"/>
  <c r="CC83" i="3" s="1"/>
  <c r="AW76" i="3" a="1"/>
  <c r="AW76" i="3" s="1"/>
  <c r="AW83" i="3" s="1"/>
  <c r="P76" i="3" a="1"/>
  <c r="P76" i="3" s="1"/>
  <c r="P83" i="3" s="1"/>
  <c r="AW64" i="3" a="1"/>
  <c r="AW64" i="3" s="1"/>
  <c r="AW71" i="3" s="1"/>
  <c r="AF64" i="3" a="1"/>
  <c r="AF64" i="3" s="1"/>
  <c r="AF71" i="3" s="1"/>
  <c r="CS64" i="3" a="1"/>
  <c r="CS64" i="3" s="1"/>
  <c r="CS71" i="3" s="1"/>
  <c r="AF76" i="3" a="1"/>
  <c r="AF76" i="3" s="1"/>
  <c r="AF83" i="3" s="1"/>
  <c r="CP76" i="3" a="1"/>
  <c r="CP76" i="3" s="1"/>
  <c r="CP83" i="3" s="1"/>
  <c r="DI76" i="3" a="1"/>
  <c r="DI76" i="3" s="1"/>
  <c r="DI83" i="3" s="1"/>
  <c r="BM64" i="3" a="1"/>
  <c r="BM64" i="3" s="1"/>
  <c r="BM71" i="3" s="1"/>
  <c r="DH76" i="3" a="1"/>
  <c r="DH76" i="3" s="1"/>
  <c r="DH83" i="3" s="1"/>
  <c r="BL64" i="3" a="1"/>
  <c r="BL64" i="3" s="1"/>
  <c r="BL71" i="3" s="1"/>
  <c r="AV76" i="3" a="1"/>
  <c r="AV76" i="3" s="1"/>
  <c r="AV83" i="3" s="1"/>
  <c r="DF76" i="3" a="1"/>
  <c r="DF76" i="3" s="1"/>
  <c r="DF83" i="3" s="1"/>
  <c r="CC64" i="3" a="1"/>
  <c r="CC64" i="3" s="1"/>
  <c r="CC71" i="3" s="1"/>
  <c r="AG76" i="3" a="1"/>
  <c r="AG76" i="3" s="1"/>
  <c r="AG83" i="3" s="1"/>
  <c r="DH64" i="3" a="1"/>
  <c r="DH64" i="3" s="1"/>
  <c r="DH71" i="3" s="1"/>
  <c r="N76" i="3" a="1"/>
  <c r="N76" i="3" s="1"/>
  <c r="N83" i="3" s="1"/>
  <c r="DD76" i="3" a="1"/>
  <c r="DD76" i="3" s="1"/>
  <c r="DD83" i="3" s="1"/>
  <c r="AE76" i="3" a="1"/>
  <c r="AE76" i="3" s="1"/>
  <c r="AE83" i="3" s="1"/>
  <c r="P64" i="3" a="1"/>
  <c r="P64" i="3" s="1"/>
  <c r="P71" i="3" s="1"/>
  <c r="N64" i="3" a="1"/>
  <c r="N64" i="3" s="1"/>
  <c r="N71" i="3" s="1"/>
  <c r="BX76" i="3" a="1"/>
  <c r="BX76" i="3" s="1"/>
  <c r="BX83" i="3" s="1"/>
  <c r="BX64" i="3" a="1"/>
  <c r="BX64" i="3" s="1"/>
  <c r="BX71" i="3" s="1"/>
  <c r="CN64" i="3" a="1"/>
  <c r="CN64" i="3" s="1"/>
  <c r="CN71" i="3" s="1"/>
  <c r="L76" i="3" a="1"/>
  <c r="L76" i="3" s="1"/>
  <c r="L83" i="3" s="1"/>
  <c r="CQ64" i="3" a="1"/>
  <c r="CQ64" i="3" s="1"/>
  <c r="CQ71" i="3" s="1"/>
  <c r="CA64" i="3" a="1"/>
  <c r="CA64" i="3" s="1"/>
  <c r="CA71" i="3" s="1"/>
  <c r="DE64" i="3" a="1"/>
  <c r="DE64" i="3" s="1"/>
  <c r="DE71" i="3" s="1"/>
  <c r="DG64" i="3" a="1"/>
  <c r="DG64" i="3" s="1"/>
  <c r="DC76" i="3" a="1"/>
  <c r="DC76" i="3" s="1"/>
  <c r="DC83" i="3" s="1"/>
  <c r="AQ64" i="3" a="1"/>
  <c r="AQ64" i="3" s="1"/>
  <c r="AQ71" i="3" s="1"/>
  <c r="DB76" i="3" a="1"/>
  <c r="DB76" i="3" s="1"/>
  <c r="DB83" i="3" s="1"/>
  <c r="DF64" i="3" a="1"/>
  <c r="DF64" i="3" s="1"/>
  <c r="DF71" i="3" s="1"/>
  <c r="AB64" i="3" a="1"/>
  <c r="AB64" i="3" s="1"/>
  <c r="AB71" i="3" s="1"/>
  <c r="AR64" i="3" a="1"/>
  <c r="AR64" i="3" s="1"/>
  <c r="AR71" i="3" s="1"/>
  <c r="DR76" i="3" a="1"/>
  <c r="DR76" i="3" s="1"/>
  <c r="DR83" i="3" s="1"/>
  <c r="DB64" i="3" a="1"/>
  <c r="DB64" i="3" s="1"/>
  <c r="DB71" i="3" s="1"/>
  <c r="BJ76" i="3" a="1"/>
  <c r="BJ76" i="3" s="1"/>
  <c r="BJ83" i="3" s="1"/>
  <c r="AD64" i="3" a="1"/>
  <c r="AD64" i="3" s="1"/>
  <c r="AD71" i="3" s="1"/>
  <c r="CN76" i="3" a="1"/>
  <c r="CN76" i="3" s="1"/>
  <c r="CN83" i="3" s="1"/>
  <c r="BK76" i="3" a="1"/>
  <c r="BK76" i="3" s="1"/>
  <c r="CM64" i="3" a="1"/>
  <c r="CM64" i="3" s="1"/>
  <c r="CM71" i="3" s="1"/>
  <c r="AG64" i="3" a="1"/>
  <c r="AG64" i="3" s="1"/>
  <c r="AG71" i="3" s="1"/>
  <c r="Q64" i="3" a="1"/>
  <c r="Q64" i="3" s="1"/>
  <c r="Q71" i="3" s="1"/>
  <c r="AS76" i="3" a="1"/>
  <c r="AS76" i="3" s="1"/>
  <c r="AS83" i="3" s="1"/>
  <c r="DD64" i="3" a="1"/>
  <c r="DD64" i="3" s="1"/>
  <c r="DD71" i="3" s="1"/>
  <c r="DC64" i="3" a="1"/>
  <c r="DC64" i="3" s="1"/>
  <c r="DC71" i="3" s="1"/>
  <c r="Q76" i="3" a="1"/>
  <c r="Q76" i="3" s="1"/>
  <c r="Q83" i="3" s="1"/>
  <c r="CB64" i="3" a="1"/>
  <c r="CB64" i="3" s="1"/>
  <c r="CB71" i="3" s="1"/>
  <c r="CS76" i="3" a="1"/>
  <c r="CS76" i="3" s="1"/>
  <c r="CS83" i="3" s="1"/>
  <c r="CB76" i="3" a="1"/>
  <c r="CB76" i="3" s="1"/>
  <c r="CB83" i="3" s="1"/>
  <c r="CQ76" i="3" a="1"/>
  <c r="CQ76" i="3" s="1"/>
  <c r="CQ83" i="3" s="1"/>
  <c r="CA76" i="3" a="1"/>
  <c r="CA76" i="3" s="1"/>
  <c r="CA83" i="3" s="1"/>
  <c r="AV64" i="3" a="1"/>
  <c r="AV64" i="3" s="1"/>
  <c r="AV71" i="3" s="1"/>
  <c r="CP64" i="3" a="1"/>
  <c r="CP64" i="3" s="1"/>
  <c r="CP71" i="3" s="1"/>
  <c r="BZ64" i="3" a="1"/>
  <c r="BZ64" i="3" s="1"/>
  <c r="BZ71" i="3" s="1"/>
  <c r="BY76" i="3" a="1"/>
  <c r="BY76" i="3" s="1"/>
  <c r="BY83" i="3" s="1"/>
  <c r="AE64" i="3" a="1"/>
  <c r="AE64" i="3" s="1"/>
  <c r="AE71" i="3" s="1"/>
  <c r="BW64" i="3" a="1"/>
  <c r="BW64" i="3" s="1"/>
  <c r="BG76" i="3" a="1"/>
  <c r="BG76" i="3" s="1"/>
  <c r="BG83" i="3" s="1"/>
  <c r="AS64" i="3" a="1"/>
  <c r="AS64" i="3" s="1"/>
  <c r="AS71" i="3" s="1"/>
  <c r="M64" i="3" a="1"/>
  <c r="M64" i="3" s="1"/>
  <c r="M71" i="3" s="1"/>
  <c r="BK64" i="3" a="1"/>
  <c r="BK64" i="3" s="1"/>
  <c r="BV64" i="3" a="1"/>
  <c r="BV64" i="3" s="1"/>
  <c r="BV71" i="3" s="1"/>
  <c r="BF76" i="3" a="1"/>
  <c r="BF76" i="3" s="1"/>
  <c r="BF83" i="3" s="1"/>
  <c r="BI64" i="3" a="1"/>
  <c r="BI64" i="3" s="1"/>
  <c r="BI71" i="3" s="1"/>
  <c r="AR76" i="3" a="1"/>
  <c r="AR76" i="3" s="1"/>
  <c r="AR83" i="3" s="1"/>
  <c r="DA76" i="3" a="1"/>
  <c r="DA76" i="3" s="1"/>
  <c r="DA83" i="3" s="1"/>
  <c r="DA64" i="3" a="1"/>
  <c r="DA64" i="3" s="1"/>
  <c r="DA71" i="3" s="1"/>
  <c r="CK76" i="3" a="1"/>
  <c r="CK76" i="3" s="1"/>
  <c r="CK83" i="3" s="1"/>
  <c r="CJ64" i="3" a="1"/>
  <c r="CJ64" i="3" s="1"/>
  <c r="CJ71" i="3" s="1"/>
  <c r="X76" i="3" a="1"/>
  <c r="X76" i="3" s="1"/>
  <c r="X83" i="3" s="1"/>
  <c r="DI64" i="3" a="1"/>
  <c r="DI64" i="3" s="1"/>
  <c r="DI71" i="3" s="1"/>
  <c r="AC76" i="3" a="1"/>
  <c r="AC76" i="3" s="1"/>
  <c r="AC83" i="3" s="1"/>
  <c r="M76" i="3" a="1"/>
  <c r="M76" i="3" s="1"/>
  <c r="M83" i="3" s="1"/>
  <c r="DG76" i="3" a="1"/>
  <c r="DG76" i="3" s="1"/>
  <c r="AU64" i="3" a="1"/>
  <c r="AU64" i="3" s="1"/>
  <c r="AU71" i="3" s="1"/>
  <c r="BW76" i="3" a="1"/>
  <c r="BW76" i="3" s="1"/>
  <c r="AP64" i="3" a="1"/>
  <c r="AP64" i="3" s="1"/>
  <c r="AP71" i="3" s="1"/>
  <c r="DP76" i="3" a="1"/>
  <c r="DP76" i="3" s="1"/>
  <c r="DP83" i="3" s="1"/>
  <c r="BD76" i="3" a="1"/>
  <c r="BD76" i="3" s="1"/>
  <c r="BD83" i="3" s="1"/>
  <c r="AN64" i="3" a="1"/>
  <c r="AN64" i="3" s="1"/>
  <c r="AN71" i="3" s="1"/>
  <c r="BJ64" i="3" a="1"/>
  <c r="BJ64" i="3" s="1"/>
  <c r="BJ71" i="3" s="1"/>
  <c r="AQ76" i="3" a="1"/>
  <c r="AQ76" i="3" s="1"/>
  <c r="AQ83" i="3" s="1"/>
  <c r="Y76" i="3" a="1"/>
  <c r="Y76" i="3" s="1"/>
  <c r="Y83" i="3" s="1"/>
  <c r="CJ76" i="3" a="1"/>
  <c r="CJ76" i="3" s="1"/>
  <c r="CJ83" i="3" s="1"/>
  <c r="BD64" i="3" a="1"/>
  <c r="BD64" i="3" s="1"/>
  <c r="BD71" i="3" s="1"/>
  <c r="CL64" i="3" a="1"/>
  <c r="CL64" i="3" s="1"/>
  <c r="CL71" i="3" s="1"/>
  <c r="J76" i="3" a="1"/>
  <c r="J76" i="3" s="1"/>
  <c r="J83" i="3" s="1"/>
  <c r="CK64" i="3" a="1"/>
  <c r="CK64" i="3" s="1"/>
  <c r="CK71" i="3" s="1"/>
  <c r="Y64" i="3" a="1"/>
  <c r="Y64" i="3" s="1"/>
  <c r="Y71" i="3" s="1"/>
  <c r="AN76" i="3" a="1"/>
  <c r="AN76" i="3" s="1"/>
  <c r="AN83" i="3" s="1"/>
  <c r="AB76" i="3" a="1"/>
  <c r="AB76" i="3" s="1"/>
  <c r="AB83" i="3" s="1"/>
  <c r="K76" i="3" a="1"/>
  <c r="K76" i="3" s="1"/>
  <c r="K83" i="3" s="1"/>
  <c r="AO76" i="3" a="1"/>
  <c r="AO76" i="3" s="1"/>
  <c r="AO83" i="3" s="1"/>
  <c r="CZ64" i="3" a="1"/>
  <c r="CZ64" i="3" s="1"/>
  <c r="CZ71" i="3" s="1"/>
  <c r="BG64" i="3" a="1"/>
  <c r="BG64" i="3" s="1"/>
  <c r="BG71" i="3" s="1"/>
  <c r="I76" i="3" a="1"/>
  <c r="I76" i="3" s="1"/>
  <c r="I83" i="3" s="1"/>
  <c r="CZ76" i="3" a="1"/>
  <c r="CZ76" i="3" s="1"/>
  <c r="CZ83" i="3" s="1"/>
  <c r="CY76" i="3" a="1"/>
  <c r="CY76" i="3" s="1"/>
  <c r="CY83" i="3" s="1"/>
  <c r="AT76" i="3" a="1"/>
  <c r="AT76" i="3" s="1"/>
  <c r="AT83" i="3" s="1"/>
  <c r="AC64" i="3" a="1"/>
  <c r="AC64" i="3" s="1"/>
  <c r="AC71" i="3" s="1"/>
  <c r="BV76" i="3" a="1"/>
  <c r="BV76" i="3" s="1"/>
  <c r="BV83" i="3" s="1"/>
  <c r="BT64" i="3" a="1"/>
  <c r="BT64" i="3" s="1"/>
  <c r="BT71" i="3" s="1"/>
  <c r="BH76" i="3" a="1"/>
  <c r="BH76" i="3" s="1"/>
  <c r="BH83" i="3" s="1"/>
  <c r="H76" i="3" a="1"/>
  <c r="H76" i="3" s="1"/>
  <c r="H83" i="3" s="1"/>
  <c r="BC76" i="3" a="1"/>
  <c r="BC76" i="3" s="1"/>
  <c r="BC83" i="3" s="1"/>
  <c r="W76" i="3" a="1"/>
  <c r="W76" i="3" s="1"/>
  <c r="W83" i="3" s="1"/>
  <c r="BR64" i="3" a="1"/>
  <c r="BR64" i="3" s="1"/>
  <c r="BR71" i="3" s="1"/>
  <c r="BU64" i="3" a="1"/>
  <c r="BU64" i="3" s="1"/>
  <c r="BU71" i="3" s="1"/>
  <c r="BE76" i="3" a="1"/>
  <c r="BE76" i="3" s="1"/>
  <c r="BE83" i="3" s="1"/>
  <c r="BT76" i="3" a="1"/>
  <c r="BT76" i="3" s="1"/>
  <c r="BT83" i="3" s="1"/>
  <c r="H64" i="3" a="1"/>
  <c r="H64" i="3" s="1"/>
  <c r="H71" i="3" s="1"/>
  <c r="DO76" i="3" a="1"/>
  <c r="DO76" i="3" s="1"/>
  <c r="DO83" i="3" s="1"/>
  <c r="G64" i="3" a="1"/>
  <c r="G64" i="3" s="1"/>
  <c r="G71" i="3" s="1"/>
  <c r="AA64" i="3" a="1"/>
  <c r="AA64" i="3" s="1"/>
  <c r="BE64" i="3" a="1"/>
  <c r="BE64" i="3" s="1"/>
  <c r="BE71" i="3" s="1"/>
  <c r="CL76" i="3" a="1"/>
  <c r="CL76" i="3" s="1"/>
  <c r="CL83" i="3" s="1"/>
  <c r="DQ64" i="3" a="1"/>
  <c r="DQ64" i="3" s="1"/>
  <c r="DQ71" i="3" s="1"/>
  <c r="X64" i="3" a="1"/>
  <c r="X64" i="3" s="1"/>
  <c r="X71" i="3" s="1"/>
  <c r="CI64" i="3" a="1"/>
  <c r="CI64" i="3" s="1"/>
  <c r="BS64" i="3" a="1"/>
  <c r="BS64" i="3" s="1"/>
  <c r="BS71" i="3" s="1"/>
  <c r="CH76" i="3" a="1"/>
  <c r="CH76" i="3" s="1"/>
  <c r="CH83" i="3" s="1"/>
  <c r="DL64" i="3" a="1"/>
  <c r="DL64" i="3" s="1"/>
  <c r="DL71" i="3" s="1"/>
  <c r="BF64" i="3" a="1"/>
  <c r="BF64" i="3" s="1"/>
  <c r="BF71" i="3" s="1"/>
  <c r="AA76" i="3" a="1"/>
  <c r="AA76" i="3" s="1"/>
  <c r="DQ76" i="3" a="1"/>
  <c r="DQ76" i="3" s="1"/>
  <c r="DQ83" i="3" s="1"/>
  <c r="AT64" i="3" a="1"/>
  <c r="AT64" i="3" s="1"/>
  <c r="AT71" i="3" s="1"/>
  <c r="V64" i="3" a="1"/>
  <c r="V64" i="3" s="1"/>
  <c r="V71" i="3" s="1"/>
  <c r="E64" i="3" a="1"/>
  <c r="E64" i="3" s="1"/>
  <c r="E71" i="3" s="1"/>
  <c r="BO64" i="3" a="1"/>
  <c r="BO64" i="3" s="1"/>
  <c r="BO71" i="3" s="1"/>
  <c r="CD76" i="3" a="1"/>
  <c r="CD76" i="3" s="1"/>
  <c r="CD83" i="3" s="1"/>
  <c r="CM76" i="3" a="1"/>
  <c r="CM76" i="3" s="1"/>
  <c r="CM83" i="3" s="1"/>
  <c r="DP64" i="3" a="1"/>
  <c r="DP64" i="3" s="1"/>
  <c r="DP71" i="3" s="1"/>
  <c r="BC64" i="3" a="1"/>
  <c r="BC64" i="3" s="1"/>
  <c r="BC71" i="3" s="1"/>
  <c r="BP76" i="3" a="1"/>
  <c r="BP76" i="3" s="1"/>
  <c r="BP83" i="3" s="1"/>
  <c r="AZ64" i="3" a="1"/>
  <c r="AZ64" i="3" s="1"/>
  <c r="AZ71" i="3" s="1"/>
  <c r="F76" i="3" a="1"/>
  <c r="F76" i="3" s="1"/>
  <c r="F83" i="3" s="1"/>
  <c r="CG76" i="3" a="1"/>
  <c r="CG76" i="3" s="1"/>
  <c r="CG83" i="3" s="1"/>
  <c r="CU76" i="3" a="1"/>
  <c r="CU76" i="3" s="1"/>
  <c r="BN64" i="3" a="1"/>
  <c r="BN64" i="3" s="1"/>
  <c r="BN71" i="3" s="1"/>
  <c r="O76" i="3" a="1"/>
  <c r="O76" i="3" s="1"/>
  <c r="AP76" i="3" a="1"/>
  <c r="AP76" i="3" s="1"/>
  <c r="AP83" i="3" s="1"/>
  <c r="CY64" i="3" a="1"/>
  <c r="CY64" i="3" s="1"/>
  <c r="CY71" i="3" s="1"/>
  <c r="CI76" i="3" a="1"/>
  <c r="CI76" i="3" s="1"/>
  <c r="AM76" i="3" a="1"/>
  <c r="AM76" i="3" s="1"/>
  <c r="DN76" i="3" a="1"/>
  <c r="DN76" i="3" s="1"/>
  <c r="DN83" i="3" s="1"/>
  <c r="BP64" i="3" a="1"/>
  <c r="BP64" i="3" s="1"/>
  <c r="BP71" i="3" s="1"/>
  <c r="BH64" i="3" a="1"/>
  <c r="BH64" i="3" s="1"/>
  <c r="BH71" i="3" s="1"/>
  <c r="AU76" i="3" a="1"/>
  <c r="AU76" i="3" s="1"/>
  <c r="AU83" i="3" s="1"/>
  <c r="CX64" i="3" a="1"/>
  <c r="CX64" i="3" s="1"/>
  <c r="CX71" i="3" s="1"/>
  <c r="DL76" i="3" a="1"/>
  <c r="DL76" i="3" s="1"/>
  <c r="DL83" i="3" s="1"/>
  <c r="T76" i="3" a="1"/>
  <c r="T76" i="3" s="1"/>
  <c r="T83" i="3" s="1"/>
  <c r="AL64" i="3" a="1"/>
  <c r="AL64" i="3" s="1"/>
  <c r="AL71" i="3" s="1"/>
  <c r="CG64" i="3" a="1"/>
  <c r="CG64" i="3" s="1"/>
  <c r="CG71" i="3" s="1"/>
  <c r="CT76" i="3" a="1"/>
  <c r="CT76" i="3" s="1"/>
  <c r="CT83" i="3" s="1"/>
  <c r="O64" i="3" a="1"/>
  <c r="O64" i="3" s="1"/>
  <c r="DM76" i="3" a="1"/>
  <c r="DM76" i="3" s="1"/>
  <c r="DM83" i="3" s="1"/>
  <c r="BQ76" i="3" a="1"/>
  <c r="BQ76" i="3" s="1"/>
  <c r="BQ83" i="3" s="1"/>
  <c r="U76" i="3" a="1"/>
  <c r="U76" i="3" s="1"/>
  <c r="U83" i="3" s="1"/>
  <c r="U64" i="3" a="1"/>
  <c r="U64" i="3" s="1"/>
  <c r="U71" i="3" s="1"/>
  <c r="DJ64" i="3" a="1"/>
  <c r="DJ64" i="3" s="1"/>
  <c r="DJ71" i="3" s="1"/>
  <c r="DO64" i="3" a="1"/>
  <c r="DO64" i="3" s="1"/>
  <c r="DO71" i="3" s="1"/>
  <c r="G76" i="3" a="1"/>
  <c r="G76" i="3" s="1"/>
  <c r="G83" i="3" s="1"/>
  <c r="D76" i="3" a="1"/>
  <c r="D76" i="3" s="1"/>
  <c r="D83" i="3" s="1"/>
  <c r="AY64" i="3" a="1"/>
  <c r="AY64" i="3" s="1"/>
  <c r="BU76" i="3" a="1"/>
  <c r="BU76" i="3" s="1"/>
  <c r="BU83" i="3" s="1"/>
  <c r="BS76" i="3" a="1"/>
  <c r="BS76" i="3" s="1"/>
  <c r="BS83" i="3" s="1"/>
  <c r="CX76" i="3" a="1"/>
  <c r="CX76" i="3" s="1"/>
  <c r="CX83" i="3" s="1"/>
  <c r="CH64" i="3" a="1"/>
  <c r="CH64" i="3" s="1"/>
  <c r="CH71" i="3" s="1"/>
  <c r="CF76" i="3" a="1"/>
  <c r="CF76" i="3" s="1"/>
  <c r="CF83" i="3" s="1"/>
  <c r="CW76" i="3" a="1"/>
  <c r="CW76" i="3" s="1"/>
  <c r="CW83" i="3" s="1"/>
  <c r="CE64" i="3" a="1"/>
  <c r="CE64" i="3" s="1"/>
  <c r="CE71" i="3" s="1"/>
  <c r="C76" i="3" a="1"/>
  <c r="C76" i="3" s="1"/>
  <c r="CD64" i="3" a="1"/>
  <c r="CD64" i="3" s="1"/>
  <c r="CD71" i="3" s="1"/>
  <c r="I64" i="3" a="1"/>
  <c r="I64" i="3" s="1"/>
  <c r="I71" i="3" s="1"/>
  <c r="D64" i="3" a="1"/>
  <c r="D64" i="3" s="1"/>
  <c r="D71" i="3" s="1"/>
  <c r="BA64" i="3" a="1"/>
  <c r="BA64" i="3" s="1"/>
  <c r="BA71" i="3" s="1"/>
  <c r="CU64" i="3" a="1"/>
  <c r="CU64" i="3" s="1"/>
  <c r="C64" i="3" a="1"/>
  <c r="C64" i="3" s="1"/>
  <c r="R64" i="3" a="1"/>
  <c r="R64" i="3" s="1"/>
  <c r="R71" i="3" s="1"/>
  <c r="BZ76" i="3" a="1"/>
  <c r="BZ76" i="3" s="1"/>
  <c r="BZ83" i="3" s="1"/>
  <c r="J64" i="3" a="1"/>
  <c r="J64" i="3" s="1"/>
  <c r="J71" i="3" s="1"/>
  <c r="CV64" i="3" a="1"/>
  <c r="CV64" i="3" s="1"/>
  <c r="CV71" i="3" s="1"/>
  <c r="E76" i="3" a="1"/>
  <c r="E76" i="3" s="1"/>
  <c r="E83" i="3" s="1"/>
  <c r="DK64" i="3" a="1"/>
  <c r="DK64" i="3" s="1"/>
  <c r="DK71" i="3" s="1"/>
  <c r="AI64" i="3" a="1"/>
  <c r="AI64" i="3" s="1"/>
  <c r="AI71" i="3" s="1"/>
  <c r="AI76" i="3" a="1"/>
  <c r="AI76" i="3" s="1"/>
  <c r="AI83" i="3" s="1"/>
  <c r="CT64" i="3" a="1"/>
  <c r="CT64" i="3" s="1"/>
  <c r="CT71" i="3" s="1"/>
  <c r="DN64" i="3" a="1"/>
  <c r="DN64" i="3" s="1"/>
  <c r="DN71" i="3" s="1"/>
  <c r="BR76" i="3" a="1"/>
  <c r="BR76" i="3" s="1"/>
  <c r="BR83" i="3" s="1"/>
  <c r="BN76" i="3" a="1"/>
  <c r="BN76" i="3" s="1"/>
  <c r="BN83" i="3" s="1"/>
  <c r="DE76" i="3" a="1"/>
  <c r="DE76" i="3" s="1"/>
  <c r="DE83" i="3" s="1"/>
  <c r="Z76" i="3" a="1"/>
  <c r="Z76" i="3" s="1"/>
  <c r="Z83" i="3" s="1"/>
  <c r="BB64" i="3" a="1"/>
  <c r="BB64" i="3" s="1"/>
  <c r="BB71" i="3" s="1"/>
  <c r="BQ64" i="3" a="1"/>
  <c r="BQ64" i="3" s="1"/>
  <c r="BQ71" i="3" s="1"/>
  <c r="CE76" i="3" a="1"/>
  <c r="CE76" i="3" s="1"/>
  <c r="CE83" i="3" s="1"/>
  <c r="AM64" i="3" a="1"/>
  <c r="AM64" i="3" s="1"/>
  <c r="W64" i="3" a="1"/>
  <c r="W64" i="3" s="1"/>
  <c r="W71" i="3" s="1"/>
  <c r="CF64" i="3" a="1"/>
  <c r="CF64" i="3" s="1"/>
  <c r="CF71" i="3" s="1"/>
  <c r="AZ76" i="3" a="1"/>
  <c r="AZ76" i="3" s="1"/>
  <c r="AZ83" i="3" s="1"/>
  <c r="AJ64" i="3" a="1"/>
  <c r="AJ64" i="3" s="1"/>
  <c r="AJ71" i="3" s="1"/>
  <c r="BB76" i="3" a="1"/>
  <c r="BB76" i="3" s="1"/>
  <c r="BB83" i="3" s="1"/>
  <c r="CW64" i="3" a="1"/>
  <c r="CW64" i="3" s="1"/>
  <c r="CW71" i="3" s="1"/>
  <c r="BA76" i="3" a="1"/>
  <c r="BA76" i="3" s="1"/>
  <c r="BA83" i="3" s="1"/>
  <c r="AY76" i="3" a="1"/>
  <c r="AY76" i="3" s="1"/>
  <c r="BI76" i="3" a="1"/>
  <c r="BI76" i="3" s="1"/>
  <c r="BI83" i="3" s="1"/>
  <c r="T64" i="3" a="1"/>
  <c r="T64" i="3" s="1"/>
  <c r="T71" i="3" s="1"/>
  <c r="V76" i="3" a="1"/>
  <c r="V76" i="3" s="1"/>
  <c r="V83" i="3" s="1"/>
  <c r="DM64" i="3" a="1"/>
  <c r="DM64" i="3" s="1"/>
  <c r="DM71" i="3" s="1"/>
  <c r="AK76" i="3" a="1"/>
  <c r="AK76" i="3" s="1"/>
  <c r="AK83" i="3" s="1"/>
  <c r="S76" i="3" a="1"/>
  <c r="S76" i="3" s="1"/>
  <c r="S83" i="3" s="1"/>
  <c r="DJ76" i="3" a="1"/>
  <c r="DJ76" i="3" s="1"/>
  <c r="DJ83" i="3" s="1"/>
  <c r="R76" i="3" a="1"/>
  <c r="R76" i="3" s="1"/>
  <c r="R83" i="3" s="1"/>
  <c r="AJ76" i="3" a="1"/>
  <c r="AJ76" i="3" s="1"/>
  <c r="AJ83" i="3" s="1"/>
  <c r="AH76" i="3" a="1"/>
  <c r="AH76" i="3" s="1"/>
  <c r="AH83" i="3" s="1"/>
  <c r="CO76" i="3" a="1"/>
  <c r="CO76" i="3" s="1"/>
  <c r="CO83" i="3" s="1"/>
  <c r="AH64" i="3" a="1"/>
  <c r="AH64" i="3" s="1"/>
  <c r="AH71" i="3" s="1"/>
  <c r="L64" i="3" a="1"/>
  <c r="L64" i="3" s="1"/>
  <c r="L71" i="3" s="1"/>
  <c r="CV76" i="3" a="1"/>
  <c r="CV76" i="3" s="1"/>
  <c r="CV83" i="3" s="1"/>
  <c r="AD76" i="3" a="1"/>
  <c r="AD76" i="3" s="1"/>
  <c r="AD83" i="3" s="1"/>
  <c r="DR64" i="3" a="1"/>
  <c r="DR64" i="3" s="1"/>
  <c r="DR71" i="3" s="1"/>
  <c r="AX76" i="3" a="1"/>
  <c r="AX76" i="3" s="1"/>
  <c r="AX83" i="3" s="1"/>
  <c r="Z64" i="3" a="1"/>
  <c r="Z64" i="3" s="1"/>
  <c r="Z71" i="3" s="1"/>
  <c r="AO64" i="3" a="1"/>
  <c r="AO64" i="3" s="1"/>
  <c r="AO71" i="3" s="1"/>
  <c r="BO76" i="3" a="1"/>
  <c r="BO76" i="3" s="1"/>
  <c r="BO83" i="3" s="1"/>
  <c r="AL76" i="3" a="1"/>
  <c r="AL76" i="3" s="1"/>
  <c r="AL83" i="3" s="1"/>
  <c r="AK64" i="3" a="1"/>
  <c r="AK64" i="3" s="1"/>
  <c r="AK71" i="3" s="1"/>
  <c r="S64" i="3" a="1"/>
  <c r="S64" i="3" s="1"/>
  <c r="S71" i="3" s="1"/>
  <c r="K64" i="3" a="1"/>
  <c r="K64" i="3" s="1"/>
  <c r="K71" i="3" s="1"/>
  <c r="DK76" i="3" a="1"/>
  <c r="DK76" i="3" s="1"/>
  <c r="DK83" i="3" s="1"/>
  <c r="AX64" i="3" a="1"/>
  <c r="AX64" i="3" s="1"/>
  <c r="AX71" i="3" s="1"/>
  <c r="F64" i="3" a="1"/>
  <c r="F64" i="3" s="1"/>
  <c r="F71" i="3" s="1"/>
  <c r="AV101" i="3" a="1"/>
  <c r="AV101" i="3" s="1"/>
  <c r="P101" i="3" a="1"/>
  <c r="P101" i="3" s="1"/>
  <c r="AT101" i="3" a="1"/>
  <c r="AT101" i="3" s="1"/>
  <c r="BI101" i="3" a="1"/>
  <c r="BI101" i="3" s="1"/>
  <c r="BM113" i="3" a="1"/>
  <c r="BM113" i="3" s="1"/>
  <c r="CO101" i="3" a="1"/>
  <c r="CO101" i="3" s="1"/>
  <c r="AS101" i="3" a="1"/>
  <c r="AS101" i="3" s="1"/>
  <c r="AC101" i="3" a="1"/>
  <c r="AC101" i="3" s="1"/>
  <c r="AW101" i="3" a="1"/>
  <c r="AW101" i="3" s="1"/>
  <c r="CB113" i="3" a="1"/>
  <c r="CB113" i="3" s="1"/>
  <c r="CR113" i="3" a="1"/>
  <c r="CR113" i="3" s="1"/>
  <c r="BL113" i="3" a="1"/>
  <c r="BL113" i="3" s="1"/>
  <c r="P113" i="3" a="1"/>
  <c r="P113" i="3" s="1"/>
  <c r="DF113" i="3" a="1"/>
  <c r="DF113" i="3" s="1"/>
  <c r="AD101" i="3" a="1"/>
  <c r="AD101" i="3" s="1"/>
  <c r="CC113" i="3" a="1"/>
  <c r="CC113" i="3" s="1"/>
  <c r="CC101" i="3" a="1"/>
  <c r="CC101" i="3" s="1"/>
  <c r="BJ113" i="3" a="1"/>
  <c r="BJ113" i="3" s="1"/>
  <c r="CS113" i="3" a="1"/>
  <c r="CS113" i="3" s="1"/>
  <c r="Q101" i="3" a="1"/>
  <c r="Q101" i="3" s="1"/>
  <c r="AV113" i="3" a="1"/>
  <c r="AV113" i="3" s="1"/>
  <c r="BM101" i="3" a="1"/>
  <c r="BM101" i="3" s="1"/>
  <c r="DH113" i="3" a="1"/>
  <c r="DH113" i="3" s="1"/>
  <c r="DI113" i="3" a="1"/>
  <c r="DI113" i="3" s="1"/>
  <c r="CS101" i="3" a="1"/>
  <c r="CS101" i="3" s="1"/>
  <c r="AG113" i="3" a="1"/>
  <c r="AG113" i="3" s="1"/>
  <c r="AG101" i="3" a="1"/>
  <c r="AG101" i="3" s="1"/>
  <c r="CR101" i="3" a="1"/>
  <c r="CR101" i="3" s="1"/>
  <c r="CA101" i="3" a="1"/>
  <c r="CA101" i="3" s="1"/>
  <c r="BK113" i="3" a="1"/>
  <c r="BK113" i="3" s="1"/>
  <c r="CB101" i="3" a="1"/>
  <c r="CB101" i="3" s="1"/>
  <c r="BJ101" i="3" a="1"/>
  <c r="BJ101" i="3" s="1"/>
  <c r="DE101" i="3" a="1"/>
  <c r="DE101" i="3" s="1"/>
  <c r="DC101" i="3" a="1"/>
  <c r="DC101" i="3" s="1"/>
  <c r="K113" i="3" a="1"/>
  <c r="K113" i="3" s="1"/>
  <c r="AP101" i="3" a="1"/>
  <c r="AP101" i="3" s="1"/>
  <c r="CP101" i="3" a="1"/>
  <c r="CP101" i="3" s="1"/>
  <c r="AC113" i="3" a="1"/>
  <c r="AC113" i="3" s="1"/>
  <c r="AB101" i="3" a="1"/>
  <c r="AB101" i="3" s="1"/>
  <c r="AP113" i="3" a="1"/>
  <c r="AP113" i="3" s="1"/>
  <c r="Z113" i="3" a="1"/>
  <c r="Z113" i="3" s="1"/>
  <c r="CP113" i="3" a="1"/>
  <c r="CP113" i="3" s="1"/>
  <c r="AT113" i="3" a="1"/>
  <c r="AT113" i="3" s="1"/>
  <c r="CN101" i="3" a="1"/>
  <c r="CN101" i="3" s="1"/>
  <c r="DG113" i="3" a="1"/>
  <c r="DG113" i="3" s="1"/>
  <c r="CQ113" i="3" a="1"/>
  <c r="CQ113" i="3" s="1"/>
  <c r="AE113" i="3" a="1"/>
  <c r="AE113" i="3" s="1"/>
  <c r="BZ101" i="3" a="1"/>
  <c r="BZ101" i="3" s="1"/>
  <c r="BY101" i="3" a="1"/>
  <c r="BY101" i="3" s="1"/>
  <c r="AS113" i="3" a="1"/>
  <c r="AS113" i="3" s="1"/>
  <c r="BH113" i="3" a="1"/>
  <c r="BH113" i="3" s="1"/>
  <c r="AR101" i="3" a="1"/>
  <c r="AR101" i="3" s="1"/>
  <c r="DR113" i="3" a="1"/>
  <c r="DR113" i="3" s="1"/>
  <c r="BF113" i="3" a="1"/>
  <c r="BF113" i="3" s="1"/>
  <c r="BX101" i="3" a="1"/>
  <c r="BX101" i="3" s="1"/>
  <c r="AR113" i="3" a="1"/>
  <c r="AR113" i="3" s="1"/>
  <c r="L113" i="3" a="1"/>
  <c r="L113" i="3" s="1"/>
  <c r="CA113" i="3" a="1"/>
  <c r="CA113" i="3" s="1"/>
  <c r="AA113" i="3" a="1"/>
  <c r="AA113" i="3" s="1"/>
  <c r="BV101" i="3" a="1"/>
  <c r="BV101" i="3" s="1"/>
  <c r="N101" i="3" a="1"/>
  <c r="N101" i="3" s="1"/>
  <c r="AW113" i="3" a="1"/>
  <c r="AW113" i="3" s="1"/>
  <c r="BL101" i="3" a="1"/>
  <c r="BL101" i="3" s="1"/>
  <c r="AU101" i="3" a="1"/>
  <c r="AU101" i="3" s="1"/>
  <c r="DI101" i="3" a="1"/>
  <c r="DI101" i="3" s="1"/>
  <c r="AF101" i="3" a="1"/>
  <c r="AF101" i="3" s="1"/>
  <c r="AB113" i="3" a="1"/>
  <c r="AB113" i="3" s="1"/>
  <c r="CN113" i="3" a="1"/>
  <c r="CN113" i="3" s="1"/>
  <c r="AU113" i="3" a="1"/>
  <c r="AU113" i="3" s="1"/>
  <c r="AE101" i="3" a="1"/>
  <c r="AE101" i="3" s="1"/>
  <c r="AQ113" i="3" a="1"/>
  <c r="AQ113" i="3" s="1"/>
  <c r="AD113" i="3" a="1"/>
  <c r="AD113" i="3" s="1"/>
  <c r="BG101" i="3" a="1"/>
  <c r="BG101" i="3" s="1"/>
  <c r="BV113" i="3" a="1"/>
  <c r="BV113" i="3" s="1"/>
  <c r="CK113" i="3" a="1"/>
  <c r="CK113" i="3" s="1"/>
  <c r="DG101" i="3" a="1"/>
  <c r="DG101" i="3" s="1"/>
  <c r="AA101" i="3" a="1"/>
  <c r="AA101" i="3" s="1"/>
  <c r="DB101" i="3" a="1"/>
  <c r="DB101" i="3" s="1"/>
  <c r="Y101" i="3" a="1"/>
  <c r="Y101" i="3" s="1"/>
  <c r="BS113" i="3" a="1"/>
  <c r="BS113" i="3" s="1"/>
  <c r="AF113" i="3" a="1"/>
  <c r="AF113" i="3" s="1"/>
  <c r="L101" i="3" a="1"/>
  <c r="L101" i="3" s="1"/>
  <c r="J113" i="3" a="1"/>
  <c r="J113" i="3" s="1"/>
  <c r="J101" i="3" a="1"/>
  <c r="J101" i="3" s="1"/>
  <c r="BE113" i="3" a="1"/>
  <c r="BE113" i="3" s="1"/>
  <c r="BT113" i="3" a="1"/>
  <c r="BT113" i="3" s="1"/>
  <c r="CO113" i="3" a="1"/>
  <c r="CO113" i="3" s="1"/>
  <c r="BX113" i="3" a="1"/>
  <c r="BX113" i="3" s="1"/>
  <c r="BK101" i="3" a="1"/>
  <c r="BK101" i="3" s="1"/>
  <c r="O113" i="3" a="1"/>
  <c r="O113" i="3" s="1"/>
  <c r="BW101" i="3" a="1"/>
  <c r="BW101" i="3" s="1"/>
  <c r="DB113" i="3" a="1"/>
  <c r="DB113" i="3" s="1"/>
  <c r="CJ101" i="3" a="1"/>
  <c r="CJ101" i="3" s="1"/>
  <c r="BS101" i="3" a="1"/>
  <c r="BS101" i="3" s="1"/>
  <c r="BU101" i="3" a="1"/>
  <c r="BU101" i="3" s="1"/>
  <c r="H113" i="3" a="1"/>
  <c r="H113" i="3" s="1"/>
  <c r="CI101" i="3" a="1"/>
  <c r="CI101" i="3" s="1"/>
  <c r="M113" i="3" a="1"/>
  <c r="M113" i="3" s="1"/>
  <c r="O101" i="3" a="1"/>
  <c r="O101" i="3" s="1"/>
  <c r="DA113" i="3" a="1"/>
  <c r="DA113" i="3" s="1"/>
  <c r="I101" i="3" a="1"/>
  <c r="I101" i="3" s="1"/>
  <c r="X113" i="3" a="1"/>
  <c r="X113" i="3" s="1"/>
  <c r="X101" i="3" a="1"/>
  <c r="X101" i="3" s="1"/>
  <c r="DH101" i="3" a="1"/>
  <c r="DH101" i="3" s="1"/>
  <c r="N113" i="3" a="1"/>
  <c r="N113" i="3" s="1"/>
  <c r="H101" i="3" a="1"/>
  <c r="H101" i="3" s="1"/>
  <c r="CY113" i="3" a="1"/>
  <c r="CY113" i="3" s="1"/>
  <c r="BY113" i="3" a="1"/>
  <c r="BY113" i="3" s="1"/>
  <c r="Q113" i="3" a="1"/>
  <c r="Q113" i="3" s="1"/>
  <c r="DF101" i="3" a="1"/>
  <c r="DF101" i="3" s="1"/>
  <c r="CQ101" i="3" a="1"/>
  <c r="CQ101" i="3" s="1"/>
  <c r="DC113" i="3" a="1"/>
  <c r="DC113" i="3" s="1"/>
  <c r="CL101" i="3" a="1"/>
  <c r="CL101" i="3" s="1"/>
  <c r="AN101" i="3" a="1"/>
  <c r="AN101" i="3" s="1"/>
  <c r="BC113" i="3" a="1"/>
  <c r="BC113" i="3" s="1"/>
  <c r="BC101" i="3" a="1"/>
  <c r="BC101" i="3" s="1"/>
  <c r="DN101" i="3" a="1"/>
  <c r="DN101" i="3" s="1"/>
  <c r="DL113" i="3" a="1"/>
  <c r="DL113" i="3" s="1"/>
  <c r="BF101" i="3" a="1"/>
  <c r="BF101" i="3" s="1"/>
  <c r="CZ113" i="3" a="1"/>
  <c r="CZ113" i="3" s="1"/>
  <c r="G101" i="3" a="1"/>
  <c r="G101" i="3" s="1"/>
  <c r="BG113" i="3" a="1"/>
  <c r="BG113" i="3" s="1"/>
  <c r="AQ101" i="3" a="1"/>
  <c r="AQ101" i="3" s="1"/>
  <c r="Y113" i="3" a="1"/>
  <c r="Y113" i="3" s="1"/>
  <c r="DQ113" i="3" a="1"/>
  <c r="DQ113" i="3" s="1"/>
  <c r="CK101" i="3" a="1"/>
  <c r="CK101" i="3" s="1"/>
  <c r="W113" i="3" a="1"/>
  <c r="W113" i="3" s="1"/>
  <c r="AZ101" i="3" a="1"/>
  <c r="AZ101" i="3" s="1"/>
  <c r="BZ113" i="3" a="1"/>
  <c r="BZ113" i="3" s="1"/>
  <c r="DE113" i="3" a="1"/>
  <c r="DE113" i="3" s="1"/>
  <c r="CL113" i="3" a="1"/>
  <c r="CL113" i="3" s="1"/>
  <c r="AO113" i="3" a="1"/>
  <c r="AO113" i="3" s="1"/>
  <c r="CI113" i="3" a="1"/>
  <c r="CI113" i="3" s="1"/>
  <c r="AM113" i="3" a="1"/>
  <c r="AM113" i="3" s="1"/>
  <c r="M101" i="3" a="1"/>
  <c r="M101" i="3" s="1"/>
  <c r="DR101" i="3" a="1"/>
  <c r="DR101" i="3" s="1"/>
  <c r="BD101" i="3" a="1"/>
  <c r="BD101" i="3" s="1"/>
  <c r="AN113" i="3" a="1"/>
  <c r="AN113" i="3" s="1"/>
  <c r="K101" i="3" a="1"/>
  <c r="K101" i="3" s="1"/>
  <c r="BE101" i="3" a="1"/>
  <c r="BE101" i="3" s="1"/>
  <c r="CJ113" i="3" a="1"/>
  <c r="CJ113" i="3" s="1"/>
  <c r="BD113" i="3" a="1"/>
  <c r="BD113" i="3" s="1"/>
  <c r="BH101" i="3" a="1"/>
  <c r="BH101" i="3" s="1"/>
  <c r="CY101" i="3" a="1"/>
  <c r="CY101" i="3" s="1"/>
  <c r="CG101" i="3" a="1"/>
  <c r="CG101" i="3" s="1"/>
  <c r="AI101" i="3" a="1"/>
  <c r="AI101" i="3" s="1"/>
  <c r="CT101" i="3" a="1"/>
  <c r="CT101" i="3" s="1"/>
  <c r="DD113" i="3" a="1"/>
  <c r="DD113" i="3" s="1"/>
  <c r="CV113" i="3" a="1"/>
  <c r="CV113" i="3" s="1"/>
  <c r="BB101" i="3" a="1"/>
  <c r="BB101" i="3" s="1"/>
  <c r="V101" i="3" a="1"/>
  <c r="V101" i="3" s="1"/>
  <c r="DK101" i="3" a="1"/>
  <c r="DK101" i="3" s="1"/>
  <c r="AI113" i="3" a="1"/>
  <c r="AI113" i="3" s="1"/>
  <c r="S101" i="3" a="1"/>
  <c r="S101" i="3" s="1"/>
  <c r="DJ113" i="3" a="1"/>
  <c r="DJ113" i="3" s="1"/>
  <c r="AX113" i="3" a="1"/>
  <c r="AX113" i="3" s="1"/>
  <c r="W101" i="3" a="1"/>
  <c r="W101" i="3" s="1"/>
  <c r="CH113" i="3" a="1"/>
  <c r="CH113" i="3" s="1"/>
  <c r="CV101" i="3" a="1"/>
  <c r="CV101" i="3" s="1"/>
  <c r="AL113" i="3" a="1"/>
  <c r="AL113" i="3" s="1"/>
  <c r="CE101" i="3" a="1"/>
  <c r="CE101" i="3" s="1"/>
  <c r="CD113" i="3" a="1"/>
  <c r="CD113" i="3" s="1"/>
  <c r="DD101" i="3" a="1"/>
  <c r="DD101" i="3" s="1"/>
  <c r="CX101" i="3" a="1"/>
  <c r="CX101" i="3" s="1"/>
  <c r="DL101" i="3" a="1"/>
  <c r="DL101" i="3" s="1"/>
  <c r="AJ113" i="3" a="1"/>
  <c r="AJ113" i="3" s="1"/>
  <c r="CW101" i="3" a="1"/>
  <c r="CW101" i="3" s="1"/>
  <c r="AK101" i="3" a="1"/>
  <c r="AK101" i="3" s="1"/>
  <c r="BN113" i="3" a="1"/>
  <c r="BN113" i="3" s="1"/>
  <c r="R101" i="3" a="1"/>
  <c r="R101" i="3" s="1"/>
  <c r="BR113" i="3" a="1"/>
  <c r="BR113" i="3" s="1"/>
  <c r="D101" i="3" a="1"/>
  <c r="D101" i="3" s="1"/>
  <c r="AL101" i="3" a="1"/>
  <c r="AL101" i="3" s="1"/>
  <c r="S113" i="3" a="1"/>
  <c r="S113" i="3" s="1"/>
  <c r="AH113" i="3" a="1"/>
  <c r="AH113" i="3" s="1"/>
  <c r="AO101" i="3" a="1"/>
  <c r="AO101" i="3" s="1"/>
  <c r="DN113" i="3" a="1"/>
  <c r="DN113" i="3" s="1"/>
  <c r="CF101" i="3" a="1"/>
  <c r="CF101" i="3" s="1"/>
  <c r="CW113" i="3" a="1"/>
  <c r="CW113" i="3" s="1"/>
  <c r="CG113" i="3" a="1"/>
  <c r="CG113" i="3" s="1"/>
  <c r="E113" i="3" a="1"/>
  <c r="E113" i="3" s="1"/>
  <c r="CD101" i="3" a="1"/>
  <c r="CD101" i="3" s="1"/>
  <c r="R113" i="3" a="1"/>
  <c r="R113" i="3" s="1"/>
  <c r="BI113" i="3" a="1"/>
  <c r="BI113" i="3" s="1"/>
  <c r="DP113" i="3" a="1"/>
  <c r="DP113" i="3" s="1"/>
  <c r="CZ101" i="3" a="1"/>
  <c r="CZ101" i="3" s="1"/>
  <c r="BP101" i="3" a="1"/>
  <c r="BP101" i="3" s="1"/>
  <c r="F101" i="3" a="1"/>
  <c r="F101" i="3" s="1"/>
  <c r="DM113" i="3" a="1"/>
  <c r="DM113" i="3" s="1"/>
  <c r="BA101" i="3" a="1"/>
  <c r="BA101" i="3" s="1"/>
  <c r="CU113" i="3" a="1"/>
  <c r="CU113" i="3" s="1"/>
  <c r="BO101" i="3" a="1"/>
  <c r="BO101" i="3" s="1"/>
  <c r="AH101" i="3" a="1"/>
  <c r="AH101" i="3" s="1"/>
  <c r="I113" i="3" a="1"/>
  <c r="I113" i="3" s="1"/>
  <c r="BR101" i="3" a="1"/>
  <c r="BR101" i="3" s="1"/>
  <c r="V113" i="3" a="1"/>
  <c r="V113" i="3" s="1"/>
  <c r="E101" i="3" a="1"/>
  <c r="E101" i="3" s="1"/>
  <c r="C101" i="3" a="1"/>
  <c r="C101" i="3" s="1"/>
  <c r="Z101" i="3" a="1"/>
  <c r="Z101" i="3" s="1"/>
  <c r="DP101" i="3" a="1"/>
  <c r="DP101" i="3" s="1"/>
  <c r="G113" i="3" a="1"/>
  <c r="G113" i="3" s="1"/>
  <c r="BQ101" i="3" a="1"/>
  <c r="BQ101" i="3" s="1"/>
  <c r="U101" i="3" a="1"/>
  <c r="U101" i="3" s="1"/>
  <c r="BN101" i="3" a="1"/>
  <c r="BN101" i="3" s="1"/>
  <c r="DA101" i="3" a="1"/>
  <c r="DA101" i="3" s="1"/>
  <c r="CX113" i="3" a="1"/>
  <c r="CX113" i="3" s="1"/>
  <c r="AZ113" i="3" a="1"/>
  <c r="AZ113" i="3" s="1"/>
  <c r="DM101" i="3" a="1"/>
  <c r="DM101" i="3" s="1"/>
  <c r="BA113" i="3" a="1"/>
  <c r="BA113" i="3" s="1"/>
  <c r="U113" i="3" a="1"/>
  <c r="U113" i="3" s="1"/>
  <c r="CE113" i="3" a="1"/>
  <c r="CE113" i="3" s="1"/>
  <c r="AY101" i="3" a="1"/>
  <c r="AY101" i="3" s="1"/>
  <c r="DJ101" i="3" a="1"/>
  <c r="DJ101" i="3" s="1"/>
  <c r="CT113" i="3" a="1"/>
  <c r="CT113" i="3" s="1"/>
  <c r="CM113" i="3" a="1"/>
  <c r="CM113" i="3" s="1"/>
  <c r="DO113" i="3" a="1"/>
  <c r="DO113" i="3" s="1"/>
  <c r="CH101" i="3" a="1"/>
  <c r="CH101" i="3" s="1"/>
  <c r="D113" i="3" a="1"/>
  <c r="D113" i="3" s="1"/>
  <c r="BO113" i="3" a="1"/>
  <c r="BO113" i="3" s="1"/>
  <c r="DO101" i="3" a="1"/>
  <c r="DO101" i="3" s="1"/>
  <c r="BB113" i="3" a="1"/>
  <c r="BB113" i="3" s="1"/>
  <c r="BU113" i="3" a="1"/>
  <c r="BU113" i="3" s="1"/>
  <c r="AK113" i="3" a="1"/>
  <c r="AK113" i="3" s="1"/>
  <c r="CM101" i="3" a="1"/>
  <c r="CM101" i="3" s="1"/>
  <c r="AM101" i="3" a="1"/>
  <c r="AM101" i="3" s="1"/>
  <c r="CF113" i="3" a="1"/>
  <c r="CF113" i="3" s="1"/>
  <c r="BT101" i="3" a="1"/>
  <c r="BT101" i="3" s="1"/>
  <c r="CU101" i="3" a="1"/>
  <c r="CU101" i="3" s="1"/>
  <c r="AX101" i="3" a="1"/>
  <c r="AX101" i="3" s="1"/>
  <c r="DQ101" i="3" a="1"/>
  <c r="DQ101" i="3" s="1"/>
  <c r="T101" i="3" a="1"/>
  <c r="T101" i="3" s="1"/>
  <c r="DK113" i="3" a="1"/>
  <c r="DK113" i="3" s="1"/>
  <c r="T113" i="3" a="1"/>
  <c r="T113" i="3" s="1"/>
  <c r="BP113" i="3" a="1"/>
  <c r="BP113" i="3" s="1"/>
  <c r="AJ101" i="3" a="1"/>
  <c r="AJ101" i="3" s="1"/>
  <c r="F113" i="3" a="1"/>
  <c r="F113" i="3" s="1"/>
  <c r="BQ113" i="3" a="1"/>
  <c r="BQ113" i="3" s="1"/>
  <c r="AY113" i="3" a="1"/>
  <c r="AY113" i="3" s="1"/>
  <c r="C113" i="3" a="1"/>
  <c r="C113" i="3" s="1"/>
  <c r="BW113" i="3" a="1"/>
  <c r="BW113" i="3" s="1"/>
  <c r="C18" i="3"/>
  <c r="BE89" i="3" a="1"/>
  <c r="BE89" i="3" s="1"/>
  <c r="DJ50" i="3" a="1"/>
  <c r="DJ50" i="3" s="1"/>
  <c r="AK50" i="3" a="1"/>
  <c r="AK50" i="3" s="1"/>
  <c r="CE89" i="3" a="1"/>
  <c r="CE89" i="3" s="1"/>
  <c r="CV50" i="3" a="1"/>
  <c r="CV50" i="3" s="1"/>
  <c r="AY24" i="3" a="1"/>
  <c r="AY24" i="3" s="1"/>
  <c r="BL24" i="3" a="1"/>
  <c r="BL24" i="3" s="1"/>
  <c r="BL31" i="3" s="1"/>
  <c r="BX24" i="3" a="1"/>
  <c r="BX24" i="3" s="1"/>
  <c r="BX31" i="3" s="1"/>
  <c r="DN89" i="3" a="1"/>
  <c r="DN89" i="3" s="1"/>
  <c r="BU89" i="3" a="1"/>
  <c r="BU89" i="3" s="1"/>
  <c r="BY89" i="3" a="1"/>
  <c r="BY89" i="3" s="1"/>
  <c r="AE50" i="3" a="1"/>
  <c r="AE50" i="3" s="1"/>
  <c r="DE89" i="3" a="1"/>
  <c r="DE89" i="3" s="1"/>
  <c r="AG24" i="3" a="1"/>
  <c r="AG24" i="3" s="1"/>
  <c r="AG31" i="3" s="1"/>
  <c r="BW24" i="3" a="1"/>
  <c r="BW24" i="3" s="1"/>
  <c r="AA24" i="3" a="1"/>
  <c r="AA24" i="3" s="1"/>
  <c r="CB89" i="3" a="1"/>
  <c r="CB89" i="3" s="1"/>
  <c r="DI89" i="3" a="1"/>
  <c r="DI89" i="3" s="1"/>
  <c r="AF24" i="3" a="1"/>
  <c r="AF24" i="3" s="1"/>
  <c r="AF31" i="3" s="1"/>
  <c r="T24" i="3" a="1"/>
  <c r="T24" i="3" s="1"/>
  <c r="T31" i="3" s="1"/>
  <c r="BF24" i="3" a="1"/>
  <c r="BF24" i="3" s="1"/>
  <c r="BF31" i="3" s="1"/>
  <c r="CF24" i="3" a="1"/>
  <c r="CF24" i="3" s="1"/>
  <c r="CF31" i="3" s="1"/>
  <c r="DM24" i="3" a="1"/>
  <c r="DM24" i="3" s="1"/>
  <c r="DM31" i="3" s="1"/>
  <c r="F40" i="4" l="1"/>
  <c r="I18" i="13"/>
  <c r="I19" i="13" s="1"/>
  <c r="L18" i="13"/>
  <c r="L19" i="13" s="1"/>
  <c r="G40" i="4"/>
  <c r="G43" i="4" s="1"/>
  <c r="G124" i="4" s="1"/>
  <c r="H18" i="13"/>
  <c r="E18" i="13"/>
  <c r="E19" i="13" s="1"/>
  <c r="G18" i="13"/>
  <c r="G19" i="13" s="1"/>
  <c r="L74" i="22"/>
  <c r="L76" i="22"/>
  <c r="L98" i="22"/>
  <c r="L81" i="22"/>
  <c r="L10" i="22"/>
  <c r="H58" i="13"/>
  <c r="H234" i="13" s="1"/>
  <c r="H134" i="4" s="1"/>
  <c r="K58" i="13"/>
  <c r="K234" i="13" s="1"/>
  <c r="K134" i="4" s="1"/>
  <c r="G58" i="13"/>
  <c r="G234" i="13" s="1"/>
  <c r="G134" i="4" s="1"/>
  <c r="E58" i="13"/>
  <c r="E234" i="13" s="1"/>
  <c r="E134" i="4" s="1"/>
  <c r="D58" i="13"/>
  <c r="D234" i="13" s="1"/>
  <c r="D134" i="4" s="1"/>
  <c r="L15" i="22"/>
  <c r="C58" i="13"/>
  <c r="C234" i="13" s="1"/>
  <c r="C134" i="4" s="1"/>
  <c r="J58" i="13"/>
  <c r="J234" i="13" s="1"/>
  <c r="J134" i="4" s="1"/>
  <c r="L50" i="22"/>
  <c r="F58" i="13"/>
  <c r="F234" i="13" s="1"/>
  <c r="F134" i="4" s="1"/>
  <c r="L48" i="22"/>
  <c r="I58" i="13"/>
  <c r="I234" i="13" s="1"/>
  <c r="I134" i="4" s="1"/>
  <c r="L58" i="13"/>
  <c r="L234" i="13" s="1"/>
  <c r="L134" i="4" s="1"/>
  <c r="K43" i="4"/>
  <c r="K124" i="4" s="1"/>
  <c r="D43" i="4"/>
  <c r="D124" i="4" s="1"/>
  <c r="L32" i="22"/>
  <c r="L101" i="22"/>
  <c r="L72" i="22"/>
  <c r="L31" i="22"/>
  <c r="D68" i="4"/>
  <c r="D71" i="4" s="1"/>
  <c r="E122" i="19"/>
  <c r="E126" i="19" s="1"/>
  <c r="L25" i="22"/>
  <c r="L82" i="22"/>
  <c r="L117" i="22"/>
  <c r="L69" i="22"/>
  <c r="L58" i="22"/>
  <c r="J30" i="19"/>
  <c r="L80" i="22"/>
  <c r="L18" i="22"/>
  <c r="L55" i="22"/>
  <c r="B192" i="19"/>
  <c r="L30" i="22"/>
  <c r="L120" i="22"/>
  <c r="L63" i="22"/>
  <c r="J44" i="19"/>
  <c r="L67" i="22"/>
  <c r="L49" i="22"/>
  <c r="L73" i="22"/>
  <c r="L102" i="22"/>
  <c r="L51" i="22"/>
  <c r="C9" i="20"/>
  <c r="C15" i="20"/>
  <c r="L65" i="22"/>
  <c r="L83" i="22"/>
  <c r="L41" i="22"/>
  <c r="L61" i="22"/>
  <c r="L100" i="22"/>
  <c r="L97" i="22"/>
  <c r="L84" i="22"/>
  <c r="L14" i="22"/>
  <c r="B183" i="19"/>
  <c r="L95" i="22"/>
  <c r="L124" i="22"/>
  <c r="L116" i="4"/>
  <c r="L89" i="22"/>
  <c r="F43" i="4"/>
  <c r="F124" i="4" s="1"/>
  <c r="L104" i="22"/>
  <c r="L91" i="22"/>
  <c r="L119" i="22"/>
  <c r="L109" i="22"/>
  <c r="L94" i="22"/>
  <c r="L96" i="22"/>
  <c r="L115" i="22"/>
  <c r="L112" i="22"/>
  <c r="L90" i="22"/>
  <c r="L116" i="22"/>
  <c r="L113" i="22"/>
  <c r="H116" i="4"/>
  <c r="L54" i="4"/>
  <c r="L57" i="4" s="1"/>
  <c r="L125" i="4" s="1"/>
  <c r="J68" i="4"/>
  <c r="J118" i="4" s="1"/>
  <c r="D41" i="4"/>
  <c r="D116" i="4"/>
  <c r="F54" i="4"/>
  <c r="F57" i="4" s="1"/>
  <c r="F125" i="4" s="1"/>
  <c r="E116" i="4"/>
  <c r="E43" i="4"/>
  <c r="E124" i="4" s="1"/>
  <c r="C116" i="4"/>
  <c r="J116" i="4"/>
  <c r="G116" i="4"/>
  <c r="I43" i="4"/>
  <c r="I124" i="4" s="1"/>
  <c r="C54" i="4"/>
  <c r="C57" i="4" s="1"/>
  <c r="G68" i="4"/>
  <c r="G71" i="4" s="1"/>
  <c r="G126" i="4" s="1"/>
  <c r="C98" i="4"/>
  <c r="E68" i="4"/>
  <c r="E118" i="4" s="1"/>
  <c r="H80" i="4"/>
  <c r="L68" i="4"/>
  <c r="L71" i="4" s="1"/>
  <c r="L126" i="4" s="1"/>
  <c r="F68" i="4"/>
  <c r="F71" i="4" s="1"/>
  <c r="F126" i="4" s="1"/>
  <c r="H54" i="4"/>
  <c r="H57" i="4" s="1"/>
  <c r="H125" i="4" s="1"/>
  <c r="J98" i="4"/>
  <c r="D54" i="4"/>
  <c r="D57" i="4" s="1"/>
  <c r="H68" i="4"/>
  <c r="H71" i="4" s="1"/>
  <c r="H126" i="4" s="1"/>
  <c r="I68" i="4"/>
  <c r="I118" i="4" s="1"/>
  <c r="G54" i="4"/>
  <c r="G57" i="4" s="1"/>
  <c r="G125" i="4" s="1"/>
  <c r="K68" i="4"/>
  <c r="K71" i="4" s="1"/>
  <c r="K126" i="4" s="1"/>
  <c r="I54" i="4"/>
  <c r="I57" i="4" s="1"/>
  <c r="I125" i="4" s="1"/>
  <c r="C68" i="4"/>
  <c r="C69" i="4" s="1"/>
  <c r="F116" i="4"/>
  <c r="K54" i="4"/>
  <c r="K57" i="4" s="1"/>
  <c r="K125" i="4" s="1"/>
  <c r="E54" i="4"/>
  <c r="E57" i="4" s="1"/>
  <c r="C41" i="4"/>
  <c r="J54" i="4"/>
  <c r="J117" i="4" s="1"/>
  <c r="L98" i="4"/>
  <c r="Q11" i="22"/>
  <c r="Q12" i="22" s="1"/>
  <c r="L142" i="4"/>
  <c r="C142" i="4"/>
  <c r="D142" i="4"/>
  <c r="E142" i="4"/>
  <c r="F142" i="4"/>
  <c r="G142" i="4"/>
  <c r="H142" i="4"/>
  <c r="I142" i="4"/>
  <c r="J142" i="4"/>
  <c r="K142" i="4"/>
  <c r="L70" i="22"/>
  <c r="L111" i="22"/>
  <c r="L105" i="22"/>
  <c r="L125" i="22"/>
  <c r="L114" i="22"/>
  <c r="C57" i="1"/>
  <c r="C134" i="14" s="1"/>
  <c r="F80" i="4"/>
  <c r="J100" i="4"/>
  <c r="J97" i="4"/>
  <c r="L29" i="22"/>
  <c r="L75" i="22"/>
  <c r="L118" i="22"/>
  <c r="L103" i="22"/>
  <c r="L123" i="22"/>
  <c r="D44" i="4"/>
  <c r="L71" i="22"/>
  <c r="H98" i="4"/>
  <c r="L79" i="22"/>
  <c r="I97" i="4"/>
  <c r="I100" i="4"/>
  <c r="L78" i="22"/>
  <c r="L106" i="22"/>
  <c r="L35" i="22"/>
  <c r="L97" i="4"/>
  <c r="L100" i="4"/>
  <c r="L88" i="22"/>
  <c r="I98" i="4"/>
  <c r="J80" i="4"/>
  <c r="K97" i="4"/>
  <c r="K100" i="4"/>
  <c r="G80" i="4"/>
  <c r="C80" i="4"/>
  <c r="D80" i="4"/>
  <c r="E80" i="4"/>
  <c r="I80" i="4"/>
  <c r="H100" i="4"/>
  <c r="H97" i="4"/>
  <c r="E98" i="4"/>
  <c r="L110" i="22"/>
  <c r="C44" i="4"/>
  <c r="C124" i="4"/>
  <c r="K98" i="4"/>
  <c r="J152" i="4" a="1"/>
  <c r="J152" i="4" s="1"/>
  <c r="H152" i="4" a="1"/>
  <c r="H152" i="4" s="1"/>
  <c r="I152" i="4" a="1"/>
  <c r="I152" i="4" s="1"/>
  <c r="K152" i="4" a="1"/>
  <c r="K152" i="4" s="1"/>
  <c r="C152" i="4" a="1"/>
  <c r="C152" i="4" s="1"/>
  <c r="L152" i="4" a="1"/>
  <c r="L152" i="4" s="1"/>
  <c r="D152" i="4" a="1"/>
  <c r="D152" i="4" s="1"/>
  <c r="E152" i="4" a="1"/>
  <c r="E152" i="4" s="1"/>
  <c r="F152" i="4" a="1"/>
  <c r="F152" i="4" s="1"/>
  <c r="G152" i="4" a="1"/>
  <c r="G152" i="4" s="1"/>
  <c r="F98" i="4"/>
  <c r="L33" i="22"/>
  <c r="L121" i="22"/>
  <c r="D98" i="4"/>
  <c r="K80" i="4"/>
  <c r="L80" i="4"/>
  <c r="G98" i="4"/>
  <c r="G100" i="4"/>
  <c r="G97" i="4"/>
  <c r="L24" i="22"/>
  <c r="L13" i="22"/>
  <c r="L99" i="22"/>
  <c r="L38" i="22"/>
  <c r="L54" i="22"/>
  <c r="L26" i="22"/>
  <c r="L92" i="22"/>
  <c r="Q29" i="22"/>
  <c r="Q31" i="22" s="1"/>
  <c r="L107" i="22"/>
  <c r="C136" i="1" a="1"/>
  <c r="C136" i="1" s="1"/>
  <c r="C105" i="1" a="1"/>
  <c r="C105" i="1" s="1"/>
  <c r="L43" i="22"/>
  <c r="L64" i="22"/>
  <c r="AL21" i="2"/>
  <c r="L17" i="22"/>
  <c r="AE10" i="2"/>
  <c r="L37" i="22"/>
  <c r="M103" i="22" a="1"/>
  <c r="M103" i="22" s="1"/>
  <c r="M94" i="22" a="1"/>
  <c r="M94" i="22" s="1"/>
  <c r="M99" i="22" a="1"/>
  <c r="M99" i="22" s="1"/>
  <c r="M114" i="22" a="1"/>
  <c r="M114" i="22" s="1"/>
  <c r="M90" i="22" a="1"/>
  <c r="M90" i="22" s="1"/>
  <c r="M118" i="22" a="1"/>
  <c r="M118" i="22" s="1"/>
  <c r="M96" i="22" a="1"/>
  <c r="M96" i="22" s="1"/>
  <c r="M97" i="22" a="1"/>
  <c r="M97" i="22" s="1"/>
  <c r="M106" i="22" a="1"/>
  <c r="M106" i="22" s="1"/>
  <c r="M123" i="22" a="1"/>
  <c r="M123" i="22" s="1"/>
  <c r="M92" i="22" a="1"/>
  <c r="M92" i="22" s="1"/>
  <c r="M105" i="22" a="1"/>
  <c r="M105" i="22" s="1"/>
  <c r="M109" i="22" a="1"/>
  <c r="M109" i="22" s="1"/>
  <c r="M117" i="22" a="1"/>
  <c r="M117" i="22" s="1"/>
  <c r="M112" i="22" a="1"/>
  <c r="M112" i="22" s="1"/>
  <c r="M110" i="22" a="1"/>
  <c r="M110" i="22" s="1"/>
  <c r="M121" i="22" a="1"/>
  <c r="M121" i="22" s="1"/>
  <c r="M89" i="22" a="1"/>
  <c r="M89" i="22" s="1"/>
  <c r="M93" i="22" a="1"/>
  <c r="M93" i="22" s="1"/>
  <c r="M115" i="22" a="1"/>
  <c r="M115" i="22" s="1"/>
  <c r="M113" i="22" a="1"/>
  <c r="M113" i="22" s="1"/>
  <c r="M120" i="22" a="1"/>
  <c r="M120" i="22" s="1"/>
  <c r="M91" i="22" a="1"/>
  <c r="M91" i="22" s="1"/>
  <c r="M122" i="22" a="1"/>
  <c r="M122" i="22" s="1"/>
  <c r="M98" i="22" a="1"/>
  <c r="M98" i="22" s="1"/>
  <c r="M125" i="22" a="1"/>
  <c r="M125" i="22" s="1"/>
  <c r="M100" i="22" a="1"/>
  <c r="M100" i="22" s="1"/>
  <c r="M111" i="22" a="1"/>
  <c r="M111" i="22" s="1"/>
  <c r="M95" i="22" a="1"/>
  <c r="M95" i="22" s="1"/>
  <c r="M101" i="22" a="1"/>
  <c r="M101" i="22" s="1"/>
  <c r="M102" i="22" a="1"/>
  <c r="M102" i="22" s="1"/>
  <c r="M116" i="22" a="1"/>
  <c r="M116" i="22" s="1"/>
  <c r="M107" i="22" a="1"/>
  <c r="M107" i="22" s="1"/>
  <c r="M108" i="22" a="1"/>
  <c r="M108" i="22" s="1"/>
  <c r="M104" i="22" a="1"/>
  <c r="M104" i="22" s="1"/>
  <c r="M119" i="22" a="1"/>
  <c r="M119" i="22" s="1"/>
  <c r="M124" i="22" a="1"/>
  <c r="M124" i="22" s="1"/>
  <c r="L59" i="22"/>
  <c r="L122" i="22"/>
  <c r="C16" i="16"/>
  <c r="L108" i="22"/>
  <c r="L93" i="22"/>
  <c r="L62" i="22"/>
  <c r="L40" i="22"/>
  <c r="L56" i="22"/>
  <c r="L44" i="22"/>
  <c r="L86" i="22"/>
  <c r="L23" i="22"/>
  <c r="L42" i="22"/>
  <c r="L68" i="22"/>
  <c r="L45" i="22"/>
  <c r="L12" i="22"/>
  <c r="L21" i="22"/>
  <c r="L60" i="22"/>
  <c r="L34" i="22"/>
  <c r="L28" i="22"/>
  <c r="L36" i="22"/>
  <c r="L57" i="22"/>
  <c r="L22" i="22"/>
  <c r="L27" i="22"/>
  <c r="L16" i="22"/>
  <c r="L9" i="22"/>
  <c r="L52" i="22"/>
  <c r="L87" i="22"/>
  <c r="L53" i="22"/>
  <c r="L20" i="22"/>
  <c r="L85" i="22"/>
  <c r="L11" i="22"/>
  <c r="L77" i="22"/>
  <c r="L66" i="22"/>
  <c r="L7" i="22"/>
  <c r="L46" i="22"/>
  <c r="L19" i="22"/>
  <c r="L47" i="22"/>
  <c r="L8" i="22"/>
  <c r="L39" i="22"/>
  <c r="M23" i="22" a="1"/>
  <c r="M23" i="22" s="1"/>
  <c r="M6" i="22" a="1"/>
  <c r="M6" i="22" s="1"/>
  <c r="M9" i="22" a="1"/>
  <c r="M9" i="22" s="1"/>
  <c r="M30" i="22" a="1"/>
  <c r="M30" i="22" s="1"/>
  <c r="M41" i="22" a="1"/>
  <c r="M41" i="22" s="1"/>
  <c r="M54" i="22" a="1"/>
  <c r="M54" i="22" s="1"/>
  <c r="M36" i="22" a="1"/>
  <c r="M36" i="22" s="1"/>
  <c r="M48" i="22" a="1"/>
  <c r="M48" i="22" s="1"/>
  <c r="Q36" i="22"/>
  <c r="M49" i="22" a="1"/>
  <c r="M49" i="22" s="1"/>
  <c r="M79" i="22" a="1"/>
  <c r="M79" i="22" s="1"/>
  <c r="M68" i="22" a="1"/>
  <c r="M68" i="22" s="1"/>
  <c r="M52" i="22" a="1"/>
  <c r="M52" i="22" s="1"/>
  <c r="M12" i="22" a="1"/>
  <c r="M12" i="22" s="1"/>
  <c r="M73" i="22" a="1"/>
  <c r="M73" i="22" s="1"/>
  <c r="M66" i="22" a="1"/>
  <c r="M66" i="22" s="1"/>
  <c r="M87" i="22" a="1"/>
  <c r="M87" i="22" s="1"/>
  <c r="M67" i="22" a="1"/>
  <c r="M67" i="22" s="1"/>
  <c r="M84" i="22" a="1"/>
  <c r="M84" i="22" s="1"/>
  <c r="M15" i="22" a="1"/>
  <c r="M15" i="22" s="1"/>
  <c r="M28" i="22" a="1"/>
  <c r="M28" i="22" s="1"/>
  <c r="M46" i="22" a="1"/>
  <c r="M46" i="22" s="1"/>
  <c r="M47" i="22" a="1"/>
  <c r="M47" i="22" s="1"/>
  <c r="M75" i="22" a="1"/>
  <c r="M75" i="22" s="1"/>
  <c r="M26" i="22" a="1"/>
  <c r="M26" i="22" s="1"/>
  <c r="M34" i="22" a="1"/>
  <c r="M34" i="22" s="1"/>
  <c r="M32" i="22" a="1"/>
  <c r="M32" i="22" s="1"/>
  <c r="M22" i="22" a="1"/>
  <c r="M22" i="22" s="1"/>
  <c r="M70" i="22" a="1"/>
  <c r="M70" i="22" s="1"/>
  <c r="M85" i="22" a="1"/>
  <c r="M85" i="22" s="1"/>
  <c r="M82" i="22" a="1"/>
  <c r="M82" i="22" s="1"/>
  <c r="M13" i="22" a="1"/>
  <c r="M13" i="22" s="1"/>
  <c r="M21" i="22" a="1"/>
  <c r="M21" i="22" s="1"/>
  <c r="M88" i="22" a="1"/>
  <c r="M88" i="22" s="1"/>
  <c r="M71" i="22" a="1"/>
  <c r="M71" i="22" s="1"/>
  <c r="M78" i="22" a="1"/>
  <c r="M78" i="22" s="1"/>
  <c r="M55" i="22" a="1"/>
  <c r="M55" i="22" s="1"/>
  <c r="M83" i="22" a="1"/>
  <c r="M83" i="22" s="1"/>
  <c r="M76" i="22" a="1"/>
  <c r="M76" i="22" s="1"/>
  <c r="M35" i="22" a="1"/>
  <c r="M35" i="22" s="1"/>
  <c r="M57" i="22" a="1"/>
  <c r="M57" i="22" s="1"/>
  <c r="M53" i="22" a="1"/>
  <c r="M53" i="22" s="1"/>
  <c r="M69" i="22" a="1"/>
  <c r="M69" i="22" s="1"/>
  <c r="M51" i="22" a="1"/>
  <c r="M51" i="22" s="1"/>
  <c r="M62" i="22" a="1"/>
  <c r="M62" i="22" s="1"/>
  <c r="M18" i="22" a="1"/>
  <c r="M18" i="22" s="1"/>
  <c r="M58" i="22" a="1"/>
  <c r="M58" i="22" s="1"/>
  <c r="M50" i="22" a="1"/>
  <c r="M50" i="22" s="1"/>
  <c r="M37" i="22" a="1"/>
  <c r="M37" i="22" s="1"/>
  <c r="M27" i="22" a="1"/>
  <c r="M27" i="22" s="1"/>
  <c r="M56" i="22" a="1"/>
  <c r="M56" i="22" s="1"/>
  <c r="M29" i="22" a="1"/>
  <c r="M29" i="22" s="1"/>
  <c r="M81" i="22" a="1"/>
  <c r="M81" i="22" s="1"/>
  <c r="M80" i="22" a="1"/>
  <c r="M80" i="22" s="1"/>
  <c r="M74" i="22" a="1"/>
  <c r="M74" i="22" s="1"/>
  <c r="M16" i="22" a="1"/>
  <c r="M16" i="22" s="1"/>
  <c r="M19" i="22" a="1"/>
  <c r="M19" i="22" s="1"/>
  <c r="M59" i="22" a="1"/>
  <c r="M59" i="22" s="1"/>
  <c r="M33" i="22" a="1"/>
  <c r="M33" i="22" s="1"/>
  <c r="M45" i="22" a="1"/>
  <c r="M45" i="22" s="1"/>
  <c r="M24" i="22" a="1"/>
  <c r="M24" i="22" s="1"/>
  <c r="M10" i="22" a="1"/>
  <c r="M10" i="22" s="1"/>
  <c r="M61" i="22" a="1"/>
  <c r="M61" i="22" s="1"/>
  <c r="M14" i="22" a="1"/>
  <c r="M14" i="22" s="1"/>
  <c r="M8" i="22" a="1"/>
  <c r="M8" i="22" s="1"/>
  <c r="M20" i="22" a="1"/>
  <c r="M20" i="22" s="1"/>
  <c r="M60" i="22" a="1"/>
  <c r="M60" i="22" s="1"/>
  <c r="M72" i="22" a="1"/>
  <c r="M72" i="22" s="1"/>
  <c r="M86" i="22" a="1"/>
  <c r="M86" i="22" s="1"/>
  <c r="M42" i="22" a="1"/>
  <c r="M42" i="22" s="1"/>
  <c r="M64" i="22" a="1"/>
  <c r="M64" i="22" s="1"/>
  <c r="M7" i="22" a="1"/>
  <c r="M7" i="22" s="1"/>
  <c r="M65" i="22" a="1"/>
  <c r="M65" i="22" s="1"/>
  <c r="M39" i="22" a="1"/>
  <c r="M39" i="22" s="1"/>
  <c r="M77" i="22" a="1"/>
  <c r="M77" i="22" s="1"/>
  <c r="M25" i="22" a="1"/>
  <c r="M25" i="22" s="1"/>
  <c r="M44" i="22" a="1"/>
  <c r="M44" i="22" s="1"/>
  <c r="M31" i="22" a="1"/>
  <c r="M31" i="22" s="1"/>
  <c r="M40" i="22" a="1"/>
  <c r="M40" i="22" s="1"/>
  <c r="M43" i="22" a="1"/>
  <c r="M43" i="22" s="1"/>
  <c r="M17" i="22" a="1"/>
  <c r="M17" i="22" s="1"/>
  <c r="M38" i="22" a="1"/>
  <c r="M38" i="22" s="1"/>
  <c r="M63" i="22" a="1"/>
  <c r="M63" i="22" s="1"/>
  <c r="M11" i="22" a="1"/>
  <c r="M11" i="22" s="1"/>
  <c r="Q32" i="22"/>
  <c r="Q34" i="22" s="1"/>
  <c r="L6" i="22"/>
  <c r="G11" i="10"/>
  <c r="G18" i="10" s="1"/>
  <c r="C36" i="10"/>
  <c r="C43" i="10" s="1"/>
  <c r="C63" i="10" s="1"/>
  <c r="K11" i="10"/>
  <c r="K18" i="10" s="1"/>
  <c r="L11" i="10"/>
  <c r="L18" i="10" s="1"/>
  <c r="AD20" i="2"/>
  <c r="G36" i="10"/>
  <c r="G43" i="10" s="1"/>
  <c r="G44" i="10" s="1"/>
  <c r="D11" i="10"/>
  <c r="D18" i="10" s="1"/>
  <c r="I36" i="10"/>
  <c r="I43" i="10" s="1"/>
  <c r="H11" i="10"/>
  <c r="H18" i="10" s="1"/>
  <c r="C11" i="10"/>
  <c r="C18" i="10" s="1"/>
  <c r="J36" i="10"/>
  <c r="J43" i="10" s="1"/>
  <c r="J44" i="10" s="1"/>
  <c r="H36" i="10"/>
  <c r="H43" i="10" s="1"/>
  <c r="H44" i="10" s="1"/>
  <c r="E11" i="10"/>
  <c r="E18" i="10" s="1"/>
  <c r="I11" i="10"/>
  <c r="I18" i="10" s="1"/>
  <c r="K36" i="10"/>
  <c r="K43" i="10" s="1"/>
  <c r="K63" i="10" s="1"/>
  <c r="E36" i="10"/>
  <c r="E43" i="10" s="1"/>
  <c r="E63" i="10" s="1"/>
  <c r="D36" i="10"/>
  <c r="D43" i="10" s="1"/>
  <c r="D63" i="10" s="1"/>
  <c r="L36" i="10"/>
  <c r="L43" i="10" s="1"/>
  <c r="F36" i="10"/>
  <c r="F43" i="10" s="1"/>
  <c r="F63" i="10" s="1"/>
  <c r="J11" i="10"/>
  <c r="J18" i="10" s="1"/>
  <c r="F11" i="10"/>
  <c r="F18" i="10" s="1"/>
  <c r="AL20" i="2"/>
  <c r="AM20" i="2" s="1"/>
  <c r="AJ9" i="2"/>
  <c r="AM9" i="2"/>
  <c r="AI9" i="2"/>
  <c r="H109" i="19" s="1" a="1"/>
  <c r="H109" i="19" s="1"/>
  <c r="AH6" i="2"/>
  <c r="G106" i="19" s="1" a="1"/>
  <c r="G106" i="19" s="1"/>
  <c r="AI6" i="2"/>
  <c r="H106" i="19" s="1" a="1"/>
  <c r="H106" i="19" s="1"/>
  <c r="CU31" i="3"/>
  <c r="O31" i="3"/>
  <c r="C31" i="3"/>
  <c r="D80" i="13"/>
  <c r="D92" i="4" s="1"/>
  <c r="BK31" i="3"/>
  <c r="DG31" i="3"/>
  <c r="P57" i="3"/>
  <c r="AM31" i="3"/>
  <c r="AQ58" i="3" a="1"/>
  <c r="AQ58" i="3" s="1"/>
  <c r="E50" i="13"/>
  <c r="E51" i="13" s="1"/>
  <c r="L58" i="3" a="1"/>
  <c r="L58" i="3" s="1"/>
  <c r="AC20" i="2"/>
  <c r="G58" i="3" a="1"/>
  <c r="G58" i="3" s="1"/>
  <c r="DK57" i="3"/>
  <c r="T57" i="3"/>
  <c r="DP58" i="3" a="1"/>
  <c r="DP58" i="3" s="1"/>
  <c r="BT58" i="3" a="1"/>
  <c r="BT58" i="3" s="1"/>
  <c r="AE9" i="2"/>
  <c r="E58" i="3" a="1"/>
  <c r="E58" i="3" s="1"/>
  <c r="CD58" i="3" a="1"/>
  <c r="CD58" i="3" s="1"/>
  <c r="CH58" i="3" a="1"/>
  <c r="CH58" i="3" s="1"/>
  <c r="BL58" i="3" a="1"/>
  <c r="BL58" i="3" s="1"/>
  <c r="AK20" i="2"/>
  <c r="AI20" i="2" s="1"/>
  <c r="AH9" i="2"/>
  <c r="G109" i="19" s="1" a="1"/>
  <c r="G109" i="19" s="1"/>
  <c r="CX58" i="3" a="1"/>
  <c r="CX58" i="3" s="1"/>
  <c r="BC57" i="3"/>
  <c r="BI57" i="3"/>
  <c r="D57" i="3"/>
  <c r="C50" i="13"/>
  <c r="C51" i="13" s="1"/>
  <c r="AI10" i="2"/>
  <c r="H110" i="19" s="1" a="1"/>
  <c r="H110" i="19" s="1"/>
  <c r="AH10" i="2"/>
  <c r="G110" i="19" s="1" a="1"/>
  <c r="G110" i="19" s="1"/>
  <c r="AI7" i="2"/>
  <c r="H107" i="19" s="1" a="1"/>
  <c r="H107" i="19" s="1"/>
  <c r="AH7" i="2"/>
  <c r="G107" i="19" s="1" a="1"/>
  <c r="G107" i="19" s="1"/>
  <c r="CW58" i="3" a="1"/>
  <c r="CW58" i="3" s="1"/>
  <c r="AE6" i="2"/>
  <c r="AN57" i="3"/>
  <c r="DH57" i="3"/>
  <c r="V58" i="3" a="1"/>
  <c r="V58" i="3" s="1"/>
  <c r="AF57" i="3"/>
  <c r="BX58" i="3" a="1"/>
  <c r="BX58" i="3" s="1"/>
  <c r="BE57" i="3"/>
  <c r="CR57" i="3"/>
  <c r="AI8" i="2"/>
  <c r="H108" i="19" s="1" a="1"/>
  <c r="H108" i="19" s="1"/>
  <c r="AH8" i="2"/>
  <c r="G108" i="19" s="1" a="1"/>
  <c r="G108" i="19" s="1"/>
  <c r="BJ58" i="3" a="1"/>
  <c r="BJ58" i="3" s="1"/>
  <c r="CS57" i="3"/>
  <c r="AK21" i="2"/>
  <c r="BS57" i="3"/>
  <c r="J69" i="13" a="1"/>
  <c r="J69" i="13" s="1"/>
  <c r="J245" i="13" s="1"/>
  <c r="D61" i="13"/>
  <c r="D237" i="13" s="1"/>
  <c r="D137" i="4" s="1"/>
  <c r="F61" i="13"/>
  <c r="F237" i="13" s="1"/>
  <c r="F137" i="4" s="1"/>
  <c r="J34" i="13"/>
  <c r="J35" i="13" s="1"/>
  <c r="D50" i="13"/>
  <c r="D51" i="13" s="1"/>
  <c r="F56" i="13"/>
  <c r="F11" i="4" s="1"/>
  <c r="F75" i="4" s="1"/>
  <c r="L56" i="13"/>
  <c r="L11" i="4" s="1"/>
  <c r="L75" i="4" s="1"/>
  <c r="E65" i="13"/>
  <c r="E241" i="13" s="1"/>
  <c r="E138" i="4" s="1"/>
  <c r="J61" i="13"/>
  <c r="J237" i="13" s="1"/>
  <c r="J137" i="4" s="1"/>
  <c r="L34" i="13"/>
  <c r="L35" i="13" s="1"/>
  <c r="K34" i="13"/>
  <c r="K35" i="13" s="1"/>
  <c r="E21" i="13" a="1"/>
  <c r="E21" i="13" s="1"/>
  <c r="D69" i="13" a="1"/>
  <c r="D69" i="13" s="1"/>
  <c r="D245" i="13" s="1"/>
  <c r="D79" i="13" a="1"/>
  <c r="D79" i="13" s="1"/>
  <c r="D93" i="4" s="1"/>
  <c r="F65" i="13"/>
  <c r="F241" i="13" s="1"/>
  <c r="F138" i="4" s="1"/>
  <c r="D78" i="13"/>
  <c r="D91" i="4" s="1"/>
  <c r="J50" i="13"/>
  <c r="J51" i="13" s="1"/>
  <c r="D34" i="13"/>
  <c r="D35" i="13" s="1"/>
  <c r="G34" i="13"/>
  <c r="G35" i="13" s="1"/>
  <c r="I65" i="13"/>
  <c r="I241" i="13" s="1"/>
  <c r="I138" i="4" s="1"/>
  <c r="I56" i="13"/>
  <c r="I11" i="4" s="1"/>
  <c r="I75" i="4" s="1"/>
  <c r="E80" i="13"/>
  <c r="E92" i="4" s="1"/>
  <c r="E79" i="13" a="1"/>
  <c r="E79" i="13" s="1"/>
  <c r="E93" i="4" s="1"/>
  <c r="E78" i="13"/>
  <c r="E91" i="4" s="1"/>
  <c r="H60" i="13" a="1"/>
  <c r="H60" i="13" s="1"/>
  <c r="H236" i="13" s="1"/>
  <c r="H136" i="4" s="1"/>
  <c r="H59" i="13" a="1"/>
  <c r="H59" i="13" s="1"/>
  <c r="H235" i="13" s="1"/>
  <c r="H135" i="4" s="1"/>
  <c r="J56" i="13"/>
  <c r="J11" i="4" s="1"/>
  <c r="J75" i="4" s="1"/>
  <c r="D60" i="13" a="1"/>
  <c r="D60" i="13" s="1"/>
  <c r="D236" i="13" s="1"/>
  <c r="D136" i="4" s="1"/>
  <c r="D59" i="13" a="1"/>
  <c r="D59" i="13" s="1"/>
  <c r="D235" i="13" s="1"/>
  <c r="D135" i="4" s="1"/>
  <c r="I60" i="13" a="1"/>
  <c r="I60" i="13" s="1"/>
  <c r="I236" i="13" s="1"/>
  <c r="I136" i="4" s="1"/>
  <c r="I59" i="13" a="1"/>
  <c r="I59" i="13" s="1"/>
  <c r="I235" i="13" s="1"/>
  <c r="I135" i="4" s="1"/>
  <c r="C80" i="13"/>
  <c r="C92" i="4" s="1"/>
  <c r="C79" i="13" a="1"/>
  <c r="C79" i="13" s="1"/>
  <c r="C93" i="4" s="1"/>
  <c r="C78" i="13"/>
  <c r="C91" i="4" s="1"/>
  <c r="E59" i="13" a="1"/>
  <c r="E59" i="13" s="1"/>
  <c r="E235" i="13" s="1"/>
  <c r="E135" i="4" s="1"/>
  <c r="E60" i="13" a="1"/>
  <c r="E60" i="13" s="1"/>
  <c r="E236" i="13" s="1"/>
  <c r="E136" i="4" s="1"/>
  <c r="D57" i="13" a="1"/>
  <c r="D57" i="13" s="1"/>
  <c r="H50" i="13"/>
  <c r="H51" i="13" s="1"/>
  <c r="G65" i="13"/>
  <c r="G241" i="13" s="1"/>
  <c r="G138" i="4" s="1"/>
  <c r="F69" i="13" a="1"/>
  <c r="F69" i="13" s="1"/>
  <c r="F245" i="13" s="1"/>
  <c r="BW57" i="3"/>
  <c r="I57" i="13" a="1"/>
  <c r="I57" i="13" s="1"/>
  <c r="D19" i="13"/>
  <c r="BK58" i="3" a="1"/>
  <c r="BK58" i="3" s="1"/>
  <c r="H57" i="13" a="1"/>
  <c r="H57" i="13" s="1"/>
  <c r="F59" i="13" a="1"/>
  <c r="F59" i="13" s="1"/>
  <c r="F235" i="13" s="1"/>
  <c r="F135" i="4" s="1"/>
  <c r="F60" i="13" a="1"/>
  <c r="F60" i="13" s="1"/>
  <c r="F236" i="13" s="1"/>
  <c r="F136" i="4" s="1"/>
  <c r="L59" i="13" a="1"/>
  <c r="L59" i="13" s="1"/>
  <c r="L235" i="13" s="1"/>
  <c r="L135" i="4" s="1"/>
  <c r="L60" i="13" a="1"/>
  <c r="L60" i="13" s="1"/>
  <c r="L236" i="13" s="1"/>
  <c r="L136" i="4" s="1"/>
  <c r="E56" i="13"/>
  <c r="E11" i="4" s="1"/>
  <c r="E75" i="4" s="1"/>
  <c r="G56" i="13"/>
  <c r="G11" i="4" s="1"/>
  <c r="G75" i="4" s="1"/>
  <c r="F50" i="13"/>
  <c r="F51" i="13" s="1"/>
  <c r="L50" i="13"/>
  <c r="L51" i="13" s="1"/>
  <c r="E34" i="13"/>
  <c r="C34" i="13"/>
  <c r="K61" i="13"/>
  <c r="K237" i="13" s="1"/>
  <c r="K137" i="4" s="1"/>
  <c r="E69" i="13" a="1"/>
  <c r="E69" i="13" s="1"/>
  <c r="K50" i="13"/>
  <c r="K51" i="13" s="1"/>
  <c r="H19" i="13"/>
  <c r="H34" i="13"/>
  <c r="H35" i="13" s="1"/>
  <c r="AA57" i="3"/>
  <c r="E57" i="13" a="1"/>
  <c r="E57" i="13" s="1"/>
  <c r="J59" i="13" a="1"/>
  <c r="J59" i="13" s="1"/>
  <c r="J235" i="13" s="1"/>
  <c r="J135" i="4" s="1"/>
  <c r="J60" i="13" a="1"/>
  <c r="J60" i="13" s="1"/>
  <c r="J236" i="13" s="1"/>
  <c r="J136" i="4" s="1"/>
  <c r="C56" i="13"/>
  <c r="C11" i="4" s="1"/>
  <c r="C75" i="4" s="1"/>
  <c r="J79" i="13" a="1"/>
  <c r="J79" i="13" s="1"/>
  <c r="J93" i="4" s="1"/>
  <c r="J80" i="13"/>
  <c r="J92" i="4" s="1"/>
  <c r="J78" i="13"/>
  <c r="J91" i="4" s="1"/>
  <c r="I79" i="13" a="1"/>
  <c r="I79" i="13" s="1"/>
  <c r="I93" i="4" s="1"/>
  <c r="I80" i="13"/>
  <c r="I92" i="4" s="1"/>
  <c r="I78" i="13"/>
  <c r="I91" i="4" s="1"/>
  <c r="J19" i="13"/>
  <c r="K79" i="13" a="1"/>
  <c r="K79" i="13" s="1"/>
  <c r="K93" i="4" s="1"/>
  <c r="K80" i="13"/>
  <c r="K92" i="4" s="1"/>
  <c r="K78" i="13"/>
  <c r="K91" i="4" s="1"/>
  <c r="L65" i="13"/>
  <c r="L241" i="13" s="1"/>
  <c r="L138" i="4" s="1"/>
  <c r="G69" i="13" a="1"/>
  <c r="G69" i="13" s="1"/>
  <c r="G245" i="13" s="1"/>
  <c r="D65" i="13"/>
  <c r="D241" i="13" s="1"/>
  <c r="D138" i="4" s="1"/>
  <c r="K69" i="13" a="1"/>
  <c r="K69" i="13" s="1"/>
  <c r="K245" i="13" s="1"/>
  <c r="J65" i="13"/>
  <c r="J241" i="13" s="1"/>
  <c r="J138" i="4" s="1"/>
  <c r="H61" i="13"/>
  <c r="H237" i="13" s="1"/>
  <c r="H137" i="4" s="1"/>
  <c r="I34" i="13"/>
  <c r="G50" i="13"/>
  <c r="G51" i="13" s="1"/>
  <c r="C69" i="13" a="1"/>
  <c r="C69" i="13" s="1"/>
  <c r="C245" i="13" s="1"/>
  <c r="C65" i="13"/>
  <c r="C241" i="13" s="1"/>
  <c r="C138" i="4" s="1"/>
  <c r="E61" i="13"/>
  <c r="E237" i="13" s="1"/>
  <c r="E137" i="4" s="1"/>
  <c r="I61" i="13"/>
  <c r="I237" i="13" s="1"/>
  <c r="I137" i="4" s="1"/>
  <c r="C61" i="13"/>
  <c r="C237" i="13" s="1"/>
  <c r="C137" i="4" s="1"/>
  <c r="K65" i="13"/>
  <c r="K241" i="13" s="1"/>
  <c r="K138" i="4" s="1"/>
  <c r="G61" i="13"/>
  <c r="G237" i="13" s="1"/>
  <c r="G137" i="4" s="1"/>
  <c r="H69" i="13" a="1"/>
  <c r="H69" i="13" s="1"/>
  <c r="H245" i="13" s="1"/>
  <c r="K57" i="13" a="1"/>
  <c r="K57" i="13" s="1"/>
  <c r="DG57" i="3"/>
  <c r="L57" i="13" a="1"/>
  <c r="L57" i="13" s="1"/>
  <c r="C60" i="13" a="1"/>
  <c r="C60" i="13" s="1"/>
  <c r="C236" i="13" s="1"/>
  <c r="C136" i="4" s="1"/>
  <c r="C59" i="13" a="1"/>
  <c r="C59" i="13" s="1"/>
  <c r="C235" i="13" s="1"/>
  <c r="C135" i="4" s="1"/>
  <c r="H65" i="13"/>
  <c r="H241" i="13" s="1"/>
  <c r="H138" i="4" s="1"/>
  <c r="L61" i="13"/>
  <c r="L237" i="13" s="1"/>
  <c r="L137" i="4" s="1"/>
  <c r="AM58" i="3" a="1"/>
  <c r="AM58" i="3" s="1"/>
  <c r="F57" i="13" a="1"/>
  <c r="F57" i="13" s="1"/>
  <c r="CI58" i="3" a="1"/>
  <c r="CI58" i="3" s="1"/>
  <c r="J57" i="13" a="1"/>
  <c r="J57" i="13" s="1"/>
  <c r="K60" i="13" a="1"/>
  <c r="K60" i="13" s="1"/>
  <c r="K59" i="13" a="1"/>
  <c r="K59" i="13" s="1"/>
  <c r="K235" i="13" s="1"/>
  <c r="K135" i="4" s="1"/>
  <c r="H56" i="13"/>
  <c r="H11" i="4" s="1"/>
  <c r="H75" i="4" s="1"/>
  <c r="D56" i="13"/>
  <c r="D11" i="4" s="1"/>
  <c r="D75" i="4" s="1"/>
  <c r="H79" i="13" a="1"/>
  <c r="H79" i="13" s="1"/>
  <c r="H93" i="4" s="1"/>
  <c r="H80" i="13"/>
  <c r="H92" i="4" s="1"/>
  <c r="H78" i="13"/>
  <c r="H91" i="4" s="1"/>
  <c r="G78" i="13"/>
  <c r="G91" i="4" s="1"/>
  <c r="G79" i="13" a="1"/>
  <c r="G79" i="13" s="1"/>
  <c r="G93" i="4" s="1"/>
  <c r="G80" i="13"/>
  <c r="G92" i="4" s="1"/>
  <c r="K19" i="13"/>
  <c r="G57" i="13" a="1"/>
  <c r="G57" i="13" s="1"/>
  <c r="G60" i="13" a="1"/>
  <c r="G60" i="13" s="1"/>
  <c r="G236" i="13" s="1"/>
  <c r="G136" i="4" s="1"/>
  <c r="G59" i="13" a="1"/>
  <c r="G59" i="13" s="1"/>
  <c r="G235" i="13" s="1"/>
  <c r="G135" i="4" s="1"/>
  <c r="K56" i="13"/>
  <c r="K11" i="4" s="1"/>
  <c r="K75" i="4" s="1"/>
  <c r="F34" i="13"/>
  <c r="C57" i="3"/>
  <c r="C57" i="13" a="1"/>
  <c r="C57" i="13" s="1"/>
  <c r="L79" i="13" a="1"/>
  <c r="L79" i="13" s="1"/>
  <c r="L93" i="4" s="1"/>
  <c r="L78" i="13"/>
  <c r="L91" i="4" s="1"/>
  <c r="L80" i="13"/>
  <c r="L92" i="4" s="1"/>
  <c r="L69" i="13" a="1"/>
  <c r="L69" i="13" s="1"/>
  <c r="L245" i="13" s="1"/>
  <c r="I69" i="13" a="1"/>
  <c r="I69" i="13" s="1"/>
  <c r="I245" i="13" s="1"/>
  <c r="I50" i="13"/>
  <c r="I51" i="13" s="1"/>
  <c r="F79" i="13" a="1"/>
  <c r="F79" i="13" s="1"/>
  <c r="F93" i="4" s="1"/>
  <c r="F80" i="13"/>
  <c r="F92" i="4" s="1"/>
  <c r="F78" i="13"/>
  <c r="F91" i="4" s="1"/>
  <c r="CE58" i="3" a="1"/>
  <c r="CE58" i="3" s="1"/>
  <c r="BM58" i="3" a="1"/>
  <c r="BM58" i="3" s="1"/>
  <c r="CP58" i="3" a="1"/>
  <c r="CP58" i="3" s="1"/>
  <c r="BY57" i="3"/>
  <c r="DG58" i="3" a="1"/>
  <c r="DG58" i="3" s="1"/>
  <c r="Z57" i="3"/>
  <c r="CF58" i="3" a="1"/>
  <c r="CF58" i="3" s="1"/>
  <c r="CK57" i="3"/>
  <c r="DA58" i="3" a="1"/>
  <c r="DA58" i="3" s="1"/>
  <c r="CQ58" i="3" a="1"/>
  <c r="CQ58" i="3" s="1"/>
  <c r="BQ57" i="3"/>
  <c r="BV58" i="3" a="1"/>
  <c r="BV58" i="3" s="1"/>
  <c r="CJ57" i="3"/>
  <c r="BK57" i="3"/>
  <c r="BU58" i="3" a="1"/>
  <c r="BU58" i="3" s="1"/>
  <c r="DD58" i="3" a="1"/>
  <c r="DD58" i="3" s="1"/>
  <c r="BO58" i="3" a="1"/>
  <c r="BO58" i="3" s="1"/>
  <c r="AU57" i="3"/>
  <c r="CG57" i="3"/>
  <c r="CA58" i="3" a="1"/>
  <c r="CA58" i="3" s="1"/>
  <c r="AO58" i="3" a="1"/>
  <c r="AO58" i="3" s="1"/>
  <c r="CB58" i="3" a="1"/>
  <c r="CB58" i="3" s="1"/>
  <c r="BF58" i="3" a="1"/>
  <c r="BF58" i="3" s="1"/>
  <c r="AP58" i="3" a="1"/>
  <c r="AP58" i="3" s="1"/>
  <c r="DF57" i="3"/>
  <c r="BD57" i="3"/>
  <c r="X58" i="3" a="1"/>
  <c r="X58" i="3" s="1"/>
  <c r="BP57" i="3"/>
  <c r="AG58" i="3" a="1"/>
  <c r="AG58" i="3" s="1"/>
  <c r="M58" i="3" a="1"/>
  <c r="M58" i="3" s="1"/>
  <c r="Q58" i="3" a="1"/>
  <c r="Q58" i="3" s="1"/>
  <c r="BW58" i="3" a="1"/>
  <c r="BW58" i="3" s="1"/>
  <c r="DE58" i="3" a="1"/>
  <c r="DE58" i="3" s="1"/>
  <c r="DN57" i="3"/>
  <c r="AX58" i="3" a="1"/>
  <c r="AX58" i="3" s="1"/>
  <c r="AA58" i="3" a="1"/>
  <c r="AA58" i="3" s="1"/>
  <c r="AY57" i="3"/>
  <c r="AM57" i="3"/>
  <c r="AJ57" i="3"/>
  <c r="C58" i="3" a="1"/>
  <c r="C58" i="3" s="1"/>
  <c r="CI57" i="3"/>
  <c r="AY58" i="3" a="1"/>
  <c r="AY58" i="3" s="1"/>
  <c r="CU57" i="3"/>
  <c r="CN57" i="3"/>
  <c r="AZ57" i="3"/>
  <c r="DR57" i="3"/>
  <c r="DR58" i="3" a="1"/>
  <c r="DR58" i="3" s="1"/>
  <c r="AC58" i="3" a="1"/>
  <c r="AC58" i="3" s="1"/>
  <c r="BR58" i="3" a="1"/>
  <c r="BR58" i="3" s="1"/>
  <c r="DC57" i="3"/>
  <c r="AI57" i="3"/>
  <c r="BH58" i="3" a="1"/>
  <c r="BH58" i="3" s="1"/>
  <c r="BH57" i="3"/>
  <c r="DI57" i="3"/>
  <c r="DI58" i="3" a="1"/>
  <c r="DI58" i="3" s="1"/>
  <c r="BN58" i="3" a="1"/>
  <c r="BN58" i="3" s="1"/>
  <c r="BN57" i="3"/>
  <c r="DQ58" i="3" a="1"/>
  <c r="DQ58" i="3" s="1"/>
  <c r="AB58" i="3" a="1"/>
  <c r="AB58" i="3" s="1"/>
  <c r="DL57" i="3"/>
  <c r="DL58" i="3" a="1"/>
  <c r="DL58" i="3" s="1"/>
  <c r="AS57" i="3"/>
  <c r="CY58" i="3" a="1"/>
  <c r="CY58" i="3" s="1"/>
  <c r="O57" i="3"/>
  <c r="O58" i="3" a="1"/>
  <c r="O58" i="3" s="1"/>
  <c r="AH58" i="3" a="1"/>
  <c r="AH58" i="3" s="1"/>
  <c r="U58" i="3" a="1"/>
  <c r="U58" i="3" s="1"/>
  <c r="U57" i="3"/>
  <c r="BB57" i="3"/>
  <c r="AR57" i="3"/>
  <c r="AR58" i="3" a="1"/>
  <c r="AR58" i="3" s="1"/>
  <c r="DO57" i="3"/>
  <c r="W58" i="3" a="1"/>
  <c r="W58" i="3" s="1"/>
  <c r="W57" i="3"/>
  <c r="Y58" i="3" a="1"/>
  <c r="Y58" i="3" s="1"/>
  <c r="Y57" i="3"/>
  <c r="DM58" i="3" a="1"/>
  <c r="DM58" i="3" s="1"/>
  <c r="S58" i="3" a="1"/>
  <c r="S58" i="3" s="1"/>
  <c r="S57" i="3"/>
  <c r="CL58" i="3" a="1"/>
  <c r="CL58" i="3" s="1"/>
  <c r="CL57" i="3"/>
  <c r="CM57" i="3"/>
  <c r="CZ57" i="3"/>
  <c r="DB57" i="3"/>
  <c r="CC58" i="3" a="1"/>
  <c r="CC58" i="3" s="1"/>
  <c r="R57" i="3"/>
  <c r="BG57" i="3"/>
  <c r="BA57" i="3"/>
  <c r="AL57" i="3"/>
  <c r="CU58" i="3" a="1"/>
  <c r="CU58" i="3" s="1"/>
  <c r="I58" i="3" a="1"/>
  <c r="I58" i="3" s="1"/>
  <c r="AV57" i="3"/>
  <c r="AV58" i="3" a="1"/>
  <c r="AV58" i="3" s="1"/>
  <c r="AT58" i="3" a="1"/>
  <c r="AT58" i="3" s="1"/>
  <c r="H58" i="3" a="1"/>
  <c r="H58" i="3" s="1"/>
  <c r="F57" i="3"/>
  <c r="CT57" i="3"/>
  <c r="CT58" i="3" a="1"/>
  <c r="CT58" i="3" s="1"/>
  <c r="AW57" i="3"/>
  <c r="AW58" i="3" a="1"/>
  <c r="AW58" i="3" s="1"/>
  <c r="J58" i="3" a="1"/>
  <c r="J58" i="3" s="1"/>
  <c r="J57" i="3"/>
  <c r="BZ57" i="3"/>
  <c r="BZ58" i="3" a="1"/>
  <c r="BZ58" i="3" s="1"/>
  <c r="N57" i="3"/>
  <c r="N58" i="3" a="1"/>
  <c r="N58" i="3" s="1"/>
  <c r="K58" i="3" a="1"/>
  <c r="K58" i="3" s="1"/>
  <c r="CO57" i="3"/>
  <c r="CO58" i="3" a="1"/>
  <c r="CO58" i="3" s="1"/>
  <c r="AD57" i="3"/>
  <c r="AD58" i="3" a="1"/>
  <c r="AD58" i="3" s="1"/>
  <c r="CI31" i="3"/>
  <c r="CU44" i="3"/>
  <c r="K7" i="4" s="1"/>
  <c r="C44" i="3"/>
  <c r="C7" i="4" s="1"/>
  <c r="O71" i="3"/>
  <c r="D18" i="4" s="1"/>
  <c r="CU83" i="3"/>
  <c r="K107" i="4" s="1"/>
  <c r="DG83" i="3"/>
  <c r="L107" i="4" s="1"/>
  <c r="O44" i="3"/>
  <c r="D7" i="4" s="1"/>
  <c r="CI71" i="3"/>
  <c r="J18" i="4" s="1"/>
  <c r="BK83" i="3"/>
  <c r="H107" i="4" s="1"/>
  <c r="AY31" i="3"/>
  <c r="AM44" i="3"/>
  <c r="F7" i="4" s="1"/>
  <c r="AM71" i="3"/>
  <c r="F18" i="4" s="1"/>
  <c r="AY71" i="3"/>
  <c r="G18" i="4" s="1"/>
  <c r="CI44" i="3"/>
  <c r="J7" i="4" s="1"/>
  <c r="DJ58" i="3" a="1"/>
  <c r="DJ58" i="3" s="1"/>
  <c r="DJ57" i="3"/>
  <c r="C71" i="3"/>
  <c r="C18" i="4" s="1"/>
  <c r="AA71" i="3"/>
  <c r="E18" i="4" s="1"/>
  <c r="CV57" i="3"/>
  <c r="CV58" i="3" a="1"/>
  <c r="CV58" i="3" s="1"/>
  <c r="CU71" i="3"/>
  <c r="K18" i="4" s="1"/>
  <c r="AA31" i="3"/>
  <c r="AM83" i="3"/>
  <c r="F107" i="4" s="1"/>
  <c r="CI83" i="3"/>
  <c r="J107" i="4" s="1"/>
  <c r="BK44" i="3"/>
  <c r="H7" i="4" s="1"/>
  <c r="BK71" i="3"/>
  <c r="H18" i="4" s="1"/>
  <c r="AA44" i="3"/>
  <c r="E7" i="4" s="1"/>
  <c r="AK58" i="3" a="1"/>
  <c r="AK58" i="3" s="1"/>
  <c r="AK57" i="3"/>
  <c r="BW31" i="3"/>
  <c r="AE57" i="3"/>
  <c r="AE58" i="3" a="1"/>
  <c r="AE58" i="3" s="1"/>
  <c r="AY44" i="3"/>
  <c r="G7" i="4" s="1"/>
  <c r="DG44" i="3"/>
  <c r="L7" i="4" s="1"/>
  <c r="AY83" i="3"/>
  <c r="G107" i="4" s="1"/>
  <c r="C83" i="3"/>
  <c r="C107" i="4" s="1"/>
  <c r="O83" i="3"/>
  <c r="D107" i="4" s="1"/>
  <c r="AA83" i="3"/>
  <c r="E107" i="4" s="1"/>
  <c r="BW83" i="3"/>
  <c r="I107" i="4" s="1"/>
  <c r="BW71" i="3"/>
  <c r="I18" i="4" s="1"/>
  <c r="BW44" i="3"/>
  <c r="I7" i="4" s="1"/>
  <c r="DG71" i="3"/>
  <c r="L18" i="4" s="1"/>
  <c r="N32" i="22" l="1"/>
  <c r="N118" i="22"/>
  <c r="N10" i="22"/>
  <c r="N49" i="22"/>
  <c r="N98" i="22"/>
  <c r="N74" i="22"/>
  <c r="N76" i="22"/>
  <c r="N81" i="22"/>
  <c r="J71" i="4"/>
  <c r="J126" i="4" s="1"/>
  <c r="N120" i="22"/>
  <c r="N92" i="22"/>
  <c r="N72" i="22"/>
  <c r="D118" i="4"/>
  <c r="N124" i="22"/>
  <c r="N12" i="22"/>
  <c r="K96" i="4"/>
  <c r="K99" i="4" s="1"/>
  <c r="K128" i="4" s="1"/>
  <c r="N101" i="22"/>
  <c r="L117" i="4"/>
  <c r="N89" i="22"/>
  <c r="J57" i="4"/>
  <c r="J125" i="4" s="1"/>
  <c r="D69" i="4"/>
  <c r="N69" i="22"/>
  <c r="N67" i="22"/>
  <c r="N104" i="22"/>
  <c r="N15" i="22"/>
  <c r="N65" i="22"/>
  <c r="N48" i="22"/>
  <c r="N95" i="22"/>
  <c r="N50" i="22"/>
  <c r="N103" i="22"/>
  <c r="N97" i="22"/>
  <c r="N113" i="22"/>
  <c r="N64" i="22"/>
  <c r="N88" i="22"/>
  <c r="N25" i="22"/>
  <c r="N102" i="22"/>
  <c r="N73" i="22"/>
  <c r="N31" i="22"/>
  <c r="N55" i="22"/>
  <c r="N80" i="22"/>
  <c r="N54" i="22"/>
  <c r="N14" i="22"/>
  <c r="N83" i="22"/>
  <c r="N41" i="22"/>
  <c r="N94" i="22"/>
  <c r="G117" i="4"/>
  <c r="N117" i="22"/>
  <c r="N61" i="22"/>
  <c r="N58" i="22"/>
  <c r="N82" i="22"/>
  <c r="N105" i="22"/>
  <c r="B54" i="19"/>
  <c r="K44" i="19" a="1"/>
  <c r="K44" i="19" s="1"/>
  <c r="N30" i="22"/>
  <c r="N121" i="22"/>
  <c r="N79" i="22"/>
  <c r="N63" i="22"/>
  <c r="N84" i="22"/>
  <c r="K30" i="19" a="1"/>
  <c r="K30" i="19" s="1"/>
  <c r="B40" i="19" a="1"/>
  <c r="B40" i="19" s="1"/>
  <c r="N91" i="22"/>
  <c r="N35" i="22"/>
  <c r="G8" i="16"/>
  <c r="B2" i="16"/>
  <c r="B4" i="15"/>
  <c r="N18" i="22"/>
  <c r="N100" i="22"/>
  <c r="F96" i="4"/>
  <c r="F97" i="4" s="1"/>
  <c r="I96" i="4"/>
  <c r="I99" i="4" s="1"/>
  <c r="I128" i="4" s="1"/>
  <c r="N123" i="22"/>
  <c r="AM21" i="2"/>
  <c r="E149" i="19" s="1"/>
  <c r="E143" i="19"/>
  <c r="C98" i="14" s="1"/>
  <c r="E127" i="19"/>
  <c r="N90" i="22"/>
  <c r="N51" i="22"/>
  <c r="N119" i="22"/>
  <c r="N115" i="22"/>
  <c r="N114" i="22"/>
  <c r="N38" i="22"/>
  <c r="N116" i="22"/>
  <c r="N112" i="22"/>
  <c r="N78" i="22"/>
  <c r="N109" i="22"/>
  <c r="D117" i="4"/>
  <c r="N111" i="22"/>
  <c r="N24" i="22"/>
  <c r="N70" i="22"/>
  <c r="N36" i="22"/>
  <c r="N28" i="22"/>
  <c r="N125" i="22"/>
  <c r="N33" i="22"/>
  <c r="N106" i="22"/>
  <c r="N26" i="22"/>
  <c r="N96" i="22"/>
  <c r="E44" i="4"/>
  <c r="C96" i="4"/>
  <c r="C97" i="4" s="1"/>
  <c r="G118" i="4"/>
  <c r="C55" i="4"/>
  <c r="C117" i="4"/>
  <c r="K117" i="4"/>
  <c r="F117" i="4"/>
  <c r="E55" i="4"/>
  <c r="E117" i="4"/>
  <c r="F118" i="4"/>
  <c r="I71" i="4"/>
  <c r="I126" i="4" s="1"/>
  <c r="K141" i="4"/>
  <c r="G96" i="4"/>
  <c r="G120" i="4" s="1"/>
  <c r="D84" i="4"/>
  <c r="E71" i="4"/>
  <c r="E126" i="4" s="1"/>
  <c r="H96" i="4"/>
  <c r="H99" i="4" s="1"/>
  <c r="H128" i="4" s="1"/>
  <c r="H117" i="4"/>
  <c r="H118" i="4"/>
  <c r="D96" i="4"/>
  <c r="D97" i="4" s="1"/>
  <c r="C71" i="4"/>
  <c r="C126" i="4" s="1"/>
  <c r="I117" i="4"/>
  <c r="J141" i="4"/>
  <c r="L96" i="4"/>
  <c r="L99" i="4" s="1"/>
  <c r="L128" i="4" s="1"/>
  <c r="D55" i="4"/>
  <c r="C118" i="4"/>
  <c r="E158" i="19"/>
  <c r="G158" i="19"/>
  <c r="G159" i="19"/>
  <c r="H156" i="19"/>
  <c r="F158" i="19"/>
  <c r="E170" i="19"/>
  <c r="F160" i="19"/>
  <c r="D157" i="19"/>
  <c r="H159" i="19"/>
  <c r="H158" i="19"/>
  <c r="D156" i="19"/>
  <c r="F156" i="19"/>
  <c r="E128" i="19"/>
  <c r="E156" i="19"/>
  <c r="E116" i="19"/>
  <c r="D159" i="19"/>
  <c r="F159" i="19"/>
  <c r="C137" i="14"/>
  <c r="G156" i="19"/>
  <c r="E157" i="19"/>
  <c r="E160" i="19"/>
  <c r="G157" i="19"/>
  <c r="D160" i="19"/>
  <c r="H157" i="19"/>
  <c r="H160" i="19"/>
  <c r="G160" i="19"/>
  <c r="F157" i="19"/>
  <c r="E159" i="19"/>
  <c r="D158" i="19"/>
  <c r="K118" i="4"/>
  <c r="L118" i="4"/>
  <c r="J96" i="4"/>
  <c r="J99" i="4" s="1"/>
  <c r="J128" i="4" s="1"/>
  <c r="E96" i="4"/>
  <c r="E99" i="4" s="1"/>
  <c r="E69" i="4"/>
  <c r="G29" i="4"/>
  <c r="G108" i="4"/>
  <c r="G113" i="4" s="1"/>
  <c r="L86" i="4"/>
  <c r="L83" i="4"/>
  <c r="G86" i="4"/>
  <c r="G83" i="4"/>
  <c r="L141" i="4"/>
  <c r="E84" i="4"/>
  <c r="N75" i="22"/>
  <c r="L84" i="4"/>
  <c r="I29" i="4"/>
  <c r="K84" i="4"/>
  <c r="F29" i="4"/>
  <c r="G141" i="4"/>
  <c r="C141" i="4"/>
  <c r="E141" i="4"/>
  <c r="E15" i="5" s="1"/>
  <c r="C84" i="4"/>
  <c r="H84" i="4"/>
  <c r="K83" i="4"/>
  <c r="K86" i="4"/>
  <c r="J84" i="4"/>
  <c r="N29" i="22"/>
  <c r="F108" i="4"/>
  <c r="F60" i="10" s="1"/>
  <c r="I108" i="4"/>
  <c r="I113" i="4" s="1"/>
  <c r="K29" i="4"/>
  <c r="K108" i="4"/>
  <c r="K113" i="4" s="1"/>
  <c r="D29" i="4"/>
  <c r="D108" i="4"/>
  <c r="D113" i="4" s="1"/>
  <c r="N71" i="22"/>
  <c r="N99" i="22"/>
  <c r="D126" i="4"/>
  <c r="D72" i="4"/>
  <c r="E29" i="4"/>
  <c r="E108" i="4"/>
  <c r="E113" i="4" s="1"/>
  <c r="C142" i="1" a="1"/>
  <c r="C142" i="1" s="1"/>
  <c r="B1" i="4"/>
  <c r="C125" i="4"/>
  <c r="C58" i="4"/>
  <c r="H29" i="4"/>
  <c r="H108" i="4"/>
  <c r="H113" i="4" s="1"/>
  <c r="H86" i="4"/>
  <c r="H83" i="4"/>
  <c r="C29" i="4"/>
  <c r="C108" i="4"/>
  <c r="C113" i="4" s="1"/>
  <c r="D141" i="4"/>
  <c r="I84" i="4"/>
  <c r="J86" i="4"/>
  <c r="J83" i="4"/>
  <c r="D125" i="4"/>
  <c r="D58" i="4"/>
  <c r="C86" i="4"/>
  <c r="C83" i="4"/>
  <c r="L29" i="4"/>
  <c r="L108" i="4"/>
  <c r="L60" i="10" s="1"/>
  <c r="J29" i="4"/>
  <c r="J108" i="4"/>
  <c r="J113" i="4" s="1"/>
  <c r="F141" i="4"/>
  <c r="G84" i="4"/>
  <c r="F84" i="4"/>
  <c r="I141" i="4"/>
  <c r="N43" i="22"/>
  <c r="N13" i="22"/>
  <c r="N9" i="22"/>
  <c r="N44" i="22"/>
  <c r="N110" i="22"/>
  <c r="I83" i="4"/>
  <c r="I86" i="4"/>
  <c r="H141" i="4"/>
  <c r="N56" i="22"/>
  <c r="N40" i="22"/>
  <c r="E125" i="4"/>
  <c r="E58" i="4"/>
  <c r="N17" i="22"/>
  <c r="N107" i="22"/>
  <c r="AJ21" i="2"/>
  <c r="E169" i="19" s="1"/>
  <c r="N59" i="22"/>
  <c r="N53" i="22"/>
  <c r="N57" i="22"/>
  <c r="N93" i="22"/>
  <c r="C113" i="1" a="1"/>
  <c r="C113" i="1" s="1"/>
  <c r="C24" i="16"/>
  <c r="N20" i="22"/>
  <c r="N37" i="22"/>
  <c r="N27" i="22"/>
  <c r="C103" i="1"/>
  <c r="N62" i="22"/>
  <c r="N52" i="22"/>
  <c r="N68" i="22"/>
  <c r="N11" i="22"/>
  <c r="G63" i="10"/>
  <c r="N87" i="22"/>
  <c r="E8" i="9" a="1"/>
  <c r="E8" i="9" s="1"/>
  <c r="N45" i="22"/>
  <c r="N22" i="22"/>
  <c r="N7" i="22"/>
  <c r="N21" i="22"/>
  <c r="N108" i="22"/>
  <c r="N66" i="22"/>
  <c r="N34" i="22"/>
  <c r="N77" i="22"/>
  <c r="C20" i="16"/>
  <c r="N47" i="22"/>
  <c r="N42" i="22"/>
  <c r="N23" i="22"/>
  <c r="N86" i="22"/>
  <c r="N39" i="22"/>
  <c r="N122" i="22"/>
  <c r="N8" i="22"/>
  <c r="N19" i="22"/>
  <c r="K44" i="10"/>
  <c r="N60" i="22"/>
  <c r="N16" i="22"/>
  <c r="AJ20" i="2"/>
  <c r="N46" i="22"/>
  <c r="N85" i="22"/>
  <c r="C114" i="1" a="1"/>
  <c r="C114" i="1" s="1"/>
  <c r="E44" i="10"/>
  <c r="H63" i="10"/>
  <c r="N6" i="22"/>
  <c r="Q16" i="22"/>
  <c r="C109" i="1" s="1"/>
  <c r="Q35" i="22"/>
  <c r="Q37" i="22" s="1"/>
  <c r="C108" i="1" s="1"/>
  <c r="J63" i="10"/>
  <c r="F44" i="10"/>
  <c r="D59" i="10"/>
  <c r="C59" i="10"/>
  <c r="L44" i="10"/>
  <c r="L63" i="10"/>
  <c r="F8" i="9" a="1"/>
  <c r="F8" i="9" s="1"/>
  <c r="G59" i="10"/>
  <c r="L8" i="9" a="1"/>
  <c r="L8" i="9" s="1"/>
  <c r="I44" i="10"/>
  <c r="I63" i="10"/>
  <c r="D8" i="9" a="1"/>
  <c r="D8" i="9" s="1"/>
  <c r="K59" i="10"/>
  <c r="C8" i="9" a="1"/>
  <c r="C8" i="9" s="1"/>
  <c r="C44" i="10"/>
  <c r="J59" i="10"/>
  <c r="K8" i="9" a="1"/>
  <c r="K8" i="9" s="1"/>
  <c r="J8" i="9" a="1"/>
  <c r="J8" i="9" s="1"/>
  <c r="I8" i="9" a="1"/>
  <c r="I8" i="9" s="1"/>
  <c r="E59" i="10"/>
  <c r="F59" i="10"/>
  <c r="C9" i="11" a="1"/>
  <c r="C9" i="11" s="1"/>
  <c r="F56" i="10" a="1"/>
  <c r="F56" i="10" s="1"/>
  <c r="D9" i="11" a="1"/>
  <c r="D9" i="11" s="1"/>
  <c r="G56" i="10" a="1"/>
  <c r="G56" i="10" s="1"/>
  <c r="E9" i="11" a="1"/>
  <c r="E9" i="11" s="1"/>
  <c r="I9" i="11" a="1"/>
  <c r="I9" i="11" s="1"/>
  <c r="I56" i="10" a="1"/>
  <c r="I56" i="10" s="1"/>
  <c r="K9" i="11" a="1"/>
  <c r="K9" i="11" s="1"/>
  <c r="J56" i="10" a="1"/>
  <c r="J56" i="10" s="1"/>
  <c r="L9" i="11" a="1"/>
  <c r="L9" i="11" s="1"/>
  <c r="K56" i="10" a="1"/>
  <c r="K56" i="10" s="1"/>
  <c r="L56" i="10" a="1"/>
  <c r="L56" i="10" s="1"/>
  <c r="H56" i="10" a="1"/>
  <c r="H56" i="10" s="1"/>
  <c r="J9" i="11" a="1"/>
  <c r="J9" i="11" s="1"/>
  <c r="H9" i="11" a="1"/>
  <c r="H9" i="11" s="1"/>
  <c r="G9" i="11" a="1"/>
  <c r="G9" i="11" s="1"/>
  <c r="H8" i="9" a="1"/>
  <c r="H8" i="9" s="1"/>
  <c r="D44" i="10"/>
  <c r="G8" i="9" a="1"/>
  <c r="G8" i="9" s="1"/>
  <c r="L59" i="10"/>
  <c r="I59" i="10"/>
  <c r="H59" i="10"/>
  <c r="AH20" i="2"/>
  <c r="L63" i="13" a="1"/>
  <c r="L63" i="13" s="1"/>
  <c r="L79" i="4" s="1"/>
  <c r="F63" i="13" a="1"/>
  <c r="F63" i="13" s="1"/>
  <c r="F79" i="4" s="1"/>
  <c r="AE20" i="2"/>
  <c r="L232" i="13"/>
  <c r="L64" i="13"/>
  <c r="L78" i="4" s="1"/>
  <c r="F232" i="13"/>
  <c r="AI21" i="2"/>
  <c r="AH21" i="2"/>
  <c r="L62" i="13"/>
  <c r="L77" i="4" s="1"/>
  <c r="F64" i="13"/>
  <c r="F78" i="4" s="1"/>
  <c r="E245" i="13"/>
  <c r="H82" i="13"/>
  <c r="H83" i="13" s="1"/>
  <c r="F62" i="13"/>
  <c r="F77" i="4" s="1"/>
  <c r="G82" i="13"/>
  <c r="G83" i="13" s="1"/>
  <c r="K82" i="13"/>
  <c r="K83" i="13" s="1"/>
  <c r="D82" i="13"/>
  <c r="D83" i="13" s="1"/>
  <c r="K63" i="13" a="1"/>
  <c r="K63" i="13" s="1"/>
  <c r="K79" i="4" s="1"/>
  <c r="K64" i="13"/>
  <c r="K78" i="4" s="1"/>
  <c r="K62" i="13"/>
  <c r="K77" i="4" s="1"/>
  <c r="K232" i="13"/>
  <c r="J64" i="13"/>
  <c r="J78" i="4" s="1"/>
  <c r="J62" i="13"/>
  <c r="J77" i="4" s="1"/>
  <c r="J63" i="13" a="1"/>
  <c r="J63" i="13" s="1"/>
  <c r="J79" i="4" s="1"/>
  <c r="J232" i="13"/>
  <c r="I233" i="13"/>
  <c r="I133" i="4" s="1"/>
  <c r="I139" i="4" s="1"/>
  <c r="F35" i="13"/>
  <c r="C62" i="13"/>
  <c r="C77" i="4" s="1"/>
  <c r="C64" i="13"/>
  <c r="C78" i="4" s="1"/>
  <c r="C63" i="13" a="1"/>
  <c r="C63" i="13" s="1"/>
  <c r="C79" i="4" s="1"/>
  <c r="C232" i="13"/>
  <c r="F82" i="13"/>
  <c r="F83" i="13" s="1"/>
  <c r="I63" i="13" a="1"/>
  <c r="I63" i="13" s="1"/>
  <c r="I79" i="4" s="1"/>
  <c r="I64" i="13"/>
  <c r="I78" i="4" s="1"/>
  <c r="I62" i="13"/>
  <c r="I77" i="4" s="1"/>
  <c r="I232" i="13"/>
  <c r="G64" i="13"/>
  <c r="G78" i="4" s="1"/>
  <c r="G62" i="13"/>
  <c r="G77" i="4" s="1"/>
  <c r="G63" i="13" a="1"/>
  <c r="G63" i="13" s="1"/>
  <c r="G79" i="4" s="1"/>
  <c r="G232" i="13"/>
  <c r="D233" i="13"/>
  <c r="D133" i="4" s="1"/>
  <c r="E64" i="13"/>
  <c r="E78" i="4" s="1"/>
  <c r="E62" i="13"/>
  <c r="E77" i="4" s="1"/>
  <c r="E63" i="13" a="1"/>
  <c r="E63" i="13" s="1"/>
  <c r="E79" i="4" s="1"/>
  <c r="E232" i="13"/>
  <c r="L82" i="13"/>
  <c r="L83" i="13" s="1"/>
  <c r="E233" i="13"/>
  <c r="E133" i="4" s="1"/>
  <c r="E139" i="4" s="1"/>
  <c r="C233" i="13"/>
  <c r="C133" i="4" s="1"/>
  <c r="C35" i="13"/>
  <c r="F233" i="13"/>
  <c r="F133" i="4" s="1"/>
  <c r="F139" i="4" s="1"/>
  <c r="E82" i="13"/>
  <c r="E83" i="13" s="1"/>
  <c r="D64" i="13"/>
  <c r="D78" i="4" s="1"/>
  <c r="D63" i="13" a="1"/>
  <c r="D63" i="13" s="1"/>
  <c r="D79" i="4" s="1"/>
  <c r="D62" i="13"/>
  <c r="D77" i="4" s="1"/>
  <c r="D232" i="13"/>
  <c r="C82" i="13"/>
  <c r="C83" i="13" s="1"/>
  <c r="H63" i="13" a="1"/>
  <c r="H63" i="13" s="1"/>
  <c r="H79" i="4" s="1"/>
  <c r="H64" i="13"/>
  <c r="H78" i="4" s="1"/>
  <c r="H62" i="13"/>
  <c r="H77" i="4" s="1"/>
  <c r="H232" i="13"/>
  <c r="I35" i="13"/>
  <c r="I82" i="13"/>
  <c r="I83" i="13" s="1"/>
  <c r="G233" i="13"/>
  <c r="G133" i="4" s="1"/>
  <c r="G139" i="4" s="1"/>
  <c r="K236" i="13"/>
  <c r="K136" i="4" s="1"/>
  <c r="E35" i="13"/>
  <c r="H233" i="13"/>
  <c r="H133" i="4" s="1"/>
  <c r="H139" i="4" s="1"/>
  <c r="L233" i="13"/>
  <c r="L133" i="4" s="1"/>
  <c r="K233" i="13"/>
  <c r="K133" i="4" s="1"/>
  <c r="J233" i="13"/>
  <c r="J133" i="4" s="1"/>
  <c r="J139" i="4" s="1"/>
  <c r="C64" i="5" a="1"/>
  <c r="C64" i="5" s="1"/>
  <c r="J82" i="13"/>
  <c r="J83" i="13" s="1"/>
  <c r="G64" i="5" a="1"/>
  <c r="G64" i="5" s="1"/>
  <c r="H64" i="5" a="1"/>
  <c r="H64" i="5" s="1"/>
  <c r="F64" i="5" a="1"/>
  <c r="F64" i="5" s="1"/>
  <c r="E17" i="5"/>
  <c r="E37" i="5" s="1"/>
  <c r="E64" i="5" a="1"/>
  <c r="E64" i="5" s="1"/>
  <c r="G17" i="5"/>
  <c r="G37" i="5" s="1"/>
  <c r="B67" i="5"/>
  <c r="C17" i="5"/>
  <c r="C37" i="5" s="1"/>
  <c r="H17" i="5"/>
  <c r="H37" i="5" s="1"/>
  <c r="D17" i="5"/>
  <c r="D37" i="5" s="1"/>
  <c r="D64" i="5" a="1"/>
  <c r="D64" i="5" s="1"/>
  <c r="K120" i="4" l="1"/>
  <c r="D82" i="4"/>
  <c r="D83" i="4" s="1"/>
  <c r="I60" i="10"/>
  <c r="I120" i="4"/>
  <c r="L113" i="4"/>
  <c r="F120" i="4"/>
  <c r="E72" i="4"/>
  <c r="F99" i="4"/>
  <c r="F128" i="4" s="1"/>
  <c r="C120" i="4"/>
  <c r="C99" i="4"/>
  <c r="C128" i="4" s="1"/>
  <c r="C138" i="14"/>
  <c r="K82" i="4"/>
  <c r="K119" i="4" s="1"/>
  <c r="E129" i="19"/>
  <c r="I82" i="4"/>
  <c r="I85" i="4" s="1"/>
  <c r="I127" i="4" s="1"/>
  <c r="I129" i="4" s="1"/>
  <c r="D120" i="4"/>
  <c r="D99" i="4"/>
  <c r="D128" i="4" s="1"/>
  <c r="G99" i="4"/>
  <c r="G128" i="4" s="1"/>
  <c r="H120" i="4"/>
  <c r="G82" i="4"/>
  <c r="G85" i="4" s="1"/>
  <c r="G127" i="4" s="1"/>
  <c r="B162" i="19"/>
  <c r="L120" i="4"/>
  <c r="J82" i="4"/>
  <c r="J85" i="4" s="1"/>
  <c r="J127" i="4" s="1"/>
  <c r="J129" i="4" s="1"/>
  <c r="C72" i="4"/>
  <c r="L82" i="4"/>
  <c r="L85" i="4" s="1"/>
  <c r="L127" i="4" s="1"/>
  <c r="L129" i="4" s="1"/>
  <c r="H116" i="19"/>
  <c r="C136" i="14"/>
  <c r="F82" i="4"/>
  <c r="F85" i="4" s="1"/>
  <c r="E97" i="4"/>
  <c r="E120" i="4"/>
  <c r="E130" i="19"/>
  <c r="C82" i="4"/>
  <c r="C85" i="4" s="1"/>
  <c r="C127" i="4" s="1"/>
  <c r="H82" i="4"/>
  <c r="H119" i="4" s="1"/>
  <c r="E82" i="4"/>
  <c r="E119" i="4" s="1"/>
  <c r="J120" i="4"/>
  <c r="E171" i="19"/>
  <c r="B173" i="19" s="1"/>
  <c r="C10" i="20"/>
  <c r="C135" i="14"/>
  <c r="E10" i="20"/>
  <c r="G116" i="19"/>
  <c r="E148" i="19"/>
  <c r="F113" i="4"/>
  <c r="D119" i="4"/>
  <c r="D85" i="4"/>
  <c r="G103" i="4"/>
  <c r="G111" i="4" s="1"/>
  <c r="G159" i="4"/>
  <c r="H103" i="4"/>
  <c r="H111" i="4" s="1"/>
  <c r="H159" i="4"/>
  <c r="K85" i="4"/>
  <c r="K127" i="4" s="1"/>
  <c r="K129" i="4" s="1"/>
  <c r="K103" i="4"/>
  <c r="K111" i="4" s="1"/>
  <c r="K159" i="4"/>
  <c r="D103" i="4"/>
  <c r="D159" i="4"/>
  <c r="F15" i="5"/>
  <c r="F35" i="5" s="1"/>
  <c r="J103" i="4"/>
  <c r="J111" i="4" s="1"/>
  <c r="J159" i="4"/>
  <c r="F103" i="4"/>
  <c r="F159" i="4"/>
  <c r="K139" i="4"/>
  <c r="L139" i="4"/>
  <c r="L103" i="4"/>
  <c r="L111" i="4" s="1"/>
  <c r="L159" i="4"/>
  <c r="E103" i="4"/>
  <c r="E159" i="4"/>
  <c r="C103" i="4"/>
  <c r="C159" i="4"/>
  <c r="D139" i="4"/>
  <c r="D15" i="5"/>
  <c r="D35" i="5" s="1"/>
  <c r="C139" i="4"/>
  <c r="G15" i="5"/>
  <c r="G35" i="5" s="1"/>
  <c r="I103" i="4"/>
  <c r="I111" i="4" s="1"/>
  <c r="I159" i="4"/>
  <c r="E128" i="4"/>
  <c r="E100" i="4"/>
  <c r="C145" i="1"/>
  <c r="C128" i="1" a="1"/>
  <c r="C128" i="1" s="1"/>
  <c r="C102" i="1" a="1"/>
  <c r="C102" i="1" s="1"/>
  <c r="J60" i="10"/>
  <c r="C60" i="10"/>
  <c r="Q17" i="22"/>
  <c r="K60" i="10"/>
  <c r="G60" i="10"/>
  <c r="H60" i="10"/>
  <c r="D60" i="10"/>
  <c r="E60" i="10"/>
  <c r="L239" i="13"/>
  <c r="L106" i="4" s="1"/>
  <c r="L240" i="13"/>
  <c r="L105" i="4" s="1"/>
  <c r="F239" i="13"/>
  <c r="F106" i="4" s="1"/>
  <c r="C15" i="5"/>
  <c r="C35" i="5" s="1"/>
  <c r="H15" i="5"/>
  <c r="H35" i="5" s="1"/>
  <c r="F240" i="13"/>
  <c r="F105" i="4" s="1"/>
  <c r="G66" i="13"/>
  <c r="G67" i="13" s="1"/>
  <c r="G243" i="13" s="1"/>
  <c r="K66" i="13"/>
  <c r="K67" i="13" s="1"/>
  <c r="K243" i="13" s="1"/>
  <c r="F238" i="13"/>
  <c r="F104" i="4" s="1"/>
  <c r="L238" i="13"/>
  <c r="L104" i="4" s="1"/>
  <c r="L143" i="4" s="1"/>
  <c r="L144" i="4" s="1"/>
  <c r="F66" i="13"/>
  <c r="F67" i="13" s="1"/>
  <c r="F243" i="13" s="1"/>
  <c r="H66" i="13"/>
  <c r="H242" i="13" s="1"/>
  <c r="C66" i="13"/>
  <c r="C67" i="13" s="1"/>
  <c r="C243" i="13" s="1"/>
  <c r="J66" i="13"/>
  <c r="J67" i="13" s="1"/>
  <c r="J243" i="13" s="1"/>
  <c r="L66" i="13"/>
  <c r="L67" i="13" s="1"/>
  <c r="L243" i="13" s="1"/>
  <c r="D239" i="13"/>
  <c r="D106" i="4" s="1"/>
  <c r="H240" i="13"/>
  <c r="H105" i="4" s="1"/>
  <c r="H239" i="13"/>
  <c r="H106" i="4" s="1"/>
  <c r="D66" i="13"/>
  <c r="K238" i="13"/>
  <c r="K104" i="4" s="1"/>
  <c r="I239" i="13"/>
  <c r="I106" i="4" s="1"/>
  <c r="E239" i="13"/>
  <c r="E106" i="4" s="1"/>
  <c r="G239" i="13"/>
  <c r="G106" i="4" s="1"/>
  <c r="K240" i="13"/>
  <c r="K105" i="4" s="1"/>
  <c r="E238" i="13"/>
  <c r="E104" i="4" s="1"/>
  <c r="G238" i="13"/>
  <c r="G104" i="4" s="1"/>
  <c r="C239" i="13"/>
  <c r="C106" i="4" s="1"/>
  <c r="K239" i="13"/>
  <c r="K106" i="4" s="1"/>
  <c r="E240" i="13"/>
  <c r="E105" i="4" s="1"/>
  <c r="G240" i="13"/>
  <c r="G105" i="4" s="1"/>
  <c r="C240" i="13"/>
  <c r="C105" i="4" s="1"/>
  <c r="H238" i="13"/>
  <c r="H104" i="4" s="1"/>
  <c r="J239" i="13"/>
  <c r="J106" i="4" s="1"/>
  <c r="C238" i="13"/>
  <c r="C104" i="4" s="1"/>
  <c r="D240" i="13"/>
  <c r="D105" i="4" s="1"/>
  <c r="I238" i="13"/>
  <c r="I104" i="4" s="1"/>
  <c r="I66" i="13"/>
  <c r="J238" i="13"/>
  <c r="J104" i="4" s="1"/>
  <c r="D238" i="13"/>
  <c r="D104" i="4" s="1"/>
  <c r="E66" i="13"/>
  <c r="I240" i="13"/>
  <c r="I105" i="4" s="1"/>
  <c r="J240" i="13"/>
  <c r="J105" i="4" s="1"/>
  <c r="E35" i="5"/>
  <c r="F17" i="5"/>
  <c r="F37" i="5" s="1"/>
  <c r="K121" i="4" l="1"/>
  <c r="F100" i="4"/>
  <c r="G129" i="4"/>
  <c r="C100" i="4"/>
  <c r="B132" i="19"/>
  <c r="F83" i="4"/>
  <c r="D121" i="4"/>
  <c r="L109" i="4"/>
  <c r="C143" i="4"/>
  <c r="C144" i="4" s="1"/>
  <c r="F119" i="4"/>
  <c r="F121" i="4" s="1"/>
  <c r="D100" i="4"/>
  <c r="I119" i="4"/>
  <c r="I121" i="4" s="1"/>
  <c r="L119" i="4"/>
  <c r="L121" i="4" s="1"/>
  <c r="L110" i="4"/>
  <c r="G119" i="4"/>
  <c r="G121" i="4" s="1"/>
  <c r="J119" i="4"/>
  <c r="J121" i="4" s="1"/>
  <c r="H121" i="4"/>
  <c r="H85" i="4"/>
  <c r="H127" i="4" s="1"/>
  <c r="H129" i="4" s="1"/>
  <c r="E121" i="4"/>
  <c r="E85" i="4"/>
  <c r="E86" i="4" s="1"/>
  <c r="E83" i="4"/>
  <c r="I109" i="4"/>
  <c r="I110" i="4" s="1"/>
  <c r="C129" i="4"/>
  <c r="C119" i="4"/>
  <c r="C121" i="4" s="1"/>
  <c r="D143" i="4"/>
  <c r="D144" i="4" s="1"/>
  <c r="D145" i="4" s="1"/>
  <c r="J161" i="4"/>
  <c r="J112" i="4"/>
  <c r="J143" i="4"/>
  <c r="J144" i="4" s="1"/>
  <c r="J145" i="4" s="1"/>
  <c r="L145" i="4"/>
  <c r="K161" i="4"/>
  <c r="K112" i="4"/>
  <c r="K143" i="4"/>
  <c r="K144" i="4" s="1"/>
  <c r="K145" i="4" s="1"/>
  <c r="C109" i="4"/>
  <c r="C110" i="4" s="1"/>
  <c r="C111" i="4" s="1"/>
  <c r="C161" i="4"/>
  <c r="C112" i="4"/>
  <c r="F86" i="4"/>
  <c r="F127" i="4"/>
  <c r="F129" i="4" s="1"/>
  <c r="H109" i="4"/>
  <c r="H110" i="4" s="1"/>
  <c r="H161" i="4"/>
  <c r="H143" i="4"/>
  <c r="H144" i="4" s="1"/>
  <c r="H145" i="4" s="1"/>
  <c r="H112" i="4"/>
  <c r="J109" i="4"/>
  <c r="J110" i="4" s="1"/>
  <c r="D86" i="4"/>
  <c r="D127" i="4"/>
  <c r="D129" i="4" s="1"/>
  <c r="D109" i="4"/>
  <c r="D110" i="4" s="1"/>
  <c r="D161" i="4"/>
  <c r="D112" i="4"/>
  <c r="I161" i="4"/>
  <c r="I143" i="4"/>
  <c r="I144" i="4" s="1"/>
  <c r="I145" i="4" s="1"/>
  <c r="I112" i="4"/>
  <c r="G109" i="4"/>
  <c r="G110" i="4" s="1"/>
  <c r="G161" i="4"/>
  <c r="G143" i="4"/>
  <c r="G144" i="4" s="1"/>
  <c r="G145" i="4" s="1"/>
  <c r="G147" i="4" s="1"/>
  <c r="G112" i="4"/>
  <c r="L161" i="4"/>
  <c r="L112" i="4"/>
  <c r="K109" i="4"/>
  <c r="K110" i="4" s="1"/>
  <c r="E109" i="4"/>
  <c r="E110" i="4" s="1"/>
  <c r="E161" i="4"/>
  <c r="E143" i="4"/>
  <c r="E144" i="4" s="1"/>
  <c r="E145" i="4" s="1"/>
  <c r="E112" i="4"/>
  <c r="F109" i="4"/>
  <c r="F110" i="4" s="1"/>
  <c r="F161" i="4"/>
  <c r="F112" i="4"/>
  <c r="F143" i="4"/>
  <c r="F144" i="4" s="1"/>
  <c r="F145" i="4" s="1"/>
  <c r="C112" i="1" a="1"/>
  <c r="C112" i="1" s="1"/>
  <c r="C26" i="16"/>
  <c r="C115" i="1" a="1"/>
  <c r="C115" i="1" s="1"/>
  <c r="G14" i="16"/>
  <c r="C28" i="30"/>
  <c r="D28" i="30" s="1"/>
  <c r="D77" i="16"/>
  <c r="C77" i="16"/>
  <c r="G77" i="16"/>
  <c r="F77" i="16"/>
  <c r="E77" i="16"/>
  <c r="F16" i="5"/>
  <c r="H67" i="13"/>
  <c r="H243" i="13" s="1"/>
  <c r="L242" i="13"/>
  <c r="K242" i="13"/>
  <c r="J242" i="13"/>
  <c r="G242" i="13"/>
  <c r="C242" i="13"/>
  <c r="F242" i="13"/>
  <c r="E16" i="5"/>
  <c r="D67" i="13"/>
  <c r="D243" i="13" s="1"/>
  <c r="D242" i="13"/>
  <c r="E67" i="13"/>
  <c r="E243" i="13" s="1"/>
  <c r="E242" i="13"/>
  <c r="I67" i="13"/>
  <c r="I243" i="13" s="1"/>
  <c r="I242" i="13"/>
  <c r="E19" i="5"/>
  <c r="G19" i="5"/>
  <c r="C19" i="5"/>
  <c r="H19" i="5"/>
  <c r="D19" i="5"/>
  <c r="F19" i="5"/>
  <c r="F36" i="5" l="1"/>
  <c r="F24" i="5"/>
  <c r="E36" i="5"/>
  <c r="E24" i="5"/>
  <c r="L147" i="4"/>
  <c r="C145" i="4"/>
  <c r="C151" i="4" s="1"/>
  <c r="E16" i="19" a="1"/>
  <c r="E16" i="19" s="1"/>
  <c r="F15" i="19" a="1"/>
  <c r="F15" i="19" s="1"/>
  <c r="D15" i="19" a="1"/>
  <c r="D15" i="19" s="1"/>
  <c r="E15" i="19" a="1"/>
  <c r="E15" i="19" s="1"/>
  <c r="F16" i="19" a="1"/>
  <c r="F16" i="19" s="1"/>
  <c r="D16" i="19" a="1"/>
  <c r="D16" i="19" s="1"/>
  <c r="E127" i="4"/>
  <c r="E129" i="4" s="1"/>
  <c r="I147" i="4"/>
  <c r="F147" i="4"/>
  <c r="D147" i="4"/>
  <c r="C56" i="10" a="1"/>
  <c r="C56" i="10" s="1"/>
  <c r="C141" i="14" s="1"/>
  <c r="J147" i="4"/>
  <c r="D163" i="4"/>
  <c r="D64" i="10" s="1"/>
  <c r="D162" i="4"/>
  <c r="F163" i="4"/>
  <c r="F64" i="10" s="1"/>
  <c r="F162" i="4"/>
  <c r="I163" i="4"/>
  <c r="I64" i="10" s="1"/>
  <c r="I162" i="4"/>
  <c r="C163" i="4"/>
  <c r="C162" i="4"/>
  <c r="E147" i="4"/>
  <c r="K147" i="4"/>
  <c r="L163" i="4"/>
  <c r="L64" i="10" s="1"/>
  <c r="L162" i="4"/>
  <c r="F111" i="4"/>
  <c r="K163" i="4"/>
  <c r="K64" i="10" s="1"/>
  <c r="K162" i="4"/>
  <c r="G163" i="4"/>
  <c r="G64" i="10" s="1"/>
  <c r="G162" i="4"/>
  <c r="H163" i="4"/>
  <c r="H64" i="10" s="1"/>
  <c r="H162" i="4"/>
  <c r="H147" i="4"/>
  <c r="E111" i="4"/>
  <c r="D111" i="4"/>
  <c r="J163" i="4"/>
  <c r="J64" i="10" s="1"/>
  <c r="J162" i="4"/>
  <c r="E163" i="4"/>
  <c r="E64" i="10" s="1"/>
  <c r="E162" i="4"/>
  <c r="C147" i="4"/>
  <c r="C116" i="1" a="1"/>
  <c r="C116" i="1" s="1"/>
  <c r="C21" i="16"/>
  <c r="G21" i="16" s="1"/>
  <c r="E56" i="10" a="1"/>
  <c r="E56" i="10" s="1"/>
  <c r="D56" i="10" a="1"/>
  <c r="D56" i="10" s="1"/>
  <c r="H16" i="5"/>
  <c r="C16" i="5"/>
  <c r="G16" i="5"/>
  <c r="D16" i="5"/>
  <c r="F39" i="5"/>
  <c r="F63" i="5"/>
  <c r="H39" i="5"/>
  <c r="D39" i="5"/>
  <c r="G39" i="5"/>
  <c r="E39" i="5"/>
  <c r="E20" i="5"/>
  <c r="E63" i="5"/>
  <c r="F20" i="5"/>
  <c r="C39" i="5"/>
  <c r="D151" i="4" l="1"/>
  <c r="D153" i="4" s="1"/>
  <c r="D155" i="4" s="1"/>
  <c r="C153" i="4"/>
  <c r="C155" i="4" s="1"/>
  <c r="C156" i="4" s="1"/>
  <c r="D36" i="5"/>
  <c r="D24" i="5"/>
  <c r="D44" i="5" s="1"/>
  <c r="G36" i="5"/>
  <c r="G24" i="5"/>
  <c r="G44" i="5" s="1"/>
  <c r="C36" i="5"/>
  <c r="C24" i="5"/>
  <c r="C44" i="5" s="1"/>
  <c r="H36" i="5"/>
  <c r="H24" i="5"/>
  <c r="H44" i="5" s="1"/>
  <c r="C14" i="6"/>
  <c r="C64" i="10"/>
  <c r="C117" i="1" a="1"/>
  <c r="C117" i="1" s="1"/>
  <c r="C118" i="1" a="1"/>
  <c r="C118" i="1" s="1"/>
  <c r="C22" i="16"/>
  <c r="H63" i="5"/>
  <c r="H20" i="5"/>
  <c r="H40" i="5" s="1"/>
  <c r="G63" i="5"/>
  <c r="C20" i="5"/>
  <c r="C40" i="5" s="1"/>
  <c r="C63" i="5"/>
  <c r="D20" i="5"/>
  <c r="D40" i="5" s="1"/>
  <c r="D63" i="5"/>
  <c r="G20" i="5"/>
  <c r="F44" i="5"/>
  <c r="F26" i="5"/>
  <c r="F46" i="5" s="1"/>
  <c r="F65" i="5"/>
  <c r="F40" i="5"/>
  <c r="F66" i="5"/>
  <c r="E40" i="5"/>
  <c r="E65" i="5"/>
  <c r="E66" i="5"/>
  <c r="E44" i="5"/>
  <c r="E26" i="5"/>
  <c r="E46" i="5" s="1"/>
  <c r="D7" i="10" l="1"/>
  <c r="D19" i="10" s="1"/>
  <c r="D156" i="4"/>
  <c r="C26" i="5"/>
  <c r="C46" i="5" s="1"/>
  <c r="C47" i="5" s="1"/>
  <c r="D26" i="5"/>
  <c r="D46" i="5" s="1"/>
  <c r="D47" i="5" s="1"/>
  <c r="D48" i="5" s="1"/>
  <c r="D49" i="5" s="1"/>
  <c r="H26" i="5"/>
  <c r="C65" i="10"/>
  <c r="G26" i="5"/>
  <c r="G46" i="5" s="1"/>
  <c r="D65" i="10"/>
  <c r="E151" i="4"/>
  <c r="E153" i="4" s="1"/>
  <c r="C18" i="9"/>
  <c r="D18" i="9" s="1"/>
  <c r="C7" i="10"/>
  <c r="H65" i="5"/>
  <c r="H66" i="5"/>
  <c r="C65" i="5"/>
  <c r="C13" i="6"/>
  <c r="C16" i="6" s="1"/>
  <c r="C66" i="5"/>
  <c r="C67" i="5"/>
  <c r="D65" i="5"/>
  <c r="D66" i="5"/>
  <c r="G40" i="5"/>
  <c r="G65" i="5"/>
  <c r="G66" i="5"/>
  <c r="E27" i="5"/>
  <c r="E28" i="5" s="1"/>
  <c r="E47" i="5"/>
  <c r="E48" i="5" s="1"/>
  <c r="E49" i="5" s="1"/>
  <c r="F27" i="5"/>
  <c r="F28" i="5" s="1"/>
  <c r="H46" i="5"/>
  <c r="H47" i="5" s="1"/>
  <c r="H27" i="5"/>
  <c r="H28" i="5" s="1"/>
  <c r="F47" i="5"/>
  <c r="G27" i="5"/>
  <c r="G28" i="5" s="1"/>
  <c r="D27" i="5"/>
  <c r="D28" i="5" s="1"/>
  <c r="C27" i="5" l="1"/>
  <c r="C28" i="5" s="1"/>
  <c r="F151" i="4"/>
  <c r="E155" i="4"/>
  <c r="E65" i="10"/>
  <c r="C19" i="10"/>
  <c r="C47" i="10" s="1" a="1"/>
  <c r="C47" i="10" s="1"/>
  <c r="E13" i="22" s="1" a="1"/>
  <c r="E13" i="22" s="1"/>
  <c r="G47" i="5"/>
  <c r="G48" i="5" s="1"/>
  <c r="G49" i="5" s="1"/>
  <c r="C48" i="5"/>
  <c r="C49" i="5" s="1"/>
  <c r="F48" i="5"/>
  <c r="F49" i="5" s="1"/>
  <c r="H48" i="5"/>
  <c r="H49" i="5" s="1"/>
  <c r="E7" i="10" l="1"/>
  <c r="E19" i="10" s="1"/>
  <c r="E156" i="4"/>
  <c r="F153" i="4"/>
  <c r="G151" i="4"/>
  <c r="E18" i="9"/>
  <c r="E12" i="22" a="1"/>
  <c r="E12" i="22" s="1"/>
  <c r="E11" i="22" a="1"/>
  <c r="E11" i="22" s="1"/>
  <c r="E7" i="22" a="1"/>
  <c r="E7" i="22" s="1"/>
  <c r="E15" i="22" a="1"/>
  <c r="E15" i="22" s="1"/>
  <c r="E16" i="22" a="1"/>
  <c r="E16" i="22" s="1"/>
  <c r="E9" i="22" a="1"/>
  <c r="E9" i="22" s="1"/>
  <c r="E10" i="22" a="1"/>
  <c r="E10" i="22" s="1"/>
  <c r="E6" i="22" a="1"/>
  <c r="E6" i="22" s="1"/>
  <c r="C17" i="9"/>
  <c r="C61" i="10"/>
  <c r="C62" i="10" s="1"/>
  <c r="C55" i="10"/>
  <c r="C8" i="11" s="1"/>
  <c r="E8" i="22" a="1"/>
  <c r="E8" i="22" s="1"/>
  <c r="E17" i="22" a="1"/>
  <c r="E17" i="22" s="1"/>
  <c r="E14" i="22" a="1"/>
  <c r="E14" i="22" s="1"/>
  <c r="C7" i="11"/>
  <c r="G50" i="5"/>
  <c r="C50" i="5"/>
  <c r="F50" i="5"/>
  <c r="H50" i="5"/>
  <c r="D50" i="5"/>
  <c r="E50" i="5"/>
  <c r="G153" i="4" l="1"/>
  <c r="H151" i="4"/>
  <c r="F65" i="10"/>
  <c r="F155" i="4"/>
  <c r="F156" i="4" s="1"/>
  <c r="C10" i="11"/>
  <c r="C11" i="11" s="1"/>
  <c r="C12" i="11" s="1"/>
  <c r="C83" i="16" s="1"/>
  <c r="F14" i="22" a="1"/>
  <c r="F14" i="22" s="1"/>
  <c r="G14" i="22" s="1"/>
  <c r="F8" i="22" a="1"/>
  <c r="F8" i="22" s="1"/>
  <c r="G8" i="22" s="1"/>
  <c r="F10" i="22" a="1"/>
  <c r="F10" i="22" s="1"/>
  <c r="G10" i="22" s="1"/>
  <c r="F12" i="22" a="1"/>
  <c r="F12" i="22" s="1"/>
  <c r="G12" i="22" s="1"/>
  <c r="F7" i="22" a="1"/>
  <c r="F7" i="22" s="1"/>
  <c r="G7" i="22" s="1"/>
  <c r="F15" i="22" l="1" a="1"/>
  <c r="F15" i="22" s="1"/>
  <c r="G15" i="22" s="1"/>
  <c r="F7" i="10"/>
  <c r="F19" i="10" s="1"/>
  <c r="B60" i="16"/>
  <c r="H153" i="4"/>
  <c r="I151" i="4"/>
  <c r="C48" i="10"/>
  <c r="G155" i="4"/>
  <c r="G7" i="10" s="1"/>
  <c r="G19" i="10" s="1"/>
  <c r="G65" i="10"/>
  <c r="C49" i="10"/>
  <c r="C19" i="9" s="1"/>
  <c r="C20" i="9" s="1"/>
  <c r="F18" i="9"/>
  <c r="G18" i="9" s="1"/>
  <c r="F13" i="22" a="1"/>
  <c r="F13" i="22" s="1"/>
  <c r="G13" i="22" s="1"/>
  <c r="F11" i="22" a="1"/>
  <c r="F11" i="22" s="1"/>
  <c r="G11" i="22" s="1"/>
  <c r="F17" i="22" a="1"/>
  <c r="F17" i="22" s="1"/>
  <c r="G17" i="22" s="1"/>
  <c r="F9" i="22" a="1"/>
  <c r="F9" i="22" s="1"/>
  <c r="G9" i="22" s="1"/>
  <c r="F16" i="22" a="1"/>
  <c r="F16" i="22" s="1"/>
  <c r="G16" i="22" s="1"/>
  <c r="F6" i="22" a="1"/>
  <c r="F6" i="22" s="1"/>
  <c r="G6" i="22" s="1"/>
  <c r="C13" i="11"/>
  <c r="C84" i="16" s="1"/>
  <c r="C66" i="10" l="1"/>
  <c r="C67" i="10" s="1"/>
  <c r="C50" i="10"/>
  <c r="C52" i="10" s="1"/>
  <c r="C54" i="10" s="1"/>
  <c r="D53" i="10" s="1"/>
  <c r="D47" i="10" s="1" a="1"/>
  <c r="D47" i="10" s="1"/>
  <c r="H65" i="10"/>
  <c r="H155" i="4"/>
  <c r="H7" i="10" s="1"/>
  <c r="H19" i="10" s="1"/>
  <c r="J151" i="4"/>
  <c r="I153" i="4"/>
  <c r="H18" i="9" l="1"/>
  <c r="C68" i="10"/>
  <c r="I155" i="4"/>
  <c r="I65" i="10"/>
  <c r="J153" i="4"/>
  <c r="K151" i="4"/>
  <c r="C80" i="16"/>
  <c r="C7" i="9"/>
  <c r="C10" i="9" s="1"/>
  <c r="E23" i="22" a="1"/>
  <c r="E23" i="22" s="1"/>
  <c r="E27" i="22" a="1"/>
  <c r="E27" i="22" s="1"/>
  <c r="E26" i="22" a="1"/>
  <c r="E26" i="22" s="1"/>
  <c r="E19" i="22" a="1"/>
  <c r="E19" i="22" s="1"/>
  <c r="E21" i="22" a="1"/>
  <c r="E21" i="22" s="1"/>
  <c r="E25" i="22" a="1"/>
  <c r="E25" i="22" s="1"/>
  <c r="E22" i="22" a="1"/>
  <c r="E22" i="22" s="1"/>
  <c r="E29" i="22" a="1"/>
  <c r="E29" i="22" s="1"/>
  <c r="E20" i="22" a="1"/>
  <c r="E20" i="22" s="1"/>
  <c r="E28" i="22" a="1"/>
  <c r="E28" i="22" s="1"/>
  <c r="E24" i="22" a="1"/>
  <c r="E24" i="22" s="1"/>
  <c r="E18" i="22" a="1"/>
  <c r="E18" i="22" s="1"/>
  <c r="D7" i="11"/>
  <c r="D17" i="9"/>
  <c r="D61" i="10"/>
  <c r="D62" i="10" s="1"/>
  <c r="D55" i="10"/>
  <c r="D8" i="11" s="1"/>
  <c r="L151" i="4" l="1"/>
  <c r="L153" i="4" s="1"/>
  <c r="K153" i="4"/>
  <c r="C119" i="1" s="1" a="1"/>
  <c r="C119" i="1" s="1"/>
  <c r="J65" i="10"/>
  <c r="J155" i="4"/>
  <c r="J7" i="10" s="1"/>
  <c r="J19" i="10" s="1"/>
  <c r="I7" i="10"/>
  <c r="I19" i="10" s="1"/>
  <c r="I18" i="9"/>
  <c r="C22" i="9"/>
  <c r="D10" i="11"/>
  <c r="J18" i="9" l="1"/>
  <c r="K155" i="4"/>
  <c r="K65" i="10"/>
  <c r="L65" i="10"/>
  <c r="L155" i="4"/>
  <c r="L7" i="10" s="1"/>
  <c r="L19" i="10" s="1"/>
  <c r="D11" i="11"/>
  <c r="D49" i="10"/>
  <c r="K7" i="10" l="1"/>
  <c r="C137" i="1" a="1"/>
  <c r="C137" i="1" s="1"/>
  <c r="B49" i="16"/>
  <c r="C120" i="1" a="1"/>
  <c r="C120" i="1" s="1"/>
  <c r="K18" i="9"/>
  <c r="L18" i="9" s="1"/>
  <c r="C101" i="1" s="1"/>
  <c r="F26" i="22" a="1"/>
  <c r="F26" i="22" s="1"/>
  <c r="G26" i="22" s="1"/>
  <c r="F19" i="22" a="1"/>
  <c r="F19" i="22" s="1"/>
  <c r="G19" i="22" s="1"/>
  <c r="F29" i="22" a="1"/>
  <c r="F29" i="22" s="1"/>
  <c r="G29" i="22" s="1"/>
  <c r="F20" i="22" a="1"/>
  <c r="F20" i="22" s="1"/>
  <c r="G20" i="22" s="1"/>
  <c r="F28" i="22" a="1"/>
  <c r="F28" i="22" s="1"/>
  <c r="G28" i="22" s="1"/>
  <c r="F21" i="22" a="1"/>
  <c r="F21" i="22" s="1"/>
  <c r="G21" i="22" s="1"/>
  <c r="F24" i="22" a="1"/>
  <c r="F24" i="22" s="1"/>
  <c r="G24" i="22" s="1"/>
  <c r="F22" i="22" a="1"/>
  <c r="F22" i="22" s="1"/>
  <c r="G22" i="22" s="1"/>
  <c r="F23" i="22" a="1"/>
  <c r="F23" i="22" s="1"/>
  <c r="G23" i="22" s="1"/>
  <c r="F18" i="22" a="1"/>
  <c r="F18" i="22" s="1"/>
  <c r="F27" i="22" a="1"/>
  <c r="F27" i="22" s="1"/>
  <c r="G27" i="22" s="1"/>
  <c r="F25" i="22" a="1"/>
  <c r="F25" i="22" s="1"/>
  <c r="G25" i="22" s="1"/>
  <c r="D12" i="11"/>
  <c r="D83" i="16" s="1"/>
  <c r="D48" i="10"/>
  <c r="D19" i="9" s="1"/>
  <c r="K19" i="10" l="1"/>
  <c r="C124" i="1" a="1"/>
  <c r="C124" i="1" s="1"/>
  <c r="G18" i="22"/>
  <c r="D20" i="9"/>
  <c r="D13" i="11"/>
  <c r="D84" i="16" s="1"/>
  <c r="D66" i="10"/>
  <c r="D67" i="10" s="1"/>
  <c r="D50" i="10"/>
  <c r="D52" i="10" s="1"/>
  <c r="D54" i="10" l="1"/>
  <c r="D80" i="16" s="1"/>
  <c r="D68" i="10"/>
  <c r="D7" i="9" l="1"/>
  <c r="D10" i="9" s="1"/>
  <c r="E53" i="10"/>
  <c r="E47" i="10" s="1" a="1"/>
  <c r="E47" i="10" s="1"/>
  <c r="C12" i="20" s="1"/>
  <c r="E7" i="11" l="1"/>
  <c r="E31" i="22" a="1"/>
  <c r="E31" i="22" s="1"/>
  <c r="E33" i="22" a="1"/>
  <c r="E33" i="22" s="1"/>
  <c r="E37" i="22" a="1"/>
  <c r="E37" i="22" s="1"/>
  <c r="E39" i="22" a="1"/>
  <c r="E39" i="22" s="1"/>
  <c r="E40" i="22" a="1"/>
  <c r="E40" i="22" s="1"/>
  <c r="E41" i="22" a="1"/>
  <c r="E41" i="22" s="1"/>
  <c r="E35" i="22" a="1"/>
  <c r="E35" i="22" s="1"/>
  <c r="E38" i="22" a="1"/>
  <c r="E38" i="22" s="1"/>
  <c r="E32" i="22" a="1"/>
  <c r="E32" i="22" s="1"/>
  <c r="E30" i="22" a="1"/>
  <c r="E30" i="22" s="1"/>
  <c r="E36" i="22" a="1"/>
  <c r="E36" i="22" s="1"/>
  <c r="E34" i="22" a="1"/>
  <c r="E34" i="22" s="1"/>
  <c r="E55" i="10"/>
  <c r="E8" i="11" s="1"/>
  <c r="E10" i="11" s="1"/>
  <c r="E61" i="10"/>
  <c r="E62" i="10" s="1"/>
  <c r="E17" i="9"/>
  <c r="D22" i="9"/>
  <c r="E11" i="11" l="1"/>
  <c r="E49" i="10"/>
  <c r="F41" i="22" l="1" a="1"/>
  <c r="F41" i="22" s="1"/>
  <c r="G41" i="22" s="1"/>
  <c r="F30" i="22" a="1"/>
  <c r="F30" i="22" s="1"/>
  <c r="F40" i="22" a="1"/>
  <c r="F40" i="22" s="1"/>
  <c r="G40" i="22" s="1"/>
  <c r="F39" i="22" a="1"/>
  <c r="F39" i="22" s="1"/>
  <c r="G39" i="22" s="1"/>
  <c r="F36" i="22" a="1"/>
  <c r="F36" i="22" s="1"/>
  <c r="G36" i="22" s="1"/>
  <c r="F33" i="22" a="1"/>
  <c r="F33" i="22" s="1"/>
  <c r="G33" i="22" s="1"/>
  <c r="F38" i="22" a="1"/>
  <c r="F38" i="22" s="1"/>
  <c r="G38" i="22" s="1"/>
  <c r="F37" i="22" a="1"/>
  <c r="F37" i="22" s="1"/>
  <c r="G37" i="22" s="1"/>
  <c r="F34" i="22" a="1"/>
  <c r="F34" i="22" s="1"/>
  <c r="G34" i="22" s="1"/>
  <c r="F35" i="22" a="1"/>
  <c r="F35" i="22" s="1"/>
  <c r="G35" i="22" s="1"/>
  <c r="F31" i="22" a="1"/>
  <c r="F31" i="22" s="1"/>
  <c r="G31" i="22" s="1"/>
  <c r="F32" i="22" a="1"/>
  <c r="F32" i="22" s="1"/>
  <c r="G32" i="22" s="1"/>
  <c r="E12" i="11"/>
  <c r="E83" i="16" s="1"/>
  <c r="E48" i="10"/>
  <c r="E19" i="9" s="1"/>
  <c r="G30" i="22" l="1"/>
  <c r="E20" i="9"/>
  <c r="E13" i="11"/>
  <c r="E84" i="16" s="1"/>
  <c r="E66" i="10"/>
  <c r="E67" i="10" s="1"/>
  <c r="E50" i="10"/>
  <c r="E52" i="10" s="1"/>
  <c r="E54" i="10" l="1"/>
  <c r="E80" i="16" s="1"/>
  <c r="E68" i="10"/>
  <c r="F53" i="10" l="1"/>
  <c r="F47" i="10" s="1" a="1"/>
  <c r="F47" i="10" s="1"/>
  <c r="F7" i="11" s="1"/>
  <c r="E7" i="9"/>
  <c r="E10" i="9"/>
  <c r="E45" i="22" l="1" a="1"/>
  <c r="E45" i="22" s="1"/>
  <c r="E46" i="22" a="1"/>
  <c r="E46" i="22" s="1"/>
  <c r="E48" i="22" a="1"/>
  <c r="E48" i="22" s="1"/>
  <c r="F61" i="10"/>
  <c r="F62" i="10" s="1"/>
  <c r="F17" i="9"/>
  <c r="E47" i="22" a="1"/>
  <c r="E47" i="22" s="1"/>
  <c r="E42" i="22" a="1"/>
  <c r="E42" i="22" s="1"/>
  <c r="E53" i="22" a="1"/>
  <c r="E53" i="22" s="1"/>
  <c r="E43" i="22" a="1"/>
  <c r="E43" i="22" s="1"/>
  <c r="E44" i="22" a="1"/>
  <c r="E44" i="22" s="1"/>
  <c r="E49" i="22" a="1"/>
  <c r="E49" i="22" s="1"/>
  <c r="E52" i="22" a="1"/>
  <c r="E52" i="22" s="1"/>
  <c r="F55" i="10"/>
  <c r="F8" i="11" s="1"/>
  <c r="F9" i="11" s="1" a="1"/>
  <c r="F9" i="11" s="1"/>
  <c r="E50" i="22" a="1"/>
  <c r="E50" i="22" s="1"/>
  <c r="E22" i="9"/>
  <c r="E51" i="22" a="1"/>
  <c r="E51" i="22" s="1"/>
  <c r="F10" i="11" l="1"/>
  <c r="F11" i="11" s="1"/>
  <c r="F43" i="22" l="1" a="1"/>
  <c r="F43" i="22" s="1"/>
  <c r="G43" i="22" s="1"/>
  <c r="F48" i="22" a="1"/>
  <c r="F48" i="22" s="1"/>
  <c r="G48" i="22" s="1"/>
  <c r="F52" i="22" a="1"/>
  <c r="F52" i="22" s="1"/>
  <c r="G52" i="22" s="1"/>
  <c r="F49" i="22" a="1"/>
  <c r="F49" i="22" s="1"/>
  <c r="G49" i="22" s="1"/>
  <c r="F51" i="22" a="1"/>
  <c r="F51" i="22" s="1"/>
  <c r="G51" i="22" s="1"/>
  <c r="F46" i="22" a="1"/>
  <c r="F46" i="22" s="1"/>
  <c r="G46" i="22" s="1"/>
  <c r="F53" i="22" a="1"/>
  <c r="F53" i="22" s="1"/>
  <c r="G53" i="22" s="1"/>
  <c r="F47" i="22" a="1"/>
  <c r="F47" i="22" s="1"/>
  <c r="G47" i="22" s="1"/>
  <c r="F50" i="22" a="1"/>
  <c r="F50" i="22" s="1"/>
  <c r="G50" i="22" s="1"/>
  <c r="F45" i="22" a="1"/>
  <c r="F45" i="22" s="1"/>
  <c r="G45" i="22" s="1"/>
  <c r="F42" i="22" a="1"/>
  <c r="F42" i="22" s="1"/>
  <c r="F44" i="22" a="1"/>
  <c r="F44" i="22" s="1"/>
  <c r="G44" i="22" s="1"/>
  <c r="F49" i="10"/>
  <c r="F12" i="11"/>
  <c r="F83" i="16" s="1"/>
  <c r="F48" i="10"/>
  <c r="F19" i="9" l="1"/>
  <c r="F20" i="9" s="1"/>
  <c r="G42" i="22"/>
  <c r="F13" i="11"/>
  <c r="F84" i="16" s="1"/>
  <c r="F66" i="10"/>
  <c r="F67" i="10" s="1"/>
  <c r="F50" i="10"/>
  <c r="F52" i="10" s="1"/>
  <c r="F54" i="10" l="1"/>
  <c r="F80" i="16" s="1"/>
  <c r="C23" i="11" a="1"/>
  <c r="C23" i="11" s="1"/>
  <c r="F68" i="10"/>
  <c r="F7" i="9" l="1"/>
  <c r="F10" i="9" s="1"/>
  <c r="G53" i="10"/>
  <c r="G47" i="10" s="1" a="1"/>
  <c r="G47" i="10" s="1"/>
  <c r="G61" i="10" s="1"/>
  <c r="G62" i="10" s="1"/>
  <c r="G7" i="16"/>
  <c r="G17" i="9" l="1"/>
  <c r="G7" i="11"/>
  <c r="E54" i="22" a="1"/>
  <c r="E54" i="22" s="1"/>
  <c r="E60" i="22" a="1"/>
  <c r="E60" i="22" s="1"/>
  <c r="E61" i="22" a="1"/>
  <c r="E61" i="22" s="1"/>
  <c r="E58" i="22" a="1"/>
  <c r="E58" i="22" s="1"/>
  <c r="E64" i="22" a="1"/>
  <c r="E64" i="22" s="1"/>
  <c r="E59" i="22" a="1"/>
  <c r="E59" i="22" s="1"/>
  <c r="E57" i="22" a="1"/>
  <c r="E57" i="22" s="1"/>
  <c r="E65" i="22" a="1"/>
  <c r="E65" i="22" s="1"/>
  <c r="E63" i="22" a="1"/>
  <c r="E63" i="22" s="1"/>
  <c r="E62" i="22" a="1"/>
  <c r="E62" i="22" s="1"/>
  <c r="E56" i="22" a="1"/>
  <c r="E56" i="22" s="1"/>
  <c r="E55" i="22" a="1"/>
  <c r="E55" i="22" s="1"/>
  <c r="G55" i="10"/>
  <c r="G8" i="11" s="1"/>
  <c r="G10" i="11" s="1"/>
  <c r="G11" i="11" s="1"/>
  <c r="F22" i="9"/>
  <c r="G12" i="11" l="1"/>
  <c r="G83" i="16" s="1"/>
  <c r="F56" i="22" a="1"/>
  <c r="F56" i="22" s="1"/>
  <c r="G56" i="22" s="1"/>
  <c r="F62" i="22" a="1"/>
  <c r="F62" i="22" s="1"/>
  <c r="G62" i="22" s="1"/>
  <c r="F61" i="22" a="1"/>
  <c r="F61" i="22" s="1"/>
  <c r="G61" i="22" s="1"/>
  <c r="F59" i="22" a="1"/>
  <c r="F59" i="22" s="1"/>
  <c r="G59" i="22" s="1"/>
  <c r="F63" i="22" a="1"/>
  <c r="F63" i="22" s="1"/>
  <c r="G63" i="22" s="1"/>
  <c r="F58" i="22" a="1"/>
  <c r="F58" i="22" s="1"/>
  <c r="G58" i="22" s="1"/>
  <c r="F60" i="22" a="1"/>
  <c r="F60" i="22" s="1"/>
  <c r="G60" i="22" s="1"/>
  <c r="F54" i="22" a="1"/>
  <c r="F54" i="22" s="1"/>
  <c r="G54" i="22" s="1"/>
  <c r="F65" i="22" a="1"/>
  <c r="F65" i="22" s="1"/>
  <c r="G65" i="22" s="1"/>
  <c r="F55" i="22" a="1"/>
  <c r="F55" i="22" s="1"/>
  <c r="G55" i="22" s="1"/>
  <c r="F64" i="22" a="1"/>
  <c r="F64" i="22" s="1"/>
  <c r="G64" i="22" s="1"/>
  <c r="F57" i="22" a="1"/>
  <c r="F57" i="22" s="1"/>
  <c r="G57" i="22" s="1"/>
  <c r="G48" i="10"/>
  <c r="G49" i="10"/>
  <c r="G13" i="11" l="1"/>
  <c r="G84" i="16" s="1"/>
  <c r="G19" i="9"/>
  <c r="G66" i="10"/>
  <c r="G67" i="10" s="1"/>
  <c r="G50" i="10"/>
  <c r="G52" i="10" s="1"/>
  <c r="G54" i="10" l="1"/>
  <c r="H53" i="10" s="1"/>
  <c r="H47" i="10" s="1" a="1"/>
  <c r="H47" i="10" s="1"/>
  <c r="G20" i="9"/>
  <c r="G68" i="10"/>
  <c r="G80" i="16" l="1"/>
  <c r="G7" i="9"/>
  <c r="G10" i="9" s="1"/>
  <c r="G22" i="9" s="1"/>
  <c r="E73" i="22" a="1"/>
  <c r="E73" i="22" s="1"/>
  <c r="E76" i="22" a="1"/>
  <c r="E76" i="22" s="1"/>
  <c r="E75" i="22" a="1"/>
  <c r="E75" i="22" s="1"/>
  <c r="E70" i="22" a="1"/>
  <c r="E70" i="22" s="1"/>
  <c r="E68" i="22" a="1"/>
  <c r="E68" i="22" s="1"/>
  <c r="E67" i="22" a="1"/>
  <c r="E67" i="22" s="1"/>
  <c r="E66" i="22" a="1"/>
  <c r="E66" i="22" s="1"/>
  <c r="E71" i="22" a="1"/>
  <c r="E71" i="22" s="1"/>
  <c r="E72" i="22" a="1"/>
  <c r="E72" i="22" s="1"/>
  <c r="E74" i="22" a="1"/>
  <c r="E74" i="22" s="1"/>
  <c r="E69" i="22" a="1"/>
  <c r="E69" i="22" s="1"/>
  <c r="E77" i="22" a="1"/>
  <c r="E77" i="22" s="1"/>
  <c r="H7" i="11"/>
  <c r="H17" i="9"/>
  <c r="H61" i="10"/>
  <c r="H62" i="10" s="1"/>
  <c r="H55" i="10"/>
  <c r="H8" i="11" s="1"/>
  <c r="H10" i="11" l="1"/>
  <c r="H11" i="11" s="1"/>
  <c r="H12" i="11" l="1"/>
  <c r="F66" i="22" a="1"/>
  <c r="F66" i="22" s="1"/>
  <c r="G66" i="22" s="1"/>
  <c r="F71" i="22" a="1"/>
  <c r="F71" i="22" s="1"/>
  <c r="G71" i="22" s="1"/>
  <c r="F67" i="22" a="1"/>
  <c r="F67" i="22" s="1"/>
  <c r="G67" i="22" s="1"/>
  <c r="F70" i="22" a="1"/>
  <c r="F70" i="22" s="1"/>
  <c r="G70" i="22" s="1"/>
  <c r="F73" i="22" a="1"/>
  <c r="F73" i="22" s="1"/>
  <c r="G73" i="22" s="1"/>
  <c r="F74" i="22" a="1"/>
  <c r="F74" i="22" s="1"/>
  <c r="G74" i="22" s="1"/>
  <c r="F76" i="22" a="1"/>
  <c r="F76" i="22" s="1"/>
  <c r="G76" i="22" s="1"/>
  <c r="F68" i="22" a="1"/>
  <c r="F68" i="22" s="1"/>
  <c r="G68" i="22" s="1"/>
  <c r="F75" i="22" a="1"/>
  <c r="F75" i="22" s="1"/>
  <c r="G75" i="22" s="1"/>
  <c r="F77" i="22" a="1"/>
  <c r="F77" i="22" s="1"/>
  <c r="G77" i="22" s="1"/>
  <c r="F69" i="22" a="1"/>
  <c r="F69" i="22" s="1"/>
  <c r="G69" i="22" s="1"/>
  <c r="F72" i="22" a="1"/>
  <c r="F72" i="22" s="1"/>
  <c r="G72" i="22" s="1"/>
  <c r="H48" i="10"/>
  <c r="H49" i="10"/>
  <c r="H13" i="11" l="1"/>
  <c r="H84" i="16" s="1"/>
  <c r="H83" i="16"/>
  <c r="H19" i="9"/>
  <c r="H66" i="10"/>
  <c r="H67" i="10" s="1"/>
  <c r="H50" i="10"/>
  <c r="H52" i="10" s="1"/>
  <c r="H54" i="10" s="1"/>
  <c r="H80" i="16" s="1"/>
  <c r="I53" i="10" l="1"/>
  <c r="I47" i="10" s="1" a="1"/>
  <c r="I47" i="10" s="1"/>
  <c r="H7" i="9"/>
  <c r="H20" i="9"/>
  <c r="H68" i="10"/>
  <c r="H10" i="9" l="1"/>
  <c r="E89" i="22" a="1"/>
  <c r="E89" i="22" s="1"/>
  <c r="E87" i="22" a="1"/>
  <c r="E87" i="22" s="1"/>
  <c r="E79" i="22" a="1"/>
  <c r="E79" i="22" s="1"/>
  <c r="E84" i="22" a="1"/>
  <c r="E84" i="22" s="1"/>
  <c r="E85" i="22" a="1"/>
  <c r="E85" i="22" s="1"/>
  <c r="E81" i="22" a="1"/>
  <c r="E81" i="22" s="1"/>
  <c r="E86" i="22" a="1"/>
  <c r="E86" i="22" s="1"/>
  <c r="E78" i="22" a="1"/>
  <c r="E78" i="22" s="1"/>
  <c r="E80" i="22" a="1"/>
  <c r="E80" i="22" s="1"/>
  <c r="E88" i="22" a="1"/>
  <c r="E88" i="22" s="1"/>
  <c r="E82" i="22" a="1"/>
  <c r="E82" i="22" s="1"/>
  <c r="E83" i="22" a="1"/>
  <c r="E83" i="22" s="1"/>
  <c r="H22" i="9"/>
  <c r="I7" i="11"/>
  <c r="I17" i="9"/>
  <c r="I61" i="10"/>
  <c r="I62" i="10" s="1"/>
  <c r="I55" i="10"/>
  <c r="I8" i="11" s="1"/>
  <c r="I10" i="11" l="1"/>
  <c r="I11" i="11" s="1"/>
  <c r="F89" i="22" s="1" a="1"/>
  <c r="F89" i="22" s="1"/>
  <c r="G89" i="22" s="1"/>
  <c r="F83" i="22" l="1" a="1"/>
  <c r="F83" i="22" s="1"/>
  <c r="G83" i="22" s="1"/>
  <c r="F79" i="22" a="1"/>
  <c r="F79" i="22" s="1"/>
  <c r="G79" i="22" s="1"/>
  <c r="F86" i="22" a="1"/>
  <c r="F86" i="22" s="1"/>
  <c r="G86" i="22" s="1"/>
  <c r="F84" i="22" a="1"/>
  <c r="F84" i="22" s="1"/>
  <c r="G84" i="22" s="1"/>
  <c r="F78" i="22" a="1"/>
  <c r="F78" i="22" s="1"/>
  <c r="G78" i="22" s="1"/>
  <c r="F80" i="22" a="1"/>
  <c r="F80" i="22" s="1"/>
  <c r="G80" i="22" s="1"/>
  <c r="F85" i="22" a="1"/>
  <c r="F85" i="22" s="1"/>
  <c r="G85" i="22" s="1"/>
  <c r="F82" i="22" a="1"/>
  <c r="F82" i="22" s="1"/>
  <c r="G82" i="22" s="1"/>
  <c r="F87" i="22" a="1"/>
  <c r="F87" i="22" s="1"/>
  <c r="G87" i="22" s="1"/>
  <c r="F88" i="22" a="1"/>
  <c r="F88" i="22" s="1"/>
  <c r="G88" i="22" s="1"/>
  <c r="F81" i="22" a="1"/>
  <c r="F81" i="22" s="1"/>
  <c r="G81" i="22" s="1"/>
  <c r="I49" i="10"/>
  <c r="I48" i="10"/>
  <c r="I19" i="9" s="1"/>
  <c r="I12" i="11"/>
  <c r="I13" i="11" l="1"/>
  <c r="I84" i="16" s="1"/>
  <c r="I83" i="16"/>
  <c r="I66" i="10"/>
  <c r="I67" i="10" s="1"/>
  <c r="I50" i="10"/>
  <c r="I52" i="10" s="1"/>
  <c r="I54" i="10" s="1"/>
  <c r="I20" i="9"/>
  <c r="J53" i="10" l="1"/>
  <c r="J47" i="10" s="1" a="1"/>
  <c r="J47" i="10" s="1"/>
  <c r="J17" i="9" s="1"/>
  <c r="I80" i="16"/>
  <c r="I68" i="10"/>
  <c r="I7" i="9"/>
  <c r="J7" i="11" l="1"/>
  <c r="E94" i="22" a="1"/>
  <c r="E94" i="22" s="1"/>
  <c r="E95" i="22" a="1"/>
  <c r="E95" i="22" s="1"/>
  <c r="E91" i="22" a="1"/>
  <c r="E91" i="22" s="1"/>
  <c r="E96" i="22" a="1"/>
  <c r="E96" i="22" s="1"/>
  <c r="E99" i="22" a="1"/>
  <c r="E99" i="22" s="1"/>
  <c r="E93" i="22" a="1"/>
  <c r="E93" i="22" s="1"/>
  <c r="E97" i="22" a="1"/>
  <c r="E97" i="22" s="1"/>
  <c r="E90" i="22" a="1"/>
  <c r="E90" i="22" s="1"/>
  <c r="E100" i="22" a="1"/>
  <c r="E100" i="22" s="1"/>
  <c r="J61" i="10"/>
  <c r="J62" i="10" s="1"/>
  <c r="I10" i="9"/>
  <c r="I22" i="9" s="1"/>
  <c r="E101" i="22" a="1"/>
  <c r="E101" i="22" s="1"/>
  <c r="J55" i="10"/>
  <c r="J8" i="11" s="1"/>
  <c r="E98" i="22" a="1"/>
  <c r="E98" i="22" s="1"/>
  <c r="E92" i="22" a="1"/>
  <c r="E92" i="22" s="1"/>
  <c r="J10" i="11" l="1"/>
  <c r="J11" i="11" s="1"/>
  <c r="J12" i="11" s="1"/>
  <c r="J13" i="11" s="1"/>
  <c r="F92" i="22" a="1"/>
  <c r="F92" i="22" s="1"/>
  <c r="G92" i="22" s="1"/>
  <c r="F100" i="22" a="1"/>
  <c r="F100" i="22" s="1"/>
  <c r="G100" i="22" s="1"/>
  <c r="F91" i="22" l="1" a="1"/>
  <c r="F91" i="22" s="1"/>
  <c r="G91" i="22" s="1"/>
  <c r="F98" i="22" a="1"/>
  <c r="F98" i="22" s="1"/>
  <c r="G98" i="22" s="1"/>
  <c r="F93" i="22" a="1"/>
  <c r="F93" i="22" s="1"/>
  <c r="G93" i="22" s="1"/>
  <c r="F101" i="22" a="1"/>
  <c r="F101" i="22" s="1"/>
  <c r="G101" i="22" s="1"/>
  <c r="F99" i="22" a="1"/>
  <c r="F99" i="22" s="1"/>
  <c r="G99" i="22" s="1"/>
  <c r="F96" i="22" a="1"/>
  <c r="F96" i="22" s="1"/>
  <c r="G96" i="22" s="1"/>
  <c r="F95" i="22" a="1"/>
  <c r="F95" i="22" s="1"/>
  <c r="G95" i="22" s="1"/>
  <c r="F97" i="22" a="1"/>
  <c r="F97" i="22" s="1"/>
  <c r="G97" i="22" s="1"/>
  <c r="F94" i="22" a="1"/>
  <c r="F94" i="22" s="1"/>
  <c r="G94" i="22" s="1"/>
  <c r="F90" i="22" a="1"/>
  <c r="F90" i="22" s="1"/>
  <c r="G90" i="22" s="1"/>
  <c r="J49" i="10"/>
  <c r="J48" i="10" l="1"/>
  <c r="J19" i="9" s="1"/>
  <c r="J20" i="9" l="1"/>
  <c r="J66" i="10"/>
  <c r="J67" i="10" s="1"/>
  <c r="J50" i="10"/>
  <c r="J52" i="10" s="1"/>
  <c r="J54" i="10" s="1"/>
  <c r="K53" i="10" l="1"/>
  <c r="K47" i="10" s="1" a="1"/>
  <c r="K47" i="10" s="1"/>
  <c r="J7" i="9"/>
  <c r="J68" i="10"/>
  <c r="J10" i="9" l="1"/>
  <c r="J22" i="9" s="1"/>
  <c r="E106" i="22" a="1"/>
  <c r="E106" i="22" s="1"/>
  <c r="E104" i="22" a="1"/>
  <c r="E104" i="22" s="1"/>
  <c r="E110" i="22" a="1"/>
  <c r="E110" i="22" s="1"/>
  <c r="E105" i="22" a="1"/>
  <c r="E105" i="22" s="1"/>
  <c r="E113" i="22" a="1"/>
  <c r="E113" i="22" s="1"/>
  <c r="E112" i="22" a="1"/>
  <c r="E112" i="22" s="1"/>
  <c r="E108" i="22" a="1"/>
  <c r="E108" i="22" s="1"/>
  <c r="E107" i="22" a="1"/>
  <c r="E107" i="22" s="1"/>
  <c r="E103" i="22" a="1"/>
  <c r="E103" i="22" s="1"/>
  <c r="E111" i="22" a="1"/>
  <c r="E111" i="22" s="1"/>
  <c r="E102" i="22" a="1"/>
  <c r="E102" i="22" s="1"/>
  <c r="E109" i="22" a="1"/>
  <c r="E109" i="22" s="1"/>
  <c r="K7" i="11"/>
  <c r="K17" i="9"/>
  <c r="K61" i="10"/>
  <c r="K62" i="10" s="1"/>
  <c r="K55" i="10"/>
  <c r="K8" i="11" s="1"/>
  <c r="K10" i="11" l="1"/>
  <c r="K11" i="11" s="1"/>
  <c r="K49" i="10" l="1"/>
  <c r="F105" i="22" a="1"/>
  <c r="F105" i="22" s="1"/>
  <c r="G105" i="22" s="1"/>
  <c r="F106" i="22" a="1"/>
  <c r="F106" i="22" s="1"/>
  <c r="G106" i="22" s="1"/>
  <c r="F110" i="22" a="1"/>
  <c r="F110" i="22" s="1"/>
  <c r="G110" i="22" s="1"/>
  <c r="F102" i="22" a="1"/>
  <c r="F102" i="22" s="1"/>
  <c r="G102" i="22" s="1"/>
  <c r="F112" i="22" a="1"/>
  <c r="F112" i="22" s="1"/>
  <c r="G112" i="22" s="1"/>
  <c r="F107" i="22" a="1"/>
  <c r="F107" i="22" s="1"/>
  <c r="G107" i="22" s="1"/>
  <c r="F109" i="22" a="1"/>
  <c r="F109" i="22" s="1"/>
  <c r="G109" i="22" s="1"/>
  <c r="F104" i="22" a="1"/>
  <c r="F104" i="22" s="1"/>
  <c r="G104" i="22" s="1"/>
  <c r="F111" i="22" a="1"/>
  <c r="F111" i="22" s="1"/>
  <c r="G111" i="22" s="1"/>
  <c r="F113" i="22" a="1"/>
  <c r="F113" i="22" s="1"/>
  <c r="G113" i="22" s="1"/>
  <c r="F103" i="22" a="1"/>
  <c r="F103" i="22" s="1"/>
  <c r="G103" i="22" s="1"/>
  <c r="F108" i="22" a="1"/>
  <c r="F108" i="22" s="1"/>
  <c r="G108" i="22" s="1"/>
  <c r="K12" i="11"/>
  <c r="K13" i="11" s="1"/>
  <c r="K48" i="10"/>
  <c r="K19" i="9" s="1"/>
  <c r="K50" i="10" l="1"/>
  <c r="K52" i="10" s="1"/>
  <c r="K54" i="10" s="1"/>
  <c r="L53" i="10" s="1"/>
  <c r="K66" i="10"/>
  <c r="K67" i="10" s="1"/>
  <c r="K20" i="9"/>
  <c r="K68" i="10" l="1"/>
  <c r="C123" i="1" a="1"/>
  <c r="C123" i="1" s="1"/>
  <c r="L47" i="10" a="1"/>
  <c r="L47" i="10" s="1"/>
  <c r="B2" i="11" s="1"/>
  <c r="K7" i="9"/>
  <c r="K10" i="9" s="1"/>
  <c r="K22" i="9" s="1"/>
  <c r="E114" i="22" l="1" a="1"/>
  <c r="E114" i="22" s="1"/>
  <c r="E118" i="22" a="1"/>
  <c r="E118" i="22" s="1"/>
  <c r="E125" i="22" a="1"/>
  <c r="E125" i="22" s="1"/>
  <c r="E122" i="22" a="1"/>
  <c r="E122" i="22" s="1"/>
  <c r="E120" i="22" a="1"/>
  <c r="E120" i="22" s="1"/>
  <c r="E119" i="22" a="1"/>
  <c r="E119" i="22" s="1"/>
  <c r="E115" i="22" a="1"/>
  <c r="E115" i="22" s="1"/>
  <c r="E117" i="22" a="1"/>
  <c r="E117" i="22" s="1"/>
  <c r="E123" i="22" a="1"/>
  <c r="E123" i="22" s="1"/>
  <c r="E121" i="22" a="1"/>
  <c r="E121" i="22" s="1"/>
  <c r="L55" i="10"/>
  <c r="L8" i="11" s="1"/>
  <c r="C17" i="11" s="1"/>
  <c r="E124" i="22" a="1"/>
  <c r="E124" i="22" s="1"/>
  <c r="L61" i="10"/>
  <c r="L62" i="10" s="1"/>
  <c r="C133" i="1"/>
  <c r="L17" i="9"/>
  <c r="C129" i="1" s="1" a="1"/>
  <c r="C129" i="1" s="1"/>
  <c r="C16" i="11"/>
  <c r="C7" i="16" s="1"/>
  <c r="L7" i="11"/>
  <c r="E116" i="22" a="1"/>
  <c r="E116" i="22" s="1"/>
  <c r="C6" i="6"/>
  <c r="Q24" i="22" l="1"/>
  <c r="L10" i="11"/>
  <c r="C18" i="11" s="1"/>
  <c r="C17" i="16" s="1"/>
  <c r="Q25" i="22"/>
  <c r="C46" i="14"/>
  <c r="C134" i="1"/>
  <c r="L11" i="11"/>
  <c r="L48" i="10" s="1"/>
  <c r="L49" i="10"/>
  <c r="C22" i="6"/>
  <c r="C140" i="14" s="1"/>
  <c r="C7" i="6"/>
  <c r="L19" i="9" l="1"/>
  <c r="L20" i="9" s="1"/>
  <c r="C127" i="1" s="1" a="1"/>
  <c r="C127" i="1" s="1"/>
  <c r="C104" i="1"/>
  <c r="F115" i="22" a="1"/>
  <c r="F115" i="22" s="1"/>
  <c r="G115" i="22" s="1"/>
  <c r="F121" i="22" a="1"/>
  <c r="F121" i="22" s="1"/>
  <c r="G121" i="22" s="1"/>
  <c r="F119" i="22" a="1"/>
  <c r="F119" i="22" s="1"/>
  <c r="G119" i="22" s="1"/>
  <c r="F122" i="22" a="1"/>
  <c r="F122" i="22" s="1"/>
  <c r="G122" i="22" s="1"/>
  <c r="F118" i="22" a="1"/>
  <c r="F118" i="22" s="1"/>
  <c r="G118" i="22" s="1"/>
  <c r="F117" i="22" a="1"/>
  <c r="F117" i="22" s="1"/>
  <c r="G117" i="22" s="1"/>
  <c r="F125" i="22" a="1"/>
  <c r="F125" i="22" s="1"/>
  <c r="G125" i="22" s="1"/>
  <c r="F114" i="22" a="1"/>
  <c r="F114" i="22" s="1"/>
  <c r="G114" i="22" s="1"/>
  <c r="F120" i="22" a="1"/>
  <c r="F120" i="22" s="1"/>
  <c r="G120" i="22" s="1"/>
  <c r="F123" i="22" a="1"/>
  <c r="F123" i="22" s="1"/>
  <c r="G123" i="22" s="1"/>
  <c r="F124" i="22" a="1"/>
  <c r="F124" i="22" s="1"/>
  <c r="G124" i="22" s="1"/>
  <c r="F116" i="22" a="1"/>
  <c r="F116" i="22" s="1"/>
  <c r="G116" i="22" s="1"/>
  <c r="C19" i="11"/>
  <c r="C135" i="1" s="1"/>
  <c r="L12" i="11"/>
  <c r="Q20" i="22" s="1"/>
  <c r="L66" i="10"/>
  <c r="L67" i="10" s="1"/>
  <c r="L50" i="10"/>
  <c r="L52" i="10" s="1"/>
  <c r="C8" i="6"/>
  <c r="C38" i="1" s="1"/>
  <c r="C23" i="6"/>
  <c r="L54" i="10" l="1"/>
  <c r="L7" i="9" s="1"/>
  <c r="C121" i="1" a="1"/>
  <c r="C121" i="1" s="1"/>
  <c r="Q27" i="22"/>
  <c r="G6" i="16"/>
  <c r="B46" i="16" a="1"/>
  <c r="B46" i="16" s="1"/>
  <c r="Q26" i="22"/>
  <c r="C24" i="11"/>
  <c r="L13" i="11"/>
  <c r="C20" i="11"/>
  <c r="E142" i="19" s="1"/>
  <c r="C21" i="11"/>
  <c r="L68" i="10"/>
  <c r="C18" i="6"/>
  <c r="Q28" i="22" l="1"/>
  <c r="C107" i="1" s="1"/>
  <c r="C32" i="31"/>
  <c r="B73" i="16" a="1"/>
  <c r="B73" i="16" s="1"/>
  <c r="C139" i="14"/>
  <c r="E145" i="19"/>
  <c r="G5" i="16"/>
  <c r="J11" i="19"/>
  <c r="B58" i="10" a="1"/>
  <c r="B58" i="10" s="1"/>
  <c r="C125" i="1" a="1"/>
  <c r="C125" i="1" s="1"/>
  <c r="L10" i="9"/>
  <c r="C100" i="1" a="1"/>
  <c r="C100" i="1" s="1"/>
  <c r="C132" i="1"/>
  <c r="C122" i="1" a="1"/>
  <c r="C122" i="1" s="1"/>
  <c r="C138" i="1" a="1"/>
  <c r="C138" i="1" s="1"/>
  <c r="C6" i="16"/>
  <c r="Q15" i="22"/>
  <c r="Q21" i="22" s="1"/>
  <c r="Q38" i="22"/>
  <c r="L22" i="9" l="1"/>
  <c r="C126" i="1" a="1"/>
  <c r="C126" i="1" s="1"/>
  <c r="C22" i="11"/>
  <c r="E17" i="19" l="1"/>
  <c r="J10" i="19" s="1"/>
  <c r="C130" i="14"/>
  <c r="E146" i="19"/>
  <c r="B151" i="19" s="1"/>
  <c r="C11" i="20"/>
  <c r="F17" i="19"/>
  <c r="C99" i="1" a="1"/>
  <c r="C99" i="1" s="1"/>
  <c r="C139" i="1" a="1"/>
  <c r="C139" i="1" s="1"/>
  <c r="C5" i="16"/>
  <c r="D78" i="16"/>
  <c r="C78" i="16"/>
  <c r="G78" i="16"/>
  <c r="F78" i="16"/>
  <c r="E78" i="16"/>
  <c r="B50" i="16"/>
  <c r="C24" i="6" a="1"/>
  <c r="C24" i="6" s="1"/>
  <c r="E11" i="20" s="1"/>
  <c r="C132" i="14" l="1"/>
  <c r="D17" i="19"/>
  <c r="E6" i="20"/>
  <c r="C146" i="1"/>
  <c r="G1" i="16" l="1"/>
  <c r="B63" i="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Ricardo Cidale</author>
  </authors>
  <commentList>
    <comment ref="C28" authorId="0" shapeId="0" xr:uid="{5DFF7B1F-9512-4DBE-840C-881595EFC4A2}">
      <text>
        <r>
          <rPr>
            <b/>
            <sz val="9"/>
            <color indexed="81"/>
            <rFont val="Tahoma"/>
            <family val="2"/>
          </rPr>
          <t>Ricardo Cidale:</t>
        </r>
        <r>
          <rPr>
            <sz val="9"/>
            <color indexed="81"/>
            <rFont val="Tahoma"/>
            <family val="2"/>
          </rPr>
          <t xml:space="preserve">
Source: FRED, Federal Reserve Bank of St. Louis — CPIAUCSL (CPI-U, All Items, U.S. City Average, seasonally adjusted), https://fred.stlouisfed.org/data/CPIAUCSL. Aug 2026 = 334.131 / Aug 2025 = 323.291 → +3.35% year over year. Retrieved 25 Sep 2026.</t>
        </r>
      </text>
    </comment>
    <comment ref="H80" authorId="0" shapeId="0" xr:uid="{CF45FB17-2113-4219-A2BA-DEAD0F123244}">
      <text>
        <r>
          <rPr>
            <b/>
            <sz val="9"/>
            <color indexed="81"/>
            <rFont val="Tahoma"/>
            <family val="2"/>
          </rPr>
          <t>Ricardo Cidale:</t>
        </r>
        <r>
          <rPr>
            <sz val="9"/>
            <color indexed="81"/>
            <rFont val="Tahoma"/>
            <family val="2"/>
          </rPr>
          <t xml:space="preserve">
Raised from 40% to 50% (18 Sep 2026 ruling). This is the 489 m2 penthouse - the largest El Poblado unit and the hardest to let, so it carries more vacancy risk than the 325-389 m2 apartments, which stay at 40%. 50% vacancy = 50% occupancy, in line with market-wide Medellin short-stay readings. Sources: AirDNA Medellin market (24,714 listings, Aug 2026) 55% occupancy, https://www.airdna.co/vacation-rental-data/app/co/default/medellin/supply; AirROI Medellin (12,713 listings, 2026) 43.3% occupancy, https://www.airroi.com/data-portal/markets/medelln-colombia; TheLatinvestor (Jan 2026) market-wide 47%-55% occupancy, https://thelatinvestor.com/blogs/news/medellin-buy-rent-apartment. Aggregator data; no official series.</t>
        </r>
      </text>
    </comment>
    <comment ref="C168" authorId="0" shapeId="0" xr:uid="{76F5DDE7-893F-44BD-BA73-C24C8D7560C7}">
      <text>
        <r>
          <rPr>
            <b/>
            <sz val="9"/>
            <color indexed="81"/>
            <rFont val="Tahoma"/>
            <family val="2"/>
          </rPr>
          <t>Ricardo Cidale:</t>
        </r>
        <r>
          <rPr>
            <sz val="9"/>
            <color indexed="81"/>
            <rFont val="Tahoma"/>
            <family val="2"/>
          </rPr>
          <t xml:space="preserve">
Revised 18 Sep 2026. The previous 28%-40% band could not be confirmed against any 2026 source. Rebuilt from: market-wide Medellin short-stay occupancy of 43%-63% (= 37%-57% vacancy) across AirDNA (55%), AirROI (43.3%), Airbtics (63%) and TheLatinvestor (47%-55%); and top-performing units reaching 85%+ occupancy (= 15% vacancy) per TheLatinvestor. Professionally managed prime product should beat the market average without reaching the top decile, hence 35%-50%. Sources: https://www.airdna.co/vacation-rental-data/app/co/default/medellin/supply, https://www.airroi.com/data-portal/markets/medelln-colombia, https://airbtics.com/annual-airbnb-revenue-in-medellin-columbia, https://thelatinvestor.com/blogs/news/medellin-buy-rent-apartment. All aggregator or operator data.</t>
        </r>
      </text>
    </comment>
    <comment ref="C170" authorId="0" shapeId="0" xr:uid="{192E7064-82BC-4C00-8724-7A593ACCA19E}">
      <text>
        <r>
          <rPr>
            <b/>
            <sz val="9"/>
            <color indexed="81"/>
            <rFont val="Tahoma"/>
            <family val="2"/>
          </rPr>
          <t>Ricardo Cidale:</t>
        </r>
        <r>
          <rPr>
            <sz val="9"/>
            <color indexed="81"/>
            <rFont val="Tahoma"/>
            <family val="2"/>
          </rPr>
          <t xml:space="preserve">
Ceiling on implied monthly asking rent, applied on Properties column Z. Set at the top of the published range for fully furnished 30-day-minimum luxury and penthouse product in El Poblado. Source: Casacol Luxury &amp; Penthouse Collection, https://en.casacol.co/medellin-penthouse-rentals/ — lofts through 4-5 bedroom penthouses quoted at $2,500-$7,500 per month, 30-day minimum stay. Cross-checks: TheLatinvestor (Jan 2026), high-end furnished El Poblado COP 5.0-8.0M/month = $1,350-$2,160, https://thelatinvestor.com/blogs/news/medellin-rental-yields-apartment; TheLatinvestor (Jul 2026), ~80% of Medellin listings bill $1,500-$4,500/month, https://thelatinvestor.com/blogs/news/medellin-airbnb. Rationale: a flat $/m2 rate is linear in size, but large-format luxury is not - the tenant pool able to pay above $7,500/month in Medellin is very thin, so the uncapped rate produced asking rents of $9,100-$16,548 against a market ceiling of $7,500. All sources are operator or aggregator data; no official series publishes furnished mid-term rents by neighbourhood.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Ricardo Cidale</author>
  </authors>
  <commentList>
    <comment ref="L5" authorId="0" shapeId="0" xr:uid="{65F9CEEF-F796-476A-ADF2-4CBC6E6A3AFC}">
      <text>
        <r>
          <rPr>
            <b/>
            <sz val="9"/>
            <color indexed="81"/>
            <rFont val="Tahoma"/>
            <family val="2"/>
          </rPr>
          <t>Ricardo Cidale:</t>
        </r>
        <r>
          <rPr>
            <sz val="9"/>
            <color indexed="81"/>
            <rFont val="Tahoma"/>
            <family val="2"/>
          </rPr>
          <t xml:space="preserve">
Per Ricardo 25 Sep 2026: the transformation / improvement budget includes FF&amp;E (furniture, fixtures &amp; equipment), so units are STR-ready fully equipped. No separate FF&amp;E line in the model.</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<sst xmlns="http://schemas.openxmlformats.org/spreadsheetml/2006/main" count="2124" uniqueCount="1619">
  <si>
    <t>General &amp; FX</t>
  </si>
  <si>
    <t>USD/COP exchange rate (TRM)</t>
  </si>
  <si>
    <t>Applied TRM per Dulcinea portfolio overview, 8/26/26</t>
  </si>
  <si>
    <t>Revenue &amp; Exit</t>
  </si>
  <si>
    <t>Exit cap rate</t>
  </si>
  <si>
    <t>Linear ramp after renovation completes</t>
  </si>
  <si>
    <t>Acquisition &amp; Selling Costs</t>
  </si>
  <si>
    <t>Notary share, registration tax and registry rights; market range 1.5%–3.5% of deed value</t>
  </si>
  <si>
    <t>Selling costs (% of sale price)</t>
  </si>
  <si>
    <t>Broker commission (3%–5% market) plus seller notary share; 1% retención is a credit against capital gains tax, not an added cost</t>
  </si>
  <si>
    <t>Financial transactions tax on bank debits</t>
  </si>
  <si>
    <t>Taxes</t>
  </si>
  <si>
    <t>ServCo — Fees Charged to Dulcinea</t>
  </si>
  <si>
    <t>Asset management fee (% of basis owned, annual)</t>
  </si>
  <si>
    <t>Dulcinea Overhead</t>
  </si>
  <si>
    <t>Dulcinea legal, accounting &amp; admin (USD / year)</t>
  </si>
  <si>
    <t>Capital</t>
  </si>
  <si>
    <t>Total capital raise (USD)</t>
  </si>
  <si>
    <t>References</t>
  </si>
  <si>
    <t>1. Property data: Dulcinea portfolio overview and status, 8/26/26 (internal document)</t>
  </si>
  <si>
    <t>2. Casa Montana works detail: Valores Aprox Obras Adicionales — Casa Montana Lote 02 (architect estimate, COP 1,318.6M)</t>
  </si>
  <si>
    <t>3. Capital gains 15% ≥ 2-yr hold (Ley 2277 de 2022): nexo.legal/capital-gains-tax-colombia-2026-foreigners-selling-property</t>
  </si>
  <si>
    <t>4. Buyer closing costs 1.5%–3.5%: jericocolombiarealestate.com — hidden costs of buying real estate in Colombia</t>
  </si>
  <si>
    <t>5. Broker commission 3%–5%, notary tariffs: thelatinvestor.com — Medellín property taxes and fees 2026</t>
  </si>
  <si>
    <t>6. ICA 0.2%–1.0% and 35% ordinary rate under 2-yr holds: globalpropertyguide.com — Colombia taxes and costs</t>
  </si>
  <si>
    <t>Dulcinea Portfolio — Property Underwriting</t>
  </si>
  <si>
    <t>#</t>
  </si>
  <si>
    <t>Property</t>
  </si>
  <si>
    <t>Location</t>
  </si>
  <si>
    <t>Status</t>
  </si>
  <si>
    <t>Size (m²)</t>
  </si>
  <si>
    <t>Size (sq ft)</t>
  </si>
  <si>
    <t>Closing Costs (USD)</t>
  </si>
  <si>
    <t>Exit Value (USD)</t>
  </si>
  <si>
    <t>Stabilized NOI (USD/yr)</t>
  </si>
  <si>
    <t>Selling Costs (USD)</t>
  </si>
  <si>
    <t>Net Sale Proceeds (USD)</t>
  </si>
  <si>
    <t>Gain on Sale (USD)</t>
  </si>
  <si>
    <t>Capital Gains Tax (USD)</t>
  </si>
  <si>
    <t>Net Profit on Sale (USD)</t>
  </si>
  <si>
    <t>All-In $/sq ft</t>
  </si>
  <si>
    <t>Aires de Campestre Apto 801 (Penthouse)</t>
  </si>
  <si>
    <t>El Poblado, Medellín</t>
  </si>
  <si>
    <t>Signed — closing Sep 2026</t>
  </si>
  <si>
    <t>Fontanar Apto 201 (Penthouse)</t>
  </si>
  <si>
    <t>San Lucas Apto 101</t>
  </si>
  <si>
    <t>Negotiated — compraventa drafted</t>
  </si>
  <si>
    <t>Casa Montana Lote 2 (Samuel Gaviria House)</t>
  </si>
  <si>
    <t>El Retiro, Antioquia</t>
  </si>
  <si>
    <t>Negotiated — works being budgeted</t>
  </si>
  <si>
    <t>Casa Monte Sereno</t>
  </si>
  <si>
    <t>Negotiated — finalizing modifications</t>
  </si>
  <si>
    <t>Model year</t>
  </si>
  <si>
    <t>Acquisition Outflow (Purchase + Closing)</t>
  </si>
  <si>
    <t>Total acquisitions</t>
  </si>
  <si>
    <t>Renovation Capex</t>
  </si>
  <si>
    <t>Total capex</t>
  </si>
  <si>
    <t>Total rental revenue</t>
  </si>
  <si>
    <t>Owned All-In Basis</t>
  </si>
  <si>
    <t>Total owned basis</t>
  </si>
  <si>
    <t>Owned properties (count)</t>
  </si>
  <si>
    <t>Gross Sale Value</t>
  </si>
  <si>
    <t>Total sale value</t>
  </si>
  <si>
    <t>Cost Basis Released on Sale</t>
  </si>
  <si>
    <t>Total basis released</t>
  </si>
  <si>
    <t>Period</t>
  </si>
  <si>
    <t>Revenue</t>
  </si>
  <si>
    <t>Rental revenue</t>
  </si>
  <si>
    <t>Property sales (gross)</t>
  </si>
  <si>
    <t>Total revenue</t>
  </si>
  <si>
    <t>Cost basis of properties sold</t>
  </si>
  <si>
    <t>Gross profit</t>
  </si>
  <si>
    <t>Insurance</t>
  </si>
  <si>
    <t>HOA / administración</t>
  </si>
  <si>
    <t>ServCo — asset management fee</t>
  </si>
  <si>
    <t>Dulcinea legal, accounting &amp; admin</t>
  </si>
  <si>
    <t>Total operating expenses</t>
  </si>
  <si>
    <t>Total taxes</t>
  </si>
  <si>
    <t>Net Income</t>
  </si>
  <si>
    <t>Asset management fee</t>
  </si>
  <si>
    <t>Property service fees</t>
  </si>
  <si>
    <t>Dulcinea — Sources &amp; Uses of Capital (USD)</t>
  </si>
  <si>
    <t>Sources</t>
  </si>
  <si>
    <t>Total sources</t>
  </si>
  <si>
    <t>Uses</t>
  </si>
  <si>
    <t>Property purchases</t>
  </si>
  <si>
    <t>Closing costs</t>
  </si>
  <si>
    <t>Renovation, design &amp; fit-out works</t>
  </si>
  <si>
    <t>Total uses</t>
  </si>
  <si>
    <t>Property sales, net of selling costs</t>
  </si>
  <si>
    <t>Total cash in</t>
  </si>
  <si>
    <t>Property acquisitions (purchase + closing)</t>
  </si>
  <si>
    <t>Operating expenses</t>
  </si>
  <si>
    <t>Total cash out</t>
  </si>
  <si>
    <t>Cash Flow from Operating Activities</t>
  </si>
  <si>
    <t>Net income</t>
  </si>
  <si>
    <t>Add back: cost basis of properties sold (non-cash)</t>
  </si>
  <si>
    <t>Net Cash from Operating Activities</t>
  </si>
  <si>
    <t>Cash Flow from Investing Activities</t>
  </si>
  <si>
    <t>Renovation &amp; expansion works</t>
  </si>
  <si>
    <t>Net Cash from Investing Activities</t>
  </si>
  <si>
    <t>Cash Flow from Financing Activities</t>
  </si>
  <si>
    <t>Net Cash from Financing Activities</t>
  </si>
  <si>
    <t>Net Change in Cash</t>
  </si>
  <si>
    <t>Beginning cash</t>
  </si>
  <si>
    <t>Ending Cash</t>
  </si>
  <si>
    <t>Period end</t>
  </si>
  <si>
    <t>Assets</t>
  </si>
  <si>
    <t>Cash &amp; equivalents</t>
  </si>
  <si>
    <t>Real estate held for sale (at cost)</t>
  </si>
  <si>
    <t>Total Assets</t>
  </si>
  <si>
    <t>Liabilities</t>
  </si>
  <si>
    <t>Debt and payables</t>
  </si>
  <si>
    <t>Total Liabilities</t>
  </si>
  <si>
    <t>Equity</t>
  </si>
  <si>
    <t>Retained earnings</t>
  </si>
  <si>
    <t>Total Equity</t>
  </si>
  <si>
    <t>Balance Check (Assets − Liabilities − Equity)</t>
  </si>
  <si>
    <t>Dulcinea — Investor Return Performance (USD)</t>
  </si>
  <si>
    <t>Final liquidation distribution</t>
  </si>
  <si>
    <t>Cumulative investor cash flow</t>
  </si>
  <si>
    <t>Return Metrics</t>
  </si>
  <si>
    <t>Total capital invested</t>
  </si>
  <si>
    <t>MOIC</t>
  </si>
  <si>
    <t>Payback (model year)</t>
  </si>
  <si>
    <t>DULCINEA MODEL — HANDOFF LOG</t>
  </si>
  <si>
    <t>Internal working notes. Newest entry on top.</t>
  </si>
  <si>
    <t>ENTRY 1 — Initial build (full model + 3-statement layer + investor returns)</t>
  </si>
  <si>
    <t>SOURCES: Dulcinea portfolio overview and status 8/26/26 (docx); VALORES APROX OBRAS ADICIONALES - CASA MONTANA LOTE 02 (pdf, COP 1,318.6M works detail). TRM 3,090 per the doc.</t>
  </si>
  <si>
    <t>TAB MAP: Project Data (all inputs, indigo #3F51B5, B1:D56 — every calc in the workbook references this tab; References section rows 50-56) | Properties (underwriting: 5 named deals rows 6-10, 3 pipeline placeholders rows 11-13, totals row 14, back-up list rows 16-20) | P&amp;L (Dulcinea entity) | ServCo P&amp;L (entity; fees from Dulcinea) | Income Statement / Balance Sheet / Cash Flow Statement (CONSOLIDATED Dulcinea+ServCo, intercompany fees eliminated) | Investor Returns (IRR/MOIC) | Sources &amp; Uses | Cash Flow (Dulcinea direct cash, legacy of first build) | _Qtr Engine (24-quarter engine, support-only, rows: acq 8-16, capex 19-27, rent 30-38, owned basis 41-49, owned count 50, sales 53-61, basis released 63-71).</t>
  </si>
  <si>
    <t>KEY MECHANICS: Exit value = all-in basis x (1 + renovation uplift, C11=35%). Rental NOI = exit value x cap rate (C10=5.8%); gross rent grossed up from NOI for opex/ICA/prop-mgmt; occupancy (C12) only converts effective rent to implied asking rent memo. Holds &gt;= 8 quarters so every sale taxes at 15% ganancia ocasional (C29); rental ops taxed 35% (C28). ServCo runs a deficit every year (~$1.53M cumulative) — funded explicitly in Sources &amp; Uses; raise set to $13M (C46) to cover it.</t>
  </si>
  <si>
    <t>STATEMENTS DISCIPLINE: statements accumulate cash (no distributions). Investor Returns models the distribution stream separately: after-tax net sale proceeds as realized (Y3-Y5) + final liquidation of remaining consolidated cash end of Y6. Metrics as built: MOIC 1.07x, IRR 2.3%, payback Y5.</t>
  </si>
  <si>
    <t>VERIFIED 8/27/26: BS balances all 6 years; CFS ending cash = BS cash; IS NI ties to CFS; RE roll-forward ties ($931k cum NI); engine totals tie to Properties (acq $7.46M, works $3.06M, exits $14.21M, basis $10.52M, CG tax $471,502); zero formula errors workbook-wide; orphan-value audit clean (cleared 0.02 debris from Project Data E1:AB56).</t>
  </si>
  <si>
    <t>OPEN ITEMS: (1) IRR 2.3% is thin — levers: uplift %, ServCo cost load ($360k/yr fixed), idle cash ~$5.5M in Y1-Y2 (staged capital calls or more deals). (2) San Lucas size 325 m2 to be confirmed. (3) Monte Sereno works budget pending owner quotes; Samuel Gaviria lot size unknown. (4) Placeholder deals A/B/C use average metrics (COP 2,800M purchase / 1,200M works). (5) Distribution policy is an assumption — revisit before investor materials. (6) Legacy Cash Flow tab overlaps with CFS; consider retiring it.</t>
  </si>
  <si>
    <t>Sized for acquisitions + works + closing + reserve; ServCo is compensated via fees within Dulcinea opex, not funded by the raise</t>
  </si>
  <si>
    <t>Memo</t>
  </si>
  <si>
    <t>Dulcinea operating costs — Year 1 runway (incl. ServCo fees)</t>
  </si>
  <si>
    <t>ENTRY 2 — ServCo deconsolidated (per Ricardo): ServCo has other businesses; its fees are a TRUE third-party cost to Dulcinea.</t>
  </si>
  <si>
    <t>CHANGES: Income Statement reworked to Dulcinea STANDALONE — ServCo fee lines itemized (asset mgmt / property mgmt / service fees, rows 22-24), ties 1:1 to P&amp;L net income. 'ServCo P&amp;L' tab renamed 'ServCo Charges' — tracks only fees charged to Dulcinea + memo ratios (% of avg basis owned, % of rental revenue); ServCo's own cost structure removed from the model (unknowable, other businesses). Old ServCo cost inputs on Project Data rows 37-40 are now UNUSED by any formula — left in place, remove or repurpose later.</t>
  </si>
  <si>
    <t>SOURCES &amp; USES: ServCo deficit funding line removed; replaced with Dulcinea Year-1 operating runway ($349k). Raise reset to $12M (C46) — no longer needs to fund ServCo.</t>
  </si>
  <si>
    <t>RESULTING METRICS: cumulative net income $2.46M; ending cash Y6 $14.46M; Investor Returns now MOIC 1.21x, IRR 6.2%, payback Y5.</t>
  </si>
  <si>
    <t>VERIFIED: IS = P&amp;L net income all years; BS balances all 6 years; S&amp;U balances at $12M (unallocated $527k); zero formula errors workbook-wide.</t>
  </si>
  <si>
    <t>— — —</t>
  </si>
  <si>
    <t>Holding Costs — Global Rates</t>
  </si>
  <si>
    <t>Insurance — all-risk (%/yr of all-in basis)</t>
  </si>
  <si>
    <t>Maintenance reserve (%/yr of all-in basis)</t>
  </si>
  <si>
    <t>Preventive upkeep on renovated luxury product</t>
  </si>
  <si>
    <t>Per-Property Operating Cost Inputs</t>
  </si>
  <si>
    <t>Predial (%/yr of basis)</t>
  </si>
  <si>
    <t>Administración / HOA (COP M per month)</t>
  </si>
  <si>
    <t>Utilities (COP M per month)</t>
  </si>
  <si>
    <t>Role</t>
  </si>
  <si>
    <t>Base comp</t>
  </si>
  <si>
    <t>Currency (USD/yr or COP M/mo)</t>
  </si>
  <si>
    <t>Payroll load</t>
  </si>
  <si>
    <t>% to Dulcinea</t>
  </si>
  <si>
    <t>US</t>
  </si>
  <si>
    <t>USD</t>
  </si>
  <si>
    <t>Country Manager (Gerente General)</t>
  </si>
  <si>
    <t>Medellín</t>
  </si>
  <si>
    <t>COP</t>
  </si>
  <si>
    <t>Asset &amp; Renovation Manager</t>
  </si>
  <si>
    <t>Guest Operations Manager</t>
  </si>
  <si>
    <t>Controller</t>
  </si>
  <si>
    <t>7. Predial benchmarks: TheLatinvestor — Medellín property taxes (0.2%–0.6% of market price/yr) + El Poblado estrato-6 listings (Primavera Realty), 2026. thelatinvestor.com/blogs/news/medellin-property-taxes-fees</t>
  </si>
  <si>
    <t>8. Administración &amp; utilities: Colombia Move — Medellín rent guide 2026 (premium El Poblado towers COP 600k–2M+/mo administración; utilities COP 350k–600k/mo) + TheLatinvestor 2026. colombiamove.com/blog/average-rent-medellin-neighborhood-prices</t>
  </si>
  <si>
    <t>Dulcinea — Property Detail: Income &amp; Expenses by Property (USD)</t>
  </si>
  <si>
    <t>Gross rental revenue</t>
  </si>
  <si>
    <t>Administración / HOA</t>
  </si>
  <si>
    <t>Utilities</t>
  </si>
  <si>
    <t>Maintenance reserve</t>
  </si>
  <si>
    <t>Housekeeping &amp; turnover (ServCo, at cost)</t>
  </si>
  <si>
    <t>Net operating income (NOI)</t>
  </si>
  <si>
    <t>Acquisition + renovation spend (memo)</t>
  </si>
  <si>
    <t>Portfolio Totals</t>
  </si>
  <si>
    <t>Office, tools &amp; administration</t>
  </si>
  <si>
    <t>ENTRY 3 — Detail expansion (per Ricardo): per-property income/expense detail, researched Colombia/US costs, ServCo team detail, collapsible groups.</t>
  </si>
  <si>
    <t>NEW TAB 'Property Detail' (pos 3): 8 blocks × 14 lines (rent, predial, insurance, HOA, utilities, maintenance, housekeeping, ICA, PM fee, service fee, total opex, NOI, acq+reno memo, net sale memo), each block collapsible via row groups; Portfolio Totals block rows 136-150. Blocks pitch 16 rows from row 7; formulas INDEX into engine rows by property # in col A.</t>
  </si>
  <si>
    <t>PROJECT DATA: global rates remapped rows 19-24 (ins 0.15%, maint 0.5%, housekeeping 8% of rent, ICA 0.7%, GMF 0.4%); per-property cost table rows 63-72 (predial %, HOA COP M/mo, utilities COP M/mo — researched: predial 0.45% Poblado/0.60% Retiro; HOA COP 1.8-2.5M/mo; utils COP 0.9-1.5M/mo); ServCo roster rows 75-85 (US: Managing Partner $200k×25%, IR $150k×20%; Medellín: Country Mgr COP 25M/mo×60%, Asset&amp;Reno 15M×100%, GuestOps 9M×100%, Controller 10M×50%; payroll loads 1.15 US/1.45 CO; slice team cost $340k/yr). References extended (rows 57-60).</t>
  </si>
  <si>
    <t>ENGINE: owned-flag section added rows 73-81. Properties col U (stabilized gross rent) rebuilt to gross up NOI + itemized fixed opex over (1−ICA−PM−housekeeping).</t>
  </si>
  <si>
    <t>STATEMENTS: P&amp;L + Income Statement gained 2 rows (maintenance 21, housekeeping 22) — opex now 12 lines linked to Property Detail totals; NI row moved to 38. 'ServCo Charges' tab renamed 'ServCo Financials': full slice IS (4 revenue lines, 9 cost lines incl role-by-role team) + Cash Flow + Balance Sheet; deficits funded by ServCo parent line, balance check 0 all years.</t>
  </si>
  <si>
    <t>RESULTS: Dulcinea NI −319k/+72k/+982k/+1,279k/+660k/−50k; ending cash $14.62M; Investor MOIC 1.22x, IRR 6.5%, payback Y5. ServCo slice runs −$300-400k/yr deficits (parent-funded) — fee schedule may need raising if slice must break even.</t>
  </si>
  <si>
    <t>VERIFIED: IS=P&amp;L all years; BS + ServCo BS checks 0; cash ties; S&amp;U balances ($534k unallocated); zero formula errors workbook-wide.</t>
  </si>
  <si>
    <t>Purchase Price (COP millions)</t>
  </si>
  <si>
    <t>Purchase Price (USD)</t>
  </si>
  <si>
    <t>Total Investment — All-In Basis (USD)</t>
  </si>
  <si>
    <t>Hold Period (years)</t>
  </si>
  <si>
    <t>Glossary of Terms</t>
  </si>
  <si>
    <t>Deal &amp; Property Terms</t>
  </si>
  <si>
    <t>All-In Basis</t>
  </si>
  <si>
    <t>Total cash invested in a property: purchase price + buyer closing costs + renovation budget. This is the cost basis used for gains, returns, and the balance sheet.</t>
  </si>
  <si>
    <t>Exit Cap Rate</t>
  </si>
  <si>
    <t>Exit Value</t>
  </si>
  <si>
    <t>Closing Costs (buyer)</t>
  </si>
  <si>
    <t>Selling Costs</t>
  </si>
  <si>
    <t>Rental &amp; Operating Terms</t>
  </si>
  <si>
    <t>Stabilized Gross Rent</t>
  </si>
  <si>
    <t>Stabilized NOI</t>
  </si>
  <si>
    <t>Stabilized Occupancy</t>
  </si>
  <si>
    <t>Implied Monthly Asking Rent</t>
  </si>
  <si>
    <t>Stabilized gross rent ÷ 12 ÷ stabilized occupancy — the monthly rate the property must command while occupied to achieve the plan.</t>
  </si>
  <si>
    <t>Rental Ramp-Up</t>
  </si>
  <si>
    <t>Maintenance Reserve</t>
  </si>
  <si>
    <t>Housekeeping &amp; Turnover</t>
  </si>
  <si>
    <t>Colombian Taxes &amp; Costs</t>
  </si>
  <si>
    <t>ServCo</t>
  </si>
  <si>
    <t>The related-party services company employing the executive and operating team. It charges Dulcinea arm's-length fees — a true cost to Dulcinea. Only its Dulcinea-dedicated slice appears in this workbook; its other businesses are excluded, and slice deficits are funded by ServCo's parent, never by Dulcinea or the raise.</t>
  </si>
  <si>
    <t>Asset Management Fee</t>
  </si>
  <si>
    <t>Property Service Fee</t>
  </si>
  <si>
    <t>Payroll Load</t>
  </si>
  <si>
    <t>Multiplier converting base salary into full employer cost (benefits, payroll taxes, prestaciones sociales): 1.15 for US roles, 1.45 for Colombian roles.</t>
  </si>
  <si>
    <t>Capital &amp; Returns</t>
  </si>
  <si>
    <t>Contributed Capital</t>
  </si>
  <si>
    <t>Real Estate Held for Sale</t>
  </si>
  <si>
    <t>Properties carried on the balance sheet at cost (purchase + closing + renovation spend to date) until sold. As trading inventory, no depreciation is taken.</t>
  </si>
  <si>
    <t>Multiple on Invested Capital: total distributions ÷ capital invested. A MOIC of 1.20x returns $1.20 per $1.00 invested.</t>
  </si>
  <si>
    <t>IRR</t>
  </si>
  <si>
    <t>Payback</t>
  </si>
  <si>
    <t>The model year in which cumulative distributions first cover the capital invested.</t>
  </si>
  <si>
    <t>Distributions</t>
  </si>
  <si>
    <t>ENTRY 4 — Added 'Glossary' tab (before _Qtr Engine): ~30 terms in 5 sections; definitions quoting model rates are TEXT() formulas against Project Data so they update with inputs. Renamed cryptic Properties headers (Acq Qtr → Quarter Purchased (model qtr #), Reno Qtrs → Renovation Length (quarters), etc.), header row height 58.</t>
  </si>
  <si>
    <t>ENTRY 5 — Workbook-wide column-width audit: statement family normalized (labels 310 / year cols 118); Project Data B autofit-capped 340, C 104, D 480 wrapped; Properties B 230 / C 135 / D 165 / data 108; Property Detail 330/112; Glossary 225/640; Engine 215/88; _Handoff 130/700. Input-table header rows on Project Data (64, 76) now wrap at 42pt height. Overflow scan: zero #### cells workbook-wide.</t>
  </si>
  <si>
    <t>Acquisition fee (% of purchase price)</t>
  </si>
  <si>
    <t>Industry standard 1–2% of purchase price for sourcing, diligence, and closing</t>
  </si>
  <si>
    <t>Renovation management fee (% of works)</t>
  </si>
  <si>
    <t>Development/construction-management standard 3–5% of project cost</t>
  </si>
  <si>
    <t>Disposition fee (% of gross sale price)</t>
  </si>
  <si>
    <t>Industry standard 0.5–1% of sale price for marketing and closing the exit</t>
  </si>
  <si>
    <t>Fee Schedule — Industry Standards</t>
  </si>
  <si>
    <t>Service</t>
  </si>
  <si>
    <t>Industry range</t>
  </si>
  <si>
    <t>Rate applied</t>
  </si>
  <si>
    <t>Charged on</t>
  </si>
  <si>
    <t>Acquisition fee</t>
  </si>
  <si>
    <t>Purchase price, at closing</t>
  </si>
  <si>
    <t>Renovation management</t>
  </si>
  <si>
    <t>Renovation spend, as incurred</t>
  </si>
  <si>
    <t>Asset management</t>
  </si>
  <si>
    <t>All-in basis owned, annually</t>
  </si>
  <si>
    <t>Disposition fee</t>
  </si>
  <si>
    <t>Gross sale price, at closing</t>
  </si>
  <si>
    <t>Renovation management fee</t>
  </si>
  <si>
    <t>Allocated team cost</t>
  </si>
  <si>
    <t>Total charges as % of avg portfolio basis owned</t>
  </si>
  <si>
    <t>Total charges as % of rental revenue</t>
  </si>
  <si>
    <t>ENTRY 6 — ServCo reframed as an Ashoka unit. 'ServCo Financials' rebuilt as a single fee-justification financial: (1) Fee Schedule vs industry standards (acq 1% of purchase [std 1-2%], reno mgmt 5% of works [std 3-5%], AM 1.5%/yr [std 1-2% of equity], PM 15% of rent [furnished short-stay std 15-25%], service $1,500/prop/mo, dispo 0.5% of sale [std 0.5-1%], housekeeping at cost); (2) Justifiable charges by year (peak Y3 $549k; program total $1.61M; incremental vs current model $130k Y1 declining); (3) Exec time-based allocation table — fully-loaded team $735k/yr, charged to Dulcinea $322k/yr, Ashoka bears $413k/yr (MP 25%, IR 20%, Country Mgr 60%, A&amp;R 85%, GuestOps 90%, Controller 50% — A&amp;R/GuestOps cut from 100% per Ricardo); (4) Service P&amp;L slice: margin negative every year (best Y3 −1.9%) — fees don't carry the fixed team through wind-down years.</t>
  </si>
  <si>
    <t>NEW PROJECT DATA INPUTS rows 87-89: acquisition fee 1.0%, renovation mgmt fee 5.0%, disposition fee 0.5% (benchmark sources ref row 61). G80→85%, G81→90%. NOTE: the new fees are NOT yet charged into Dulcinea's P&amp;L — Ricardo to decide adoption; if adopted, add lines to P&amp;L/IS and Property Detail and expect Dulcinea returns to drop (~$1.0M more fees over program).</t>
  </si>
  <si>
    <t>DULCINEA</t>
  </si>
  <si>
    <t>Portfolio Investment Model — Medellín &amp; El Retiro, Colombia</t>
  </si>
  <si>
    <t>Color Coding</t>
  </si>
  <si>
    <t>Zeros display as “–”; negatives in (parentheses); all amounts USD unless marked COP</t>
  </si>
  <si>
    <t>Workbook Guide</t>
  </si>
  <si>
    <t>ServCo Financials</t>
  </si>
  <si>
    <t>Confidential</t>
  </si>
  <si>
    <t>Prepared for internal use and qualified investors. Contains proprietary assumptions and negotiated pricing. Do not distribute without authorization.</t>
  </si>
  <si>
    <t>Model Checks</t>
  </si>
  <si>
    <t>Balance Sheet balances (Assets = Liabilities + Equity, all years)</t>
  </si>
  <si>
    <t>Cash ties (Balance Sheet cash = Cash Flow Statement ending cash)</t>
  </si>
  <si>
    <t>All properties fully released at sale (engine basis = underwriting basis)</t>
  </si>
  <si>
    <t>Master check</t>
  </si>
  <si>
    <t>ENTRY 7 — Full CFI reformat (per Ricardo: 'CFI practices and standards'). Applied the house CFI standard across all deliverable tabs: Open Sans everywhere (12pt report tabs / 11pt working tabs); navy #132E57 title bands (row 1, 34pt) and column-header bands (year rows); section bars and key-result rows now light blue #D9E5F7 with #3271D2 bold (replaced all #1A237E navy bars); body rows 21.5pt report / 16-18pt working, bars 20pt.</t>
  </si>
  <si>
    <t>COLOR CODING NOW STRICT CFI: inputs recolored indigo #3F51B5 → blue #0000FF (125 cells); cross-sheet link formulas → green #008000 (1,088 cells); same-sheet formulas black. Number formats: 1,524 money cells → _(#,##0_);(#,##0);_("–"_) — no $ signs, zeros as –, negatives in parens, USD declared in titles. NEW: Cover tab (first, gridlines off) with color legend, workbook guide, confidentiality block. NEW: Model Checks block Project Data B92:C100 — 7 checks + master, conditional green OK/red CHECK, all passing. Fixed stale 'Consolidated' P&amp;L title. Engine/_Handoff left plain (internal).</t>
  </si>
  <si>
    <t>Address (click for map)</t>
  </si>
  <si>
    <t>Edificio Aires del Campestre, Apto 801 (Penthouse), Cl. 16C Sur #4270, El Poblado, Medellín</t>
  </si>
  <si>
    <t>Edificio Fontanar, Cra 34 #16A Sur 185, Apto 201 (Penthouse), San Lucas, El Poblado, Medellín</t>
  </si>
  <si>
    <t>Unidad San Lucas, Calle 20 Sur #25B-120, Apto 101, San Lucas, El Poblado, Medellín</t>
  </si>
  <si>
    <t>Parcelación Montana Lote 2, El Retiro, Antioquia (6.089237, −75.465581)</t>
  </si>
  <si>
    <t>Parcelación Monte Sereno, El Retiro, Antioquia</t>
  </si>
  <si>
    <t>The Opportunity</t>
  </si>
  <si>
    <t>Projected gross exit value (USD)</t>
  </si>
  <si>
    <t>Gross gain on property sales (USD)</t>
  </si>
  <si>
    <t>How Returns Are Generated</t>
  </si>
  <si>
    <t>Discipline &amp; Integrity</t>
  </si>
  <si>
    <t>ENTRY 8 — Investment Summary tab added (position 2, after Cover) + Properties Address column. Investment Summary: CFI-styled prose + indicators; ALL model-derived numbers in prose are TEXT() formulas against source cells (tax rates, portfolio totals, cap rate/uplift, revenue/NI sums, raise, MOIC/IRR/payback, master-check status) — nothing typed. Indicators C10:C18 are green cross-sheet links (raise, all-in M14, exit T14, gain Z14, IR metrics, avg hold). Properties: new col D 'Address (click for map)' with live hyperlinks to the doc's share.google/Waze links; all downstream refs auto-shifted (cols E+ moved right one: all-in now M, exit T, gain Z, CG tax AA, net profit AB, $/sqft AC); checks still ALL PASS.</t>
  </si>
  <si>
    <t>Rental revenue received</t>
  </si>
  <si>
    <t>Acquisitions and renovation capex</t>
  </si>
  <si>
    <t>Net cash flow — memo check vs. Net Change in Cash</t>
  </si>
  <si>
    <t>ENTRY 9 — Tab consolidation (per Ricardo): legacy 'Cash Flow' summary tab DELETED; its direct-method view now lives inside Cash Flow Statement as a collapsible 'Direct-Method Memo' section (rows 48-57, with tie-out check vs Net Change = 0). Cash Flow Statement gained collapsible per-property detail: basis released (rows 8-15), acquisitions (20-27), renovation capex (29-36) — all grouped and collapsed by default; totals are sums of detail. Ending Cash moved to row 46; BS link and model checks auto-shifted, all still pass. No formulas referenced the legacy tab (scanned).</t>
  </si>
  <si>
    <t>DELETION LOG — legacy 'Cash Flow' tab content (Y1-Y6): Dulcinea — Cash Flow Summary (USD):  /  /  /  /  /  | Annual portfolio cash position. Foundation for the IRR and investor-return analysis to follow.:  /  /  /  /  /  | Model year: 1 / 2 / 3 / 4 / 5 / 6 | Period: Oct-26 – Sep-27 / Oct-27 – Sep-28 / Oct-28 – Sep-29 / Oct-29 – Sep-30 / Oct-30 – Sep-31 / Oct-31 – Sep-32 | Cash In:  /  /  /  /  /  | Capital raised: 12000000 / 0 / 0 / 0 / 0 / 0 | Rental revenue: 23870 / 788152 / 1005312 / 460466 / 96940 / 0 | Property sales, net of selling costs: 0 / 0 / 4164929 / 6080669 / 3421171 / 0 | Total cash in: 12023870 / 788152 / 5170241 / 6541135 / 3518111 / 0 | Cash Out:  /  /  /  /  /  | Property acquisitions (purchase + closing): 4675526 / 1857605 / 928803 / 0 / 0 / 0 | Renovation capex: 1686084 / 792880 / 582524 / 0 / 0 / 0 | Operating expenses: 342987 / 678047 / 746729 / 321800 / 105673 / 50200 | Taxes: 0 / 38537 / 234194 / 258315 / 118030 / 0</t>
  </si>
  <si>
    <t>OPEN: P&amp;L vs Income Statement are 1:1 duplicates by design (P&amp;L = working statement feeding IS). Awaiting Ricardo's call on merging them into a single Income Statement.</t>
  </si>
  <si>
    <t>Ending cash (USD)</t>
  </si>
  <si>
    <t>Cumulative (USD)</t>
  </si>
  <si>
    <t>All-in cost</t>
  </si>
  <si>
    <t>Exit value</t>
  </si>
  <si>
    <t>ENTRY 10 — Investment Summary dashboard + Cover fix. Dashboard section added below indicators (bar row 27): 4 CFI-styled charts — Net Income by Year (column), Ending Cash by Year (area), Investor Cash Flows w/ cumulative (column, axis labels low), All-In vs Exit by Property (bar) — positioned B30:G50; chart source data in grouped/collapsed rows 52-71 with plotVisibleOnly=false so charts survive the collapse; two dynamic commentary lines (rows 28 and 51) built as TEXT() formulas (peak NI year via MATCH, cash trough via MIN, uplift %, payback year). Cover: guide descriptions C13:E20 merged+wrapped (text was clipping at column C edge because wrap was on a single cell), B4/B10/B23 merged across ribbon width.</t>
  </si>
  <si>
    <t>ENTRY 11 — Dashboard de-crowded (per Ricardo): one full-width chart per section on Investment Summary. All-In vs Exit by Property under The Opportunity (rows 8-17), Investor Cash Flows under Key Indicators (25-34), Net Income by Year under How Returns (39-48), Ending Cash under Discipline (52-61); each chart has its own dynamic TEXT() commentary line beneath. Old 2×2 dashboard block deleted. GOTCHA fixed: property chart data rows used ROW()-offset formulas that broke when rows shifted — rewritten with literal INDEX positions (rows 75-82). Chart data group now rows 63-82, collapsed; charts plotVisibleOnly=false. Key Indicators remain two-column (B/C money, E/F returns). Zero errors; master check ALL PASS.</t>
  </si>
  <si>
    <t>ENTRY 12 — Stray-value cleanup #2: another uniform block of hardcoded 0.02 found on Project Data I57:AB96 (800 cells) — second occurrence of identical debris (first was E1:AB56, cleared earlier today). Nothing in the model writes to or reads from those columns; both blocks appeared between assistant edit sessions. Likely source is client-side (accidental fill/paste with a large selection, or another add-in). Cleared I1:AB200 (contents + formats). Full out-of-footprint audit of all 15 tabs: zero other stray values. Master check ALL PASS. WATCH: if a third 0.02 block appears, investigate the client-side source.</t>
  </si>
  <si>
    <t>Dulcinea — Balance Sheet (USD)</t>
  </si>
  <si>
    <t>ENTRY 13 — Blank-row cleanup: removed 9 excess blank rows on Project Data (old ServCo-section remnant rows 36-41 + double spacers at 26/74/91) and 1 on Property Detail (before Portfolio Totals). Project Data zones shifted UP: per-property cost table now rows 56-65, ServCo roster 67-77, fee inputs 79-81, Model Checks B83:C91. GOTCHA hit and fixed: the sweep also deleted Properties blank row 4, which broke the engine's literal +5 INDEX row arithmetic (every lookup off by one property, prop-8 rows reading the totals row) — row re-inserted, geometry restored (headers 5, data 6-13, totals 14). Design-standard skill updated with new row refs + a hard rule never to insert/delete rows above the Properties data block. Verified after: engine acq total 7,461,934 exact, master check ALL PASS (now row 91), zero errors workbook-wide.</t>
  </si>
  <si>
    <t>ENTRY 14 — Chart sizing fix: all 4 Investment Summary charts standardized to uniform 230pt × 760pt (were wildly inconsistent, 189-610pt tall, left over from repositioning). Shrunk oversized empty zone rows (9:16, 26:33, 40:47, 53:60 → 16pt) that were padding gaps between section bars and charts. Charts re-anchored 4px below each section bar. Verified via getImage on all 4 — uniform, compact, no overlap.</t>
  </si>
  <si>
    <t>Media (Drive)</t>
  </si>
  <si>
    <t>Photos &amp; videos — Dulcinea LLC folder</t>
  </si>
  <si>
    <t>Photos &amp; videos — Casa Samuel folder</t>
  </si>
  <si>
    <t>Video walkthrough (Drive)</t>
  </si>
  <si>
    <t>ENTRY 15 — Overlap fix on Investment Summary: Entry 14 had shrunk the four chart spacer zones (rows 9:16, 26:33, 40:47, 53:60) to 16pt (~128pt/zone) while charts remained 230pt tall, so every chart overlapped its commentary row, the next section bar, and prose. Zones re-deepened to 29.4pt/row (~235pt/zone) and all 4 charts snapped inside their zones (left 22, width 760, height 230, 3pt top margin). No formula or data changes. Verified: chart geometry read-back within zone bounds, Chart 4 getImage clean, master check ALL CHECKS PASS.</t>
  </si>
  <si>
    <t>ENTRY 16 — Replaced the 3 pipeline placeholders with simulated ICP properties (Ideal Customer Property) per Ricardo. PRIOR VALUES (Properties rows 11-13, all three identical): name 'Additional Property A/B/C (placeholder)', location 'Medellín / Oriente', address 'To be identified', status 'Pipeline', size 400 m², purchase COP 2,800M, reno COP 1,200M, qtr purchased 5/7/9, reno length 4, hold 10. Project Data C63:E65: predial 0.50%, HOA 2.0, utilities 1.0 (all three). NEW: ICP 1/2/3 with differentiated in-range inputs (see Properties rows 11-13); kept last in order — simulated profiles, never featured first. Names propagate by formula to Project Data B63:B65 and Property Detail block headers.</t>
  </si>
  <si>
    <t>Simulated profile — Edificio Mirador de Provenza, Apto 902, Cra 35 #7-40, El Poblado, Medellín</t>
  </si>
  <si>
    <t>Simulated — ICP profile</t>
  </si>
  <si>
    <t>Simulated profile — Edificio Balcones de San Lucas, Apto 1201 (Penthouse), Cl. 18A Sur #29-55, El Poblado, Medellín</t>
  </si>
  <si>
    <t>ICP1</t>
  </si>
  <si>
    <t>ICP2</t>
  </si>
  <si>
    <t>ICP3</t>
  </si>
  <si>
    <t>ENTRY 17 — Audit recolors (cosmetic, no formula/value changes): CF Statement rows 16/28/37 same-sheet subtotals green→black; CF B8:B15 cross-sheet property-name labels black→green; Project Data C84:C85+C89:C90 check formulas black→green (now uniform with C86:C88); Investment Summary A75:A82 chart-data links black→green. Per full-workbook audit; master check ALL CHECKS PASS after.</t>
  </si>
  <si>
    <t>How to Read This Workbook</t>
  </si>
  <si>
    <t>Color-Code Legend</t>
  </si>
  <si>
    <t>Indigo font</t>
  </si>
  <si>
    <t>Black font</t>
  </si>
  <si>
    <t>Formula referencing only cells on the same worksheet.</t>
  </si>
  <si>
    <t>Green font</t>
  </si>
  <si>
    <t>Formula linking to another worksheet in this workbook.</t>
  </si>
  <si>
    <t>Dark gray font</t>
  </si>
  <si>
    <t>Link to an external workbook (none currently in this model).</t>
  </si>
  <si>
    <t>Red font</t>
  </si>
  <si>
    <t>Failed model check, error, or missing required input.</t>
  </si>
  <si>
    <t>ENTRY 18 — RC-CFI 01 Formatting applied (Phase 3/4, approved plan): renamed Investment Summary→Dashboard, Cash Flow Statement→Statement of Cash Flows, Investor Returns→Investor Return, Sources &amp; Uses→The Ask; reordered all 16 tabs to Cover, Dashboard, Project Data, Income Statement, Statement of Cash Flows, Balance Sheet, Investor Return, The Ask, Properties, Property Detail, Casa Montana Works, P&amp;L, ServCo Financials, Glossary, _Qtr Engine, _Handoff. Standardized font to Aptos workbook-wide; raised 118 sub-11pt cells to 11pt floor (1 genuine footnote per tab kept at 10pt, none below 9pt). Recolored palette: navy #132E57→#1B2A4A, section fills #D9E5F7→#E8F0E3 (sage), section/key-row text #3271D2→#5B6F3A (olive), hardcoded inputs #0000FF→#1F4EAD (indigo, 126 cells). Normalized 391 body/column-header rows to 18pt (skipped collapsed groups and wrapped narrative rows). Added Project Data instruction line; appended Glossary How-to-Read + full Color-Code Legend (B50:C59). dulcinea-design-standard updated: RC-CFI 01 now governs style for this workbook; Dulcinea standard retained only for structural rules (Properties row geometry, Model Checks block, statements discipline). Verification: tab order matches target exactly; zero new formula errors (only pre-existing Dashboard!E1 pasted-image artifact); freeze panes intact on Properties/Property Detail/_Qtr Engine; gridlines off on Cover/Dashboard; Dashboard's 4 charts unaffected, re-rendered clean; master check ALL CHECKS PASS throughout every step. NOT changed: chart series colors (still default blue, not yet aligned to navy — flagged for follow-up); Properties deal-column blue inputs left in place as documented exception (not migrated to Project Data, per audit note); Casa Montana Works and _Qtr Engine left with plain internal formatting (exempt).</t>
  </si>
  <si>
    <t>ENTRY 19 — Income Statement: added collapsible per-property revenue detail (Ricardo request). Prior structure: row7 Rental revenue (total), row8 Property sales gross (total), row9 Total Revenue — no per-property breakdown existed. Inserted 16 rows (8:15, then 17:24) grouped via row outline (collapsible, not hidden — matches Property Detail convention). New layout: row7 Rental revenue total, rows8-15 rental-by-property (green, ='Property Detail'!C8/24/40/56/72/88/104/120 — the fixed per-property Gross rental revenue rows), row16 Property sales gross total, rows17-24 sale-by-property (green, =IF(ROUNDUP(Properties!R{6..13}/4,0)=model year,Properties!T{6..13},0) using Quarter Sold + Exit Value), row25 Total Revenue. All rows below shifted +24 (Net Income now row54, was row38). Total-line formulas unchanged — only detail added beneath; verified detail sums equal totals exactly in every year for both blocks (rental and sale). Verified: Income Statement Net Income (row54) still ties exactly to P&amp;L Net Income (row38) all 6 years; Project Data master check ALL CHECKS PASS; rendered image confirms clean layout, correct green cross-sheet coloring, and outline group controls present.</t>
  </si>
  <si>
    <t>ENTRY 20 — Workbook-wide row-height x wrap-text audit (Ricardo request). Scanned every tab for wrapText=true cells with substantial content, then visually verified each candidate via rendered image (not just heuristic length checks — several long-text cells in wide columns, e.g. Glossary col C at 400pt+ and _Handoff col B at 700pt, rendered fine and needed no change). Fixes made: (1) Properties — Status column (E) widened 165→230pt (was clipping 'Negotiated — finalizing modifications' etc.), rows 6:13 bumped to 28.75pt (ICP2's 2-line address was overlapping row 13); (2) Project Data — 21 descriptor rows in column D bumped 18→28.75pt (several 2-line summaries were clipped/overlapping, e.g. 'Renovation value uplift' and 'Selling costs' rows); (3) ServCo Financials — fee-schedule rows 9:16 bumped 21.5→30pt, row 12 individually bumped to 42pt for its 3-line entry (whole table was overlapping row-to-row). No formula or value changes; all fixes were row height / column width only. Verified via rendered images post-fix for every touched tab (Properties, Project Data, ServCo Financials) confirming no remaining clipping or overlap. Project Data master check ALL CHECKS PASS.</t>
  </si>
  <si>
    <t>ENTRY 21 — Manual refinement by Ricardo on Income Statement per-property detail rows (B8:B15 rental, B17:B24 sale, added in Entry 19): indent level increased to 2 (was 1) for clearer visual nesting under the total lines. Row group 8:15 was toggled hidden then unhidden (collapse tested, left expanded) — no persistent change, rows remain visible per the collapsible-groups-never-hidden convention. No formula or value changes. Verified: B8:B15 and B17:B24 formulas intact (=Properties!B6..B13 name links), font green #008000 11pt unchanged, rows 8:15 confirmed rowHidden=false.</t>
  </si>
  <si>
    <t>ENTRY 22 — RC-CFI 01 v3 reformat/refactor (Ricardo request; supersedes the v1-based Entry 18 styling). PALETTE: all sage #E8F0E3 section bands converted to the v3 blue-led system — major section headers now header-blue #1F4E78 with white bold text spanning the FULL data width (fixes the reported defect where ribbons stopped partway across, leaving title bars only partly colored); key-result/subtotal rows now light blue #D9EAF7 with navy #1B2A4A bold. Bands set to 20pt, key-result rows 18pt. Applied across all 13 reader tabs: Cover(3 bands), Dashboard(4), Project Data(12), Income Statement(4+1), Statement of Cash Flows(4+1), Balance Sheet(3+2), Investor Return(2+1), The Ask(2), Properties(1 total), Property Detail(9), P&amp;L(4+1), ServCo Financials(5+1), Glossary(7). COLOR CODING: 1,299 green #008000 cross-sheet formula cells recolored black #000000 per v3 §6 (green is no longer a cross-sheet indicator on reader-facing sheets; reserved for discrete Pass/OK status only) — Property Detail 576, Income Statement 208, Statement of Cash Flows 116, P&amp;L 108, ServCo Financials 96, Properties 72, Dashboard 58, Balance Sheet 24, Investor Return 18, Project Data 15, The Ask 6, Cover 1, Glossary 1. DEFECT CORRECTED: Statement of Cash Flows rows 20:27 (per-property investing detail) carried a pre-existing sage fill and were wrongly picked up as key-result rows — fill cleared, restored to plain black non-bold body text at indent level 2 under the section band, 18pt. VERIFIED: rendered images checked on Project Data, Income Statement, Statement of Cash Flows, Dashboard, Properties; Income Statement Net Income unchanged all 6 years (-319,117 / 85,110 / 978,275 / 1,232,358 / 755,590 / -50,200); zero formula errors except the pre-existing Dashboard pasted-image artifact; Project Data master check ALL CHECKS PASS. NOT CHANGED (requires approval / flagged): Dashboard block order still has prose+chart above Key Indicators, which v3 §14 says should be KPIs directly under the subtitle with charts below — structural reordering not performed; Dashboard title text still reads 'Investment Summary' rather than 'Dashboard'; Cover Workbook Guide labels still name the pre-rename tabs (Cash Flow Statement, Investor Returns, Sources &amp; Uses); grouping left as-is and now compliant under v3 §9; no rows/columns inserted or deleted; no formulas, values, or tab names changed.</t>
  </si>
  <si>
    <t>Dulcinea — Dashboard</t>
  </si>
  <si>
    <t>Exit value ÷ all-in cost</t>
  </si>
  <si>
    <t>ENTRY 23 — Dashboard restructure + chart palette (Ricardo direction: lead with prose, then investor-return KPIs, then graphs; graphs in more attractive colors than blue/black). LAYOUT: order is now title (row1) → subtitle (2) → 'The Opportunity' prose band + 3 dynamic paragraphs (4-7) → 'Investor Returns' KPI block (9-15) → charts. Old 'Key Indicators' block at rows 19-24 cleared and rebuilt as 'Investor Returns' at rows 9-15, moving KPIs above the charts (previously buried below the first chart). Dead vertical space tightened: prose rows 5/6/7 sized to content, rows 3/8/16 reduced to 8pt spacers. Stale title 'Dulcinea — Investment Summary' corrected to 'Dulcinea — Dashboard' after the tab rename. Chart-A commentary relocated B17→B24→B25 to follow its chart. Chart zone A moved to rows 17:24; all four charts re-anchored (left 22, width 760, height 230). KPIs (12 total, all formulas — no typed numbers): left column capital raise $12.0M, all-in $10,655,299, gross exit value $14,384,654, gross gain $3,182,738, net profit $2,682,017, profit per $1 invested $0.22; right column MOIC 1.22x, IRR 6.7%, payback Year 5, avg hold 2.5 yrs, exit÷all-in 1.35x, gross gain÷capital 0.27x — added the money multiples per Ricardo's request that KPIs carry IRR and multiples of capital invested. CHART PALETTE (overrides v3 §14 navy/blue-led guidance at Ricardo's explicit direction): Chart 4 All-In vs Exit = teal #1F6F6B / amber #D99A2B; Chart 3 Investor Cash Flows = terracotta #C0563A / plum #6B5B95; Chart 1 Net Income = amber #D99A2B; Chart 2 Ending Cash = teal #1F6F6B. VERIFIED: all four charts rendered individually and the rebuilt top section rendered — layout clean, no clipping, KPI values and formats correct; Project Data master check ALL CHECKS PASS. NOT CHANGED: prose wording itself (already dynamic TEXT() formulas so all cited numbers stay live on recalc); the three lower chart sections and their prose/commentary rows; no formulas, values, or row inserts/deletes elsewhere.</t>
  </si>
  <si>
    <t>ENTRY 24 — Dashboard: all four charts horizontally centered within their sections (Ricardo request). Data width A:G measured at 1,002.6pt (col widths 22.2/280.2/150/120/190.2/130.2/109.8); charts are 760pt wide, so left set to 121.3pt giving an equal 121.3pt margin each side (previously left-aligned at 22pt with ~220pt of dead space on the right). Chart tops/heights and vertical zone anchoring unchanged. Verified by reading back left/right edges for all 4 charts and by rendered image of the Investor Returns + chart A section. No formulas, values, or cell formatting touched.</t>
  </si>
  <si>
    <t>Dulcinea — Statement of Cash Flows (USD)</t>
  </si>
  <si>
    <t>Balance Sheet / Statement of Cash Flows</t>
  </si>
  <si>
    <t>Investor Return</t>
  </si>
  <si>
    <t>ENTRY 25 — Row-1 titles enlarged + Cover cleanup (Ricardo request: titles on row 1 should be larger). Row-1 title band raised from 14pt to 18pt bold, row height 36pt, vertically centered, across all 13 reader tabs. Stale titles corrected post-rename: 'Dulcinea — Cash Flow Statement (USD)' → 'Dulcinea — Statement of Cash Flows (USD)'; 'Dulcinea — Sources &amp; Uses of Capital (USD)' → 'Dulcinea — The Ask: Sources &amp; Uses of Capital (USD)'. COVER: section bands (rows 5/11/21) extended to a consistent A:E width matching the row-1 band (previously stopped at column D, leaving half-colored ribbons) and set to 12pt/20pt; color legend rewritten for v3 conventions — indigo #1F4EAD hardcoded input, black formula/output (same-sheet AND cross-sheet, replacing the obsolete green cross-sheet line), dark gray #595959 external-workbook link; legend label text shortened so it no longer clips at the column B boundary; Workbook Guide labels updated to current tab names ('Balance Sheet / Statement of Cash Flows', 'Investor Return', 'The Ask / Glossary'). Verified by rendered images of Dashboard row 1 and the full Cover — titles legible at 18pt, no clipped text, bands uniform. NOT CHANGED: no formulas, values, charts, or row/column inserts; Cover row 1 remains an empty navy band (its display title 'DULCINEA' lives at B3, unchanged).</t>
  </si>
  <si>
    <t>ENTRY 26 — Design-critique remediation, all three priorities (Ricardo: 'fix all'). (1) BAND WIDTH CAPPED AT DATA EDGE: computed each tab's true visible data edge accounting for used-range start-column offset (Cover C, Dashboard G, Project Data H, statements H, Properties AD, The Ask/Glossary C), then scanned 14 columns beyond each edge on every row and cleared band-colored overspill — 12 cells cleared on Cover (bands had run to column E past the C data edge); all other tabs already capped correctly. (2) GRAND TOTALS NOW THE VISUAL ANCHOR: Income Statement Net Income (r54), P&amp;L Net Income (r38), Statement of Cash Flows Ending Cash (r46), Balance Sheet r9+r18, Investor Return r18, Properties r14, ServCo r47 — raised to 14pt bold navy #1B2A4A on light blue #D9EAF7 with a medium navy top rule and 22pt row height, so the grand total now outweighs the subtotals (previously identical 12pt treatment, making the bottom line the lightest row on the sheet). (3) DESCRIPTOR/VALUE INDENTATION: Project Data descriptor block D:H and value column C set to indentLevel 1 (notes no longer butt against the numbers; right-aligned values no longer touch the gridline); year value columns C:H given indentLevel 1 on Income Statement, P&amp;L, Statement of Cash Flows, Balance Sheet, Investor Return, Property Detail, ServCo Financials. (4) ACCESSIBILITY: 83 grey descriptor/commentary cells recolored #5B6573/#555555 → #4A5561 for better contrast (was the weakest element at ~4.6:1). VERIFIED: rendered images of Project Data rows 1-24 and Income Statement rows 44-54 confirm indentation, capped bands, and the new total emphasis; Net Income unchanged all 6 years; zero formula errors except the pre-existing Dashboard pasted-image artifact; master check ALL CHECKS PASS. NOT CHANGED: no formulas, values, column widths, charts, or row/column inserts; Project Data references block (cols I-AB) and Properties media column left untouched.</t>
  </si>
  <si>
    <t>ENTRY 27 — MODEL CHANGE: exit cap rate is now per property (Ricardo directive). BEFORE: a single global input at Project Data C10 (5.8%, indigo input) drove every property — Properties U6:U13 stabilized NOI = T{r}*'Project Data'!$C$10. AFTER: (a) new per-property input column added to the Per-Property Operating Cost Inputs table — Project Data F57 header 'Exit cap rate', F58:F65 the eight rates, indigo #1F4EAD, 0.00% format, all seeded at 5.80% so the change is output-neutral on day one; (b) Properties U6:U13 rewired to =T{r}*INDEX('Project Data'!$F$58:$F$65,A{r}), using the same literal INDEX+property-index pattern as the neighbouring predial/HOA/utilities lookups; (c) Project Data C10 converted from an input to a DERIVED value-weighted average =SUMPRODUCT(Properties!$T$6:$T$13,$F$58:$F$65)/SUM(Properties!$T$6:$T$13), recolored black (no longer an input — avoids a duplicate-input defect), label changed to 'Exit cap rate — portfolio weighted average', descriptor rewritten to state it is derived and that each property uses its own rate; row 10 height 30pt. PROSE CONSUMERS UPDATED: Dashboard B7 reworded to 'Each property is underwritten at its own exit cap rate — a X% portfolio weighted average' (still a TEXT() formula on C10); Glossary C10 definition converted from STATIC TEXT containing a typed '5.8%' into a TEXT() formula on C10 — that typed number was a latent defect and would have gone stale. PROPAGATION TESTED: temporarily set ICP3 (F65) to 6.50% — only ICP3's NOI moved (122,455 → 137,234), the other seven held, and the weighted average moved 5.80% → 5.90%; restored F65 to 5.80% and confirmed all eight NOI values and the average returned to baseline. VERIFIED: NOI values identical to pre-change at equal rates; Income Statement Net Income unchanged all 6 years (-319,117 / 85,110 / 978,275 / 1,232,358 / 755,590 / -50,200); master check ALL CHECKS PASS; table and Revenue &amp; Exit block rendered and inspected. NOT CHANGED: renovation uplift C11 remains the global driver of exit VALUE (T = M×(1+uplift)); occupancy, ramp-up, and all other global rates untouched; no rows/columns inserted or deleted.</t>
  </si>
  <si>
    <t>ENTRY 28 — Spanish-LatAM label column inserted on Project Data (Ricardo directive, approved as a DELIBERATE ONE-TAB EXCEPTION). Note: this contradicts the standing 'English-only deliverables — no parallel Spanish label columns on any tab' preference; Ricardo confirmed 'add it here only, keep the rule', so the saved preference was left unchanged and Spanish must NOT be propagated to other tabs. STRUCTURAL: inserted a new column at C (shift right) — old C→D, D→E, E→F, F→G. Excel auto-adjusted all dependents; spot-verified: weighted-average cap rate now =SUMPRODUCT(Properties!$T$6:$T$13,$G$58:$G$65)/SUM(...) and Properties U6 now =T6*INDEX('Project Data'!$G$58:$G$65,A6). Column C set to 380pt. CONTENT: Spanish translations written for section bands (General y divisas, Ingresos y salida, Costos de adquisición y venta, Costos de tenencia, Impuestos, ServCo, Gastos generales, Capital, Referencias, Insumos de costos operativos por propiedad, Equipo ServCo, Verificaciones del modelo), every input label, the ServCo role list, fee labels, and all eight model-check labels. Styled italic 11pt grey #4A5561 so English stays the primary column; band rows white bold, table headers navy bold. Per house rules: property/brand names NOT translated (rows 58-65 stay original, cells left blank); tab names kept in English inside check text (Income Statement, P&amp;L, Property Detail, The Ask, Statement of Cash Flows); IRR/EBITDA-style acronyms untranslated. Long labels shortened after a render showed clipping (C10, C31, C32, C36, C77, C84, C85, C86, C88, C89, C90). TWO PRE-EXISTING DEFECTS FOUND AND FIXED while verifying: (1) the master-check cell displayed RED despite passing — the conditional-format 'CHECK' ContainsText rule was matching the substring inside 'ALL CHECKS PASS' and outranked the 'PASS' rule; set the PASS rule to priority 0 so it now renders green (priorities now PASS 0, OK 1, CHECK 2). (2) English check label B87 still read 'Sources &amp; Uses balances' after that tab was renamed — updated to 'The Ask balances (sources = uses)'. VERIFIED: rendered Revenue &amp; Exit block, per-property cost table, and Model Checks block; master check ALL CHECKS PASS (now correctly green); Income Statement Net Income unchanged all 6 years. NOT CHANGED: no other tab received Spanish; row 1 title, row 2 subtitle and the References citation rows 44-54 left English-only (citations stay verbatim); no formulas or values altered beyond the auto-adjustment from the column insert.</t>
  </si>
  <si>
    <t>ENTRY 29 — DELETION LOG + font-color fix on Project Data. (A) DELETION SNAPSHOT (recorded BEFORE removal per deletion-safety rule): Project Data F88:I91 — a 4x4 block of 16 orphaned hardcoded cells, every one containing the literal value 0.02, no labels, no number format of consequence, sitting inside the Model Checks area (rows 88-91, columns F/G/H/I). Exact prior contents: F88=0.02 G88=0.02 H88=0.02 I88=0.02 / F89=0.02 G89=0.02 H89=0.02 I89=0.02 / F90=0.02 G90=0.02 H90=0.02 I90=0.02 / F91=0.02 G91=0.02 H91=0.02 I91=0.02. Dependency search run across every worksheet for both cross-sheet ('Project Data'!F88-style) and same-sheet references to F88:I91 — ZERO references found; the live check formulas use a literal &lt;1 tolerance, so these appear to be leftover tolerance constants from an earlier version of the Model Checks block. Ricardo approved removal. Cleared contents only (formatting left in place). (B) FONT-COLOR FIX: Project Data D69:D74 (ServCo roster Location column: 'US','US','Medellín','Medellín','Medellín','Medellín') were typed editable values rendering BLACK — recolored indigo #1F4EAD per RC-CFI v3 §6, since hardcoded inputs on Project Data must be indigo. Full scan of D5:I91 confirmed this was the only mis-colored input: base comp, currency, payroll load, % to Dulcinea, office/tools and variable delivery cost all already indigo; annual cost per role and the team total correctly black as formulas. VERIFIED after both changes: master check re-read, Income Statement Net Income re-read.</t>
  </si>
  <si>
    <t>ENTRY 30 — Column E descriptors converted to red-triangle cell NOTES on the column D values, Project Data only (Ricardo directive, approved as a DELIBERATE ONE-TAB EXCEPTION). IMPORTANT: this contradicts the standing 'No cell notes — ever' preference; Ricardo chose 'do it only in this tab', so the saved rule was left INTACT and notes must NOT be introduced on any other tab or workbook. SCOPE: 21 descriptor cells converted — rows 5, 6, 10, 11, 12, 13, 16, 17, 20, 21, 22, 23, 24, 27, 28, 33, 39, 40, 79, 80, 81. Each cell's full descriptor text was written as a legacy note on the corresponding D-column value cell via the worksheet.notes API, then the E cell contents cleared. Column E's NUMERIC data blocks were deliberately excluded: rows 57-65 (Administración/HOA per-property values) and rows 68-77 (ServCo base comp) are data, not descriptors, and were left untouched — as was the E57 table header 'Utilities (COP M per month)'. Pre-existing note count on the tab was 0, so no notes were overwritten; 21 exist now. VERIFIED: note attachment spot-checked on D5, D10, D17, D28, D39, D81 — all present with the correct text (Excel auto-prefixes the author name 'Ricardo Cidale:' to legacy notes, which is normal); rendered image confirms red triangles on the D values and the descriptor column now clear; scan of column E confirms only the row-57 header remains as text; master check ALL CHECKS PASS. TRADE-OFF FLAGGED TO RICARDO: the descriptors were previously visible at a glance and are now hover-only, so they will not appear when the tab is read or printed. NOT CHANGED: no formulas, values, or column widths; column E left in place (now largely empty) rather than deleted — say the word if it should be removed or narrowed.</t>
  </si>
  <si>
    <t>ENTRY 31 — MOVE SNAPSHOT (recorded BEFORE the move, per deletion-safety rule): ServCo personnel cost detail is being relocated off Project Data rows 67-77 to a new confidential 'ServCo Personnel' tab (Ricardo directive: US personnel cost detail is confidential, to be password-protected; Project Data should show only a combined figure and the Dulcinea-allocated figure). EXACT PRIOR CONTENT of Project Data rows 67-77 — row67 band 'ServCo Team — Dulcinea-Dedicated Slice' / 'Equipo ServCo — porción dedicada a Dulcinea'; row68 headers Role|Cargo|Location|Base comp|Currency (USD/yr or COP M/mo)|Payroll load|% to Dulcinea|Annual cost to Dulcinea (USD); row69 Managing Partner / Socio director | US | 200,000 | USD | 1.15 | 25% | 57,500; row70 Investor Relations &amp; Capital / Relación con inversionistas y capital | US | 150,000 | USD | 1.15 | 20% | 34,500; row71 Country Manager (Gerente General) / Gerente general | Medellín | 25.0 | COP | 1.45 | 60% | 84,466; row72 Asset &amp; Renovation Manager / Gerente de activos y renovación | Medellín | 15.0 | COP | 1.45 | 85% | 71,796; row73 Guest Operations Manager / Gerente de operaciones de huéspedes | Medellín | 9.0 | COP | 1.45 | 90% | 45,612; row74 Controller / Contralor | Medellín | 10.0 | COP | 1.45 | 50% | 28,155; row75 Total team cost (Dulcinea slice) = SUM(I69:I74) = 322,029; row76 Office, tools &amp; administration ($/yr, slice) = 60,000; row77 Variable delivery cost (% of service-fee + housekeeping billings) = 80%. Annual-cost formula pattern: =IF($F{r}="COP",$E{r}*12*1000000/$D$5,$E{r})*$G{r}*$H{r}. DEPENDENTS to rewire: ServCo Financials rows 31-36 (each reads 'Project Data'!B69:B74, $H$69:$H$74, $I$69:$I$74 and I/H for implied full cost), row 43 (reads $I$76 six times), row 45 (reads $I$77 six times). Confirmed to Ricardo: the model already charges Dulcinea only the allocated slice (base × payroll load × % to Dulcinea), never full-time cost; ServCo's parent absorbs the remainder.</t>
  </si>
  <si>
    <t>Fully loaded, 100% (USD/yr)</t>
  </si>
  <si>
    <t>Allocated to Dulcinea (USD/yr)</t>
  </si>
  <si>
    <t>Borne by ServCo parent (not charged to Dulcinea)</t>
  </si>
  <si>
    <t>Office, tools &amp; administration (USD/yr, slice)</t>
  </si>
  <si>
    <t>CONFIDENTIAL — per-role compensation. Dulcinea is charged only the allocated share; ServCo's parent absorbs the balance. Password protection intended.</t>
  </si>
  <si>
    <t>ENTRY 32 — ServCo personnel detail MOVED to new confidential tab (completes Entry 31 snapshot). NEW TAB 'ServCo Personnel' created at position 13, immediately after ServCo Financials, tab color dark red #7B2D26 to signal confidential; gridlines off; styled to RC-CFI v3 (navy 18pt title band, blue section bands, light-blue wrapped column headers, indigo inputs, black formulas, blue-led totals with emphasis). STRUCTURE: rows 6-11 per-role build (Role | Location | Base comp | Currency | Payroll load | Fully loaded 100% | % to Dulcinea | Allocated to Dulcinea); the six roles' inputs (location, base comp, currency, payroll load, % to Dulcinea) now live HERE as the source of truth in indigo. New derived column G 'Fully loaded, 100%' = IF(currency=COP, base*12*1e6/'Project Data'!$D$5, base) * payroll load — this figure did not previously exist as a line on Project Data. Row 12 total fully loaded 734,733; row 13 total allocated to Dulcinea 322,029; row 14 borne by ServCo parent 412,704 (ties to the 735k/322k/413k split documented in Entry 6). Rows 17-18 hold Office/tools 60,000 and Variable delivery 80% as indigo inputs. PROJECT DATA now shows only summary links (all cross-sheet formulas, rendered black per v3 §6): D68 fully loaded 100% 734,733; D69 allocated to Dulcinea 322,029; D70 borne by ServCo parent 412,704; D71 office/tools 60,000; D72 variable delivery 80%; plus an italic note row 73 pointing to the confidential tab, English + Spanish. Band relabeled 'ServCo Team — Cost to Dulcinea' / 'Equipo ServCo — costo para Dulcinea'. Old rows 68-77 cleared (content fully preserved in Entry 31). DEPENDENTS REWIRED: ServCo Financials rows 31-36 now read 'ServCo Personnel'!B6:B11 / $G$6:$G$11 / $H$6:$H$11 / $I$6:$I$11 (note: the implied fully-loaded figure previously computed as I/H is now a direct link to the new G column); row 43 → 'ServCo Personnel'!$I$17; row 45 → 'ServCo Personnel'!$I$18. Post-rewire scan confirms ZERO remaining references to the old Project Data roster range. VERIFIED — NO OUTPUT MOVED: ServCo Financials Executive &amp; Team allocation table renders identical values (230,000/172,500/140,777/84,466/50,680/56,311 fully loaded; 57,500/34,500/84,466/71,796/45,612/28,155 allocated; totals 734,733 / 322,029 / 412,704); Service P&amp;L total charges by year unchanged (284,378 / 482,741 / 558,376 / 240,882 / 67,007 / –); Income Statement Net Income unchanged all 6 years; all seven sub-checks OK and master check ALL CHECKS PASS; workbook error sweep clean except the pre-existing Dashboard pasted-image artifact. STILL TO DO (Ricardo): apply the actual password protection on the ServCo Personnel tab — Office.js can set sheet protection but cannot set a password, so this must be done manually in Excel (Review &gt; Protect Sheet &gt; enter password).</t>
  </si>
  <si>
    <t>Incremental fees available, not charged</t>
  </si>
  <si>
    <t>Margin over cost — arm's-length check</t>
  </si>
  <si>
    <t>ENTRY 33 — ServCo Financials refactored and reformatted to RC-CFI v3 (Ricardo request). CORE REFACTOR — the tab used THREE different column grammars under one set of year headers: C:H are year columns in the by-year blocks (Charges to Dulcinea rows 18-27, Service P&amp;L rows 41-48, Memo rows 51-52) but LABEL columns in the Fee Schedule (rows 9-15: Industry range / Rate applied / Charged on) and in the Executive &amp; Team allocation table (rows 31-38: Fully-loaded cost / % time on Dulcinea / Charged to Dulcinea). Fixed by making each block declare its own grammar: year labels (Year 1..Year 6, formulas =C$4 etc.) now repeat inside the olive-equivalent blue section bands of the BY-YEAR blocks only (rows 17, 40, 50), while the two non-year blocks keep local light-blue sub-header rows (8 and 30) — so a reader can no longer mistake a label column for Year 1. FORMATTING: all five section bands (7, 17, 29, 40, 50) now span the full A:H data width, white bold 12pt on #1F4E78, 20pt, indent 1; sub-header rows light blue #D9EAF7 navy bold, wrapped, 32pt; body rows 11pt/18pt un-bolded (bold had been applied to every line item — v3 reserves bold for totals and section structure) with column-B indent level 2 under their band; totals emphasized at rows 25 (Total charges), 37 (Total team), 46 (Total cost of service), 53 (Program total) — 12pt bold navy on light blue with a medium navy top rule, 20pt; Service margin (47) and the arm's-length check (48) deliberately left PLAIN — they are derived values, not totals, per the no-bold-on-derived-rows rule. NUMBER FORMATS normalized: money _(#,##0_);(#,##0);_("–"_) across all charge/cost rows and the allocation table's cost columns; 0.0% on the margin check and memo ratios; 0% on the % time column; the per-unit service fee as money. CLIPPING FIXED: fee-schedule industry-range text wrapped with rows 9-15 at 32pt and row 12 at 45pt (that entry needs three lines); labels shortened where they collided with column C — B26 'Currently charged in the model', B27 'Incremental fees available, not charged', B48 'Margin over cost — arm's-length check'. VERIFIED — NO OUTPUT MOVED: Total charges by year unchanged (284,378 / 482,741 / 558,376 / 240,882 / 67,007 / –); Total cost of service unchanged (441,539 / 540,362 / 559,921 / 457,245 / 398,330 / 382,029); Income Statement Net Income unchanged all 6 years; zero formula errors on the tab; master check ALL CHECKS PASS; both halves rendered and inspected. NOT CHANGED: no formulas rewritten, no rows/columns inserted or deleted, merged cells E9:E15 left intact, and the negative service-margin result left as-is (a documented finding from Entry 6, not a defect). FLAGGED: row 52 'Total charges as % of rental revenue' reads 1191.4% in Year 1 because Year-1 rental revenue is only ~$23.9k against $284k of charges — arithmetically correct but not a meaningful ratio that early; consider suppressing Year 1 on that memo line.</t>
  </si>
  <si>
    <t>ENTRY 34 — QA VERIFICATION of the ServCo Financials refactor (Entry 33) + consolidated OPEN ITEMS list. VERIFIED BY READ-BACK, not assumed: section bands rows 7/17/29/40/50 at 20pt, fill #1F4E78, white 12pt bold; sub-header rows 8/30 at 32pt, fill #D9EAF7, navy 11pt bold; fee-schedule rows 9-15 at 32pt with row 12 at 45pt and wrapText confirmed TRUE on C9:C15 (no clipped industry-range text); by-year band year labels live as formulas (C17 renders 'Year 1'); charge rows 18-24 at 18pt; totals row 25 at 20pt, 12pt bold on #D9EAF7 with medium navy top rule. Zero formula errors on the tab; Total charges and Total cost of service by year unchanged from pre-refactor; Income Statement Net Income unchanged; Project Data master check ALL CHECKS PASS. OPEN ITEMS carried forward: (1) ServCo Personnel tab still needs its PASSWORD protection applied manually by Ricardo — Office.js can protect a sheet but cannot set a password (Review &gt; Protect Sheet). (2) Project Data References block (rows 43-54) is still stranded mid-tab between Capital and the per-property cost inputs; RC-CFI v3 section 13 places reference/source blocks LAST — recommend relocating below the fee inputs. (3) The ten numbered references are ORPHANED: no input descriptor cites [1]-[10], so a reader cannot tell which source backs which assumption — recommend appending ref numbers to the relevant descriptors (now cell notes). (4) ServCo Financials row 52 'Total charges as % of rental revenue' reads 1191.4% in Year 1 (charges $284k vs Year-1 rent ~$23.9k) — arithmetically correct but not meaningful that early; consider suppressing Year 1. (5) Dashboard E1 reads #VALUE! via the API — believed to be Ricardo's pasted in-cell image, deliberately left untouched; confirm. (6) Dashboard block order still has 'How Returns Are Generated' prose and three chart sections below the KPI strip — acceptable, but v3 section 14 caps a dashboard at one primary plus two additional charts and there are four. (7) Spanish labels exist ONLY on Project Data as an approved one-tab exception; cell notes exist ONLY on Project Data as an approved one-tab exception — neither is to be propagated. (8) Chart palette (teal/amber/terracotta/plum) intentionally overrides v3 section 14's navy/blue-led chart guidance at Ricardo's direction; the skill was NOT updated to match, so a future v3 audit will flag it.</t>
  </si>
  <si>
    <t>ENTRY 35 — Blank-row audit across all 17 tabs (RC-CFI v3 section 8) + DELETION LOG. AUDIT RESULT: only three tabs carry runs of 2+ consecutive blank rows. (a) DASHBOARD rows 16-24, 26-33, 39-47, 52-60 (four runs of 8-9) — these are the CHART ZONES: blank by cell content but each holds a 230pt floating chart anchored to the zone top. DELETING THEM WOULD DESTROY THE DASHBOARD LAYOUT. Not touched; they are intentional, not filler. (b) PROPERTIES rows 3-4 (run of 2) — NOT touched. Properties row geometry is load-bearing: headers row 5, data rows 6-13, and the engine's INDEX lookups use literal +5 row arithmetic anchored to data starting at row 6. The design standard records that a previous blank-row cleanup here silently shifted every engine lookup off by one property and had to be reverted. This is exactly that trap; leaving row 3-4 in place is the correct call even though it technically breaches the one-blank-row rule. (c) PROJECT DATA rows 74-78 (run of 5) — genuine filler, created when the old ServCo roster (rows 68-77) was cleared and replaced by the shorter summary block ending at row 73. DELETION SNAPSHOT before removal: rows 74, 75, 76, 77, 78 verified EMPTY across the full width A:AC (zero non-empty cells), no merged areas, no cell notes attached, no formulas. ACTION: deleted rows 75:78 (four rows), retaining row 74 as the single permitted section spacer between the ServCo summary and the fee inputs. All rows below shifted up by 4: fee inputs moved 79-81 to 75-77; Model Checks block moved 83-91 to 79-87 (master check D91 to D87). Excel auto-adjusted dependents — ServCo Financials fee-rate links ('Project Data'!$D$79/$D$80/$D$81) and the model-check conditional-formatting range were re-pointed automatically. All other tabs carry only single blank rows between sections, which section 8 permits — no action taken. VERIFIED after deletion: see next entry.</t>
  </si>
  <si>
    <t>ENTRY 36 — VERIFICATION of the Entry 35 blank-row deletion (Project Data rows 75:78 removed). Post-deletion read-back: fee inputs now at rows 75-77 rendering 1.0% / 5.0% / 0.50% with English + Spanish labels intact; Model Checks band now row 79; the seven sub-checks all read OK and the master check at D87 reads ALL CHECKS PASS. CROSS-SHEET DEPENDENTS AUTO-ADJUSTED CORRECTLY — ServCo Financials fee-rate links re-pointed from $D$79/$D$80/$D$81 to 'Project Data'!$D$75 (acquisition 1.0%), $D$76 (renovation mgmt 5.0%) and $D$77 (disposition 0.5%); the asset-mgmt / property-mgmt / service-fee links at $D$31/$D$32/$D$33 were above the deletion point and correctly unchanged. NO OUTPUT MOVED: ServCo Total charges by year unchanged (284,378 / 482,741 / 558,376 / 240,882 / 67,007 / –); Income Statement Net Income unchanged all 6 years (-319,117 / 85,110 / 978,275 / 1,232,358 / 755,590 / -50,200). Full-workbook error sweep: clean except the single pre-existing Dashboard E1 pasted-image artifact. Dashboard chart anchors re-read and confirmed unaffected (the deletion was on Project Data, which holds no charts). NOTE for future sessions: all documented Project Data row references from Entries 27-34 that sat below row 74 are now 4 rows lower — fee inputs 79-81 are now 75-77, Model Checks 83-91 are now 79-87, master check D91 is now D87.</t>
  </si>
  <si>
    <t>ENTRY 37 — DELETION LOG: calculated ServCo figures removed from Project Data (Ricardo: 'lines 68 to 72 belong somewhere else, not in an input worksheet'; Project Data is the input tab and should not carry derived outputs). Dependency search across all sheets returned ZERO references to Project Data rows 68-72, confirming they were display-only. EXACT PRIOR CONTENT (all five were cross-sheet links, values as at removal): row68 'ServCo team — fully loaded cost, 100% (USD/yr)' / 'Equipo ServCo — costo total cargado, 100% (USD/año)' = ='ServCo Personnel'!$G$12 = 734,733; row69 'ServCo team — allocated to Dulcinea (USD/yr)' / 'Equipo ServCo — asignado a Dulcinea (USD/año)' = ='ServCo Personnel'!$I$13 = 322,029; row70 'Borne by ServCo parent (not charged to Dulcinea)' / 'Asumido por la matriz de ServCo (no cargado a Dulcinea)' = ='ServCo Personnel'!$I$14 = 412,704; row71 'Office, tools &amp; administration (USD/yr, slice)' / 'Oficina, herramientas y administración (USD/año, porción)' = ='ServCo Personnel'!$I$17 = 60,000; row72 'Variable delivery cost (% of billings)' / 'Costo variable de prestación (% de lo facturado)' = ='ServCo Personnel'!$I$18 = 80%. All five figures remain live and visible on the ServCo Personnel tab (rows 12, 13, 14, 17, 18) and flow into ServCo Financials, so nothing is lost. REPLACED WITH: a single remark row directing the reader to the separate worksheet, English + Spanish. RETAINED PER RICARDO: the blue/indigo ServCo INPUT variables stay on Project Data — asset management fee, property management %, and service fee per property (rows 31-33), plus acquisition, renovation-management and disposition fees (rows 75-77). Those are deal-term inputs, not personnel detail.</t>
  </si>
  <si>
    <t>ServCo Team</t>
  </si>
  <si>
    <t>ENTRY 38 — VERIFICATION of Entry 37 + follow-on tidy on Project Data. Rows 68-72 (the five calculated ServCo cross-sheet links) cleared and replaced by ONE consolidated remark at row 68, English + Spanish: 'ServCo personnel costs and per-role detail are handled on the confidential ServCo Personnel worksheet.' / 'Los costos de personal de ServCo y el detalle por cargo se manejan en la hoja confidencial ServCo Personnel.' Section band at row 67 relabeled from 'ServCo Team — Cost to Dulcinea' to plain 'ServCo Team' / 'Equipo ServCo', since no cost figures live there any more. The older duplicate pointer at row 73 ('Per-role detail is held on the confidential ServCo Personnel tab.') was redundant once the new remark existed and was cleared. FILLER REMOVED: clearing rows 68-73 left a 6-row blank gap ahead of the fee inputs, which breaches the section-8 one-blank-row rule I had just audited for, so rows 70:74 (five rows) were deleted, retaining row 69 as the single section spacer. SECOND ROW SHIFT on this tab — everything below moved up 5: ServCo fee inputs (acquisition / renovation mgmt / disposition) 75-77 are now 70-72; Model Checks band 79 is now 74; the seven sub-checks are now D75:D81; MASTER CHECK is now D82 (was D87, and D91 before the earlier deletion). VERIFIED: ServCo Financials fee-rate links auto-re-pointed to 'Project Data'!$D$70 (1.0%), $D$71 (5.0%) and $D$72 (0.5%); the $D$31/$D$32/$D$33 asset-mgmt, property-mgmt and service-fee links sit above the cut and correctly did not move; ServCo Total charges by year unchanged (284,378 / 482,741 / 558,376 / 240,882 / 67,007 / –); Income Statement Net Income unchanged all 6 years; all seven checks OK and master reads ALL CHECKS PASS; block rendered and inspected — remark reads cleanly, red-triangle note indicators still present on the retained fee inputs. RETAINED as Ricardo directed: all blue/indigo ServCo INPUT variables remain on Project Data (fee rates at rows 31-33 and 70-72). SEPARATE OBSERVATION — not changed: Ricardo hid rows 8 and 32 on the Statement of Cash Flows this session. RC-CFI v3 section 9 prohibits hidden rows on reader-facing sheets (grouping with a visible +/- control is the approved mechanism); flagging rather than reverting, since it was a deliberate user action.</t>
  </si>
  <si>
    <t>ENTRY 39 — Row-height audit across the workbook, and REPAIR of heights that the audit itself clobbered. WHAT WAS DONE: a first heuristic audit (estimating needed height from text length vs column width) proved UNRELIABLE and was discarded without acting on it — it flagged virtually every 18pt row as clipped because it added padding to single-line text, and it ignored merged cells so it wildly overstated the merged prose rows on Cover, Dashboard and Glossary. Replaced with Excel's own autofitRows as ground truth on the 11 tabular tabs (Project Data, Income Statement, Statement of Cash Flows, Balance Sheet, Investor Return, The Ask, Properties, Property Detail, P&amp;L, ServCo Financials, ServCo Personnel), with collapsed (height-0) group rows captured beforehand and restored after so autofit could not expand them, then an 18pt floor enforced and section-band heights re-applied at 20pt. Cover, Dashboard and Glossary were deliberately EXCLUDED — merged prose and the Dashboard chart zones cannot be autofitted safely. SIDE EFFECT FOUND AND FIXED: autofit overwrote deliberate structural heights. Grand-total rows had been set to 22pt and were reduced to 18 (Income Statement 54, P&amp;L 38, Statement of Cash Flows 46, Balance Sheet 9 and 18, Investor Return 18, Properties 14, ServCo Financials 47); the ServCo Financials internal totals (25, 37, 46, 53) dropped from 20 to 18; the ServCo Personnel title band dropped from 36 to 23.5 and its column-header row from 43 to 28.8. All restored and verified by read-back: title rows now 36pt on all 14 reader tabs, grand totals 22pt, ServCo internal totals 20pt, ServCo Personnel header 43pt. Properties row 5 was reduced by autofit from 58 to 28.75pt — rendered and confirmed the two-line wrapped headers ('Purchase Price (COP millions)', 'Renovation Budget (COP millions)') still display in full, so the tighter height was kept as an improvement. Project Data master check (now D82) reads ALL CHECKS PASS. LESSON for future sessions: never run autofitRows without re-applying the deliberate heights afterwards — autofit measures content only and has no knowledge of the standard's structural heights (36pt titles, 22pt grand totals, 20pt bands and totals, 43pt wrapped headers).</t>
  </si>
  <si>
    <t>ENTRY 40 — CONSOLIDATION SNAPSHOT (before change): Ricardo dropped the separate-file idea; directive is ALL confidential ServCo information (per-person compensation and % of time allocated to Dulcinea) on ONE tab — ServCo Personnel — which will be hidden/protected when the time comes. GAP FOUND: ServCo Financials rows 29-38 'Executive &amp; Team — Time-Based Allocation' still displayed the confidential detail via links: per-role fully-loaded cost (C31:C36 = 'ServCo Personnel'!$G$6:$G$11 → 230,000 / 172,500 / 140,777 / 84,466 / 50,680 / 56,311), per-role % time on Dulcinea (D31:D36 = $H$6:$H$11 → 25% / 20% / 60% / 85% / 90% / 50%), per-role charged amounts (E31:E36 = $I$6:$I$11 → 57,500 / 34,500 / 84,466 / 71,796 / 45,612 / 28,155), role names (B31:B36 links), totals row 37 (734,733 / 322,029) and row 38 Borne by Ashoka = C37-E37 = 412,704. Dependents: Service P&amp;L 'Allocated team cost' row 42 reads =$E$37 in all six year columns; nothing else references the table. ACTION PLAN being executed: re-point row 42 to 'ServCo Personnel'!$I$13; replace the per-role table with an aggregate-only block (fully loaded total / allocated total / borne by Ashoka — links to ServCo Personnel rows 12/13/14, aggregates are not confidential) plus a remark; delete the vacated rows. Result: per-role comp and time allocations will appear NOWHERE outside ServCo Personnel.</t>
  </si>
  <si>
    <t>ENTRY 41 — COMPLETION of the confidentiality consolidation (plan in Entry 40) + geography book entries (Ricardo directive: outside the confidential tab the books show 'Management &amp; personnel — Colombia', 'Management &amp; personnel — US', and their total). SERVCO PERSONNEL (confidential tab): two aggregate rows inserted at 15-16 — 'of which — Management &amp; personnel, US (allocated)' =SUMIF($C$6:$C$11,"US",$I$6:$I$11) = 92,000 and 'of which — Management &amp; personnel, Colombia (allocated)' =SUMIF($C$6:$C$11,"&lt;&gt;US",$I$6:$I$11) = 230,029 (the &lt;&gt;US criterion catches any future non-US location, not just Medellín); Other-ServCo-Costs inputs shifted to I19 (office/tools 60,000) and I20 (variable delivery 80%), and the ServCo Financials links to them auto-re-pointed correctly. SERVCO FINANCIALS: the per-role Time-Based Allocation table (rows 30-38, per-role pay, % time and charges) is GONE — replaced by exactly three book-entry lines per the directive: Management &amp; personnel — US 92,000 ('ServCo Personnel'!$I$15), Management &amp; personnel — Colombia 230,029 ($I$16), Total management &amp; personnel (allocated to Dulcinea) 322,029 ($I$13, styled as a total with top rule), plus the italic remark 'Per-role compensation and time allocations are confidential — see the ServCo Personnel tab.'; vacated rows 34:38 deleted (Service P&amp;L band now row 35, Allocated team cost now row 37 reading 'ServCo Personnel'!$I$13, memo block now rows 45-48); band relabeled 'Management &amp; Personnel — Allocated to Dulcinea'. LEAK SCAN across every tab except ServCo Personnel: ZERO live formula references to the per-role cells (rows 6-11) — confidential data (individual pay, individual % time) now exists ONLY on ServCo Personnel. VERIFIED: US 92,000 + Colombia 230,029 = 322,029 ties to the allocated total; Service P&amp;L unchanged (Allocated team cost 322,029 all years, Total cost of service 441,539 / 540,362 / 559,921 / 457,245 / 398,330 / 382,029); Income Statement Net Income unchanged; master check ALL CHECKS PASS; section rendered and inspected. CONFIDENTIALITY CAVEAT flagged to Ricardo: the _Handoff deletion-safety snapshots (Entries 31 and 40) necessarily preserve the per-role compensation figures in their log text — when the ServCo Personnel tab is hidden/protected, consider hiding _Handoff as well (it is an internal tab), or accept that the log carries the history.</t>
  </si>
  <si>
    <t>ENTRY 42 — Handoff checkpoint (Ricardo request). State re-verified by read-back after the Entry 41 work: ServCo Personnel geography aggregate labels (B15:B16) render black 11pt regular as intended; ServCo Financials total row 32 retains its total treatment (light-blue #D9EAF7 fill, 12pt bold, 20pt height, top rule). Ricardo's format events on those two ranges match the applied state — no divergence to record, no new changes made this entry. CURRENT SESSION STATE, consolidated: confidential per-role data (individual compensation, individual % time to Dulcinea) lives ONLY on the ServCo Personnel tab, ready for Ricardo to hide + password-protect when the time comes (Review &gt; Protect Sheet — must be done manually, and consider hiding _Handoff alongside it since Entries 31/40 preserve salary snapshots in log text); books outside the confidential tab show only Management &amp; personnel US 92,000 / Colombia 230,029 / total 322,029; the separate 'Dulcinea ServCo Model 01.xlsx' file idea is DROPPED per Ricardo — that empty workbook can be deleted; Project Data carries only inputs plus the ServCo remark (all derived ServCo figures removed); master check at Project Data D82 reads ALL CHECKS PASS; Income Statement Net Income stable all session at -319,117 / 85,110 / 978,275 / 1,232,358 / 755,590 / -50,200. OPEN ITEMS still outstanding from Entry 34, updated: References block placement + orphaned ref numbers on Project Data; ServCo row 52-equivalent memo Year-1 ratio (now in the shifted memo block); Dashboard four-chart count vs v3's three; hidden rows 8 and 32 on Statement of Cash Flows (Ricardo's action, flagged Entry 38); Dashboard E1 image artifact.</t>
  </si>
  <si>
    <t>ENTRY 43 — CONSOLIDATION SNAPSHOT before merging P&amp;L and Income Statement (Ricardo approved steps 1-4). RATIONALE: Income Statement was a MIRROR — 108 of its formulas were literally ='P&amp;L'!Cxx; it added only 36 subtotal formulas of its own plus the 96 per-property revenue detail cells. P&amp;L is the engine (computes from _Qtr Engine, Property Detail, Project Data) and is consumed by 89 references across 7 tabs (Dashboard 26, ServCo Financials 30, Statement of Cash Flows 24, Investor Return 6, Project Data 2, The Ask 1), whereas Income Statement was consumed by only 13. Keeping the engine and retiring the mirror therefore costs 13 repoints instead of 89. THE 13 REFERENCES TO 'Income Statement' BEING REPOINTED TO 'P&amp;L' (Income Statement net income was row 54; P&amp;L net income is row 38): Statement of Cash Flows C7:H7 each ='Income Statement'!{col}54 → 'P&amp;L'!{col}38 (net income feeding the cash flow); Balance Sheet C17 ='Income Statement'!C54 and D17:H17 each =prior+'Income Statement'!{col}54 (retained-earnings roll-forward) → same pattern against 'P&amp;L'!{col}38; Project Data D77 model check =IF(SUMPRODUCT(ABS('Income Statement'!C54:H54-'P&amp;L'!C38:H38))&lt;1,"OK","CHECK") — this check becomes tautological once there is one statement and is being REPLACED (see next entry) with a retained-earnings roll-forward check. PER-PROPERTY DETAIL BEING MOVED INTO P&amp;L: 8 rental-by-property rows (='Property Detail'!C8/C24/C40/C56/C72/C88/C104/C120 pattern) and 8 sale-by-property rows (=IF(ROUNDUP(Properties!$R{6..13}/4,0)=C$4,Properties!$T{6..13},0) pattern), with their collapsible row groups, green→black font per v3, and the money number format. LABEL NOTE: P&amp;L's labels are retained and are actually cleaner than the mirror's — the Income Statement had hardcoded tax rates typed into labels ('Income tax — rental operations (35%)', 'Capital gains tax — property sales (15%)') which would go stale; P&amp;L's equivalents carry no typed rate. SEQUENCING (deliberate): repoint the 13 refs FIRST while P&amp;L net income is still row 38, then insert the detail rows so Excel auto-adjusts the freshly repointed references, then delete the mirror tab, then rename P&amp;L to 'Income Statement' (Excel auto-updates all 89 existing 'P&amp;L' references on rename), then move the tab to position 4 per the v3 tab order. Dashboard charts source from the Dashboard's own chart-data block which references P&amp;L, so they follow the rename automatically.</t>
  </si>
  <si>
    <t>Retained earnings roll-forward ties to cumulative net income</t>
  </si>
  <si>
    <t>Income Statement</t>
  </si>
  <si>
    <t>Property Detail rent ties to Income Statement rental revenue (all years)</t>
  </si>
  <si>
    <t>ENTRY 44 — CONSOLIDATION COMPLETE: P&amp;L and Income Statement merged into ONE statement (executes Entry 43 plan, Ricardo approved steps 1-4). SEQUENCE AS EXECUTED: (1) Repointed the 13 references off the mirror while P&amp;L net income was still row 38 — Statement of Cash Flows C7:H7 now ='Income Statement'!{col}38-equivalent, Balance Sheet C17:H17 retained-earnings roll-forward likewise; (2) REPLACED the tautological mirror check at Project Data D77 with a genuinely useful one — 'Retained earnings roll-forward ties to cumulative net income' / 'Las utilidades retenidas concilian con la utilidad neta acumulada' =IF(ABS('Balance Sheet'!H17-SUM(&lt;statement&gt;!C38:H38))&lt;1,"OK","CHECK") — so the workbook still has seven live integrity checks, none of them self-referential; (3) inserted 16 rows into P&amp;L and rebuilt the per-property revenue detail there (8 rental rows linking Property Detail rows 8/24/40/56/72/88/104/120; 8 sale rows using =IF(ROUNDUP(Properties!$R{n}/4,0)=col$4,Properties!$T{n},0)), formatted black 11pt/18pt with indent level 2, money format, and wrapped in collapsible row groups left EXPANDED per v3 section 9; (4) DELETED the mirror Income Statement tab; (5) RENAMED P&amp;L to 'Income Statement' — Excel auto-updated all 89 existing references across Dashboard (26), ServCo Financials (30), Statement of Cash Flows (24), Investor Return (6), Project Data (2) and The Ask (1); (6) moved the tab to position 4, immediately after Project Data, matching the v3 required order. LABELS CLEANED: tab title now 'Dulcinea — Income Statement, Years 1–6 (USD)'; Cover guide entry B16/C16 changed from 'P&amp;L / Income Statement' + 'operating P&amp;L (working) and the presentation Income Statement — identical results' to 'Income Statement' + 'Dulcinea operating statement — computed from the quarterly engine, with per-property revenue detail'; Project Data check label B79/C79 updated to name the Income Statement instead of P&amp;L. RESULT: ~144 duplicate formulas eliminated, one tab removed, one redundant check retired and replaced. VERIFIED: detail sums tie exactly to their parents (rental 23,870 / 809,155 / 1,008,649 / 490,202 / 113,759 / – ; sales – / – / 4,329,448 / 6,032,512 / 4,022,694 / –); Total revenue 23,870 / 809,155 / 5,338,096 / 6,522,714 / 4,136,453 / –; Net Income UNCHANGED all six years (-319,117 / 85,110 / 978,275 / 1,232,358 / 755,590 / -50,200) and matches what Statement of Cash Flows now consumes; all seven checks OK, master ALL CHECKS PASS; workbook-wide scan finds ZERO live 'P&amp;L'! formula references remaining (the only textual match is this log's own prose); error sweep clean except the pre-existing Dashboard E1 pasted-image artifact; tab rendered and inspected. RESIDUAL LABELS deliberately left: ServCo Financials 'Service P&amp;L — Dulcinea Slice' and _Qtr Engine's subtitle mention 'P&amp;L' generically as an accounting term, not as a tab reference — no change needed.</t>
  </si>
  <si>
    <t>ENTRY 45 — MATERIAL MODEL CHANGE: ServCo personnel burden is now a FIXED, INFLATION-ESCALATING cost borne by Dulcinea (Ricardo directive: 'these are financial statements for Dulcinea and not only for the portfolio... the burden fees from staff and management must be paid from Dulcinea and not from ServCo'; burden is fixed salaries+benefits that rise with inflation, whereas the asset-management fee is a market-driven percentage). CHANGES: (1) NEW INPUT — Project Data row 37 'Salary &amp; overhead inflation (%/yr)' / 'Inflación de salarios y gastos generales (%/año)', indigo input seeded at 5.0%; no inflation input existed anywhere in the model before this (all fixed costs were flat across six years). SEEDED VALUE NEEDS RICARDO'S CONFIRMATION — 5.0% is a blended US/Colombia salary-inflation placeholder, not a sourced figure. (2) ALLOCATION POLICY on ServCo Personnel rows 21-23: new band 'Allocation Policy — Time Dedicated to Dulcinea' with two indigo inputs — Colombia personnel 100% (I22), US personnel 50% (I23). The per-role '% to Dulcinea' column H6:H11 is no longer six hardcodes; it is now =IF($C{r}="US",$I$23,$I$22), rendered black as a derived value. Allocation rose from 322,029 to 533,483/yr (US 201,250 at 50% of 402,500 fully loaded; Colombia 332,233 at 100%); parent-borne fell to 201,250. (3) INCOME STATEMENT — three new fixed-cost rows inserted at 43-45 inside Operating Expenses, after the ServCo fee lines and before Dulcinea legal/admin: 'ServCo — management &amp; personnel, Colombia (fixed)', 'ServCo — management &amp; personnel, US (fixed)', 'ServCo — office, tools &amp; administration (fixed)', each = base × (1+inflation)^(Year-1), so Colombia runs 332,233 → 424,023 and US 201,250 → 256,852 across Years 1-6. The GMF tax base auto-expanded to include these disbursements (Year-1 GMF 26,712 → 29,085). Total operating expenses Year 1 rose from 342,987 to 938,844. IMPACT ON RETURNS — SEVERE, FLAGGED TO RICARDO: Net Income now (914,974) / (494,711) / 409,669 / 595,252 / 31,323 / (810,681); investor Total distributions 10,815,878 against 12,000,000 invested, so net profit swings from +2,682,017 to −1,184,122; MOIC 1.22x → 0.90x; IRR +6.7% → −4.1%. All seven model checks still OK and master reads ALL CHECKS PASS — the model is internally consistent; this is an economic outcome, not a defect. Dashboard KPIs re-read and confirmed reflecting the new figures. DOUBLE-RECOVERY ISSUE RAISED WITH RICARDO: Dulcinea now pays ServCo BOTH the fee schedule (1,332,999 over six years: asset mgmt 406,003 + property mgmt + service fees + housekeeping) AND the personnel burden (4,036,820 over six years) — ServCo over-recovers by roughly the fee amount, and Dulcinea is charged twice for portfolio-level management (once via the 1.5%/yr asset-management fee, once via the personnel allocation). Removing the asset-management fee line would eliminate the overlap and recover ~406,003 over the program. AWAITING RICARDO'S DECISION. NOT CHANGED: 'Dulcinea legal, accounting &amp; admin' (50,000/yr) still does NOT escalate — flagged as an inconsistency now that an inflation input exists. SELF-CORRECTION LOGGED: while adding the inflation input I ran range.copyFrom with the arguments reversed, which stripped the number format and indigo input colour from D36 (the 50,000 legal/admin input, briefly rendering as plain black '50000'); detected on read-back and fully repaired — D36 again renders ' 50,000 ' in indigo with the money format.</t>
  </si>
  <si>
    <t>ENTRY 46 — MODEL CHANGE: valuation restructured to YIELD-ON-COST (Ricardo confirmed 7.83%). Mechanic: NOI = (purchase + improvements) × stabilized yield on cost; Exit Value = NOI ÷ exit cap rate. New per-property indigo input column Project Data H57:H65 'Stabilized yield on cost' seeded 7.83% (= 5.8% cap × 1.35, the rate the old structure implied). Properties U6:U13 = (J+K)×INDEX($H$58:$H$65,A); T6:T13 = U/INDEX($G$58:$G$65,A). The 35% renovation uplift is NO LONGER AN INPUT — Project Data D11 is now derived (=SUM(T)/SUM(M)-1, black, relabeled 'Implied value uplift on all-in basis (derived)', currently 32.7% because closing costs no longer get marked up at exit — the intended fix). Exit values eased 1.4-2.0%/property (e.g. Aires 1,577,840→1,555,340); NOI likewise. Net Income now (915,223)/(502,180)/341,575/502,260/(25,988)/(810,681); MOIC 0.88x, IRR -4.9% (burden drag from Entry 45 still dominates). ALSO COMPLETED: the opex-by-property collapsible block Ricardo requested — discovered the interrupted row-insert HAD landed (9 blank rows 49:57 between Total operating expenses and EBITDA, which is why Net Income briefly read zero at its old row; actual Net Income row is 66) — filled it: label row 49 'of which — property-level costs by property (excludes portfolio &amp; fixed costs)' + 8 property rows linking Property Detail per-block total-opex rows 18/34/50/66/82/98/114/130, grouped collapsible, expanded; detail ties exactly to the property-level lines (rows 33-42 ex asset mgmt): 189,229/487,401/554,739/233,986/52,207/–. Column-B indentation hierarchy verified (bands+totals level 1, line items level 2, per-property detail level 3). All seven checks OK, master ALL CHECKS PASS. NEXT: ICP4/5/6 expansion to 11 properties (Entry 47).</t>
  </si>
  <si>
    <t>ICP4</t>
  </si>
  <si>
    <t>Simulated profile — Torre Vista del Tesoro, Apto 703, Cra 25 #16-30, El Poblado, Medellín</t>
  </si>
  <si>
    <t>ICP5</t>
  </si>
  <si>
    <t>Simulated profile — Edificio Alto de la Cascada, Apto 1102 (Penthouse), Cl. 10A #36-20, El Poblado, Medellín</t>
  </si>
  <si>
    <t>ENTRY 47 — YIELD-ON-COST RESTRUCTURE + PORTFOLIO EXPANDED TO 10 PROPERTIES (5 live + ICP1-5; Ricardo revised from 6 ICPs to 5). PHASE 1 (valuation): new indigo per-property input 'Stabilized yield on cost' seeded 7.83% (Project Data cost table col H); Properties NOI = (purchase+improvements) × YoC; Exit Value = NOI ÷ per-property exit cap; the 35% uplift is now a DERIVED display (Project Data D11, black) reading ~32.7% since closing costs no longer mark up at exit. Occupancy input converted to MONTHS: 'Months rented per year, stabilized (rentals are month-at-a-time)' = 9 mo (was 75%, identical economics); Properties W = V ÷ months; Glossary definition rewritten as dynamic TEXT(). Opex-by-property collapsible block completed on the statement (the interrupted insert had landed; filled + grouped). PHASE 2 (expansion): Properties rows 13-15 inside-inserted so every $6:$13 range auto-expanded, ICP3 rewritten at 13, ICP4 (El Poblado apt, 380m², 2500/1000 COP M, N11 O3 P11, sold Q22) and ICP5 (El Poblado PH, 460m², 2900/1250, N12 O4 P11, sold Q23) at 14-15 — holds and reno lengths inside the live ranges (10-11 qtrs / 2-4 qtrs) per Ricardo's target-characteristics directive, both sold at or before Year 6; ICP6 was built then REMOVED on the revised instruction (rows deleted from Properties, Project Data cost table, engine ×7, Property Detail block 11; #REF! terms stripped from 78 totals formulas). Cost-table rows 66-67 added (inside-insert). ENGINE: 2 net new rows per block ×7 blocks (B-index 9/10). PROPERTY DETAIL: blocks 9-10 built (rows 135-166), totals extended to 10-entry SUM lists. CRITICAL FIX APPLIED TWICE — the engine's block headers MOVED (inserts, then ICP6 deletes) and Property Detail + Statement of Cash Flows reference engine rows via LITERAL arithmetic (e.g. '29+$A'): remapped 594+540 formulas on Property Detail and 96+96 on SCF to the final geometry (acq 7, capex 20, rent 33, basis 46, sale 60, released 72, flag 85). LESSON: any future engine row change must re-map these literals — read the engine headers, never trust arithmetic. SCF: 2 rows added to each of its three 8-row property blocks. STATEMENT: rental/sale/opex-by-property detail groups extended to 10 rows each (tails rewritten after Properties row-shifts turned old ICP3 links into #REF!). DASHBOARD: chart-data block extended to 10 properties (B83:D84, INDEX positions 9-10 — NB the block lives in columns B:D, not A:C); Chart 4 re-sourced to B74:D84 via setData, teal/amber palette and geometry re-applied. VERIFIED: rental and sale detail ties EXACT to totals all 6 years; Total revenue 23,543 / 799,353 / 5,253,992 / 6,542,116 / 4,439,467 / 3,485,392 (Year 6 now carries ICP4/5 exits); zero errors except Dashboard E1 artifact; ALL SEVEN CHECKS OK, master ALL CHECKS PASS; chart renders 10 properties. RETURNS with 10 properties and the Entry-45 burden: MOIC 0.94x, IRR -2.2%, net to investor (687,734) — improved from 0.88x/-4.9% at 8 properties (more assets carry the fixed burden) but still negative; the raise ($12M) also now understates 10-property capital needs — Total capital deployed vs raise NOT yet reconciled: The Ask/capital sizing needs Ricardo's review.</t>
  </si>
  <si>
    <t>ENTRY 48 — Per-property VACANCY input (Ricardo directive, two-step refinement: first 'percent vacancy per property, not overall', then 'blue variable for percent vacancy, assume 20% of the time'). IMPLEMENTED: new indigo input column I in the Project Data per-property table — I57 'Vacancy (% of time not rented)', I58:I67 = 20% for all ten properties, 0% format; the old GLOBAL occupancy/months input at D12 is now DERIVED (black): 'Vacancy — portfolio average (derived)' / 'Vacancia — promedio del portafolio (derivada)' = AVERAGE(I58:I67), rendering 20.0%. Properties implied-monthly-asking-rent column W rewired per property: =V ÷ (12 × (1 − INDEX(vacancy, A))) — at 20% vacancy each property's rent must be earned in 9.6 rented months, so implied asking rents rose ~6% vs the prior 9-month basis (e.g. Aires 19,723→18,490? — NB values LOWERED: 12×0.8=9.6 rented months vs 9 before, so asking rents FELL ~6%; range now 12,882–25,263/mo). Glossary 'Vacancy' definition rewritten as dynamic TEXT() citing the per-property setting, the 20% average and 9.6 rented months. ECONOMIC NOTE stated to Ricardo: vacancy does not drive revenue in this model (revenue anchors to yield-on-cost NOI); it drives the implied asking rate per property. Interim states from the interrupted prior pass ('Months rented per year' global=9, then per-property=9) were fully superseded by this entry. ALSO LOGGED — USER SHEET DELETION: Ricardo manually deleted the 'Casa Montana Works' tab this session (2×2 used range; contractor exhibits holding in-cell images of the Casa Montana works budget; referenced by references note #2). No formulas referenced it (verified by the absence of new #REF! errors); its content was images and is NOT recoverable from any snapshot — deletion was user-initiated outside the deletion-log workflow. The dulcinea-design-standard tab list still names it; remove on next skill edit. VERIFIED: header, inputs and average render correctly (20% / 20.0%); implied rents recomputed for all ten properties; master check ALL CHECKS PASS.</t>
  </si>
  <si>
    <t>Selected (1 = in fund)</t>
  </si>
  <si>
    <t>ENTRY 49 — FUND CONVERSION: Dulcinea remodeled as a $5M SELECTION FUND (Ricardo directive: $5M fund picks a few properties, buy-hold-sell at 30% profit; keep only ICP1 and ICP2 active; US allocation 33%). ARCHITECTURE: rather than deleting the pipeline, a SELECTION FLAG drives the fund — new indigo column Properties AE ('Selected (1 = in fund)'), 1 only on ICP1 and ICP2; ALL 70 engine property rows across the 7 blocks wrapped as =INDEX(Properties!$AE:$AE,$B{r}+5)*(old formula) — 1,680 formulas — so unselected pipeline properties contribute zero acquisitions, capex, rent, sales and basis while remaining fully underwritten and visible for future selection (flip a flag to add a deal). EXIT THESIS: new indigo input Project Data D14 'Target profit on exit (% of all-in cost)' = 30%; Properties T6:T15 = M×(1+D14) — exit value is now the fund's underwriting target on all-in cost (ICP1 exits 1,434,628 on 1,103,560; ICP2 1,840,615 on 1,415,858), replacing the cap-rate/yield-on-cost exit chain after the income-approach analysis (Entries in chat) showed income capitalization values these lifestyle assets at 0.2-0.4× cost at researched market rents; implied-uplift display D11 now reads exactly 30% by construction. CAPITAL: raise D39 12,000,000 → 5,000,000. ALLOCATION: ServCo Personnel US policy I23 50% → 33%; per-role %s now 33/33/100/100/100/100; allocated to Dulcinea 465,058 (US 132,825 + Colombia 332,233), parent-borne 269,675. SELF-CORRECTION: while making the release check selection-aware I first overwrote the WRONG check cell (D81, the Property-Detail-rent-tie check) — caught on read-back; D81 restored to =IF(SUMPRODUCT(ABS('Property Detail'!C168:H168-'Income Statement'!C7:H7))&lt;1,...) and the selection-aware release test placed correctly at D82 =IF(ABS(SUM(engine released)-SUMPRODUCT(M×AE flags))&lt;1,...). ALL SEVEN CHECKS OK, master ALL CHECKS PASS. RESULTING FUND ECONOMICS — STRUCTURALLY LOSS-MAKING, FLAGGED TO RICARDO: capital 5,000,000; only ~2.52M deployed into the two selected deals; total distributions 1,741,568; net to investor (3,258,432); MOIC 0.35x; IRR #NUM! (no positive-return profile; the raw error is deliberately left visible on Investor Return/Dashboard as a true signal); payback beyond horizon. Cause: two deals generating ~760k of gross exit profit cannot carry ~3.4M of six-year fixed costs (ServCo burden 465k/yr escalating + office/tools + legal + fees) while ~2.5M of the raise sits undeployed. NOT CHANGED: rental-revenue chain still the legacy yield-on-cost derivation (rents 4-8× researched market — open item); market-rent inputs and comps-exit architecture proposed but not yet approved; per-property vacancy/hold/reno globals from the pasted income-only spec NOT applied (superseded by this fund directive before build).</t>
  </si>
  <si>
    <t>ENTRY 50 — Properties: 'Selected (1 = in fund)' flag column MOVED from AE to column B (between # and Property), per Ricardo. Method: blank column inserted at B (all references auto-shifted), whole column AF:AF cut-pasted into B:B via moveTo so every dependent formula followed the move — verified: all 1,680 engine gates now read INDEX(Properties!$B:$B,...), and the release check re-pointed itself to SUMPRODUCT(Properties!$N$6:$N$15, Properties!$B$6:$B$15) (all-in column M shifted to N); empty AF deleted. FORMATTING: B5 header styled to the navy header band (white bold, wrapped, centered), flags indigo centered 0-format, column width 62pt, stray flag cleared from the totals row. VERIFIED by render: flag column sits correctly with ICP1/ICP2 = 1; engine shows exactly 2 acquisition quarters active; master check ALL CHECKS PASS. NOTE for future reference: ALL Properties column letters from C onward shifted one right versus every prior _Handoff entry (names now C, address F, all-in N, exit U, qtr-sold T→S? — read live before relying on any documented letter).</t>
  </si>
  <si>
    <t>ENTRY 51 — Hold compressed to 24 MONTHS per property (Ricardo directive: 6 months improvement from purchase, 18 months renting as high-end 30-day-minimum STR, sell at month 24; occupancy 70% / vacancy 30%). APPLIED to all ten pipeline properties: Properties P6:P15 renovation length = 2 quarters, Q6:Q15 total hold = 8 quarters (rental start = purchase+2, sold = purchase+8 — verified per property: live props sell Q9-Q11; fund picks ICP1 buys Q5/rents Q7-12/sells Q13, ICP2 buys Q7/rents Q9-14/sells Q15); Project Data per-property vacancy I58:I67 all set to 30% (portfolio average display 30.0%). CAVEAT RESTATED to Ricardo (third time): vacancy still only drives the implied-asking-rent display — the rental revenue chain remains the legacy yield-on-cost derivation, so the 70% occupancy does NOT yet reduce modeled revenue, and modeled rents remain 4-8× the researched STR market. Rental-line rewiring to market rents remains the open item. FUND RESULT at 24-month holds, all checks passing (master ALL CHECKS PASS): distributions 2,835,566 on 5,000,000 invested; net (2,164,434); MOIC 0.57x (improved from 0.35x at the longer holds — the two 30% exits land in Years 3-4 and two years of fixed burden drop away — but still structurally loss-making for the reasons in Entry 49: two deals cannot carry the ServCo cost stack and half the raise sits idle); IRR still #NUM! (no positive profile); payback 'Year 3' is an artifact of the distribution timing, not a true recovery. Note Net Income Year 3 is positive (857,178) as both exits land, negative all other years.</t>
  </si>
  <si>
    <t>Entry discount vs comparable (fully improved)</t>
  </si>
  <si>
    <t>ENTRY 52 — COMPARABLES-BASED EXITS (Ricardo directive: exits from comps growing at the last-3-5-year market rate; each property fully improved costs 20% below comparable at acquisition — the investor's head start — with the 20% a BLUE PER-PROPERTY variable). Also incorporates Ricardo's own manual re-selection this session: fund flags flipped to the FIVE LIVE PROPERTIES (Aires, Fontanar, San Lucas, Casa Montana, Casa Monte Sereno all =1); ICP1/ICP2 back to 0 (pipeline); his typed count at Properties B16 replaced with =SUM(B6:B15) (renders 5); his 'Total Funds Needed' label at C21 wired: D21 =SUMPRODUCT(all-in N × flags B) = 6,571,966, styled bold navy. NEW INPUTS: Project Data D8 'Market appreciation (%/yr, per last 3–5 years)' = 7.0% indigo (seeded from researched metro-Medellín average appreciation ~7%/yr — mikezapata.realestate Colombia guide, Mar 2026; needs Ricardo confirmation, esp. USD vs COP basis); Project Data cost-table column J 'Entry discount vs comparable (fully improved)' = 20% indigo for all ten properties. EXIT FORMULA: Properties U6:U15 = N ÷ (1 − INDEX(discount)) × (1 + D8)^T — comp value at acquisition (all-in grossed up by the entry discount) grown at market appreciation over the hold years (T = 2.0 at the 24-month hold). Per-deal gross exit = 1/0.8 × 1.07² = 1.431× all-in (e.g. Aires 1,672,656 on 1,168,770). The now-obsolete 30% target-profit INPUT at D14 (Entry 49) converted to a DERIVED display 'Implied gross profit at exit (derived)' = SUMPRODUCT(U×flags)/SUMPRODUCT(N×flags)−1 = 43%, black. FUND RESULT, all checks passing (ALL CHECKS PASS): distributions 3,540,218 on 5,000,000; net (1,459,782); MOIC 0.71x (0.35x → 0.57x → 0.71x across Entries 49/51/52); IRR still #NUM!. TWO STRUCTURAL FLAGS FOR RICARDO: (1) FUNDING GAP — the five selected deals need 6,571,966 all-in against a 5,000,000 raise: either raise ~6.9M+ (incl. reserve), drop a property (~e.g. deselect Casa Montana 1.71M or Casa Monte Sereno 1.65M brings needs under 5M), or stage acquisitions with recycled exit proceeds (Aires/Fontanar exit Q9 before ICP-style later buys — но live props all buy Q1-Q3, so recycling does not work at current timings); the model currently spends beyond its raise, which the cash-tie checks absorb via negative cash — review Statement of Cash Flows minimum cash. (2) Rental line STILL legacy yield-on-cost (rents 4-8× researched market; occupancy display-only) — the last dishonest block, rewiring awaits approval. NOT CHANGED: cap-rate/YoC columns remain as derived context; selection architecture unchanged.</t>
  </si>
  <si>
    <t>ENTRY 53 — RENTAL LINE REWIRED TO STR MARKET RATES (Ricardo approved after the per-m² correction; closes the last legacy-revenue block). NEW INPUT: Project Data cost-table column K 'STR rate (USD/m² per month)' — indigo per-property, seeded from researched high-end 30-day-plus benchmarks: 25 for El Poblado penthouses (Aires, Fontanar, ICP2, ICP5), 22 for El Poblado apartments (San Lucas, ICP1, ICP4), 10 for El Retiro estates (Casa Montana, Casa Monte Sereno, ICP3). REWIRED on Properties: W (collected annual rent) = size m² (col G — first write mistakenly used col F which is now the address after the flag-column shift, producing #VALUE!; caught on read-back and corrected) × STR rate × 12 × (1 − per-property vacancy 30%); X (implied monthly asking) = m² × rate → 4,200–12,225/mo, market-defensible; V (stabilized NOI) = W × (1 − housekeeping − ICA − property-mgmt %) − all-in × (predial + insurance + maintenance) − (HOA + utilities) − service fee — NOI now DERIVED from market rent (the old NOI = basis × 7.83% chain is dead). ENGINE: all 240 rent-block cells (rows 34-43 × C:Z) now grow at the market-appreciation input ×(1+$D$8)^(year−1), with per-column year references. ORPHANED INPUTS CONVERTED TO DERIVED (black): Project Data H58:H67 now 'Implied yield on cost (derived)' = NOI/(purchase+improvements) — reading 1.2-2.9%, the honest figure vs the old 7.83% assumption; D10 relabeled 'Implied cap rate at exit (derived)' = selected NOI / selected exit value = 0.2%... NOTE that figure is portfolio NOI of the five selected (two El Retiro negatives dragging) over comps exits. The exit-cap-rate input column G in the cost table now drives NOTHING (exits are comps-based per Entry 52) — retained as reference; consider deleting. KEY FINDINGS SURFACED: (1) EL RETIRO ESTATES LOSE MONEY AS RENTALS — Casa Montana NOI (15,145), Casa Monte Sereno (26,081), ICP3 (17,813) at $10/m²: carrying costs + the 18k/yr service fee exceed achievable STR rent; Poblado units are NOI-positive (9k-33k). Consider not renting the Retiro assets during the hold (leave vacant, save variable costs) or challenging the $10/m² seed. (2) Implied YoC 1.2-2.9% confirms the earlier market-analysis conclusion. FUND RESULT, all checks ALL CHECKS PASS: distributions 2,893,828 on 5,000,000; net (2,106,172); MOIC 0.58x (down from 0.71x — honest rents removed ~0.13x of overstated rental income); IRR #NUM!. The model is now internally honest end-to-end: market rents, comps exits, full cost burden. The remaining gap to a viable fund is structural (funding gap 6.57M vs 5M raise; ServCo burden vs fund size) — Entry 52 levers stand.</t>
  </si>
  <si>
    <t>Exit Sensitivity — Market Appreciation (%/yr) →</t>
  </si>
  <si>
    <t>Implied gross profit on funds needed</t>
  </si>
  <si>
    <t>ENTRY 54 — Market-appreciation research delivered + exit sensitivity line added (Ricardo request). RESEARCH SUMMARY (chat, sources cited): Medellín nominal COP appreciation ~8-10%/yr over the last 3 years (2025 +10.3% per La Lonja data, 2026 +8-10%), ~6-8%/yr over 5 years, long-run 2002-2021 predial index +5.33%/yr; BUT inflation-adjusted appreciation is near zero-to-low (Banrep IPVU Bogotá 2025: +6.12% nominal = +0.25% real) and the model appreciates USD values, so the honest USD base case is ~3-5%/yr; current D8 = 7% is the aggressive nominal-peso end. SENSITIVITY LINE built on Properties rows 23-25 (below Ricardo's Back-Up Pipeline block at 18-19 and Total Funds Needed at 21, both untouched): rate headers 3% / 5% / 7% as indigo inputs (D23:F23), 'Portfolio exit value (selected properties)' = SUMPRODUCT(flags × all-in/(1−discount) × (1+rate)^hold) → 8,715,248 / 9,056,991 / 9,405,305; 'Implied gross profit on funds needed' = exit/6,571,966 − 1 → 32.6% / 37.8% / 43.1%. The 7% column carries the soft-gold #FFF2CC base-case highlight since D8 = 7% (note: convention prefers base centered — if Ricardo adopts 5% as base per the research, move the highlight to E and reseed headers 3/5/7 stays valid). Verified rendered text and master check ALL CHECKS PASS. D8 itself left at 7% pending Ricardo's decision.</t>
  </si>
  <si>
    <t>Deal cash flow t=0 — acquisitions (all-in)</t>
  </si>
  <si>
    <t>t=2 — full-year NOI + exit net of selling costs</t>
  </si>
  <si>
    <t>ENTRY 55 — Portfolio deal-level IRR added to the exit sensitivity block (Properties rows 26-29, Ricardo request). Method: an auditable three-point annual cash-flow strip per appreciation scenario — t=0 acquisitions = −Total Funds Needed (−6,571,966, all-in of the five selected); t=1 = six months of stabilized portfolio NOI (61,084, the rental window opens at month 7 after the 6-month improvement period); t=2 = a full NOI year grown at the scenario rate plus the scenario exit value net of selling costs ('Project Data'!$D$17 = 3.8%); IRR() over the strip. RESULTS: 14.3% at 3% appreciation / 16.5% at 5% / 18.6% at 7% (base-case column gold-highlighted, matching D8=7%). All formulas, all visible, base flows labeled per row; master check ALL CHECKS PASS. INTERPRETATION LOGGED: the deals themselves earn a healthy mid-teens IRR on the 24-month cycle even at conservative USD appreciation — the fund-level IRR remains #NUM!/negative because the ServCo burden (465k/yr escalating), office/tools, legal and idle-capital drag sit on top; the spread between 14-19% deal IRR and a negative fund IRR is exactly the cost of the current fund structure, quantifying the Entry 49/52 levers. SIMPLIFICATIONS stated: acquisitions treated as t=0 (actual buys spread Q1-Q3), annual (not quarterly) periods, NOI at the full-portfolio stabilized run-rate during the window, no CG tax at the deal level (pre-tax IRR), no ICP recycling.</t>
  </si>
  <si>
    <t>ENTRY 56 — STR-rate GUIDANCE column + width refactor on the Project Data per-property table (Ricardo requests). Column L 'Guidance — researched STR benchmark': one dynamic TEXT() formula per property stating the researched benchmark and range for its submarket (El Poblado penthouse $25, range $18–28; El Poblado apartment $22, range $18–28; El Retiro estate $10, range $7–12 — sources: TheLatinvestor rent-to-price data, mikezapata El Poblado guide, Properati El Retiro listings, all cited in chat) and judging the live column-K input against the range ("Input $25 is within range" / "ABOVE the researched range"), so the verdicts update automatically when K changes — per the dynamic-prose rule, no typed numbers that can go stale where the input is cited. With all K inputs at $25, the guidance immediately flags the three El Retiro assets (Casa Montana, Casa Monte Sereno, ICP3) as ABOVE range, matching the Entry 53 warning. WIDTHS: J and K normalized from a squeezed 48pt to the table's uniform 97.8pt (headers were unreadable); L set to 300pt with wrap, guidance rows 58-67 at 30pt (2 lines), styled italic grey per descriptor convention. Verified by rendered image: full table legible, all guidance text visible, verdicts correct per row. Master check unaffected (formatting + text only).</t>
  </si>
  <si>
    <t>Entry 57 — Guidance traffic-light rule: added 3 conditional-formatting rules on Project Data L58:L67 (containsText): green #C6EFCE/#006100 'within range', yellow #FFEB9C/#9C6500 'below range', red #FFC7CE/#9C0006 'ABOVE the researched'. Rendered result: 7 green rows, 3 red (El Retiro assets at $25/m² vs $7–12 benchmark). No formula/value changes. Master check: ALL CHECKS PASS. Rule APPROVED by Ricardo and added to the dulcinea-design-standard skill as 'Guidance verification (traffic-light rule)': every benchmarked input gets a formula-driven guidance cell plus these three containsText rules in the same edit; typed verdicts are a defect. ALSO: all 12 section-band ribbons + row-1 title on Project Data extended to full A:L width (rows 4,9,15,19,26,30,35,38,43,56,69,76) — they previously stopped short of the new I–L columns. Formatting only; verified by render.</t>
  </si>
  <si>
    <t>Entry 58 — DELETION LOG + cleanup: stray static constants 0.02 filled Project Data A81:A84 and J81:AC84 (80 cells, all hardcoded value 0.02, no formulas; debris — not referenced by any Model Check formula, which point directly at the statements). Cleared contents per Ricardo ('kill them at the root'). Snapshot: every cleared cell contained the literal 0.02. Master check verified after clear.</t>
  </si>
  <si>
    <t>Entry 59 — PORTFOLIO RE-SELECTION + THE ASK FIX (Ricardo: 'you decide and execute'). (1) El Retiro STR rates set to researched $10/m² guidance (Project Data K61, K62, K65 were $25) — all guidance flags now green; at guidance rents all three El Retiro assets are NOI-negative (Casa Montana −15.1k, Casa Monte Sereno −26.1k, ICP3 −17.8k/yr). (2) Selection re-flagged (Properties B6:B15): IN = Aires de Campestre, San Lucas, ICP2, ICP5 (all El Poblado, all-in 4,698,503, stabilized NOI +99.3k/yr); OUT = Fontanar (weakest El Poblado NOI/$), Casa Montana, Casa Monte Sereno, ICP3 (El Retiro, NOI-negative). Fits $5M raise less 250k WC reserve. Deal-level IRR now 14.4/16.6/18.8% at 3/5/7% appreciation. (3) DEFECT FIXED on The Ask: uses C10:C12 referenced ungated Properties row-16 totals (all ten properties, 9.1M purchases) with a meaningless −9.1M plug; now SUMPRODUCT-gated on selection flags, and B15/C15 relabeled 'Less: acquisitions funded by recycled exit proceeds (staggered timing)' = (643,809) — later ICP buys (Q7/Q12) are financed by Q9-Q10 exit proceeds, not day-1 capital. Balance check 0; master check ALL CHECKS PASS. OPEN STRUCTURAL DECISION for Ricardo: fund horizon is 6 years but deals finish by year 5 (year 6 alone burns −723k of pure burden; cumulative NI −2.46M, MOIC 0.51x). Levers: wind the fund down after final exits (~year 3-4 with current timing), or re-flag more El Poblado ICPs to recycle capital and amortize the fixed burden over more deals. Prior timing anomaly note: pre-fix ending-cash figures reflected the ungated Ask and old selection; re-verify Investor Return after horizon decision.</t>
  </si>
  <si>
    <t>Model horizon (years) — through final selected exit (derived)</t>
  </si>
  <si>
    <t>Interim distributions — surplus cash</t>
  </si>
  <si>
    <t>Acquisition Criteria — Target Property Profile (Buy Box)</t>
  </si>
  <si>
    <t>Entry 60 — WIND-DOWN AT FINAL EXIT + DISTRIBUTION FIX + ICP VIABILITY + BUY BOX (Ricardo: projection as long as necessary to sell the last property; expenses continue through). (1) Project Data: inserted row 8 'Final exit — last selected property sale (model quarter)' = MAX(Properties!S6:S15×B6:B15) = 20; D7 Model horizon converted from blue input 6 to derived =ROUNDUP(D8/4,0) = 5 (recolored black; rows below shifted +1: cost table now 59-68, checks 78-85, refs auto-adjusted; CF traffic-light rules followed). (2) Income Statement rows 47-50 (ServCo CO/US burden, office/tools, legal): gated ×MIN(4,MAX(0,finalQ−(yr−1)×4))/4 — fixed expenses now run exactly through the final sale quarter and stop; year 6 opex = 0, NI = 0. CF confirmed to flow from IS (no independent burden copies). (3) Investor Return DEFECT FIXED: row 8 distributed gross after-tax sale proceeds ignoring pipeline commitments, forcing a −2.94M negative 'distribution' at wind-up. Rewired: interim dist = MAX(0, BS cash − WC reserve ('The Ask'!C14) − all-in of selected-but-not-yet-purchased (O&gt;yr×4) − prior dists). New stream: 0/0/872.5k/1,004.4k/1,385.3k(incl. 250k reserve release), no clawback. B2 policy subtitle now dynamic prose citing Year =D7. MOIC 0.51x→0.65x, IRR #NUM!→−12.5% (honest), payback beyond horizon. (4) ICP3 repositioned to El Poblado apartment target (PD D66 predial 0.60%→0.45%, K66 $10→$22, L66 guidance formula → apartment benchmark; Properties D13 → 'El Poblado, Medellín (repositioned target)'): NOI −17.8k→+24.5k. ALL FIVE ICPs now NOI-positive at guidance rents; only real El Retiro assets (Casa Montana −15.1k, Casa Monte Sereno −26.1k) remain negative — correctly unselected. All 10 guidance flags green. (5) NEW BLOCK Properties B31:N37 'Acquisition Criteria — Target Property Profile (Buy Box)': 6 dynamic-prose criteria (submarket El Poblado $18-28/m²; entry ≥20% below improved comp; all-in ≤ ~$2,733/m² selected avg; NOI&gt;0 at guidance/70% occ/$18k service fee; 24-month staggered cycle; deal IRR 14.4/16.6/18.8% at 3/5/7%). Merged B:N rows, band #1F4E78. Master check ALL CHECKS PASS; verified by render. NOTE: statements keep fixed 6 year columns; year 6 shows '–' (max possible sale quarter across all ten pipeline properties = 20, so 6 columns always suffice). Dashboard prose/charts not yet re-audited against the new wind-down — follow-up.</t>
  </si>
  <si>
    <t>Exit Timing Optimization — Annualized Net Return by Hold Length (USD)</t>
  </si>
  <si>
    <t>Optimal hold (months)</t>
  </si>
  <si>
    <t>Entry 61 — NEW TAB 'Portfolio Strategy' + EXIT-TIMING ANALYSIS + BLOCK MOVE (Ricardo: exit-timing analysis in USD with per-property sell recommendation; then 'all of selected [Properties rows 21:51] need to go to its own tab'). (1) NEW ANALYSIS built first on Properties rows 39-51, then moved: 'Exit Timing Optimization — Annualized Net Return by Hold Length (USD)': per-property LET() formulas computing annualized net return for 18/24/36-month holds — improved comp value grown at appreciation (PD D9), less selling costs (PD D18), gain taxed at 35% ordinary (PD D28) if hold &lt;24 months vs 15% CG (PD D29) if ≥24, plus after-tax stabilized NOI from month 7. Optimal hold = INDEX/MATCH of max scenario; suggested exit qtr = purchase qtr + hold/3. RESULT: every property maximizes at 24 months (13.2-16.1% annualized); 18-month exits lose ~1pt to the 35% rate; 36-month holds decay ~2-3pts (appreciation+NOI &lt; recycle return). Dynamic-prose takeaway row explains the tax cliff + recycling logic. (2) MOVE: Properties rows 21-51 (Total Funds Needed, Exit Sensitivity 3/5/7% + deal IRR strip, Buy Box, Exit Timing grid) moved via native cut (Range.moveTo) to new tab 'Portfolio Strategy' positioned right after Properties — cut-paste preserves all references to Properties/Project Data and intra-block refs; verified ZERO inbound references pointed into the moved zone before the move (workbook-wide formula scan). Blocks now at: Total Funds Needed row 4, Exit Sensitivity rows 6-12, Buy Box rows 14-20, Exit Timing rows 22-33, takeaway row 34 (wrapped, 45pt). Tab styling: navy A1:N1 title band 34pt, grey italic subtitle, freeze rows 1:2, tight widths (A 8 / B 30 / C 210 / D:H 82 / I:N 40). (3) Properties rows 21:51 deleted after the cut (emptied rows, below the load-bearing 6-15 data block; used range now ends row 19). (4) Verified: new tab error-scan clean, all formulas evaluate, master check ALL CHECKS PASS, rendered image confirmed layout. PENDING (Ricardo asked, not yet done): workbook-wide column-width tightening pass on the other reader tabs + dulcinea-design-standard skill updates (column-width rule, tab-order incl. Portfolio Strategy, 24-month exit-timing discipline).</t>
  </si>
  <si>
    <t>Entry 62 — Portfolio Strategy redesign after Ricardo rejected v1 layout: unified B:H report grid (A 8 / B 30 / C 240 / D:H 90); title + both section bands repainted A:H; buy-box lines and takeaway re-merged B:H with wrap, rows sized to content (32/20pt prose, 60pt takeaway); Total Funds Needed styled key-result (#D9EAF7 fill, navy bold); grid header 30pt wrapped; stray I:N formats cleared, I:N reset 48pt. Formatting only, no formula changes; verified by render. Also: Project Data B2 subtitle updated to note per-deal blue inputs live on Properties and feed Portfolio Strategy. STILL PENDING: column-width pass on remaining reader tabs + skill updates (width rule, tab order, exit discipline). ADDED (Ricardo: 'IRR is the ultimate measure'): deal-level IRR row 12 given key-result treatment (#D9EAF7, navy bold, gold base-case cell kept); new row 13 'Fund-level Investor IRR (net of overheads)' = link to 'Investor Return'!C18 (green font, −12.5%) with dynamic note quantifying the fixed-overhead spread ($575K/yr = IS C47:C50). Verified by render.</t>
  </si>
  <si>
    <t>Entry 63 — 10-YEAR EXTENSION (Ricardo: 'extend period to 10 years and cut all overhead once last property is sold' — overhead cut already live per Entry 60 gating; this entry = the extension). (1) _Qtr Engine widened 24→40 quarters: column Z copied → AA:AP (rows 3-95); row 3 =COLUMN()-2 so quarters 25-40 / years 7-10 generate correctly; spot-checked AP83. (2) 775 formulas workbook-wide widened from '_Qtr Engine'!$C$n:$Z$n → $AP$n. (3) Annual tabs extended by copying column H → I:L (rows 4+ to protect title merges): Property Detail (181r), Income Statement (72r), Statement of Cash Flows (63r), Balance Sheet (20r), Investor Return (19r). Year headers verified rendering 'Year 7'-'Year 10' (Oct-32 – Sep-36). (4) Same-row C:H year-span refs widened to C:L on PD checks/IR/BS/IS/CF/PropDetail/The Ask (19 formulas); D80 RE check → BS L17-equivalent via span; D83 distributions check repointed BS H7→L7. (5) DEFECT INTRODUCED+FIXED: the H8 interim-distribution formula got a wrong BS L7 ref and I8 acquired a circular SUM($C$8:L8) from the widening regex, zeroing the whole IR summary — fixed by re-copying the clean D8 pattern → E8:L8 and setting C15 = SUM(C8:L9). Post-fix flows identical to pre-extension: 0/0/872.5k/1,004.4k/1,385.3k then zeros; MOIC 0.65x; IRR −12.5%; payback formula auto-widened to $C$11:$L$11. (6) Title bands + column widths extended I:L on all five tabs. (7) Dashboard: B2 horizon prose now dynamic ('5-year program (through final exit)' via D7); B37/B48/B61 spans widened C:L; B48 rewritten honestly (old text claimed NI turns positive Year 2 — false): 'strongest in Year 3 at ($33,669)…'; negatives now parenthesized. KNOWN LIMITATION: the 4 Dashboard charts still plot years 1-6 (C:H chart-data rows 64-72) — fine while final exit ≤ year 6; if deals are re-timed into years 7-10 the charts need re-sourcing to C:L. Master check ALL CHECKS PASS; zero Excel errors across all extended tabs (full sweep).</t>
  </si>
  <si>
    <t>Entry 64 — YELLOW REMOVED + COLOMBIAN BURDEN CUT (Ricardo). (1) All 7 gold #FFF2CC base-case fills (Portfolio Strategy F6:F12) restyled to light blue #D9EAF7 — workbook-wide sweep found no other gold cells; rule proposed for dulcinea-design-standard: no yellow/gold anywhere, base-case highlight = #D9EAF7. (2) ServCo Personnel Colombian allocations lowered to Ricardo's ServCo Model 01 side-file minimums (H8:H11): Country Manager 100%→60%, Asset &amp; Renovation Manager 100%→85%, Guest Operations Manager 100%→90%, Controller 100%→50%. Allocated CO burden 332,233→230,029/yr — matches side model to the dollar (84,466/71,796/45,612/28,155). Payroll loads already 1.45 COP / 1.15 US, matching side file. US allocations left at 33% (side file shows 25/20% — offered, not applied; Ricardo said Colombian only). RESULT: total fixed overhead 575K→473K/yr; MOIC 0.65x→0.77x; Investor IRR −12.5%→−8.2%; distributions total 3,829,151. Master check ALL CHECKS PASS; verified by render. (3) Standing language rule saved to user instructions: never use 'honestly'/'honest' framing in chat or cell text. Skill update with no-yellow rule + column-width discipline + Portfolio Strategy tab order + 24-month exit discipline + 10-year-frame notes pending Ricardo review.</t>
  </si>
  <si>
    <t>Entry 65 — 7-DEAL RECYCLING PROGRAM + US BURDEN 20% + CHECK REPAIRS (Ricardo: cost-plus stands, Dulcinea pays ServCo; approved US personnel to 20%; personnel always paid, never zeroed). STATE RECONCILED after several cancelled tool batches: the 7-deal selection HAD landed (flags: Aires, San Lucas, ICP1-ICP5 = 1; Fontanar + El Retiro = 0) with cascade timing; US allocations landed at 20%/20% (H6:H7); CO stays 60/85/90/50. REPAIRS: (1) RE-rollforward check D80 anchor 'Balance Sheet'!H17→L17 (stale year-6 anchor). (2) Distributions-reconcile check is D84 (not D83 — Entry 63's repoint was a no-op on the wrong row): 'Balance Sheet'!H7→L7. (3) Interim distributions (IR row 8) gated ×(year≤D7) so nothing distributes after wind-up; pattern D8 re-copied E8:L8. (4) FEASIBILITY FIX: cascade had year-4 ending cash −139,565 (infeasible); ICP4 buy Q13→Q17, ICP5 Q17→Q18 — both funded by ICP2's Q17 exit. FINAL STATE: 7 deals, buys Q1/2/5/9/10/17/18, exits Q9/10/13/17/18/25/26; final exit Q26, horizon 7 years (derived); annual ending cash positive every year (trough 40,394 in year 3 — inside the 250K reserve, tight); total distributions 4,487,053; MOIC 0.90x; Investor IRR −2.0%; ALL CHECKS PASS. Progression this session: −2.46M net/-#NUM! → −513K net/−2.0% via wind-down gating, CO burden 332K→230K, US 465K-tier→80.5K/yr, 4→7 deals recycled through the same 5M. REMAINING GAP ~513K: levers = entry discounts &gt;20% on ICP negotiations, office/legal trim, or an 8th recycled deal (Fontanar re-entry is capital-blocked before Q9 exits — would need its own cascade slot ~Q11+). THEN (Ricardo: 'include more deals'): Fontanar re-selected as 8th deal (B7=1), buy re-timed Q1→Q18 (funded by ICP2/ICP3 exits Q17/18), sell Q26 — no horizon extension, no added overhead quarters. RESULT: distributions 4,887,639; MOIC 0.98x; IRR −0.4%; cash positive all years (troughs: 40K yr3, 113K yr6); ALL CHECKS PASS. Pipeline now structurally full: 8 of 10 rows selected, the 2 El Retiro assets fail the buy box. Adding deals beyond 8 requires expanding the Properties 10-row data block (load-bearing refactor: engine INDEX+5 arithmetic, 7 engine blocks, cost table, guidance CF) — flagged to Ricardo, not executed.</t>
  </si>
  <si>
    <t>Entry 66 — ENTRY DISCOUNT 20%→30% (Ricardo). All 10 per-property entry-discount inputs (Project Data J59:J68) raised to 30%. RESULT (8-deal program unchanged): deal-level IRR 21.9/24.3/26.6% at 3/5/7% appreciation; fund-level: distributions 6,527,592, net profit +1,527,592, MOIC 1.31x, Investor IRR +4.9%, payback year 7 — FIRST POSITIVE INVESTOR RETURN of the build. Cash positive all years (trough 360,727 yr3). Buy-box line 2 auto-updated to 'at least 30%' (dynamic ref). ALL CHECKS PASS. ASSUMPTION RISK flagged: 30% below fully-improved comparable on every acquisition is the model's most sensitive input — sourcing discipline must actually deliver it; at 20% the fund is −0.4%, so roughly each discount point ≈ +0.5pt of Investor IRR.</t>
  </si>
  <si>
    <t>Equity capital called (per acquisition schedule)</t>
  </si>
  <si>
    <t>Contributed capital (cumulative calls)</t>
  </si>
  <si>
    <t>Capital called (per acquisition schedule)</t>
  </si>
  <si>
    <t>Entry 67 — CAPITAL-CALL STRUCTURE (Ricardo approved). Rewired from day-1 lump to need-based calls: CF row 47 'Equity capital called (per acquisition schedule)' = MIN(remaining commitment, MAX(0, reserve − (beginning cash + operating + investing))) — draws only what keeps ending cash at the 250K reserve, capped at the 5M commitment; BS row 16 contributed capital = cumulative calls; IR row 7 = −calls per year; IR row 8 hold-back now nets UNCALLED commitment against future pipeline needs (MAX(0, futureBuys − uncalled)); IR C14 total invested = SUM of calls; IR B2 subtitle dynamic with drawn/commitment amounts. RESULTS: calls 2,659,259 / 1,555,979 / 674,035 (yrs 1-3) = 4,889,273 total — 110,727 of the commitment is never drawn; ending cash pinned at 250,000 yrs 1-3 then grows; distributions 1,197,838 (yr5) + 5,219,027 (yr7 liquidation) = 6,416,866; net profit +1,527,592 unchanged; MOIC 1.31x on called capital; Investor IRR 4.9%→5.6%; payback yr 7. ALL CHECKS PASS (BS balance + cash tie validate the call mechanics). FINDING: the IRR gain from calls is modest (+0.7pt, not the estimated +5pts) — the old early distributions were merely returning idle un-needed capital, which calls now avoid raising; the true binding constraint is program DURATION: recycling locks capital 7 years at 1.31x ≈ mid-single-digit IRR. Levers for an attractive headline: shorten the program (fewer/parallel cycles) or raise per-cycle capture.</t>
  </si>
  <si>
    <t>Entry 68 — PARALLEL TWO-WAVE PROGRAM (Ricardo approved compression). Timing rewired to maximum parallelism within the 5M commitment: WAVE 1 at Q1 = Aires + San Lucas + ICP1 (3.02M, exits Q9); WAVE 2 at Q9 = Fontanar + ICP2 + ICP3 (4.27M, funded by wave-1 exit proceeds + remaining calls, exits Q17). ICP5 dropped (solo tail: 6 extra overhead quarters ~740K to earn ~550K); ICP4 dropped after testing — 7-deal parallel config ran cash to −955K in year 4 (commitment cap binding; infeasible), and ICP4@Q11 was the breaking buy. FINAL: 6 deals, 7.29M total deployed on 5M called (recycled once), final exit Q17, horizon 5 years (derived); calls 3,803,230/409,477/373,647/413,645 = 5,000,000 (fully drawn); ending cash ≥ 230,151 every year (year 4 dips 20K below the 250K reserve target — call cap binding, flagged as tolerable); single liquidation distribution 6,456,721 in year 5. RETURNS: net +1,456,721; MOIC 1.29x; Investor IRR 7.5%; payback year 5. ALL CHECKS PASS. Config is at the capital frontier — no further deal fits without breaching the commitment. Comparison logged: 8-deal/7-yr sequential = 1.31x/5.6% vs 6-deal/5-yr parallel = 1.29x/7.5% — near-identical multiple, +1.9pts IRR, two years shorter.</t>
  </si>
  <si>
    <t>Entry 69 — TWO-WAVE STORY SWEEP (Ricardo: update workbook to reflect latest program). Workbook-wide stale-language scan (stagger/counts/horizons) found 4 cells + 1 defect: (1) Cover B4 → dynamic '"&amp;D7&amp;"-year two-wave buy–renovate–rent–sell program' (was static 'Six-year'). (2) Dashboard B11 label → dynamic count 'Total all-in investment, 6 properties across two waves'. (3) DEFECT: Dashboard C11/C12 KPIs referenced ungated Properties row-16 totals (N16=13.2M all-in, U16=21.5M exit — all ten properties); now selection-gated SUMPRODUCTs → 7,290,332 deployed / 11,923,858 gross exit (same class of bug fixed on The Ask in Entry 59). (4) Portfolio Strategy B19 buy-box line 5 → two-wave language with dynamic final-exit quarter (17). (5) The Ask B15 label → 'Less: Wave-2 acquisitions funded by Wave-1 exit proceeds'. All verified rendered; master check ALL CHECKS PASS. THEN full design/format audit (Ricardo: money numbers must have commas): workbook-wide scan of all 13 reader tabs for comma-less numerics ≥1,000, non-Aptos fonts, and gold/yellow fills. Findings: 0 font strays, 0 off-palette fills, 17 comma-less cells — all Properties I6:J15 (Purchase Price / Renovation Budget, COP M inputs, General format) → set to #,##0. Verified rendered with separators.</t>
  </si>
  <si>
    <t>Entry 70 — Ricardo manual formatting pass (logged for the record): full-sheet format change on Portfolio Strategy and a tweak at Properties I6. Post-change state verified by read-back: Portfolio Strategy fonts all in the Aptos family (Aptos 11/12/14, Aptos Narrow 11/12), fills only on-palette (#1B2A4A navy, #1F4E78 header blue, #D9EAF7 light blue) — no strays introduced; Properties I6 still #,##0 rendering '2,060'. No values or formulas changed; master check unaffected. Workbook state at this point: 6-deal two-wave program, final exit Q17, horizon 5 yrs, capital calls 5,000,000 fully drawn, MOIC 1.29x, Investor IRR 7.5%, ALL CHECKS PASS.</t>
  </si>
  <si>
    <t>Total property operating expenses</t>
  </si>
  <si>
    <t>Net Operating Income (NOI, property level)</t>
  </si>
  <si>
    <t>General &amp; Administrative</t>
  </si>
  <si>
    <t>Operating Income (EBITDA)</t>
  </si>
  <si>
    <t>Entry 71 — GAAP OPEX RESTRUCTURE (Ricardo accepted proposal; also fixes his font-size flag on rows 37:66). PRE-CHANGE SNAPSHOT of IS rows 36-52 (flat block, order): band 'Operating Expenses'; Predial=PD!C169, Insurance=C170, HOA=C171, Utilities&amp;maint=C172, Maint reserve=C173, Housekeeping=C174, ICA=C175, AM fee=SUMIF(engine C57:AP57)×D32/4, PropMgmt=C176, Service fees=C177, ServCo CO=I16×infl^×gate, ServCo US=I15..., Office=I19..., Legal=D37×gate, GMF=D25×(acq+capex+SUM(C37:C50)), Total=SUM(C37:C51)=625,982.07 yr1. Rows 47-49 were 11pt (font defect). RESTRUCTURE: inserted 4 rows above old row 52; new order per US GAAP / ASC 970 / REIT convention: Property Operating Expenses (variable first: housekeeping, property mgmt, ICA; then fixed: predial, insurance, HOA, utilities, maint reserve, service fees) → Total property opex → NOI (=rental revenue − property opex, key-result row); General &amp; Administrative band (AM fee, ServCo CO/US, office, legal, GMF w/ SUM repointed to line items only) → Total G&amp;A → Total operating expenses = property + G&amp;A (old row 52 object, all inbound refs follow). Sales stay GROSS (dealer/inventory treatment per ASC 606 — properties bought to renovate &amp; sell; consistent no-depreciation). EBITDA row relabeled 'Operating Income (EBITDA)'. All fonts normalized to 12pt statement body. POST-CHANGE VERIFIED: Total opex yr1 = 625,982 (identical pre/post — pure regrouping); property opex 145,633 → NOI −53,180 yr1 / +77,556 yr2 (ramp-up visible for the first time); G&amp;A 480,349 yr1; NI unchanged all years; The Ask C13 auto-followed to IS C56; ALL CHECKS PASS; rendered image confirmed layout; B38 label shortened to fit; EBITDA row (69) relabeled 'Operating Income (EBITDA)'.</t>
  </si>
  <si>
    <t>FORCED ASSUMPTIONS REGISTER — what the model needs to be true (internal working tab)</t>
  </si>
  <si>
    <t>Assumption (forced)</t>
  </si>
  <si>
    <t>Value (live where formula)</t>
  </si>
  <si>
    <t>What it replaced</t>
  </si>
  <si>
    <t>Risk if wrong</t>
  </si>
  <si>
    <t>Entry discount on EVERY acquisition — the single biggest lever</t>
  </si>
  <si>
    <t>STR rents at researched benchmark ceilings with 70% occupancy</t>
  </si>
  <si>
    <t>ServCo allocations at side-model minimums (US 20/20%, CO 60/85/90/50%)</t>
  </si>
  <si>
    <t>Every property sells at exactly month 24</t>
  </si>
  <si>
    <t>Exit prices are comps-based, NOT income-based</t>
  </si>
  <si>
    <t>Three of six selected deals are pipeline placeholders (ICP1–ICP3); ICP3 repositioned from El Retiro to an El Poblado profile to clear the buy box</t>
  </si>
  <si>
    <t>Fixed TRM throughout — no FX path modeled</t>
  </si>
  <si>
    <t>20% original underwriting</t>
  </si>
  <si>
    <t>No operating history — rates from listings research, occupancy assumed</t>
  </si>
  <si>
    <t>US 33%, Colombia 100%</t>
  </si>
  <si>
    <t>Open-ended holds</t>
  </si>
  <si>
    <t>Legacy 5.8% yield-on-cost exits</t>
  </si>
  <si>
    <t>Sequential 7-year cascade</t>
  </si>
  <si>
    <t>Day-1 lump 5M</t>
  </si>
  <si>
    <t>Named, inspected properties</t>
  </si>
  <si>
    <t>COP/USD volatility</t>
  </si>
  <si>
    <t>Overhead ran the full model horizon</t>
  </si>
  <si>
    <t>At 20% the fund is ~breakeven (−0.4% IRR); each point of discount ≈ +0.8pt fund IRR. No purchase yet proves 30% is achievable.</t>
  </si>
  <si>
    <t>Rents are top-of-range for penthouses; 60% occupancy cuts rental NOI roughly a third.</t>
  </si>
  <si>
    <t>Team must run up to 6 concurrent deals at fractional hours; under-resourcing risks renovation and exit delays.</t>
  </si>
  <si>
    <t>Wind-up costs, warranty claims, or a slow final sale extend the burden beyond the gate.</t>
  </si>
  <si>
    <t>ICP1, ICP2, ICP3 (placeholders)</t>
  </si>
  <si>
    <t>Entry 72 — NEW INTERNAL TAB '_Forced Assumptions' (Ricardo request: working tab pointing out key assumptions forced onto the model to make it work). Placed just before _Handoff, plain internal formatting (exempt from brand styling). 11-row register: # / Assumption / live value (TEXT formulas against Project Data, ServCo Personnel, Investor Return, CF calls) / what it replaced / risk if wrong. Items: (1) 30% entry discount everywhere — biggest lever, ~breakeven at 20%; (2) 7% appreciation = top of researched range; (3) benchmark-ceiling STR rents at assumed 70% occupancy; (4) ServCo allocations at side-model minimums; (5) all exits at exactly month 24 (CG-tax cliff + cascade timing); (6) comps-based exits with ~0.8–1.7% effective exit cap — buyer is a consumer, not an investor; (7) perfect two-wave recycling (cash pinned at reserve, 230K trough yr 4); (8) capital calls drawn on schedule; (9) three of six deals are ICP placeholders, ICP3 repositioned to clear the buy box; (10) fixed TRM, no FX path; (11) clean wind-down, overhead gated at final sale. Live values verified rendering (30%, 7%/yr, $25/m²·70%, 20%/20%·$310,529/yr, qtr 17, 5 yrs·1.29x·7.5%, calls 3,803K/409K/374K, TRM 3,090). ALSO: Ricardo applied manual format touch-ups on IS B36:L56 zone post-restructure (logged, no value changes).</t>
  </si>
  <si>
    <t>Entry 73 — ALL-TABS UPDATE SWEEP (Ricardo: 'update all tabs'). Stale-methodology scan across 13 reader tabs. DELETION LOG: Project Data G58:G68 'Exit cap rate' input column (header + ten blue 5.8% inputs, format 0.00%) — orphaned since the comps-based exit switch (Entry 46-47), ZERO formula references confirmed by workbook-wide scan. Column repurposed as 'Implied exit cap (diagnostic)' = Properties V/U per property (black derived, 0.00%), filling the table gap with the effective-cap diagnostic Ricardo requested earlier. H58 relabeled 'Implied NOI yield on all-in cost (derived)' (was 'Implied yield on cost'). REWRITES (old text described the abandoned cap-rate methodology — 'NOI = exit value × cap rate'): Dashboard B7 thesis line → entry-discount + appreciation methodology with implied-cap diagnostic; Glossary C9 (Renovation Value Uplift), B10/C10 (→ 'Implied Exit Cap Rate (diagnostic)'), C11 (Exit Value = all-in ÷ (1−discount) × (1+appreciation)^hold) — all dynamic TEXT() formulas; Glossary C59 legend EBITDA → Operating Income (EBITDA).</t>
  </si>
  <si>
    <t>Section header or key-result row (Net Income, Operating Income (EBITDA), Total Assets/Equity, Ending Cash, portfolio totals).</t>
  </si>
  <si>
    <t>Simulated profile — Edificio Cerros del Vergel, Apto 1501 (Penthouse), Cra 32 #9-45, El Poblado, Medellín</t>
  </si>
  <si>
    <t>Entry 74 — FIX-ALL PASS (Ricardo: 'fix all'). (1) Column-width discipline applied workbook-wide (owed since Entry 62): statement value columns C:L 118→100pt (IS, CF, BS, Investor Return; ServCo Financials C:H), The Ask C 135→110, Properties address E 577→250 wrapped; designated prose/label/canvas columns untouched (Cover, Dashboard chart canvas, Glossary C 640, PD B/C/L, Properties C/AE media links). (2) Vertical centering applied to used range of all 15 tabs (standing pref). (3) Properties rows 6-15 autofit + 18pt floor after address wrap (row 10 floored 15→18). (4) ICP3 consistency: location 'El Poblado, Medellín' (was clipping with repositioned note), simulated address moved from El Retiro profile to an El Poblado penthouse profile, Status now carries 'repositioned from El Retiro'. (5) Error sweep all tabs: only known Dashboard F1 #VALUE! in-cell image. Master check ALL CHECKS PASS. Verified by renders (IS 100pt columns, Properties table clean).</t>
  </si>
  <si>
    <t>Simulated — repositioned from El Retiro</t>
  </si>
  <si>
    <t>Sensitivity — Entry Discount × Market Appreciation → Portfolio Deal-Level IRR</t>
  </si>
  <si>
    <t>Entry discount ↓ \ Appreciation →</t>
  </si>
  <si>
    <t>Entry 75 — AUDIT FIXES (Ricardo: 'fix all' after /audit-xls model-scope audit; audit found 0 critical / 1 warning / 3 info; independent recomputation of all integrity ties = clean, gaps 0 across 10 years). (1) NEW sensitivity grid Portfolio Strategy rows 36-42: Entry Discount (20-40%, 5 rows) × Appreciation (3/5/7%) → portfolio deal-level IRR via LET+HSTACK 3-point strip; base case 30%×7% highlighted #D9EAF7; VALIDATED: 30% row = 22.0/24.3/26.6% exactly matching the live D12:F12 strip. Grid shows the risk shape: at 20% discount the deals earn 14-19% (fund ~breakeven); at 25% ≈ 18-22%. (2) Bare ×0.5 literal in strip t=1 rows (D10:F10) rewritten ×6/12 (self-documenting months/12). (3) Dashboard chart-data rows 63-72 converted from plain-hidden to a proper collapsed row GROUP (+/- toggle; charts verified plotVisibleOnly=false so plotting unaffected). (4) Dashboard B48 commentary extended with the year-4 structural note: 'Year 4 dips to ($433,495) operating income as Wave 2 is held with full G&amp;A and no exits' (dynamic TEXT ref to IS F69). One failed intermediate write (LET paren bug) corrected before verification. Master check ALL CHECKS PASS; grid + note verified by render/read-back.</t>
  </si>
  <si>
    <t>Entry 76 — FULL-WORKBOOK PASS: calculations + formatting + design (Ricardo: 'entire workbook'). Tab-by-tab render review. FIXES: (1) Cover — Workbook Guide refreshed (Portfolio Strategy row inserted at 15; Properties '5 named + 5 placeholders + selection flag'; IS 'property opex vs G&amp;A with NOI subtotal'; IR 'capital calls, surplus-cash distributions'); section bands extended A:J to content width; new guide row unwrapped/30pt. (2) Dashboard — B5 opportunity line drops El Retiro as acquisition market; B6 rewritten as pipeline-vs-selected framing (dynamic counts, 7.29M deployed on 5M called); B11 KPI label shortened; C13 Gross gain KPI GATED (was ungated Properties!AA16 = 7.55M all-ten → SUMPRODUCT selected = 4.18M); B25 chart commentary relabeled pipeline-vs-fund; B34 flows commentary rewritten for capital calls + Year-5 liquidation (was 'distributions begin Year 3'). (3) Glossary — Stabilized Gross Rent / Stabilized NOI / Stabilized Occupancy definitions rewritten off the dead cap-rate methodology to STR-rate methodology (dynamic). (4) ServCo Personnel — Allocation Policy lines were STALE (said CO 100% / US 33%): now dynamic '50%–90% by role' / '20% per role'. ServCo Financials — subtitle shortened to fit; program-total label dynamic 'through final exit, Year 5'. (5) CALCULATION DEFECT FOUND &amp; FIXED: per-property engine detail rows on Statement of Cash Flows (300 formulas) and Property Detail (900 formulas) used INDEX(base+property#) while engine blocks are POSITION-ordered 1-7,9,10,8 — three-way cyclic mis-attribution across ICP3/ICP4/ICP5 rows (e.g. CF 'ICP5' row showed ICP3's 1,563,916 release; Property Detail block 10 memos showed ICP3's buy/sale). Rewritten to INDEX(base+MATCH(property#, engine $B block,0)) — order-proof; INDEX ranges standardized C:AP. Totals were never affected (whole-block sums); attribution now correct (block 8 ICP3 carries 1.56M buy yr3 / 2.34M net sale yr5; blocks 9-10 zero). Master check ALL CHECKS PASS throughout; zero formula errors. BS/IR/The Ask rendered clean, no changes needed.</t>
  </si>
  <si>
    <t>Key result / subtotal row (light-blue fill); navy bands are section headers</t>
  </si>
  <si>
    <t>Guidance verdicts — automatic traffic lights vs researched benchmarks: green within range · yellow below · red above</t>
  </si>
  <si>
    <t>Entry 77 — COVER REFACTOR (Ricardo: 'color coding as per cover makes no sense; refactor cover tab'). Problems: double-height section bands (rows 5+6, 11+12, 22+23 all band-filled — label sat on the second row), sage-green #5B6F3A subtitle (off-palette), and a legend that was wrong ('all on Project Data' — per-deal inputs live on Properties) and incomplete (no key-result fill, no traffic-light verdicts, a pointless external-links sample for links that do not exist). REBUILT: navy strip across A1:J1; subtitle recolored grey; single-row bands at 5/11/22 (22pt) with duplicate rows 6/12/23 cleared; legend rows 6-10 rewritten — indigo input sample (levers on Project Data + per-deal terms &amp; flags on Properties), black formula sample, light-blue key-result sample, green 'within range' traffic-light sample with green/yellow/red explanation, italic zeros/negatives/USD note; samples relocated to column F so descriptions do not clip; external-workbook row dropped. Verified by render; guide + confidential sections intact.</t>
  </si>
  <si>
    <t>Entry 78 — EXIT TIMING GRID GATED TO SELECTED PROPERTIES ONLY (Ricardo: 'sensitivity should include activated properties only, no?'). The sensitivity block (rows 4-12) was already correctly SUMPRODUCT-gated on the selection flag; the Exit Timing Optimization grid below it (rows 24-33) was NOT — it listed all 10 pipeline properties including the 4 deselected (Casa Montana, Casa Monte Sereno, ICP4, ICP5). REBUILT: B24 = dynamic FILTER(Properties!$A$6:$A$15, Properties!$B$6:$B$15=1) spilling the 6 selected property indices (1,2,3,6,7,8); C24:H24 re-seeded referencing $B24 and filled down to row 29 (6 rows, was 10); rows 30-33 cleared (no longer needed). Takeaway row 34 MEDIAN(G24:G33)→MEDIAN(G24:G29), label 'every property'→'every selected property'. Result: grid now shows only Aires/Fontanar/San Lucas/ICP1/ICP2/ICP3, all 22-23% at the 24-month optimal hold. Self-maintaining going forward — the grid will resize automatically if the selection changes. Verified by render; master check ALL CHECKS PASS.</t>
  </si>
  <si>
    <t>Entry 79 — TWO TOTALS ROWS on Properties (Ricardo: 'one row with absolute totals and another row with only activated properties totals'). Row 16 relabeled 'Total Portfolio (all 10, incl. pipeline)' — B16 changed from SUM(B6:B15) (which duplicated the selected count) to COUNT($A$6:$A$15)=10; all value columns (G-N, U-W) remain plain SUM across all ten, unchanged. NEW row 17 'Selected Portfolio Total': B17=SUM($B$6:$B$15)=6; G17:N17, U17:W17 = SUMPRODUCT($B$6:$B$15,col) — gated on the selection flag. Result: size 4,379 vs 2,528 m²; all-in 13,174,717 vs 7,290,332; exit value 21,548,190 vs SUMPRODUCT-gated selected exit. Both rows key-result styled (#D9EAF7, navy bold), row 17 20pt. Confirmed zero downstream formulas referenced the old B16 value — safe to repurpose. Master check ALL CHECKS PASS; verified by render.</t>
  </si>
  <si>
    <t>Entry 80 — FONT/DESIGN FIX on Properties rows 16-17 (Ricardo: 'mind font sizes and design'). Ricardo's manual pass had set row 17 to 12pt with B17 in Aptos Narrow, mismatching row 16's 14pt Aptos — both are key-result totals of the same hierarchy, so unified row 17 to 14pt Aptos throughout. Also closed a pre-existing gap: column X (implied asking rent) had a total on row 17 (61,640) but none on row 16 — added X16=SUM(X6:X15) with matching 14pt key-result style. No value changes elsewhere; verified by render, master check unaffected.</t>
  </si>
  <si>
    <t>Carolina's House</t>
  </si>
  <si>
    <t>Llanogrande, Antioquia</t>
  </si>
  <si>
    <t>Backup — insufficient data for underwriting (no size, price, or terms in source)</t>
  </si>
  <si>
    <t>Catay 5 Duplex</t>
  </si>
  <si>
    <t>Rancho Llanogrande</t>
  </si>
  <si>
    <t>Casa/Lote Represa El Retiro</t>
  </si>
  <si>
    <t>Entry 81 — DOC COLOR COLUMN + 4 BACKUP PROPERTIES ADDED (Ricardo, from Dulcinea portfolio overview doc 8/26/26). (1) COLUMN INSERT: new column C 'Doc Color' inserted between B (Selected) and C (Property) — native Range.insert(right), which auto-adjusted every cross-sheet formula referencing Properties columns D onward (verified: zero #REF! errors across all 14 tabs, spot-checked Portfolio Strategy D4 SUMPRODUCT formula correctly repointed, master check ALL CHECKS PASS). Populated for existing 10: Aires/Fontanar=Green (compraventa signed), San Lucas/Casa Montana/Casa Monte Sereno=Yellow (negotiated, not signed), ICP1-5='N/A (simulated)' — not in source doc, distinct from real deal colors. Color-coded fills matching doc highlight colors (green/yellow/grey). (2) ROW INSERT: 4 new rows 16-19 for the doc's 'OTHER FINALISTS' (turquoise/backup category) — Carolina's House (Llanogrande), Catay 5 Duplex (El Poblado), Rancho Llanogrande (Llanogrande), Casa/Lote Represa El Retiro (El Retiro) — inserted AFTER row 15 (outside the load-bearing 6:15 data block and outside every SUM/SUMPRODUCT range), so existing totals, engine, and all cross-sheet SUMPRODUCT($B$6:$B$15,...) formulas are structurally unaffected. Each backup: A=11-14 (sequential index, not engine-referenced), B=0 with yellow fill (flags missing info per Ricardo instruction), C='Turquoise', D=name, E=location (inferred from doc), G=status note ('Backup — insufficient data for underwriting'); no size/price/cost data exists in source so those columns left blank (grey font, not zero — avoids corrupting any future SUM). Old redundant 'Back-Up Pipeline' text note (was C18:C19, shifted to D22:D23) cleared. Total Portfolio row (now 20) and Selected Portfolio Total (now 21) verified unchanged: 10/4,379/... and 8/3,539/... — the 8-selected count reflects Ricardo's manual flag changes this session (added Casa Montana, Casa Monte Sereno; toggled ICP3). Master check ALL CHECKS PASS; zero formula errors workbook-wide (only known Dashboard F1 in-cell image). Verified by render at each step.</t>
  </si>
  <si>
    <t>Entry 82 — SPHERE ICONS on Doc Color column (Ricardo: 'I want the sphere icons you used here'). Added Unicode circle glyphs prefixed to each label: 🟢 Green, 🟡 Yellow, ⚪ N/A (simulated), 🔵 Turquoise. CAVEAT LOGGED: the getImage() render in this session shows the emoji as monochrome/textured circles, not solid color — this may be a renderer-specific limitation (color-emoji font fallback) rather than how Excel displays them for Ricardo. To de-risk, RESTORED the colored cell fill behind each glyph (same fills as Entry 81: green #C6EFCE, yellow #FFF2CC, grey #F2F2F2, cyan #B2EBF2) so the color signal survives regardless of whether the glyph itself renders in color on Ricardo's system. Row-height task from this turn (uniform heights 6:19) was NOT completed — an autofit-then-max-height op was cancelled mid-run; still owed.</t>
  </si>
  <si>
    <t>Entry 83 — Total Portfolio row widened to true absolute total (Ricardo: 'this row should have absolute totals'). Row 20 SUM/COUNT ranges extended 6:15→6:19 (now covers all 14 listed properties incl. the 4 backups added in Entry 81); B20=COUNT($A$6:$A$19)=14 (was 10); D20 relabeled 'Total Portfolio (all 14, incl. backups)'. Row 21 (Selected Portfolio Total) SUMPRODUCT ranges also widened to $6:$19 for consistency/future-proofing — backups carry B=0 and blank numeric cells so no value changed (still 8 selected, 3,539 m² etc.), but the formula now correctly scopes the full property universe rather than silently excluding rows outside the original 10. Master check ALL CHECKS PASS; verified by render.</t>
  </si>
  <si>
    <t>Entry 84 — Removed yellow fill from Properties column B (Ricardo). Cleared B16:B19 (the four backup-property activation cells, previously yellow #FFEB9C flagging missing data per Entry 81). Scanned full column B1:B21 for other yellow instances — none found; only remaining fill is the standard #D9EAF7 key-result styling on rows 20/21 (Total Portfolio / Selected Portfolio Total), untouched. Verified by render.</t>
  </si>
  <si>
    <t>Entry 85 — DOC COLOR: icon-only dropdown + legend (Ricardo: legend below table, remove color name from column C, user should be able to select color). (1) C6:C19 stripped to sphere glyph only (no text label). (2) Data validation dropdown added (in-cell list of the 4 glyphs 🟢🟡⚪🔵) — user can now click any cell and pick a color from the dropdown. (3) Manual fills replaced with 4 conditional-formatting rules (containsText) so the cell fill follows whichever glyph is selected — changing the dropdown automatically recolors the cell, no manual re-fill needed. (4) Legend added at C23:D27 below the totals: swatch + meaning for each of the 4 colors (Green=signed, Yellow=negotiated, N/A=simulated placeholder, Turquoise=backup). Verified by render. Master check ALL CHECKS PASS.</t>
  </si>
  <si>
    <t>Entry 86 — FULL WIDTH/FONT AUDIT on Properties (Ricardo: 'audit and adjust all columns widths and font sizes'). Found and fixed: (1) title band was A1:H1 only (18pt) with a DISCONNECTED fragment at AE1 (separate 14pt navy fill, leftover from a prior column shift) — unified into one full-width A1:AF1 band at 18pt. (2) Subtitle row 2 had stray mismatched formatting (B2:C2 in Aptos Narrow 10pt, D2 italic grey 10pt, other cells plain 11pt) — normalized: D2:AF2 uniform 11pt italic grey subtitle, rest of row 2 cleared to plain default. (3) Column widths: icon column C (Doc Color, now icon-only) tightened 95→55pt; value columns H:AE (24 columns) tightened 108→95pt to sit within the house 80-100pt target; column B widened 62→70pt for its wrapped header. Prose columns D/E/F/G/AF left as-is (already appropriately sized to content: 230/135/250/230/220). (4) Header row 5 autofit + floored to 30pt so wrapped headers (e.g. 'Selected (1 = in fund)') display without clipping. Final widths: A:22 B:70 C:55 D:230 E:135 F:250 G:230 H:95 I:95 J:95 K:95 L:95 M:95 N:95 O:95 P:95 Q:95 R:95 S:95 T:95 U:95 V:95 W:95 X:95 Y:95 Z:95 AA:95 AB:95 AC:95 AD:95 AE:95 AF:220. Master check ALL CHECKS PASS; verified by render.</t>
  </si>
  <si>
    <t>Entry 87 — Doc Color selector shows circle + name (Ricardo: 'selector does not show colors. Should show color circle and name of color' — supersedes Entry 85's icon-only request). Dropdown list source rebuilt: 🟢 Green, 🟡 Yellow, ⚪ N/A, 🔵 Turquoise (each option now shows the glyph plus the color name, not a bare icon). C6:C19 cell values updated to match (icon+name). Column C widened 55→95pt to fit the longer text. Conditional-format fills (green/yellow/grey/cyan) still apply correctly since they match on the leading glyph character. Master check ALL CHECKS PASS; verified by render.</t>
  </si>
  <si>
    <t>Entry 87 — DOC COLOR SELECTOR + TURQUOISE ACTIVATION GUARD (Ricardo, two requests). (1) Selector upgraded: dropdown options now show circle + color name (🟢 Green / 🟡 Yellow / ⚪ N/A / 🔵 Turquoise) instead of bare icons — supersedes Entry 85's icon-only format; C6:C19 values updated to match; column C re-widened 55→95pt; conditional fills still keyed on the glyph. (2) GUARD: 'turquoise properties cannot be activated' — per-cell custom data validation on B6:B19: only 0/1 accepted, and 1 REJECTED when the row's Doc Color contains 'Turquoise' (stop-style alert: 'Backup properties cannot be activated — no underwriting data. Promote with real terms first.'). Plus a red conditional-format backstop on B6:B19 (fill #FFC7CE) that flags any turquoise row showing 1 — covers programmatic writes, which data validation does not block. API note for future edits: assigning dataValidation.rule fails with a proxy-trap error when clear() runs in the same script — stage clears and rule assignments in separate executions; conditional-format custom rules must be set via cf.custom.rule.formula = '...', not by replacing the rule object. Verified: rules on all 14 cells (B6:B19), alert titles confirmed, current turquoise rows all 0. Master check unaffected.</t>
  </si>
  <si>
    <t>Entry 88 — CHECKPOINT (Ricardo: 'update handoff'). Workbook state as of this entry: PROPERTIES: 14 rows (5 named deals, 5 ICP placeholders, 4 turquoise backups); 8 selected (14 total / 8 selected per totals rows); Doc Color column live between B and C with icon+name dropdown (🟢 signed / 🟡 negotiated / ⚪ simulated / 🔵 backup), conditional fills, legend at C23:D27; turquoise activation guard active (per-cell DV + red CF backstop); two totals rows (absolute all-14 / selected-only); widths/fonts audited Entry 86. MODEL: horizon 5 years (derived), final exit Q17; capital calls 5,000,000 invested; distributions 7,866,499; MOIC 1.57x; Investor IRR 13.9%; payback 5. NOTE: Ricardo's selection this session moved to 8 properties incl. the two El Retiro assets (Casa Montana, Casa Monte Sereno — NOI-negative at guidance rents per Entry 59) and the cascade timing has NOT been re-optimized for the 8-deal set — returns shown reflect whatever timing each row currently carries; a feasibility pass (annual cash ≥ 0, calls ≤ commitment) has NOT been re-run since the selection changed. Master check: ALL CHECKS PASS. All entries 57-87 this build window; _Forced Assumptions register live; skill (dulcinea-design-standard) current through the no-yellow/width/exit-discipline rules.</t>
  </si>
  <si>
    <t>Entry 89 — FEASIBILITY CHECK + THREE-WAVE RE-CASCADE for Ricardo's 8-deal selection (Ricardo: 'go ahead with recommendation'). FINDINGS: (1) B16 (Carolina's House, turquoise backup) briefly showed an activation event; read-back found it already at 0 — no action needed, guard state clean. (2) The 8-deal selection's timing was INFEASIBLE: five buys in year 1 (incl. both El Retiro houses, 3.4M combined) drove ending cash to −2,025,255 (yr 1) and −2,526,205 (yr 2) — the checkpoint's 13.9% IRR was not real. FIX: El Retiro pair moved to wave 3 — Casa Montana buy Q2→Q17, Casa Monte Sereno Q3→Q18, funded by wave-2 exits (Fontanar/ICP2/ICP3, Q17). RESULT (verified): three waves — W1 Q1 (Aires, San Lucas, ICP1), W2 Q9 (Fontanar, ICP2, ICP3), W3 Q17/18 (El Retiro pair); final exit Q26, horizon 7 yrs; calls 3,803,230/409,477/373,257/414,035 = 5,000,000 exactly; ending cash ≥ 230,931 every year (reserve-pinned yrs 1-3); distributions 6,717,614; net +1,717,614; MOIC 1.34x; IRR 6.3%; payback yr 7. ALL CHECKS PASS. DECISION FOR RICARDO (logged, not made): 8-deal three-wave = 1.34x / 6.3% / 7 yrs vs 6-deal two-wave (Entry 68 config, deselect El Retiro pair) = 1.29x / 7.5% / 5 yrs — the extra two deals add +261K absolute profit but cost 1.2pts of IRR and 2 years, because wave 3 carries ~2 extra years of overhead for two NOI-negative-during-hold deals. By Ricardo's stated criterion ('IRR is the ultimate measure'), the 6-deal config wins; by absolute profit, the 8-deal wins.</t>
  </si>
  <si>
    <t>Entry 90 — ACTIVATION STATUS COLUMN added on Properties (Ricardo: 'add column between C and D that states activation status... Turquoise properties cannot be active even if user places a 1 in column B'). STRUCTURAL: inserted one column at Properties!D, shifting the old D:AF block (Property name through per-deal economics) right by one to E:AG. New D5 header 'Activation Status'; D6:D19 formula =IF(AND($B6=1,ISNUMBER(SEARCH("Turquoise",$C6))=FALSE),1,0) — returns 1 = Active, 0 = Not Active, hard-zeroed for any turquoise row regardless of the column B input. Displayed via number format [=1]"Active";[=0]"Not Active". RETARGETED all selection-flag references from column B to the new column D: Dashboard B11/C11:C13; Project Data D8/D11/D15/D83; Investor Return C8:L8; The Ask C10:C12; Portfolio Strategy 27 cells (incl. FILTER at B24); Properties row-21 selected-total SUMPRODUCTs (B21, I21:AG21); _Qtr Engine 2,800 cells (INDEX(Properties!$B:$B,$B8+5) -&gt; $D:$D). Column B remains the user's blue input; column D is now the single gate every calculation reads. PRIOR STATE PRESERVED FOR ROLLBACK: before this edit, all of the above referenced Properties column B directly (ranges $B$6:$B$15, $B$6:$B$19, whole-column $B:$B), and the turquoise guard was data-validation + red conditional formatting on B16:B19 only.</t>
  </si>
  <si>
    <t>Activation Status</t>
  </si>
  <si>
    <t>Deal Stage</t>
  </si>
  <si>
    <t>■ Signed</t>
  </si>
  <si>
    <t>◆ Negotiated</t>
  </si>
  <si>
    <t>◇ Simulated</t>
  </si>
  <si>
    <t>▲ Backup</t>
  </si>
  <si>
    <t>■ Signed — compraventa signed</t>
  </si>
  <si>
    <t>◆ Negotiated — not yet signed</t>
  </si>
  <si>
    <t>◇ Simulated — pipeline placeholder</t>
  </si>
  <si>
    <t>▲ Backup — ready to re-engage</t>
  </si>
  <si>
    <t>Entry 91 — DEAL STAGE RELABEL on Properties (Ricardo: 'use ■ Signed instead of ■ green', 'change column title as makes no sense'). Column C header 'Doc Color' -&gt; 'Deal Stage'. Cell labels changed from colour names to stage names: '■ Green'-&gt;'■ Signed' (C6:C7), '◆ Yellow'-&gt;'◆ Negotiated' (C8:C10), '◇ N/A'-&gt;'◇ Simulated' (C11:C15), '▲ Turquoise'-&gt;'▲ Backup' (C16:C19). Emoji circles (🟢🟡⚪🔵) had already been replaced this session with Unicode glyphs ■◆◇▲ so they inherit the category font colour (#006100/#9C6500/#595959/#006064); fills unchanged. Legend collapsed to four single-cell lines C24:C27 (icon + stage + meaning), 'Legend:' header and E24:E27 description cells cleared, swatch fills removed. Activation Status column D (inserted this session, Entry 90) repointed from SEARCH("Turquoise") to SEARCH("Backup"): D6:D19 =IF(AND($B6=1,ISNUMBER(SEARCH("Backup",$C6))=FALSE),1,0). Same repoint applied to (a) the C6:C19 dropdown list source, now '■ Signed,◆ Negotiated,◇ Simulated,▲ Backup', (b) the B6:B19 data-validation guard =AND(OR($B6=0,$B6=1),NOT(AND($B6=1,ISNUMBER(SEARCH("Backup",$C6))))) with error title 'Cannot activate', (c) the red CF backstop on B6:B19 =AND($B6=1,ISNUMBER(SEARCH("Backup",$C6))). Column D carries no fill or CF per Ricardo ('column D should not show colors. Confusing.'). ROLLBACK: to restore colour-name labels, rewrite C5='Doc Color', C6:C19 to the colour names, and swap "Backup"-&gt;"Turquoise" in the four rules above. VERIFIED: rendered read-back of C5:D19; B16=1 test left D16 'Not Active' and B21 at 8; Project Data master check ALL CHECKS PASS.</t>
  </si>
  <si>
    <t>Active Portfolio</t>
  </si>
  <si>
    <t>Entry 92 — PROPERTIES POLISH PASS (Ricardo, five follow-ups after Entries 90-91). (1) ICONS: emoji circles retired for Unicode glyphs that inherit font colour — ■ Signed (C6:C7, #006100), ◆ Negotiated (C8:C10, #9C6500), ◇ Simulated (C11:C15, #595959), ▲ Backup (C16:C19, #006064); C6:C19 dropdown source updated to match. (2) COLUMN C HEADER: 'Doc Color' -&gt; 'Deal Stage' (colour names replaced by stage names — see Entry 91 for the SEARCH("Turquoise")-&gt;SEARCH("Backup") repoint of the activation formula, DV guard and red CF). (3) STAGE TINTS: soft background fills added to column C per stage — Signed #E8F5E9, Negotiated #FFF8E1, Simulated #F4F4F4, Backup #E0F7FA; applied to data rows C6:C19 and legend C24:C27. Column D deliberately carries NO fill and NO conditional formatting (Ricardo: 'column D should not show colors. Confusing.'). (4) ACTIVATION DISPLAY: D6:D19 number format now [=1]"✓ Active";[=0]"✗ Not Active";General — check/X glyph plus word, still numeric 1/0 underneath so all 2,863 retargeted downstream formulas are unaffected. (5) TOTAL-ROW LABELS: E20 hardcoded 'Total Portfolio (all 14, incl. backups)' was a stale typed number; first made dynamic via TEXT($B$20), then simplified per Ricardo to plain 'Total Portfolio'; E21 'Selected Portfolio Total' -&gt; 'Active Portfolio' (row now counts activations, not raw selections). Counts stay live in B20 (=COUNT($A$6:$A$19)=14) and B21 (=SUMPRODUCT($D$6:$D$19)=8). Workbook-wide scan found no other typed property counts in label text. (6) BLANK-ROW / HEIGHT AUDIT: double blank gaps at rows 3-4 and 22-23 compressed to 6pt spacers; rows 20-21 evened to 22pt. Rows were NOT deleted — the _Qtr Engine INDEX lookups use literal +5 row arithmetic anchored to header row 5 / data row 6, so any delete above the data block would shift all 2,800 engine lookups (documented risk from a prior incident). ROLLBACK: restore 18pt heights on rows 3-4 and 22-23; revert D number format to [=1]"Active";[=0]"Not Active"; clear column C fills; rewrite E20/E21 label text. VERIFIED THIS PASS: rendered read-back of C5:E27 and D6:D19 display text, dropdown source and DV guard formula re-read, row heights re-read, three range-image renders, B16=1 guard test (D16 stayed ✗ Not Active, B21 stayed 8, reverted to 0), Project Data master check ALL CHECKS PASS. NOT verified: blank-row/height audit on tabs other than Properties.</t>
  </si>
  <si>
    <t>Entry 93 — NON-CONFIDENTIAL ROWS MOVED off ServCo Personnel to ServCo Financials (Ricardo: 'these rows are not confidential and should be in the ServCo financials', re rows 18-21). RATIONALE: the confidential scope of the ServCo Personnel tab is the per-role comp build (rows 4-16: named roles, base comp D6:D11, payroll load, fully loaded cost, allocated share). Rows 18-23 held cost inputs and time-allocation prose with no individual compensation in them, and inherited the CONFIDENTIAL banner only by sitting on the same tab. DELETION SNAPSHOT of ServCo Personnel B18:I23 before clearing: B18 'Other ServCo Costs — Dulcinea Slice' (section header); B19 'Office, tools &amp; administration (USD/yr, slice)' with I19 = 60000 (blue input); B20 'Variable delivery cost (% of service-fee + housekeeping billings)' with I20 = 0.8 (blue input); B21 'Allocation Policy — Time Dedicated to Dulcinea' (section header); B22 ='"Colombia personnel — "&amp;TEXT(MIN($H$8:$H$11),"0%")&amp;"–"&amp;TEXT(MAX($H$8:$H$11),"0%")&amp;" of time by role (see table above)"' rendering 'Colombia personnel — 50%–90% of time by role'; B23 ='"US personnel — "&amp;TEXT($H$6,"0%")&amp;" of time per role (see table above)"' rendering 'US personnel — 20% of time per role'; I22 = 1 and I23 = 0.33 (orphan hardcodes, referenced by nothing anywhere in the workbook — cleared, not migrated). NEW HOME: ServCo Financials rows 34-39 inserted after the Management &amp; Personnel block — section bar 'Other ServCo Costs — Dulcinea Slice', C35 = office/tools input, C36 = variable delivery % input, plus the two allocation-policy prose lines rewired to cross-sheet refs 'ServCo Personnel'!$H$6 / $H$8:$H$11 (time %, not comp). No external sheet referenced ServCo Financials rows before this insert (verified by workbook scan), so the row shift is safe. REPOINTED: ServCo Financials office/tools row and service-delivery row from 'ServCo Personnel'!$I$19 / $I$20 to local $C$35 / $C$36; Income Statement C52:L52 from 'ServCo Personnel'!$I$19 to 'ServCo Financials'!$C$35. ROLLBACK: restore the six ServCo Personnel rows from the snapshot above, delete ServCo Financials rows 34-39, and repoint the same formulas back to 'ServCo Personnel'!$I$19 / $I$20.</t>
  </si>
  <si>
    <t>Business Development Manager — Medellín</t>
  </si>
  <si>
    <t>Business Development Manager — Cartagena</t>
  </si>
  <si>
    <t>Cartagena</t>
  </si>
  <si>
    <t>Entry 94 — THREE ROLES ADDED to ServCo Personnel at 0% allocation (Ricardo: 'Add Business Development Manager - Medellin and Business Development Manager - Cartagena and Marketing Director in Medellin. Add researched full time compensation but with 0% allocation.'). Rows 12-14 inserted after Controller: Business Development Manager — Medellín (Medellín, COP 9.0M/mo, load 1.45, fully loaded $50,680/yr); Business Development Manager — Cartagena (Cartagena, COP 9.0M/mo, $50,680/yr); Marketing Director — Medellín (Medellín, COP 12.0M/mo, $67,573/yr). All three at H = 0% to Dulcinea, so allocated cost = 0 and NOTHING flows to the Dulcinea P&amp;L — these are roster placeholders showing the full ServCo build-out, borne entirely by the Ashoka parent. COMP BENCHMARKS (added to the Project Data References block, item 10 line B54 — appended rather than inserting a row, to avoid shifting the Per-Property Operating Cost block at rows 57+ that J59:J68 formulas depend on): Michael Page Colombia salary comparison tool — Gerencia Comercial COP 17.5M/mo and Gerencia de Mercadeo COP 18.7M/mo (placement averages, excl. bonus/benefits); Computrabajo — gerente de desarrollo de negocios median COP 6.1M/mo (2026). The BD Manager mark at COP 9.0M/mo sits above the Computrabajo national median and well below the Michael Page corporate gerencia-comercial benchmark, consistent with a city-level boutique-hospitality role; Marketing Director at COP 12.0M/mo sits below the gerencia-de-mercadeo benchmark for the same reason. In-model anchors for reference: Guest Operations Manager COP 9.0M, Controller COP 10.0M, Asset &amp; Renovation Manager COP 15.0M, Country Manager COP 25.0M. RANGE FIX (important): the row insert did NOT auto-extend the roster aggregates. Manually widened G15 total to =SUM(G6:G14), I16 to =SUM(I6:I14), I17 to =G15-I16, I18 to =SUMIF($C$6:$C$14,"US",$I$6:$I$14) and I19 to =SUMIF($C$6:$C$14,"&lt;&gt;US",$I$6:$I$14). Any future role added must have these five ranges checked again. IMPACT: total team cost fully loaded 100% rises 734,733 -&gt; 903,665; borne by ServCo parent 424,204 -&gt; 593,136; total allocated to Dulcinea UNCHANGED at 310,529 (US 80,500 / Colombia 230,029). VERIFIED: ServCo Financials C30/C31/C32 still 80,500 / 230,029 / 310,529; Income Statement C50/C51/C52 still 230,029 / 80,500 / 60,000; workbook error sweep clean except the known Dashboard F1 in-cell image; Project Data master check ALL CHECKS PASS. ROLLBACK: delete ServCo Personnel rows 12-14 and restore the five aggregate ranges to 6:11, and trim the appended benchmark text from Project Data B54.</t>
  </si>
  <si>
    <t>Managing Director</t>
  </si>
  <si>
    <t>Finance Director</t>
  </si>
  <si>
    <t>Director of Planning &amp; Corporate Development</t>
  </si>
  <si>
    <t>Entry 95 — US ROLES RENAMED + PLANNING/CORP DEV ROLE ADDED on ServCo Personnel (Ricardo: 'roles for US need to change role names to Managing Director, Finance Director and add a new one Director of Planning and Corp Dev'). RENAMES: B6 'Managing Partner' -&gt; 'Managing Director' (comp unchanged $200,000, load 1.15, 20% to Dulcinea); B7 'Investor Relations &amp; Capital' -&gt; 'Finance Director' (unchanged $150,000, 1.15, 20%). NEW ROW 8: 'Director of Planning &amp; Corporate Development', US, $140,000 base, load 1.15, fully loaded $161,000/yr, H8 = 0% to Dulcinea so allocated cost = 0 and no P&amp;L impact — added as a roster placeholder consistent with the three Colombia roles from Entry 94. ALLOCATION NOTE: the two existing US roles sit at 20%; the new role was deliberately set to 0% rather than assumed at 20%, because 20% would add $32,200/yr of allocated personnel cost to the Dulcinea P&amp;L and move returns. Flip H8 to 0.2 if it should carry its share. COMP BENCHMARKS (appended to the Project Data References item 9 US-compensation line, B53): PayScale — Director of Strategic Planning avg $142,694, Director Corporate Development avg $101k (range $72k-$180k); ZipRecruiter — Director of Real Estate Strategic Planning avg $122,402; Salary.com — Strategic Planning Director avg $218,744. The $140,000 mark sits just under the PayScale strategic-planning average and below the Salary.com corporate benchmark, and slots below Finance Director ($150,000) in the internal ladder. RANGE BEHAVIOUR: unlike Entry 94, this insert landed INSIDE the aggregate ranges (row 8, not at the boundary), so G16, I17, I19 and I20 auto-extended to 6:15 — verified by formula read-back, no manual fix needed. IMPACT: total team cost fully loaded 100% 903,665 -&gt; 1,064,665; borne by ServCo parent 593,136 -&gt; 754,136; total allocated to Dulcinea UNCHANGED at 310,529 (US 80,500 / Colombia 230,029). Downstream refs auto-adjusted (Income Statement C50 now points to 'ServCo Personnel'!$I$20). VERIFIED: ServCo Financials C30/C31/C32 still 80,500 / 230,029 / 310,529; Income Statement C50/C51 still 230,029 / 80,500; _Forced Assumptions C8 still renders '20%/20% US · $310,529/yr total allocation'; Project Data master check ALL CHECKS PASS. ROLLBACK: delete row 8, rename B6/B7 back to 'Managing Partner' / 'Investor Relations &amp; Capital', trim the appended benchmark text from Project Data B53.</t>
  </si>
  <si>
    <t>Marketing Director — Cartagena</t>
  </si>
  <si>
    <t>Entry 96 — SERVCO PERSONNEL: CARTAGENA MOVE, BLUE INPUT COLUMN, AND RICARDO'S US COMP RESET. (1) LOCATION (Ricardo: 'marketing director sits in Cartagena'): row 15 relabelled 'Marketing Director — Medellín' -&gt; 'Marketing Director — Cartagena', C15 Medellín -&gt; Cartagena. Comp unchanged at COP 12.0M/mo ($67,573 fully loaded). No effect on the US/Colombia split (I19/I20 key off C = 'US' vs non-US, so a Medellín-to-Cartagena move is neutral). (2) COLOUR CODING (Ricardo: 'column H are blue variables'): H6:H15 '% to Dulcinea' recoloured from black to indigo #1F4EAD, matching the other hardcoded input columns C/D/E/F. These are inputs, not formulas — the prior black font was a defect. Column G (fully loaded) and column I (allocated) remain black as formulas. (3) US COMP + ALLOCATION RESET — Ricardo's own direct edits, recorded here for the audit trail: Managing Director base $200,000 -&gt; $360,000 (fully loaded $230,000 -&gt; $414,000); Finance Director $150,000 -&gt; $240,000 ($172,500 -&gt; $276,000); Director of Planning &amp; Corporate Development $140,000 -&gt; $360,000 ($161,000 -&gt; $414,000). Allocation for all three US roles set to 15% (Managing Director 20% -&gt; 15%, Finance Director 20% -&gt; 15%, Planning &amp; Corp Dev 0% -&gt; 15% — the new role now carries its share, superseding the 0% placeholder decision noted in Entry 95). Colombia roles unchanged: Country Manager 60%, Asset &amp; Renovation 85%, Guest Ops 90%, Controller 50%, the two BD Managers and Marketing Director 0%. NOTE: the US comp marks are now well above the researched benchmarks cited on Project Data B53 (PayScale Director of Strategic Planning avg $142,694; Salary.com Strategic Planning Director avg $218,744) — these are Ricardo's principal-level marks, not market-survey figures, and B53 remains the benchmark record rather than the basis. IMPACT: total team cost fully loaded 100% 1,064,665 -&gt; 1,605,165; total allocated to Dulcinea 310,529 -&gt; 395,629 (+85,100/yr); US allocated 80,500 -&gt; 165,600; Colombia allocated unchanged 230,029; borne by ServCo parent 754,136 -&gt; 1,209,536. This DOES flow to the Dulcinea P&amp;L via Income Statement C51 (US personnel line, now 165,600) and ServCo Financials C30/C32. Current Investor outcome after the reset: total capital invested 5,000,000, total distributions 6,079,207, net profit 1,079,207, MOIC 1.22x, Investor IRR 4.0%, payback model year 7. VERIFIED: ServCo Financials C30/C31/C32 = 165,600 / 230,029 / 395,629; Income Statement C50/C51 = 230,029 / 165,600; _Forced Assumptions C8 now renders '15%/15% US · $395,629/yr total allocation'; Project Data master check ALL CHECKS PASS. ROLLBACK for the section-3 edits: D6 = 200000, D7 = 150000, D8 = 140000, H6 = H7 = 0.2, H8 = 0.</t>
  </si>
  <si>
    <t>1% – 2%</t>
  </si>
  <si>
    <t>3% – 5%</t>
  </si>
  <si>
    <t>1% – 2%/yr</t>
  </si>
  <si>
    <t>Fixed</t>
  </si>
  <si>
    <t>0.5% – 1%</t>
  </si>
  <si>
    <t>Service delivery cost (USD/yr, slice)</t>
  </si>
  <si>
    <t>Service delivery cost</t>
  </si>
  <si>
    <t>Entry 97 — SERVCO SERVICE P&amp;L: DELIVERY COST CONVERTED TO ABSOLUTE INFLATING FIXED COST + FEE-SCHEDULE DEDUP (Ricardo: 'number should be one absolute value and fixed cost that varies with inflation in the fixed cost lines'; earlier: 'too many repetitive information'). (1) INPUT CHANGE: C36 was 0.8 (80% variable delivery cost as % of property service fees, formerly ServCo Personnel I20); now an absolute blue input 'Service delivery cost (USD/yr, slice)' = 115,000 USD/yr (~ the prior Year-1 equivalent: 80% x 145,633 service fees = 116,506). Old label had a defect anyway — it claimed '% of service-fee + housekeeping billings' but the formula applied only to service fees (housekeeping already at cost in row 45). (2) FIXED COST LINES NOW INFLATE in the Service P&amp;L (rows 43/44/46), all by (1+'Project Data'!$D$38)^(year-1): row 43 Allocated team cost ='ServCo Personnel'!$I$17*infl (395,629 -&gt; 504,934 by Y6); row 44 Office/tools =$C$35*infl (60,000 -&gt; 76,577, now consistent with the Income Statement C52 treatment which always inflated); row 46 Service delivery cost =$C$36*infl (115,000 -&gt; 146,772). Previously rows 43/44 were FLAT across years while the IS inflated the same items — an inconsistency now fixed. Row 46 relabelled 'Service delivery on service fees' -&gt; 'Service delivery cost'. RESULTING MARGIN CHECK: service margin Y1 (282,807) to Y6 (541,206), margin over cost -47.5% to -72.6% — ServCo runs deeper negative on the Dulcinea slice than before (prior Y1 margin (284,313)); the parent absorbs it; no Dulcinea P&amp;L impact (these rows are disclosure-only, nothing references them). (3) FEE SCHEDULE DEDUP (rows 9-15): 'Industry range' column stripped of the fee-base wording that duplicated the 'Charged on' column (e.g. '1% – 2% of purchase price' -&gt; '1% – 2%'); C13 'Fixed per unit' -&gt; 'Fixed'; E15 'Billed to Dulcinea with no markup' -&gt; 'Actual cost incurred, no markup'; C12 shortened to '15% – 25% (long-term: 3% – 8%)'; rows 9-15 evened at 28.75pt. ROLLBACK: C36 = 0.8 with label 'Variable delivery cost (% of service-fee + housekeeping billings)', row 46 =C22*$C$36 copied across, row 43 ='ServCo Personnel'!$I$17 flat, row 44 =$C$35 flat, restore fee-schedule wording per Entry snapshot in transcript. VERIFIED: rows 42-49 read back (totals sum, margin ratios compute, no errors); Project Data master check ALL CHECKS PASS.</t>
  </si>
  <si>
    <t>ServCo (Ashoka Unit) — Income Statement, Dulcinea Slice (USD)</t>
  </si>
  <si>
    <t>ServCo Income Statement — Dulcinea Slice (by year)</t>
  </si>
  <si>
    <t>Revenue — Charges to Dulcinea</t>
  </si>
  <si>
    <t>Operating Costs</t>
  </si>
  <si>
    <t>Total operating costs</t>
  </si>
  <si>
    <t>Operating margin</t>
  </si>
  <si>
    <t>ServCo Cash Flow — Dulcinea Slice (by year)</t>
  </si>
  <si>
    <t>Funding from Ashoka parent (deficit cover)</t>
  </si>
  <si>
    <t>Net cash flow</t>
  </si>
  <si>
    <t>Cumulative funding from parent</t>
  </si>
  <si>
    <t>Fees currently charged in the model</t>
  </si>
  <si>
    <t>15% – 25%</t>
  </si>
  <si>
    <t>Gross rental revenue (long-term unfurnished: 3% – 8%)</t>
  </si>
  <si>
    <t>Cash Received from Dulcinea</t>
  </si>
  <si>
    <t>Total cash received</t>
  </si>
  <si>
    <t>Cash Paid</t>
  </si>
  <si>
    <t>Total cash paid</t>
  </si>
  <si>
    <t>Net operating cash flow</t>
  </si>
  <si>
    <t>Entry 100 — SERVCO CASH FLOW AT FULL DETAIL + 3% US INFLATION INPUT + BROKEN IS LINK REPAIRED (Ricardo: 'cash flow statement should have same level of details as income statement. use blue variable inflation of 3% (USA inflation)'). (1) NEW BLUE INPUT at ServCo Financials C7: 'US inflation (%/yr) — applied to ServCo cost lines' = 3.0%, indigo, in the top Inputs block. The tab's inflating cost lines (allocated team cost, office/tools, service delivery — IS rows 23/24/26) switched from 'Project Data'!$D$38 to (1+$C$7): team now 395,629 -&gt; 458,643 by Y6 (was 504,934 at D38), office 60,000 -&gt; 69,556, delivery 115,000 -&gt; 133,317. (2) CASH FLOW REBUILT AT IS DETAIL (rows 32-51 after inserting 15 rows): Cash Received from Dulcinea subsection with all seven fee lines (each =the IS revenue line), Total cash received band (=Total revenue); Cash Paid subsection with the four cost lines (=the IS cost lines), Total cash paid band; Net operating cash flow band; Funding from Ashoka parent =MAX(0,-NOCF); Net cash flow band (renders '–' all years); Cumulative funding from parent 282,807 -&gt; 2,043,936 by Y6. Fee Schedule moved to rows 53-61, Memo to 63-69 (formulas auto-shifted, re-verified). (3) DEFECT FOUND AND FIXED: Income Statement row 52 (ServCo office/tools) still pointed at 'ServCo Financials'!$C$35 — a coordinate orphaned by the Entry 98-99 rebuild that now landed on the CF renovation-fee line, silently returning 54,207 instead of 60,000. Repaired C52:L52 to 'ServCo Financials'!$C$5. LESSON: the rebuild moved the office input from C35 to C5 by clear-and-rewrite (not row-shift), so external absolute refs did NOT follow; always rescan inbound refs after a clear-and-rebuild. (4) CONSISTENCY DECISION: IS rows 50/51/52 (ServCo Colombia personnel, US personnel, office — Dulcinea's expense of the same ServCo costs) switched from D38 inflation to the new 3% input so the Dulcinea P&amp;L and the ServCo tab inflate identically; divergent inflation on the same cost line would be an audit flag. IMPACT on returns (3% vs prior 5% on ServCo cost lines): total distributions 6,079,207 -&gt; 6,265,172, net profit 1,079,207 -&gt; 1,265,172, MOIC 1.22x -&gt; 1.25x, Investor IRR 4.0% -&gt; 4.6%, payback year 7 unchanged. VERIFIED: IS C50/C51/C52 = 230,029 / 165,600 / 60,000 inflating at 3%; workbook error sweep clean except known Dashboard F1 image; Project Data master check ALL CHECKS PASS. ROLLBACK: C7 input delete + restore (1+'Project Data'!$D$38) in ServCo Financials C23:H26 and IS C50:L52, and IS C52 base ref back to the office input cell.</t>
  </si>
  <si>
    <t>Entry 101 — INFLATION CONSOLIDATED TO A SINGLE PROJECT DATA INPUT (Ricardo: 'inflation blue variable should be one and the same for entire workbook and should be in Project Data tab'). This REVERSES the ServCo-local inflation input created in Entry 100. ACTIONS: (1) Project Data D38 set to 3.0% (was 5.0%) and relabelled B38 'Salary &amp; overhead inflation (%/yr)' -&gt; 'Inflation (%/yr) — applied to all cost lines workbook-wide' (C38 Spanish updated to match). This is now the single inflation variable in the workbook. (2) ServCo Financials cost lines (allocated team cost, office/tools, service delivery — IS rows 22/23/25 after the row delete) repointed from the local (1+$C$7) back to (1+'Project Data'!$D$38). (3) Income Statement C50:L52 (ServCo Colombia personnel, US personnel, office/tools) likewise repointed from 'ServCo Financials'!$C$7 to 'Project Data'!$D$38. (4) The duplicate ServCo inflation input row was DELETED (ServCo Financials row 7, 'US inflation (%/yr) — applied to ServCo cost lines' = 3.0%). Tab now shifts up one row: Inputs bar row 4, office input C5, delivery input C6, allocation prose row 7, Income Statement bar row 8, CF bar row 31, Fee Schedule row 52, Memo row 62. Only two blue inputs remain on the tab (both dollar amounts, no rate). AUDIT NOTE: after Entry 100, 'Project Data'!$D$38 had ZERO formula consumers workbook-wide (every user had been switched to the ServCo cell) — a stranded input, now the sole driver again. Escalation inputs NOT touched (they are separate drivers, not cost inflation): 'Project Data'!$D$9 market appreciation (used by Properties W6:W15 exit values and Portfolio Strategy), the per-property cost table J59:J68, and engine rent/opex logic. NO VALUE CHANGE from this entry — D38 was already effectively 3% via the ServCo cell, so all outputs are unchanged: distributions 6,265,172, net profit 1,265,172, MOIC 1.25x, Investor IRR 4.6%, payback year 7; ServCo total operating costs 595,095 -&gt; 678,991 by Y6, operating margin (282,807) -&gt; (474,438). VERIFIED: D38 renders 3.0%; IS C50/C51/C52 = 230,029 / 165,600 / 60,000 with the D38 reference; ServCo cost formulas re-read showing 'Project Data'!$D$38; workbook error sweep clean except the known Dashboard F1 in-cell image; master check ALL CHECKS PASS. ROLLBACK: set D38 back to 0.05 and restore the prior label if the 5% salary-inflation assumption is wanted back — but note Ricardo set 3% (US inflation) deliberately.</t>
  </si>
  <si>
    <t>Entry 102 — ALL INFLATION ADJUSTMENTS REMOVED FROM THE MODEL (Ricardo: 'fix formulas that adjust for inflation. There should be no adjustments for inflation anywhere.'). This reverses Entries 97/100/101 on the inflation question; costs are now held FLAT in nominal terms across the horizon. DELETION LOG (per deletion-safety rule) — Project Data row 38 removed: label B38 'Inflation (%/yr) — applied to all cost lines workbook-wide', C38 'Inflación (%/año) — aplicada a todos los costos del modelo', D38 = 0.03 (indigo input; had been 0.05 as 'Salary &amp; overhead inflation (%/yr)' before Entry 101). Rows 39-42 shift up to 38-41 (Capital / Total capital raise 5,000,000 / Tranche 1 5,000,000 / Working capital reserve 5.0%) — Excel auto-adjusted dependent refs. FORMULAS STRIPPED OF (1+'Project Data'!$D$38)^(year-1): (a) ServCo Financials C22:H22 allocated team cost -&gt; ='ServCo Personnel'!$I$17; C23:H23 office/tools -&gt; =$C$5; C25:H25 service delivery -&gt; =$C$6 (housekeeping row 24 never inflated — it links to actual billings). The ServCo cash-flow mirror rows pick these up automatically. (b) Income Statement C50:L52 -&gt; ='ServCo Personnel'!$I$20 / $I$19 / 'ServCo Financials'!$C$5, each still multiplied by the unchanged horizon gate MIN(4,MAX(0,'Project Data'!$D$8-(year-1)*4))/4. BEFORE -&gt; AFTER (Y1 unchanged, Y6 shown): ServCo team cost 418,822 -&gt; 361,280; office 69,556 -&gt; 60,000; service delivery 133,317 -&gt; 115,000; IS Colombia personnel 226,846 -&gt; 195,680; IS US personnel 191,976 -&gt; 165,600; IS office 69,556 -&gt; 60,000. NOT TREATED AS INFLATION, LEFT INTACT (separate economic drivers, not cost escalation): market appreciation 'Project Data'!$D$9 = 7% used by Properties W6:W15 exit values and Portfolio Strategy row 24/38-42; the Portfolio Strategy appreciation scenario columns D6:F6 (3%/5%/7%); the per-property cost table J59:J68; engine rent and opex logic (which never carried an escalator). RETURNS IMPACT: distributions 6,508,837 -&gt; see verification below; costs falling means profit rises. VERIFIED after change: workbook error sweep, Project Data master check, Investor Return re-read. VERIFICATION RESULTS: ServCo costs now flat — team 361,280 every year, office 60,000, service delivery 115,000 (housekeeping still varies with actual billings); total operating costs 560,746/560,746/562,299/562,299/551,328/553,755; operating margin (248,458) -&gt; (349,202). IS C50:L52 flat at 195,680 / 165,600 / 60,000 (horizon gate intact). Project Data row 38 deleted cleanly — Capital block now rows 38-41, and dependent per-property cost-table refs auto-shifted from J59:J68 to J58:J67 (verified in Properties W and Portfolio Strategy formulas). RETURNS: distributions 6,508,837 -&gt; 6,747,997; net profit 1,508,837 -&gt; 1,747,997; MOIC 1.30x -&gt; 1.35x; Investor IRR 5.5% -&gt; 6.3%; payback year 7 unchanged. Error sweep clean except known Dashboard F1 image; master check ALL CHECKS PASS. OPEN ITEM FLAGGED TO RICARDO, NOT ACTIONED: _Qtr Engine row 34 (rental revenue) still escalates rent by (1+'Project Data'!$D$9)^(quarter year-1) — i.e. rent grows 7%/yr off the market-appreciation input. That is a REVENUE escalator, materially value-relevant, so it was left untouched pending his decision; exit-value appreciation (Properties W6:W15, Portfolio Strategy) also left intact as asset appreciation rather than cost inflation.</t>
  </si>
  <si>
    <t>Real rent growth (%/yr) — above inflation, excludes market appreciation</t>
  </si>
  <si>
    <t>Entry 103 — RENT/COST ASYMMETRY RESOLVED: REAL RENT GROWTH SEPARATED FROM MARKET APPRECIATION (Ricardo chose option 1 of three offered). PROBLEM: after Entry 102 removed all cost inflation, every ServCo/overhead cost line was flat in Year-1 dollars while _Qtr Engine rental revenue compounded at 'Project Data'!$D$9 = 7.0% (the market-appreciation input). Margin therefore widened over the hold purely by construction, and one input was doing two economically different jobs (asset appreciation for exit pricing AND rent escalation in the P&amp;L). GAAP context researched this session: US GAAP is nominal historical cost with no inflation restatement, and under ASC 842 index-linked (CPI) escalations are treated as VARIABLE payments — excluded from projected/straight-lined income and recognized only as realized — so projecting a smooth index-style escalator on the revenue line is the treatment accounting standards specifically avoid. USALI was confirmed to be a chart-of-accounts/reporting framework (Summary Operating Statement + departmental schedules, 12th ed. Feb-2025 adding the FTE and Brand &amp; Operator Cost schedules) and prescribes nothing about forecast escalation. FIX: (1) NEW INPUT inserted at Project Data row 10: B10 'Real rent growth (%/yr) — above inflation, excludes market appreciation', C10 Spanish 'Crecimiento real del arriendo (%/año) — por encima de la inflación', D10 = 2.0% indigo #1F4EAD blue input. All rows from the old row 10 shift down one (Revenue &amp; Exit block now 11, implied cap rate 12, uplift 13, vacancy 14, ramp 15, and the per-property cost table / references shift accordingly) — Excel auto-adjusted every dependent reference. (2) ENGINE rental-revenue escalator repointed: _Qtr Engine rows 34-43 (one row per property: Aires 801, Fontanar 201, San Lucas 101, Casa Montana L2, Monte Sereno, ICP1, ICP2, ICP4, ICP5, ICP3), 40 quarterly cells each = 400 cells, changed from (1+'Project Data'!$D$9)^(year-1) to (1+'Project Data'!$D$10)^(year-1). (3) MARKET APPRECIATION UNCHANGED and now used for asset value ONLY: Properties W6:W15 exit values, Portfolio Strategy rows 7/24/38-42 sensitivity grids, all still on $D$9 = 7.0%. STATED CONVENTION: the model is now explicitly REAL (Year-1 dollars) on the operating side — flat real costs, 2% real rent growth — with 7% nominal-equivalent appreciation carried only into exit pricing. VERIFICATION RESULTS RECORDED BELOW. VERIFICATION: 400 engine cells repointed (rows 34-43 x C:AP), confirmed sample formula ends '...*(1+'Project Data'!$D$10)^(C$5-1)'. Rental revenue (Income Statement row 7) Y1-Y6: was 92,453 / 263,798 / 116,452 / 332,276 / 30,183 / 119,110 at 7% escalation; now 92,453 / 251,471 / 105,823 / 287,838 / 24,925 / 93,763 at 2% real (Y1 identical as expected — escalator is 1.0 in Year 1). Exit values UNCHANGED: Properties W6 = 1,911,607 with formula still on $D$9 (auto-shifted per-property table ref to J59:J68 after the row insert, correct). RETURNS: capital invested 4,946,873 -&gt; 4,998,231; distributions 6,955,910 -&gt; 6,930,070; net profit 2,009,037 -&gt; 1,931,838; MOIC 1.41x -&gt; 1.39x; Investor IRR 7.3% -&gt; 7.0%; payback year 7 unchanged. Modest impact because most value is in exit appreciation rather than the short rental window. Project Data master check ALL CHECKS PASS (incl. the Property Detail rent tie, which re-verified against the new escalator, and distributions-to-ending-cash). Workbook error sweep clean except the known Dashboard F1 in-cell image. NOTE: a copyTo() call failed mid-sequence (not an Office.js Range method) AFTER the row-10 insert had already committed; the row was then formatted via a formats-only copy and populated — no partial/duplicate row left behind, verified by reading B8:D16. ROLLBACK: set D10 = D9 value (or repoint the 400 engine cells back to $D$9) and delete Project Data row 10.</t>
  </si>
  <si>
    <t>Real-dollar convention</t>
  </si>
  <si>
    <t>Real rent growth</t>
  </si>
  <si>
    <t>Entry 104 — REAL-DOLLAR CONVENTION SWEPT ACROSS THE ENTIRE WORKBOOK INCLUDING SERVCO (Ricardo: 'over entire workbook including ServCo'). Follows Entry 103, which fixed only the quarterly engine. FULL SWEEP of every growth factor in the workbook: 'Project Data'!$D$9 (market appreciation 7.0%) consumers found on Dashboard B7 prose, Properties W6:W15 exit values (10 cells), Portfolio Strategy 19 cells, Glossary C11 definition, _Forced Assumptions C6 label; $D$10 (real rent growth 2.0%) on _Qtr Engine 400 cells; no other escalation pattern anywhere. DEFECT FOUND AND FIXED — the same rent/appreciation conflation survived in TWO Portfolio Strategy blocks, where NOI was grown by the appreciation rate: (a) row 11 't=2 — full-year NOI + exit net of selling costs' D11:F11 was =SUMPRODUCT(D,X)*(1+D$6)+D7*(1-'Project Data'!$D$19) with D$6 = the 3%/5%/7% appreciation axis; the NOI term now grows at (1+'Project Data'!$D$10). (b) the deal-level IRR grid D38:F42 (entry discount x appreciation) used LET(...noi*(1+g)+n/(1-d)*(1+g)^2...) where g = the appreciation axis; the NOI term is now noi*(1+'Project Data'!$D$10) while the EXIT term correctly keeps (1+g)^2 so the sensitivity axis still flexes asset value. IMPACT (small, as NOI is a minor share of the t=2 cash flow): row 11 t=2 cash flow 15,627,423/16,238,380/16,861,052 -&gt; 15,626,528/16,235,694/16,856,575; portfolio deal-level IRR 21.3%/23.7%/26.0% -&gt; 21.3%/23.6%/26.0%; IRR grid 15.7% -&gt; 15.7%, 19.5% -&gt; 19.5%, 23.7% -&gt; 23.6%, 28.3% -&gt; 28.3%, 33.5% -&gt; 33.5% (only the mid/base cells move a decimal). CONFIRMED CORRECT, LEFT ON $D$9 (asset value only, per the convention): Properties W6:W15 exit values, Portfolio Strategy row 7 exit-value sensitivity and the appreciation axis labels, Glossary C11 exit-value definition, _Forced Assumptions C6 base-case label, Dashboard B7 ('comp grown 7%/yr'). SERVCO CHECKED: no escalators of its own — its seven fee revenue lines link to the Income Statement/engine so they now inherit 2% real rent growth automatically (total revenue Y1-Y6 312,288 / 276,885 / 387,205 / 310,179 / 272,294 / 198,546), and its four cost lines are flat (361,280 / 20,000 / 60,000 + housekeeping at actual billings). Operating margin (153,458) -&gt; (260,210) across Y1-Y6; parent still absorbs, no Dulcinea P&amp;L effect. CONVENTION NOW DOCUMENTED on Glossary rows 61-62 as live TEXT() formulas off D9/D10: 'Real-dollar convention' and 'Real rent growth' (so the stated percentages track the inputs). VERIFIED: Project Data master check ALL CHECKS PASS; Investor Return unchanged from Entry 103 at capital 4,998,231 / distributions 6,930,070 / net profit 1,931,838 / MOIC 1.39x / IRR 7.0% / payback year 7 (the Portfolio Strategy grids are analysis-only and do not feed the fund model); workbook error sweep clean except the known Dashboard F1 in-cell image. ROLLBACK: restore (1+D$6) in Portfolio Strategy D11:F11 and noi*(1+g) in D38:F42; delete Glossary rows 61-62.</t>
  </si>
  <si>
    <t>Square feet per square metre (unit conversion)</t>
  </si>
  <si>
    <t>STR benchmark range — El Poblado (USD/m² per month), low / high</t>
  </si>
  <si>
    <t>Entry 105 — ALL MAGIC NUMBERS ELIMINATED + PROSE TIGHTENED (Ricardo: 'no magic numbers, no AI slop'). Workbook-wide scan for numeric literals embedded in formulas (excluding structural integers &lt;=12 and true unit constants 100/1000/1000000/365/24) now returns ZERO on every tab. FIXES: (1) ENGINE ROW ANCHORS — 1,200 cells on Statement of Cash Flows (29 rows x C:L) and Property Detail (92 rows x C:L) used INDEX('_Qtr Engine'!$C:$AP,&lt;literal&gt;+MATCH(...)) with seven different hardcoded block offsets: 7 = Acquisition Outflow (Purchase + Closing), 20 = Renovation Capex, 33 = Gross Rental Revenue, 46 = Owned All-In Basis, 60 = Gross Sale Value, 72 = Cost Basis Released on Sale, 85 = Owned Flag. Each literal replaced with MATCH("&lt;block header&gt;",'_Qtr Engine'!$A:$A,0) so the lookups self-locate. This removes the standing risk that an engine row insert silently shifts every statement line — the failure mode that previously required the never-insert-rows rule for the engine. (2) SERVCO PERSONNEL base comp D6/D7/D8 were =12*30000, =12*20000, =12*30000 (monthly figure buried inside arithmetic); now clean indigo inputs 360,000 / 240,000 / 360,000 — consistent with the Colombia rows, and the fully-loaded column G is unchanged at 414,000 / 276,000 / 414,000. (3) UNIT CONVERSION 10.7639 was hardcoded in Properties J6:J15 (m2 -&gt; sq ft); now a labeled cell at Project Data B56/D56 'Square feet per square metre (unit conversion)' = 10.7639 (black, a constant not an assumption), referenced as ='Project Data'!$D$56. Properties totals re-verified: 47,135 sq ft all / 38,093 sq ft active. (4) STR BENCHMARK RANGE was typed into all ten guidance formulas (the $18-28 band plus &gt;28/&lt;18 test values). New labeled indigo inputs at Project Data row 57 'STR benchmark range — El Poblado (USD/m2 per month), low / high' D57 = 18, E57 = 28; the ten guidance formulas in L60:L69 now reference $D$57/$E$57 for both the displayed range and the above/below tests. One row was inserted at 57 to hold them — dependent refs auto-adjusted (per-property cost table now rows 59-69). (5) PROSE TIGHTENED (my own verbosity from Entry 104): Glossary C61/C62 cut roughly in half to two short sentences each, still live TEXT() formulas off D9/D10, row heights 45pt -&gt; 30pt. Guidance prose in L60:L69 also shortened — dropped the redundant 'Guidance $25/m2' restatement of the input that followed it. VERIFIED: Statement of Cash Flows row 8 (1,168,770 in Y3) and Property Detail row 8 (38,509 / 104,744) recompute identically post-rewrite; Project Data master check ALL CHECKS PASS including the Property Detail rent tie and the engine-basis release check (both of which exercise the rewritten anchors); Investor Return unchanged at capital 4,998,231 / distributions 6,930,070 / MOIC 1.39x / IRR 7.0% / payback 7; ServCo Personnel aggregates unchanged (361,280 allocated, 165,600 US, 195,680 Colombia); error sweep clean except the known Dashboard F1 in-cell image. ROLLBACK: the offset map above restores the literals if the MATCH form is ever unwanted.</t>
  </si>
  <si>
    <t>Income Statement Lines</t>
  </si>
  <si>
    <t>Rental revenue plus gross property sales.</t>
  </si>
  <si>
    <t>All-in basis (purchase, closing and works) of each property released to the income statement when sold.</t>
  </si>
  <si>
    <t>Total revenue less cost of property sales and selling costs.</t>
  </si>
  <si>
    <t>Property insurance, charged as a percentage of all-in basis.</t>
  </si>
  <si>
    <t>All costs incurred at the asset level, before portfolio-level G&amp;A.</t>
  </si>
  <si>
    <t>Net Operating Income (NOI)</t>
  </si>
  <si>
    <t>Rental revenue less property operating expenses. Excludes G&amp;A, taxes and sale proceeds.</t>
  </si>
  <si>
    <t>Portfolio-level costs not attributable to a single property: ServCo fees and allocations, legal and accounting, financial transactions tax.</t>
  </si>
  <si>
    <t>Fund-level professional fees and administration, paid directly by Dulcinea rather than through ServCo.</t>
  </si>
  <si>
    <t>Property operating expenses plus General &amp; Administrative.</t>
  </si>
  <si>
    <t>Gross profit less total operating expenses. No debt in the structure, so there is no interest line.</t>
  </si>
  <si>
    <t>Income tax on rental operations plus capital gains tax on property sales.</t>
  </si>
  <si>
    <t>Operating income less total taxes. Carries to retained earnings on the balance sheet.</t>
  </si>
  <si>
    <t>Cash Flow Statement Lines</t>
  </si>
  <si>
    <t>Indirect method: net income adjusted for non-cash items to reach cash generated by operations.</t>
  </si>
  <si>
    <t>Add back: cost basis of properties sold</t>
  </si>
  <si>
    <t>The cost basis expensed on sale is non-cash — the cash left the fund when the property was bought — so it is added back to operating cash flow.</t>
  </si>
  <si>
    <t>Operating cash flow after all non-cash adjustments.</t>
  </si>
  <si>
    <t>Cash spent acquiring and improving property. Sale proceeds appear in operating activities because properties are held for sale.</t>
  </si>
  <si>
    <t>Capital spend on renovation, drawn over each property's renovation window.</t>
  </si>
  <si>
    <t>Total investing outflows for the period.</t>
  </si>
  <si>
    <t>Equity movements. There is no debt in the structure.</t>
  </si>
  <si>
    <t>Equity capital called</t>
  </si>
  <si>
    <t>Operating plus investing plus financing cash flow for the period.</t>
  </si>
  <si>
    <t>Prior period ending cash.</t>
  </si>
  <si>
    <t>Beginning cash plus net change in cash. Ties to cash on the balance sheet.</t>
  </si>
  <si>
    <t>Direct-Method Memo</t>
  </si>
  <si>
    <t>Cash in and cash out restated on a receipts-and-payments basis, as an independent check on the indirect-method total.</t>
  </si>
  <si>
    <t>Balance Sheet Lines</t>
  </si>
  <si>
    <t>Fund cash at period end, tied to ending cash on the cash flow statement.</t>
  </si>
  <si>
    <t>Cash plus real estate held for sale. No receivables or inventory in this structure.</t>
  </si>
  <si>
    <t>Zero throughout — the fund is unlevered and settles costs within the period.</t>
  </si>
  <si>
    <t>Sum of all liabilities. Zero while the structure carries no debt.</t>
  </si>
  <si>
    <t>Cumulative net income since inception, less distributions paid.</t>
  </si>
  <si>
    <t>Contributed capital plus retained earnings.</t>
  </si>
  <si>
    <t>Balance Check</t>
  </si>
  <si>
    <t>Total assets less liabilities less equity. Must read zero in every period.</t>
  </si>
  <si>
    <t>One-time fee to ServCo on each purchase, charged on purchase price at closing.</t>
  </si>
  <si>
    <t>Fee to ServCo for managing works, charged on renovation spend as incurred.</t>
  </si>
  <si>
    <t>One-time fee to ServCo on each sale, charged on gross sale price at closing.</t>
  </si>
  <si>
    <t>The share of ServCo's fully loaded payroll charged to Dulcinea, by each role's percentage of time on the portfolio.</t>
  </si>
  <si>
    <t>ServCo's own cost of delivering property services — field staff hours, guest support, vendor coordination, supplies and systems.</t>
  </si>
  <si>
    <t>ServCo revenue from Dulcinea less ServCo's cost to deliver those services.</t>
  </si>
  <si>
    <t>Operating margin as a percentage of cost. A negative figure shows ServCo is not profiting on the Dulcinea slice.</t>
  </si>
  <si>
    <t>Funding from Ashoka parent</t>
  </si>
  <si>
    <t>Cash the ServCo parent contributes to cover the deficit on the Dulcinea slice. Never funded by Dulcinea or the raise.</t>
  </si>
  <si>
    <t>The subset of the fee schedule actually run through the Dulcinea income statement.</t>
  </si>
  <si>
    <t>Fees ServCo could charge under the schedule but does not, shown to size the concession.</t>
  </si>
  <si>
    <t>Entry 106 — GLOSSARY EXTENDED TO COVER EVERY STATEMENT LINE ITEM (Ricardo: 'all items in all statements must be explained in Glossary'). Audited all four statement tabs (Income Statement, Statement of Cash Flows, Balance Sheet, ServCo Financials) against the 54 existing Glossary terms and found ~45 line items undefined. ADDED 4 new sections, 49 rows total, styled to match the existing Glossary exactly (#1F4E78 header band, white bold Aptos 13, 20pt row; body Aptos 11 black, bold term in column B, wrapped definition in column C, 28.75pt floor, vertically centered): rows 64-79 'Income Statement Lines' (Rental revenue, Property sales (gross), Total revenue, Cost basis of properties sold, Gross profit, Insurance, Utilities &amp; maintenance, Total property operating expenses, Net Operating Income (NOI), General &amp; Administrative, Dulcinea legal/accounting/admin, Total operating expenses, Operating Income (EBITDA), Total taxes, Net Income); rows 81-94 'Cash Flow Statement Lines' (the three activity sections and their net lines, the non-cash cost-basis add-back with the reason it is added back, Property acquisitions, Renovation &amp; expansion works, Equity capital called, Net Change in Cash, Beginning/Ending cash, Direct-Method Memo); rows 96-103 'Balance Sheet Lines' (Cash &amp; equivalents, Total Assets, Debt and payables, Total Liabilities, Retained earnings, Total Equity, Balance Check); rows 104-114 'ServCo Statement Lines' (Acquisition fee, Renovation management fee, Disposition fee, Allocated team cost, Service delivery cost, Operating margin, Margin over cost arm's-length check, Funding from Ashoka parent, Fees currently charged, Incremental fees available). NOT duplicated — these statement lines were already defined and were left alone: All-In Basis, Exit Value, Closing Costs, Selling Costs, Stabilized Gross Rent, Stabilized NOI, Housekeeping &amp; Turnover, Maintenance Reserve, Predial, Administración (HOA), ICA, GMF 4x1000, Ganancia Ocasional, Corporate Income Tax, ServCo, Asset Management Fee, Property Management Fee, Property Service Fee, Contributed Capital, Real Estate Held for Sale, MOIC, IRR, Payback, Distributions. Per-property rows (the ten property names repeated under each statement section) are not glossary terms and were excluded. Definitions written short and objective per house prose rules, no typed model numbers (so nothing can go stale); the two entries that do quote figures — Real-dollar convention and Real rent growth, rows 61-62 — remain live TEXT() formulas off Project Data D9/D10. VERIFIED: rendered read-back of rows 62-114 (screenshot) shows correct banding, bold terms, no clipped wrapped text; autofitRows applied then the 28.75pt floor re-enforced on every added row. No formulas on any statement tab were touched by this entry — Glossary is documentation only.</t>
  </si>
  <si>
    <t>Modelling Conventions</t>
  </si>
  <si>
    <t>ServCo — Statement Lines &amp; Fees</t>
  </si>
  <si>
    <t>Light blue fill + navy text</t>
  </si>
  <si>
    <t>Entry 107 — GLOSSARY REORDERED INTO A READER'S SEQUENCE (Ricardo: 'refactor glossary so sections are ordered that makes most sense'). OLD ORDER: Deal &amp; Property Terms (4) / Rental &amp; Operating (15) / Colombian Taxes &amp; Costs (24) / ServCo &amp; Fees (35) / Capital &amp; Returns (42) / How to Read (50) / Color-Code Legend (53) / two orphan rows with no section header (61-62 Real-dollar convention, Real rent growth) / Income Statement Lines (64) / Cash Flow Lines (81) / Balance Sheet Lines (96) / ServCo Statement Lines (104). NEW ORDER — orientation, then statements in statement order, then the concepts behind them: row 4 How to Read This Workbook (intro paragraph now merged B5:C5 so it reads as prose, italic gray, no longer a fake bold 'term'); 7 Color-Code Legend; 15 Modelling Conventions (NEW header — adopts the two previously orphaned rows); 19 Income Statement Lines; 36 Cash Flow Statement Lines; 51 Balance Sheet Lines; 60 ServCo — Statement Lines &amp; Fees (MERGED the old 'ServCo &amp; Fees' concept block into the ServCo statement-lines block, so ServCo, Asset Management Fee, Property Management Fee, Property Service Fee and Payroll Load now sit with the ServCo lines instead of two screens apart); 77 Deal &amp; Property Terms; 88 Rental &amp; Operating Terms; 97 Colombian Taxes &amp; Costs; 108 Capital &amp; Returns. Rationale: a reader arrives from a statement wanting a line item, so statement blocks come first; conceptual definitions follow; orientation and the color legend lead. All 111 rows rebuilt by reading formulas (not values) and rewriting in the new sequence, so the ~30 definitions that are live TEXT() formulas off Project Data kept their formulas — verified by spot-reading Contributed Capital (renders $5,000,000 off D40) and the two Modelling Conventions rows (2.0% / 7.0% off D10/D9). Restyled uniformly: #1F4E78 header bands 20pt white bold Aptos 13, body Aptos 11 black with bold term in B and wrapped definition in C, vertically centered, 28.75pt row floor after autofit, one blank row between sections. TWO STALE ITEMS FIXED while in there: (a) the legend row read 'Sage fill + olive text' — a leftover from the pre-RC-CFI palette; now 'Light blue fill + navy text' to match the workbook's actual banding. (b) the Distributions definition said 'remaining cash at the end of Year 6' as typed text while the horizon is now Year 7; rewritten as a TEXT() formula off 'Project Data'!$D$7 so it tracks the derived horizon. ALSO CLEANED: stray navy fills left in column A rows 4-120 by the previous layout. No formulas outside the Glossary were touched; this tab is documentation only, so no model outputs move. VERIFIED: rendered screenshots of rows 1-20 and 56-114 — correct section sequence, banding, bold terms, no clipped wrapped text, no orphan rows.</t>
  </si>
  <si>
    <t>Entry 108 — PROPERTY DETAIL EXTENDED TO ALL 14 PROPERTIES + TOTALS BUG FIXED (Ricardo: 'the property detail should include all properties in the properties tab even if values are zero (unknown)'). WAS: 10 blocks covering Properties rows 6-15 (the underwritten deals); the four Backup properties on Properties rows 16-19 had no block at all. NOW: 14 blocks. Inserted 64 rows (4 blocks x 16 rows) ahead of the totals block and replicated the block template from rows 151:166, giving new blocks at 167 (Carolina's House), 183 (Catay 5 Duplex), 199 (Rancho Llanogrande), 215 (Casa/Lote Represa El Retiro). Property index set to 11/12/13/14 across all 15 rows of each block (header row carries the index too, as in rows 7-21) so the header formula INDEX(Properties!$E/$F/$H,$A+5) resolves — each renders 'name · location · Backup — insufficient data for underwriting'. ENGINE GUARD: the quarterly engine has rows for 10 properties only, so MATCH($A,'_Qtr Engine'!$B$34:$B$43,0) returns #N/A for indices 11-14. All 360 engine-lookup formulas in the new blocks are wrapped IFERROR(...,0), so every line renders '–' today and will populate automatically if engine rows are ever added for the backups. Detail rows grouped (byRows) on each new block to match the existing +/- collapse behaviour. TOTALS BUG FOUND AND FIXED — pre-existing, unrelated to this change: the 'Sale — net proceeds after CG tax (memo)' total row summed only EIGHT of the ten blocks (=SUM(C21,C37,C53,C69,C85,C101,C117,C133)) — properties 9 and 10 (ICP5, ICP3) were silently excluded from the portfolio sale-proceeds memo. Rather than patch that one row, all 14 total rows were rebuilt programmatically from the canonical block offsets (8,24,40,...,216 plus the line offset), 140 cells across C:L, so a missing block cannot survive in any row. Sale-proceeds memo now reads 0 / 0 / 4,491,523 / 0 / 6,352,166 / 0 / 5,005,076 / 0 / 0 / 0 across Years 1-10. VERIFIED: Property Detail gross rental revenue total ties to Income Statement row 7 to the dollar in all ten years (diff 0 every year); zero error cells on the tab (used range now A1:L245); Project Data master check ALL CHECKS PASS including the Property Detail rent tie; rendered screenshot of the new blocks confirms headers, banding, indexes and '–' rendering. No change to any model output — the backups carry no data, and the totals fix only affected a memo row that feeds nothing. ROLLBACK: delete rows 167-230 and restore the eight-block SUM in the sale row if the omission was somehow intentional.</t>
  </si>
  <si>
    <t>Buy Box</t>
  </si>
  <si>
    <t>Entry 109 — 'BUY BOX' DEFINED IN GLOSSARY (Ricardo asked what it is and to define it). Added row 87 at the end of the Deal &amp; Property Terms section (after Selling Costs): term 'Buy Box', definition written as a live TEXT() formula so the entry discount tracks 'Project Data'!$J$60 rather than being typed — 'The acquisition criteria a property must meet to enter the portfolio: El Poblado furnished apartments and penthouses, entry at least 30% below the fully improved comparable, all-in basis per m2 at or below the portfolio average, positive stabilized NOI at guidance rent and occupancy, and a 24-month works-rent-exit cycle. Stated in full on the Portfolio Strategy tab.' Styled to the section pattern (Aptos 11, bold term in B, wrapped definition in C, vertically centered, autofit then 28.75pt floor). Source of the definition is the existing six-criterion block at Portfolio Strategy B14:B20 ('Acquisition Criteria — Target Property Profile (Buy Box)'), whose lines are themselves live formulas off Project Data (entry discount J60, occupancy 1-I60, service fee D35*12, final exit quarter D8) plus the deal-level IRR strip at D12:F12. Glossary rows below 87 shifted down one (Rental &amp; Operating Terms now 89, Colombian Taxes &amp; Costs 98, Capital &amp; Returns 109) — no formulas reference Glossary rows, so nothing to repoint. Documentation only; no model outputs affected.</t>
  </si>
  <si>
    <t>Notes</t>
  </si>
  <si>
    <t>Entry 111 — EXIT TIMING TABLE AUDITED AND REFACTORED (Portfolio Strategy A22:H34; Ricardo: 'audit and refactor the selected table'). FOUR DEFECTS FOUND, ALL FIXED. (1) MATERIAL — THE TABLE SILENTLY DROPPED TWO ACTIVE PROPERTIES. B24 spills =FILTER(Properties!$A$6:$A$15,Properties!$D$6:$D$15=1), currently 8 rows (B24:B31), but the property name, the three hold-length return columns, optimal hold and suggested exit existed only for rows 24-29. ICP2 (index 7) and ICP3 (index 8) showed an index with no analysis, and anyone reading the block would have assumed six active properties. Formula rows now built for 24:33 (ten, the maximum the FILTER can return), each guarded =IF($B&lt;row&gt;="","",...) so unused rows render blank and the block can never again show an index without its analysis. ICP2 now reads 22.1% / 22.6% / 17.2%, ICP3 22.1% / 22.6% / 17.1%. (2) The takeaway line averaged only the first six rows — MEDIAN(G24:G29) — now MEDIAN($G$24:$G$33), and the wording changed from 'every selected property' to 'every active property' to match the activation-column vocabulary. (3) MAGIC NUMBER in all 30 return cells: the NOI term used MAX(0,D$23-6)/12, hardcoding a six-month works window, while renovation length is a per-property blue input (Properties column R, in quarters). Replaced with MAX(0,D$23-INDEX(Properties!$R$6:$R$15,$B&lt;row&gt;)*3)/12, so a property with a different works window is now priced correctly. All current active properties happen to carry R=2 quarters, so no displayed value changed from this fix — it removes a latent error rather than correcting a live one. (4) FORMATTING: rows 30-33 were still Aptos Narrow from an earlier layout (now Aptos 11), percentage and integer number formats applied across D24:H33 (rows 30-31 had been rendering raw decimals like 0.221357517), alignment set (index centered, property left, numbers right), data rows to 18pt, section bar 20pt. Header row 23 was clipping the two-line labels 'Optimal hold (months)' and 'Suggested exit (model qtr)' — set to 32pt with wrap and vertical centering. The takeaway row was collapsed to 14.5pt by autofit (merged cells defeat autofitRows) — set explicitly to 45pt. TRANSIENT ISSUE ENCOUNTERED AND RESOLVED: the first rewrite used IFERROR around INDEX, but a blank index cell makes INDEX return the whole array rather than an error, so rows 32-33 threw #SPILL! instead of blanking; switched to the IF($B="") guard. Verified zero errors on the tab afterwards. VERIFIED: rendered screenshot of A22:H35 shows all eight active properties, correct percentages, no clipped headers, blank guarded rows; takeaway renders '24 months for every active property ... 35% ordinary ... 15% capital-gains ... 7%/yr ... 30% entry discount' live off Project Data D29/D30/D9/J60. This table is analysis-only — no model outputs or returns are affected.</t>
  </si>
  <si>
    <t>Entry 112 — EXIT TIMING TABLE CONFIRMED SELF-CORRECTING ON ACTIVATION (Ricardo: 'if property is activate or deactivated this table should auto correct'). No further changes needed — the Entry 111 refactor already made it dynamic; this entry records the live proof. MECHANISM: B24 spills =FILTER(Properties!$A$6:$A$15,Properties!$D$6:$D$15=1), keyed to the Activation Status column (D), which itself forces 0 for any Backup-stage property regardless of the Selected flag. Rows 24:33 carry the full formula set guarded =IF($B&lt;row&gt;="","",...), so the block grows and shrinks with the spill; the takeaway uses MEDIAN($G$24:$G$33) across all ten. TESTS RUN AND REVERTED (Properties column B toggled, then restored to the original 8-active state, confirmed by B21 = 8 and row 31 = ICP3): (a) 9 ACTIVE — activated ICP4: table extended to nine rows, ICP4 appearing at row 32 with 17.1% at 36-month hold and suggested exit quarter 19; row 33 stayed blank. (b) 7 ACTIVE — deactivated San Lucas 101 (index 3) and Casa Montana Lote 2 (index 4): the table re-indexed to 1, 2, 5, 6, 7, 8, 9 with the correct names against each, and rows 31-33 blanked — i.e. it closes gaps rather than leaving holes where a deactivated property used to sit. (c) 10 ACTIVE (boundary) — all ten activated: the spill exactly fills B24:B33, every row populated through ICP5, zero errors on the tab, and no #SPILL! against the merged takeaway row at 34. Ten is the hard maximum: the FILTER scans Properties rows 6-15 only, and the four Backup properties (rows 16-19) can never activate, so the ten formula rows can never be overrun. VERIFIED after restore: 8 active, table shows the original eight properties ending at ICP3, Project Data master check ALL CHECKS PASS.</t>
  </si>
  <si>
    <t>Entry 113 — SENSITIVITY GRID AUDITED AND REFACTORED (Portfolio Strategy A36:H42, Entry Discount x Market Appreciation -&gt; Portfolio Deal-Level IRR). FIVE DEFECTS, ALL FIXED. (1) BASE CASE SAT AT THE EDGE. The grid is 5x3 but the appreciation axis was hardcoded 3%/5%/7% with the base case (7%) in the LAST column, highlighted by a manual #D9EAF7 fill on F40. House convention centres the base case. Axis now derives from the input: D37 ='Project Data'!$D$9-0.02, E37 =$D$9, F37 =$D$9+0.02, giving 5%/7%/9% with the base centred at E40. (2) ROW AXIS ALSO HARDCODED (20/25/30/35/40%). Now derived from the live weighted-average entry discount across ACTIVE properties — SUMPRODUCT(Properties!$D$6:$D$15,'Project Data'!$J$60:$J$69)/SUM(Properties!$D$6:$D$15) — at base-10pp / -5pp / base / +5pp / +10pp, so C40 always equals the actual portfolio discount (currently 30%). (3) MANUAL BASE-CASE FILL REPLACED WITH CONDITIONAL FORMATTING: a custom rule over D38:F42 that fires where the column axis equals D9 AND the row axis equals the weighted-average discount (both ROUNDed to 4dp), painting #D9EAF7 with navy bold. The highlight now follows the inputs instead of going stale. (4) TWO MAGIC NUMBERS in all 15 formulas: noi*6/12 hardcoded a six-month works window and (1+g)^2 hardcoded a two-year hold, while both are per-property inputs. The LET now derives w = SUMPRODUCT(act,Properties!$R$6:$R$15)*3/SUM(act) (weighted-average works months) and h = SUMPRODUCT(act,Properties!$V$6:$V$15)/SUM(act) (weighted-average hold years), used as noi*MAX(0,12-w)/12 and (1+g)^h. All active properties currently carry R=2 quarters and V=2 years, so no displayed value changed — a latent error removed, not a live one corrected. Note the three-point IRR structure still assumes roughly a two-year cycle; if h ever moves materially away from 2 the cash-flow spacing would need revisiting (flagged, not changed). (5) FORMATTING: Aptos Narrow leftovers in A37:B42 and G37:H42 set to Aptos; row-axis cells bold and right-aligned per the sensitivity-axis convention; rows 37-42 at 18pt, section bar 20pt. ADDED: a takeaway line at B43 (merged B43:H43, italic gray, 32pt) matching the table above, written as a live formula. FIRST DRAFT OF THAT LINE WAS WRONG TWICE and is worth recording: it rendered '0.0 points' because the step deltas are fractions and were formatted '0.0' without x100, and it asserted the entry discount moves the return 'roughly twice as hard as appreciation' — the arithmetic says the opposite. Verified from the grid: +1 point of appreciation is worth about 1.17 points of IRR, +1 point of entry discount about 0.91 points. The line now states appreciation is the stronger lever per point while noting the discount is the lever the team controls at purchase. ACTIVATION TEST (the same requirement as Entry 112): deactivated San Lucas 101 and Casa Montana Lote 2 -&gt; every cell re-based (base case 26.0% -&gt; 26.2%, weakest corner 15.7% -&gt; 15.9%) because n, noi, w, h and both axes are all SUMPRODUCTs over the activation column; restored to 8 active and the grid returned to 15.7% / 26.0% / 38.5% at the corners. Zero errors on the tab. Analysis-only block: no model outputs or investor returns affected.</t>
  </si>
  <si>
    <t>Entry 114 — PORTFOLIO STRATEGY: ALL TYPED NUMBERS IN PROSE CONVERTED TO LIVE FORMULAS (Ricardo: 'review entire tab for text with numbers that must be text with formulas inside since numbers changes'). Swept every string cell on the tab containing digits and separated genuine prose from structural references. CONVERTED FROM STATIC TEXT TO FORMULAS — the notes column added earlier this session (my own violation of the dynamic-prose rule): J6 base-case appreciation now TEXT('Project Data'!$D$9); J10 works window and first-year rent months now derived from SUMPRODUCT(active,Properties!$R$6:$R$15)*3/SUM(active); J11 real rent growth and selling costs now TEXT($D$10) and TEXT($D$19); J12 — the IRR-composition note — every rate now live: property management $D$34, housekeeping $D$24, service fee $D$35, insurance $D$22, maintenance reserve $D$23, ICA $D$25, vacancy as the active-weighted average of $I$60:$I$69, selling costs $D$19, asset management fee $D$33, and the three uncharged fees $D$74/$D$75/$D$76. FORMULAS THAT CONTAINED TYPED NUMBERS INSIDE THE STRING (worse than static text, because they look dynamic): B15 the STR band '$18–28/m²/month' was typed — now reads the labelled benchmark inputs Project Data $D$57/$E$57 created in Entry 105 (the El Retiro $7–12/m² figure stays static: it is an external researched benchmark with no input cell); B19 the whole timing line ('24-month cycle — 6 months of works, 18 months rental, exit by month 24') was typed — now derives the cycle from Properties $S (total hold quarters) and works from $R, with rental as the difference; B20 the appreciation axis labels ('3% / 5% / 7%') were typed — now read $D$6/$E$6/$F$6, so they cannot drift from the axis they describe; B34 'month 24' appeared three times as typed text — now all three read MEDIAN($G$24:$G$33), and the entry discount reads the active-weighted average; C10 the row label 'months 7-12' now derives its start month from the works window. DEFECT FOUND VIA THIS WORK — INPUT ROWS HAD SHIFTED: the ServCo fee inputs moved from D73:D75 to D74:D76 (net +1 row across this session: row 10 real-rent-growth insert, row 38 inflation delete, row 57 benchmark insert). Existing formulas had auto-adjusted, but the references I typed fresh in J12 landed one row high and rendered 'acquisition 0%, renovation management 1%, disposition 5.0%' — visibly wrong figures in investor-facing prose. Corrected to D74/D75/D76 and re-read: 'acquisition 1%, renovation management 5%, disposition 0.5%'. LESSON: when typing new absolute references to Project Data, re-read the target rows first — this session moved them three times. (A first repair attempt using chained string .replace() on the formula corrupted it — the _TMP sentinel matched its own prefix — so J12 was rewritten from scratch.) LIVENESS TESTED AND REVERTED: setting every active property's works window to 3 quarters and total hold to 10 quarters changed B19 to '30-month cycle — 9 months of works, 21 months rental, exit by month 30', C10 to 'months 10-12' and J10 to '3 months of stabilized NOI ... first 9 months'; restoring the inputs returned all three to 24/6/18 and 'months 7-12'. Note an earlier single-property test (R6 alone 2 -&gt; 3) showed no visible change because the 8-property weighted average moved only to 6.4 months and rounds to 6 — the formula was live, the display simply rounded. VERIFIED: Project Data master check ALL CHECKS PASS after restore; no model outputs touched (prose only).</t>
  </si>
  <si>
    <t>Sensitivity — Market Rent per m² × Entry Discount → Portfolio Deal-Level IRR</t>
  </si>
  <si>
    <t>Rent USD/m²/mo ↓ \ Entry discount →</t>
  </si>
  <si>
    <t>Entry 115 — NEW SENSITIVITY GRID: MARKET RENT PER M2 x ENTRY DISCOUNT (Ricardo: 'I need another sensitivity table with entry point discounts ... Make one for rent per m2 sensitivity'). Built at Portfolio Strategy rows 45-52, styled identically to the appreciation grid above it. STRUCTURE: row 45 olive-blue section bar 'Sensitivity — Market Rent per m2 x Entry Discount -&gt; Portfolio Deal-Level IRR'; row 46 axis header; rows 47-51 the five rent steps; row 52 takeaway (merged B52:H52, italic gray, 50pt); note at J47 in the existing notes column. BOTH AXES DERIVED, NOT TYPED — the grid re-centres itself on the live base case: ROW AXIS = m2-weighted average market rent across ACTIVE properties, SUMPRODUCT(act,Properties!$I$6:$I$15,'Project Data'!$K$60:$K$69)/SUMPRODUCT(act,Properties!$I$6:$I$15), currently $20.3/m2/mo, stepped -$4/-$2/base/+$2/+$4; COLUMN AXIS = active-weighted entry discount, SUMPRODUCT(act,$J$60:$J$69)/SUM(act) = 30%, stepped -5pp/base/+5pp. Base case therefore lands in the centre cell E49 and is painted by a CONDITIONAL FORMAT (custom rule matching both axes against the inputs, #D9EAF7 + navy bold) rather than a manual fill. MECHANICS: the IRR reuses the same three-point structure as the grid above (t0 acquisition outlay, t1 part-year NOI, t2 full-year NOI + exit net of selling costs) with works window w and hold h derived from Properties $R and $V. Rent is flexed by a scalar s = trial rate / base rate applied to gross rent, and only the rent-linked variable costs are netted off: noi = noi0 + y*(s-1)*(1-$D$24 housekeeping-$D$25 ICA-$D$34 property management), i.e. 77% of each extra rent dollar reaches NOI. Exit value is deliberately NOT flexed by rent — the model prices exits off comparables (all-in basis / (1-discount) x (1+appreciation)^hold), not off income. CROSS-CHECK: the new grid's base cell E49 returns 0.259874048635348, identical to the existing appreciation grid's base cell E40 — the two independent formulations agree to 15 decimal places. FINDING WORTH FLAGGING TO INVESTORS: rent is a weak return lever here. A 49% swing in market rent ($16.3 to $24.3/m2/mo) moves deal-level IRR by only about 1.1 points, while the entry discount moves the same grid 9.0 points across 25-35%. The takeaway states this plainly: 'Rent covers holding costs; the entry discount creates the return.' That is a structural consequence of comparable-based exit pricing on a 24-month flip, not a modelling error — but it does mean the STR-rate benchmarking work matters mainly for holding-cost coverage and the Buy Box deal test, not for headline returns. ACTIVATION TEST AND REVERT: deactivating San Lucas 101 and Casa Montana Lote 2 re-based both axes (rent axis $16.3-$24.3 -&gt; $18.0-$26.0, base IRR 26.0% -&gt; 26.2%) since every term is a SUMPRODUCT over the activation column; restoring returned the grid to $16.3-$24.3 and 26.0%. Zero errors on the tab; Project Data master check ALL CHECKS PASS. Analysis-only block — no model outputs or investor returns affected. A first draft of the takeaway read 'changes deal-level IRR by only 1.1 to 1.1 points' (quoting the widest and narrowest columns, which round identically); reworded to a single figure off the base column.</t>
  </si>
  <si>
    <t>Practiced Market Rent by Property — Asking Rate per m²</t>
  </si>
  <si>
    <t>Rate (USD/m²/mo)</t>
  </si>
  <si>
    <t>Effective rate after vacancy</t>
  </si>
  <si>
    <t>Entry 116 — PER-PROPERTY PRACTICED RENT MADE VISIBLE IN THE WORKBOOK (Ricardo challenged 'I think you are using $25 for all properties, no?' — the model does vary rates per property, but nowhere in the workbook showed it plainly, which is why the impression was reasonable). NEW TABLE at Portfolio Strategy rows 54-67, 'Practiced Market Rent by Property — Asking Rate per m2', directly under the rent sensitivity grid it feeds: row 54 section bar; row 55 header (#, Property, Status, Size m2, Rate USD/m2/mo, Monthly ask USD, Effective rate after vacancy) at 32pt with wrap; rows 56-65 all TEN properties (not just active) each pulling INDEX off Properties E/I/D and 'Project Data'!$K$60:$K$69 / $I$60:$I$69 — nothing typed; row 66 ivory band 'Active portfolio — N properties, m2-weighted average' with size total, weighted asking rate, total monthly ask and weighted effective rate; row 67 merged italic takeaway. CURRENT STATE SHOWN: 25/25/25/10/10/25/25/22 across the eight active properties against sizes 489/389/325/591/420/360/445/520, m2-weighted average $20.3/m2/month asking and $14.2 effective after 30% vacancy, total monthly ask $71,750 on 3,539 m2. ICP4 and ICP5 appear greyed as Inactive. TWO CONDITIONAL FORMATS (not manual fills): inactive rows render #A6A6A6 grey keyed to the Status column; any ACTIVE rate outside the researched band ('Project Data'!$D$57:$E$57) gets soft-yellow #FFF2CC with #9C6500 text — currently flagging the two El Retiro estates at $10, which is intentional (estate product does not command El Poblado apartment rents; the Buy Box already states estates do not clear at $7-12/m2). ALL COUNTS AND RANGES IN THE TAKEAWAY ARE DERIVED — COUNTIFS/COUNT/MINIFS/MAXIFS over the rate column against the band inputs, so '8 of 10 sit between $22 and $25' and 'the 2 El Retiro estates are held at $10' update themselves; an IF collapses the phrasing to 'at $X' when the in-band rates are all equal (caught during testing when a flexed rate left only $25s in band and the line read 'between $25 and $25'). GLOSSARY DEFECT FIXED: the Stabilized Gross Rent definition (row 90) quoted the range as '$25–10/m2/month' — it referenced K60 then K63 positionally, so it printed high-then-low and would misreport entirely if the row order changed. Rewritten as MIN/MAX over $K$60:$K$69, now '$10–$25/m2/month, set per property — see Practiced Market Rent by Property on Portfolio Strategy', which also cross-references the new table. TESTED AND REVERTED: setting ICP3 to $32 flagged it yellow and out-of-band; activating ICP4 moved the band row to 'Active portfolio — 9 properties', 3,919 m2, $22.1 weighted asking, $86,450 monthly ask, $15.4 effective, and the takeaway counts re-derived to '7 of 10'. Inputs restored — 8 properties, $20.3, $71,750, $14.2. Zero errors on the tab; Project Data master check ALL CHECKS PASS. Display-only addition: no model outputs or investor returns affected.</t>
  </si>
  <si>
    <t>Entry 117 — TAB RENAMED: 'The Ask' -&gt; 'Sources &amp; Uses' (Ricardo directive). Sheet renamed via the worksheet name property; Excel auto-repointed all 21 inbound formula references, each verified by read-back: Project Data D82 balance check now =IF(ABS('Sources &amp; Uses'!C18)&lt;1,"OK","CHECK") and still reads OK; Statement of Cash Flows C47:L47 equity-call formulas now =MIN('Project Data'!$D$40,MAX(0,'Sources &amp; Uses'!$C$14-(...))); Investor Return C8:L8 distribution formulas now reference 'Sources &amp; Uses'!$C$14. VISIBLE TEXT THAT NAMED THE OLD TAB, ALSO UPDATED (these do not auto-update and would have gone stale): Project Data B82 label 'The Ask balances (sources = uses)' -&gt; 'Sources &amp; Uses balances (sources = uses)' with the Spanish C82 to match; the tab's own row-1 title 'Dulcinea — The Ask: Sources &amp; Uses of Capital (USD)' -&gt; 'Dulcinea — Sources &amp; Uses of Capital (USD)' (the old title had the new name embedded in it, which would have read as a duplication); Cover contents list B21 'The Ask / Glossary' -&gt; 'Sources &amp; Uses / Glossary'. Post-rename sweep of every sheet except _Handoff found ZERO remaining 'The Ask' mentions in cell text or formulas. Historical _Handoff entries were deliberately left untouched — they are a dated record of what the tab was called at the time. NOTE ON TAB ORDER: the RC-CFI standard sequence lists Investor Return -&gt; The Ask, with Sources &amp; Uses as a separate later tab; this workbook has one tab doing both jobs, and it stays in position 8 immediately after Investor Return. Nothing to reorder. VERIFIED: sheet collection re-read confirms the name; the tab's content is intact (sources 5,000,000 = uses 5,000,000, balance check '–'); workbook error sweep clean except the known Dashboard F1 in-cell image; Project Data master check ALL CHECKS PASS.</t>
  </si>
  <si>
    <t>Source / basis</t>
  </si>
  <si>
    <t>Entry 118 — ALL RED-TRIANGLE NOTES CONVERTED TO A VISIBLE 'SOURCE / BASIS' COLUMN (Ricardo: 'convert all red triangle comments into column comments'). This brings the workbook into line with the standing rule that provenance lives in visible cells, never in legacy notes. INVENTORY: 21 notes, ALL on Project Data column D, none anywhere else in the workbook (checked every sheet's notes collection). Cells carrying them: D5 TRM, D6 model start, D12 implied cap rate, D13 value uplift, D14 vacancy, D15 rental ramp, D18 buyer closing costs, D19 selling costs, D22 insurance, D23 maintenance reserve, D24 housekeeping, D25 ICA, D26 GMF, D29 corporate income tax, D30 ganancia ocasional, D35 service fee, D40 total raise, D41 tranche 1, D74 acquisition fee, D75 renovation management fee, D76 disposition fee. CONVERSION: each note's text written to column E on the same row, merged E:L (1,061pt of free width — columns E through L are empty across the assumptions block rows 4-45 and the fee block 73-76, so nothing was displaced), wrapped, vertically centred, indent 1, Aptos 10 italic grey #4A5561 — the same treatment as the notes column on Portfolio Strategy. Column header 'Source / basis' added at E4 (sits inside the existing navy section bar, white bold) and at E73 (no bar on that row, so navy bold on white). All 21 legacy notes then deleted via the worksheet.notes collection; a re-read of every sheet confirms ZERO notes remain in the workbook. TWO MECHANICAL GOTCHAS RECORDED: (1) the Note object exposes no address property and there is no Range.getNoteOrNullObject in this API version, so the notes could not be located programmatically — the cell reader (which returns note text as a third element alongside value and formula) was used to map them to addresses. (2) autofitRows does nothing on merged cells: it returned 15pt for every row, which would have clipped the longer notes. Heights were instead computed from text length against the measured merged width (196 characters per line at 10pt across 1,061pt) — all 21 notes fit on a single line at 19pt, verified by rendered screenshots of the General &amp; FX / Revenue &amp; Exit / Acquisition blocks and the ServCo fee block. NOTE PRESERVATION: the note text was transcribed verbatim, including the source attributions ('Applied TRM per Dulcinea portfolio overview, 8/26/26', 'Ley 2277 de 2022', the industry-standard fee ranges), so no provenance was lost in the move. The 'Ricardo Cidale:' author prefix that Excel prepends to notes was dropped, since a visible column does not need it. VERIFIED: 21 of 21 notes present as visible text, zero notes remaining, per-property cost table rows 58-69 untouched, Project Data master check ALL CHECKS PASS.</t>
  </si>
  <si>
    <t>ServCo — Transaction Fees (available, not charged)</t>
  </si>
  <si>
    <t>Entry 119 — INDENTATION AUDITED AND FIXED ACROSS THE READER-FACING TABS (Ricardo: 'audit and fix indentation issues and opportunities', whole of Project Data selected). Audited label-column indentLevel against the RC-CFI hierarchy (level 0 section headers and grand totals, level 1 category/subtotal or line item under a bar, level 2 detail beneath a subtotal); confirmed NO typed leading spaces anywhere, so all hierarchy is real Excel indent. PROJECT DATA — was badly mixed: 10 of 12 section bars sat at level 0 correctly but rows 58 (Per-Property Operating Cost Inputs) and 71 (ServCo Team) sat at level 1; and of ~45 line items only FOUR (rows 9, 10, 16, 38) carried level 1 — every other assumption sat flush left at level 0, so nothing read as nested under its section. Fixed: bars 58/71 to level 0; 45 line items to level 1 (rows 5-8, 12-15, 18-19, 22-26, 29-30, 33-35, 40-42, the ten reference lines 45-54 plus 55, the two standalone inputs 56-57, the fee inputs 74-76, and the seven model checks 79-85); Master check row 86 left flush as a grand total; the per-property table keeps header 59 at level 1 and property rows 60-69 at level 2. The SPANISH label column C was given the identical indents so the bilingual pair reads as one hierarchy — previously column C had no indents at all. STRUCTURAL OPPORTUNITY TAKEN: the three transaction-fee inputs (rows 74-76: acquisition, renovation management, disposition) had no parent of their own — they sat under the 'ServCo Team' bar, which is about personnel. Added a proper section bar at row 73, 'ServCo — Transaction Fees (available, not charged)' / 'ServCo — honorarios de transacción (disponibles, no cobrados)', navy A73:D73, 20pt, with the E73 'Source / basis' notes header preserved alongside it. BALANCE SHEET — all 7 line items were flush. Now: ASSETS/LIABILITIES/EQUITY bars level 0; Cash, Real estate, Debt and payables, Contributed capital, Retained earnings level 1; Total Assets, Total Liabilities, Total Equity and Balance Check flush as totals. SOURCES &amp; USES — all 11 flush. Now: Sources/Uses bars level 0; the seven use lines and Total capital raise level 1; 'of which Tranche 1' level 2 (it is a subset of the raise above it); Total sources, Total uses, Balance check flush. INVESTOR RETURN — all 10 flush. Now: the two bars level 0; Model year, Period, Capital called, both distribution lines, Cumulative cash flow and the six return metrics level 1; Net Investor Cash Flow flush as the total. STATEMENT OF CASH FLOWS — 19 items flush, 30 per-property rows already at level 1 with no distinction from their parents. Now: Net income, Add back, Property acquisitions, Renovation works, Equity capital called, Beginning cash and the six Direct-Method Memo lines at level 1; the three per-property blocks (rows 8-17, 22-31, 33-42) at level 2 so they read as detail rolling into the subtotal above; Net Cash from Operating/Investing/Financing, Net Change in Cash, Ending Cash, Total cash in/out and the memo check flush. INCOME STATEMENT LEFT ALONE — it already carries a 1/2/3 spread matching the stated convention (bold subtotals level 1, line items level 2, sub-components level 3); no defects found. VERIFIED by read-back of indentLevel on sampled rows per tab and rendered screenshots of Project Data (General &amp; FX, ServCo/Model Checks blocks) and Cash Flow operating section — hierarchy reads correctly, nothing clipped. Formatting only: no values, formulas or model outputs touched.</t>
  </si>
  <si>
    <t>Entry 120 — CONFUSING DERIVED DIAGNOSTICS REMOVED, REAL KPIs PROMOTED (Ricardo: 'remove the calculated numbers that will confuse the investor. promote the numbers that tell the real story', after establishing that IRR and MOIC are the KPIs and the 0.51% implied cap rate is a comps-market artifact). DELETION LOG — exact formulas before removal: (1) Project Data D12 'Implied cap rate at exit (derived)' / 'Tasa de capitalización implícita a la salida (derivada)' = SUMPRODUCT(Properties!$X$6:$X$15,Properties!$D$6:$D$15)/SUMPRODUCT(Properties!$W$6:$W$15,Properties!$D$6:$D$15), value 0.00513709191810705 (0.51%). Removed because it reads as a market cap rate but is Year-1 NOI over the marked-up exit value; on an exit-driven deal it invites the wrong question. (2) Project Data D13 'Implied value uplift on all-in basis (derived)' = SUM(Properties!$W$6:$W$15)/SUM(Properties!$P$6:$P$15)-1, value 0.635571428571428. Removed as a DEFECT as well as a duplicate: it summed all ten properties with no activation weighting, so it silently included inactive ICP4/ICP5, while D16 computes the same concept correctly activation-weighted. Both happened to render 63.6%/64% today, which is why the duplication went unnoticed. (3) Project Data G59:G69 'Implied exit cap (diagnostic)' = Properties!X6/Properties!W6 per property (values 1.73%, 0.84%, 1.26%, -0.54%, -0.97%, 0.88%, 1.04%, 0.96%, 0.90%, 1.19%). (4) Project Data H59:H69 'Implied NOI yield on all-in cost (derived)' = Properties!X6/(Properties!M6+Properties!N6) per property (2.88%, 1.40%, 2.09%, -0.90%, -1.61%, 1.47%, 1.73%, 1.60%, 1.50%, 1.99%). Both per-property columns removed: two negative cap rates and sub-2% yields next to a 26% deal IRR is the single most misleading thing on the input tab. (5) Glossary 'Implied Exit Cap Rate (diagnostic)' term and definition removed. RETAINED AND RENAMED: D16 now 'Value uplift on all-in basis at exit (active portfolio)' — the number that does tell the story, since it is the entry discount plus appreciation expressed as value created. Vacancy average (D14) and rental ramp (D15) retained as genuine operating summaries. PROMOTED ON THE DASHBOARD: MOIC, Investor IRR and payback added to the KPI strip as live links to Investor Return C17/C18/C19 — the tab previously led with capital raise, all-in investment, exit value, gross gain, net profit and profit-per-dollar, but showed neither MOIC nor IRR, the two metrics Ricardo identifies as the real KPIs. VERIFICATION RECORDED BELOW.</t>
  </si>
  <si>
    <t>Value uplift on all-in basis at exit (active portfolio)</t>
  </si>
  <si>
    <t>Entry 121 — MARKET APPRECIATION 7% NOW JUSTIFIED IN THE WORKBOOK (Ricardo: 'important to justify market appreciation at 7% for example'). The input carried no basis at all — it was the single largest value driver in the model with nothing behind it. RESEARCHED against DANE's Índice de Precios de Vivienda Nueva (Colombia's official statistics agency): MEDELLÍN +8.29% annual (Q4 2025) and +8.77% for full-year 2025; NATIONAL +9.93% (Q2 2025), +9.50% (Q3 2025), +8.47% (Q1 2026, of which apartments +8.50% and houses +7.15%); Colombian inflation ~5.18% in Q3 2025, so the Medellín print runs roughly 3 points real. CONCLUSION: the model's 7.0% nominal sits BELOW the Medellín city print and ~1.8 points under the national 2026 rate — i.e. the assumption is conservative against official data, which is the defensible position for an investor document. Left the input at 7.0%. ADDED: (1) a visible justification in the Source / basis column at E9 (merged E9:L9, italic grey 10pt, row height set to 32pt for the two wrapped lines — autofit does not work on merged cells) stating the DANE figures, the model's 7.0% and the inflation comparison, and pointing to reference 11; (2) numbered reference 11 inserted in the References block at row 53, carrying the full figure set with source attribution — dane.gov.co IPVN, reported via elcolombiano.com, semana.com and infobae.com, March-May 2026. Kept the static text form for both, per the convention that external researched benchmarks are static citations while model-derived prose is a TEXT() formula. SOURCE-QUALITY NOTE: DANE is the official statistics agency, but the specific quarterly prints were read from Colombian press coverage of the DANE bulletins rather than fetched from dane.gov.co directly (the DANE bulletin URL did not surface in search). The figures are consistent across four independent outlets. If a primary-source citation is required for an investor pack, the IPVN bulletin should be pulled from dane.gov.co and the reference updated. ALSO CONFIRMED THIS TURN: the Dulcinea legal/accounting input moving 50,000 -&gt; 30,000 was Ricardo's own edit (confirmed in the change log after I flagged it), not a side effect of the Entry 120 row deletions. That edit is what took net profit to 4,550,589, MOIC to 2.33x and Investor IRR to 17.7%. VERIFIED: E9 renders the full justification; appreciation input still 7.0%; reference 11 present and ordered; workbook error sweep clean except the known Dashboard F1 in-cell image; Project Data master check ALL CHECKS PASS.</t>
  </si>
  <si>
    <t>Entry 122 — APPRECIATION JUSTIFICATION CORRECTED TO A USD BASIS (Ricardo: 'it has to be 7% in USD... so look again'). MY ERROR IN ENTRY 121: I justified a USD assumption with a PESO index. DANE's IPVN measures COP prices; quoting Medellín +8.29%/+8.77% as support for 7% USD skipped the currency conversion entirely. HOW THE MODEL ACTUALLY TREATS IT — verified in the formulas: Properties M6 converts the COP purchase price at the FIXED TRM ('Project Data'!$D$5 = 3,090), and Properties W6 grows the resulting USD basis directly by (1+$D$9)^hold. So D9 is a USD rate by construction, and because the TRM is a single fixed input applied at both entry and exit, FX is frozen — the model carries no exchange-rate path at all. CORRECTED BRIDGE, now documented: Medellín peso appreciation ~8.5% (DANE) less long-run COP depreciation of ~1.5%/yr = ~6.9% in USD, which supports the 7.0% held. The FX series behind that: ~2,000 COP/USD in the early 2000s, all-time high 5,118 (Nov 2022), 2026 average 3,596-3,611 with a range of 3,175-3,806, spot ~3,100-3,660 (Apr-Aug 2026), and the peso UP 13-22% against the dollar over the trailing twelve months. Long-run depreciation averages ~1.5%/yr but the path is violently volatile, which is the real caveat and is now stated in the workbook rather than left implicit. CHANGES: (1) E9 justification rewritten as an explicit peso-to-dollar bridge, naming the fixed-TRM mechanic and flagging unmodelled FX risk (3 wrapped lines, row height 45pt). (2) Reference 11 rewritten to state that IPVN is a PESO index and to show the conversion arithmetic. (3) NEW reference 12 added for the USD/COP series with sources (tradingeconomics.com, exchangerates.org.uk, theglobaleconomy.com, 2026). (4) The input LABEL corrected on both language columns: 'Market appreciation (%/yr, per last 3-5 years)' -&gt; 'Market appreciation (%/yr in USD, net of peso depreciation)' / 'Valorización del mercado (%/año en USD, neta de devaluación del peso)' — the old label invited exactly the peso/dollar confusion I fell into. INPUT UNCHANGED at 7.0%; no model outputs moved. OPEN RECOMMENDATION, not actioned: the cleanest fix is an explicit FX drift input on Project Data with exit conversion at a projected TRM, which would let the peso path be sensitised instead of frozen. Worth doing before the model goes to an investor who asks about currency risk. VERIFIED: label, Spanish label, E9 note and D9 = 7.0% all re-read from the rendered cells; references 11 and 12 present and ordered.</t>
  </si>
  <si>
    <t>COP depreciation vs USD (%/yr, projected)</t>
  </si>
  <si>
    <t>Market appreciation (%/yr in USD, derived: COP appreciation net of peso depreciation)</t>
  </si>
  <si>
    <t>Entry 123 — FX DRIFT MODELLED: USD APPRECIATION NOW DERIVED FROM PESO APPRECIATION LESS COP DEPRECIATION (Ricardo: 'implement recommendation', following Entry 122). BEFORE: 'Project Data'!$D$9 was a single blue input, 7.0%, described as USD appreciation, with no exchange-rate path anywhere in the model — the TRM was one fixed number applied at entry and the USD basis was grown directly, so currency risk was invisible and unsensitisable. AFTER: two benchmarked blue inputs feed a derived USD rate. New row 6 'COP depreciation vs USD (%/yr, projected)' = 1.5%, benchmarked to reference 12 (USD/COP ~2,000 early 2000s to ~3,100-3,660 in 2026, all-time high 5,118 Nov 2022). New row 7 'Market appreciation in COP (%/yr, DANE IPVN benchmark)' = 8.5%, benchmarked to reference 11 (DANE Medellín +8.29% Q4 2025, +8.77% full-year 2025). The appreciation cell used by the model (now row 11 after the 2-row insert) becomes a BLACK DERIVED formula =(1+D7)/(1+D6)-1 = 6.90%, replacing the 7.0% hardcode. Every downstream consumer was left untouched — Properties W6:W15 exit values, Portfolio Strategy exit-value and IRR grids, the rent grid, Dashboard prose and the Glossary all reference the same cell, and Excel repointed them through the insert. IMPACT: the USD rate moves 7.00% -&gt; 6.90%, a deliberate consequence of using the benchmarked peso and FX figures rather than a round number. Effects recorded in the verification below. WHAT REMAINS FROZEN, DELIBERATELY: COP-denominated operating costs (administración and utilities, entered in COP millions per month) still convert at the fixed entry TRM. If the peso depreciates as assumed, those costs get CHEAPER in USD, so holding them at the entry rate is the conservative treatment — stated in the Source / basis note rather than left silent. A full FX path on the cost side would require a projected TRM per year and is not built. LABELS: the derived row reads 'Market appreciation (%/yr in USD, derived: COP appreciation net of peso depreciation)' with matching Spanish. VERIFICATION RECORDED BELOW. VERIFICATION RESULTS: derived cell reads =(1+D7)/(1+D6)-1 = 6.9% in black (no longer a blue input); Properties W6 formula auto-repointed to 'Project Data'!$D$11 and the per-property discount range to $J$62:$J$71, exit value 1,911,607 -&gt; 1,907,913. RETURNS: distributions 7,969,908 -&gt; 7,942,366; net profit 4,550,589 -&gt; 4,523,048; MOIC 2.33x -&gt; 2.32x; Investor IRR 17.7% -&gt; 17.6%; capital invested 3,419,318 and payback Year 7 unchanged. Deal-level IRR 26.0% -&gt; 25.9%. TWO PRESENTATION DEFECTS THE CHANGE EXPOSED, BOTH FIXED: (1) both sensitivity axes were formatted 0%, which rounded the derived 6.9% base and its ±2pp steps to a misleading '5% / 7% / 9%' — reformatted to 0.0%, now reading 4.9% / 6.9% / 8.9%. (2) the top Exit Sensitivity axis (Portfolio Strategy D6:F6) was still HARDCODED at 3%/5%/7% and no longer bracketed the base case at all — repointed to 'Project Data'!$D$11-0.02 / $D$11 / +0.02 so it centres on the derived rate like the grid below it; exit values re-based to 16,749,045 / 17,393,821 / 18,050,776 and deal IRR to 23.5% / 25.9% / 28.2%. The base-case conditional-format rule on the lower grid was confirmed still pointing at $D$11 after the row insert. Three new Source / basis notes added (E6 FX long-run average with the strengthening-peso caveat, E7 the DANE peso benchmark, E11 the derivation plus the note that COP operating costs remain at the entry TRM as the conservative treatment). Workbook error sweep clean except the known Dashboard F1 in-cell image; Project Data master check ALL CHECKS PASS.</t>
  </si>
  <si>
    <t>Entry 124 — EXIT-SENSITIVITY BLOCK REFACTORED TO ACTIVE-ONLY + FOUR COLOUR DEFECTS FIXED (Portfolio Strategy B4:H13; Ricardo: 'refactor the table and use only active properties', then 'colors are wrong'). ACTIVE-ONLY: the block was already activation-weighted on every line, but three things made that fragile or inconsistent, now fixed — (1) D4 Total Funds Needed used RELATIVE references (Properties!P6:P15, D6:D15) where every other formula on the tab uses absolutes; a single row insert on Properties would have silently mis-scoped it. Now =SUMPRODUCT($D$6:$D$15,$P$6:$P$15). (2) Labels said 'selected properties'; C4 and C7 are now live formulas reading 'Total Funds Needed — 8 active properties' and 'Portfolio exit value (8 active properties)' off SUM of the activation column, so the count maintains itself. (3) Row 10 t=1 NOI hardcoded 6/12 for the works window while its OWN label derived that window from Properties column R — the label and the number disagreed by construction. Row 10 now derives the works months the same way: NOI × MAX(0,12−weighted works months)/12. Rows 7 and 11 were also repointed to the shifted discount table ($J$62:$J$71) explicitly. COLOUR DEFECTS: (a) the three axis cells D6:F6 were indigo #1F4EAD — the reserved editable-input colour — but they became DERIVED formulas in Entry 123 (='Project Data'!$D$11 ± 0.02). Recoloured black. Indigo now appears only on Project Data, as the standard requires. (b) Column F carried a green #DAF2D0 fill across F6:F12, a stale highlight marking the OLD base case: when the axis was hardcoded 3/5/7 the base 7% sat in the LAST column, and after Entry 123 re-centred the axis the highlight was left marking 8.9% — an upside case dressed as the base case. That green is also outside the palette. Fill cleared and the base case is now marked by a CONDITIONAL FORMAT on D6:F6 keyed to ROUND(D$6,4)=ROUND('Project Data'!$D$11,4), #D9EAF7 with navy bold, so it tracks the derived rate. (c) D13 fund-level Investor IRR was GREEN #008000 — green is reserved for OK/Pass status indicators, never for a return metric on a reader-facing sheet. Recoloured black. (d) The block mixed Aptos and Aptos Narrow across B, C and D; unified to Aptos. Band fills on rows 4 and 12 preserved/restored after the column clear. VERIFIED by rendered screenshot: axis reads 4.9% / 6.9% / 8.9% with the highlight on the 6.9% centre column, labels carry the live active count, deal IRR 23.5% / 25.9% / 28.2%, fund IRR 17.6% in black, no green anywhere in the block. No model outputs affected — the only numeric change is row 10, which now equals the derived-works figure it always claimed to use (unchanged at 44,763 because the active set carries a uniform 2-quarter works window).</t>
  </si>
  <si>
    <t>Entry 125 — DASHBOARD REFACTOR: ACTIVE-ONLY DATA, FULL-HORIZON CHARTS, POSITIVE-BUT-HONEST PROSE (Ricardo: 'refactor entire dashboard to show positive story, positive story graphs, only active properties. correct all formatting and prose'). PRE-REFACTOR AUDIT — SIX DEFECTS FOUND, the first two material: (1) CHARTS CUT OFF THE PAYOFF YEAR. All three time-series chart-data rows (net income row 65, ending cash row 68, investor cash flow rows 71-72) ran C:H = Years 1-6 only, while the program runs 7 years and the FINAL LIQUIDATION lands in Year 7. Charts 1, 2 and 3 were therefore plotting a story that ends just before the money comes back — net income showed (115,792) in the last visible year and cumulative investor cash showed (580,531), i.e. the charts made a 2.32x/17.6% deal look like a loss. (2) PROPERTY CHART DATA INCLUDED INACTIVE PROPERTIES. Rows 75-84 pulled all TEN properties by literal INDEX position, so Chart 4 (all-in cost vs exit value by property) plotted ICP4 and ICP5, which the fund does not own. (3) G13 'Average hold per property' = AVERAGE(Properties!$V$6:$V$15) — unweighted across all ten, not the active set. (4) G14 'Exit value ÷ all-in cost' = Properties!$W$20/$P$20 — row 20 is the ALL-14 total row including the four Backup properties, so the ratio described a portfolio the fund will never hold. (5) NEGATIVE PROSE: B48 read 'fixed overhead keeps interim years negative at current staffing. Year 4 dips to ($16,239) operating income as Wave 2 is held with full G&amp;A and no exits' — factually true but framed as a problem rather than as the deliberate J-curve of a two-wave programme. (6) HARDCODED COUNTS IN PROSE: B6 said 'five negotiated off-market deals and five pipeline placeholders' as typed text, and B34 said capital is called 'across Years 1-4' — both would go stale on any selection change. FIXES APPLIED IN THIS ENTRY AND THE NEXT: chart data extended to the full horizon, property series filtered to active only, G13/G14 re-scoped to the active set, prose rewritten, hardcoded counts derived. Charts re-sourced to the widened ranges. Full verification recorded below. CHANGES MADE: (1) CHART DATA EXTENDED TO YEAR 7 — column I added to all three series (net income, ending cash, investor cash flow + cumulative) and Charts 1, 2 and 3 re-sourced to B64:I65, B67:I68 and B70:I72. The added year transforms what the charts say: net income +1,604,402, ending cash 7,942,366, investor cash flow +5,103,579 and cumulative +4,523,048 — the cumulative line now crosses into positive territory on screen instead of ending at (580,531). (2) PROPERTY CHART DATA FILTERED TO ACTIVE — A75 spills =FILTER(Properties!$A$6:$A$15,Properties!$D$6:$D$15=1) and B/C/D rows 75-84 are guarded =IF($A75="","",INDEX(...)), so the block self-sizes; Chart 4 re-sourced to B74:D82 and now plots exactly the 8 active properties, ICP4 and ICP5 gone. (3) G13 average hold and G14 exit÷cost re-scoped to activation-weighted SUMPRODUCTs (G14 previously used Properties row 20, the ALL-14 total including Backups); labels now say '(active)'. (4) PROSE REWRITTEN, positive but factual: B6 derives the deal-stage counts from the Deal Stage column instead of the typed 'five ... five' and adds the 2.1x turns-of-the-raise point; B7 quotes appreciation at one decimal as '6.9%/yr in USD' (the 0% format was rounding the derived rate to 7% and dropping the currency basis); B25 leads with the active portfolio and reframes the two unselected properties as substitutes; B34 leads with capital being called only as acquisitions close and derives the first-distribution year; B38 corrected — it claimed investors 'fund $5,000,000 in Year 1', which is wrong, capital is called across years; B48 reframed from 'fixed overhead keeps interim years negative ... Year 4 dips to (16,239)' to the J-curve of a two-wave programme, leading with the peak year and the program total; B61 leads with the ending cash and the no-debt point rather than the trough. (5) CHART FORMATTING: navy #132E57 / blue #3271D2 only, Aptos 10, value axes '#,##0,"K"', category labels positioned low on the two charts with negatives, legends bottom on the two multi-series charts, and the cumulative series converted from a column to a 2.5pt line so it reads as a trajectory. (6) NUMBER FORMATS applied across the KPI strip (currency, 0.00x, 0.0%, 'Year 0', '0.0 yrs') and all chart-data rows. (7) PROSE ROW HEIGHTS: the ten narrative blocks were merged in column B only (280pt) while their text ran 168-389 characters, so several were badly clipped (row 6 at 22pt for 279 characters) and others oversized (row 37 at 50pt for 168). Re-merged B:H (1,028pt) and sized each row to its wrapped content at 2-3 lines. (8) DEFECT I INTRODUCED IN ENTRY 120 AND HAVE NOW REVERSED: I added MOIC / IRR / Payback at B16:C18 believing the Dashboard showed neither — it already showed all three at E10:G12. The duplicates also sat underneath Chart 4. Removed; the right-hand metrics block is the single home for them. VERIFIED: all four charts rendered and inspected; KPI strip and metrics block read back; error sweep clean except the known Dashboard F1 in-cell image (the Dulcinea logo, confirmed rendering in the screenshot); Project Data master check ALL CHECKS PASS.</t>
  </si>
  <si>
    <t>Entry 126 — DASHBOARD CHART PALETTE LIFTED TO CFI BLUE + LIGHT BLUE (Ricardo: 'black and dark blue not best colors. Dull. maybe use blue and light blue used in CFI colors'). The Entry 125 styling used navy #132E57 with #3271D2, which read as near-black against white — the near-black also made the negative bars in the net-income and investor-cash charts the most visually dominant thing on the page, working against the positive-story brief. NOW: series 1 = CFI header blue #1F4E78, series 2 = light blue #9DC3E6. Applied per chart: Chart 1 (net income) single blue column series; Chart 2 (ending cash) light-blue area fill with a 2pt #1F4E78 edge so the ramp reads as a filled trajectory; Chart 3 (investor cash flows) blue columns with the cumulative LINE in light blue at 3pt; Chart 4 (all-in cost vs exit value) blue and light blue columns, so cost-versus-value contrast is immediate. This supersedes the dulcinea-design-standard note that chart series use #132E57 / #3271D2 only — Ricardo's instruction governs. TECHNICAL NOTE for future chart work: after the Entry 125 conversion of the cumulative series to a line, ChartFill.setSolidColor throws InvalidOperation on that series — line series accept format.line.color only, not a fill. The first recolour attempt failed on exactly that call; the fix is to branch on series type rather than looping one styling call across all series. VERIFIED: all four charts re-rendered and inspected after recolouring; no data or source ranges touched in this entry, so no numbers moved.</t>
  </si>
  <si>
    <t>Entry 127 — NET-INCOME CHART REMOVED, IRR CHART ADDED TO THE TOP SECTION, CHART LAYOUT DE-OVERLAPPED (Ricardo: 'net income graph looks bad. remove. add IRR graph I asked for and at the top section', then 'fix overlapping'). REMOVED: Chart 1 'Net Income by Year' and its data block at B64:I65. It was the weakest graphic on the page — four of seven bars sat at or below zero (Years 1, 2, 4 and 6 at -141,438 / -8,179 / -16,239 / -115,792 against exit-year spikes), so a 2.32x programme read as mostly-negative. Nothing referenced the rows, so removal was clean. ADDED: 'IRR by Entry Discount' column chart, placed in the top section directly under the Investor Returns KPI strip (top 352, left 121, 205 x 760). It plots deal-level IRR against the five entry-discount steps at the base appreciation case, pulling live from the Portfolio Strategy sensitivity grid ('Portfolio Strategy'!$E$38:$E$42 with categories from $C$38:$C$42): 17.8% at a 20% discount rising to 35.9% at 40%, with the 30% base case at 25.9%. Data labels on, value axis 0%, no legend, single #1F4E78 series, title 'Investor Return Driver — Deal-Level IRR by Entry Discount'. This is the strongest positive-story graphic available: it shows IRR is manufactured at purchase and that the lever is the discount the team negotiates. THE GOTCHA THAT COST THREE ATTEMPTS, worth recording: charts.add against B64:G65 returned a chart with ZERO series and rendered as a blank white frame, twice, with both ChartSeriesBy.rows and .auto. Cause: rows 64-65 sit inside the COLLAPSED 'Chart data (expand)' row group, and a chart will not plot hidden/collapsed source rows unless plotVisibleOnly is set false. Setting c.plotVisibleOnly = false immediately populated the series. This is documented in the dulcinea-design-standard ('Charts sourced from grouped rows MUST set plotVisibleOnly = false') and I should have applied it on creation. All four charts now confirmed plotVisibleOnly = false. LAYOUT: the new chart initially overlapped the KPI strip (it sat at top 200 while the Investor Returns bar starts at 220). Measured cumulative row tops and re-seated every chart inside the blank band that follows its own narrative block — IRR 352-557 (band rows 16-24), all-in cost vs exit value 633-845 (band 26-33, under the active-portfolio paragraph), investor cash flows 1020-1250 (band 39-47, under How Returns Are Generated), ending cash 1423-1653 (band 52-60, under Discipline &amp; Integrity). Programmatic overlap check against the six prose row tops and against each other: ZERO clashes. VERIFIED: IRR chart rendered and inspected; chart inventory re-read with positions; no data or model values touched.</t>
  </si>
  <si>
    <t>Sensitivity steps:</t>
  </si>
  <si>
    <t>appreciation ±</t>
  </si>
  <si>
    <t>entry discount ±</t>
  </si>
  <si>
    <t>rent ±</t>
  </si>
  <si>
    <t>Entry 128 — AUDIT REMEDIATION (Ricardo: 'fix all', after the full model audit). The audit found ZERO critical defects — Balance Sheet balances, cash ties, CF sums and the retained-earnings roll-forward all return 0 in every one of the 10 periods, no off-by-one subtotals, no inconsistent formulas, no hidden content, no circular references. Four warnings are being remediated here. WARNING 1 — GANANCIA OCASIONAL RATE APPLIED WITHOUT A HOLD TEST: Income Statement row 70 taxed gains at 'Project Data'!$D$30 (15%) unconditionally, and Properties AD6:AD15 did the same per property. Colombian law gives the 15% occasional-gains rate only on holds of two years or more; below that the 35% ordinary rate applies. Every active property currently holds 8 quarters so the number is right today, but shortening any Total Hold below 8 quarters would have kept taxing at 15% — a silent understatement of tax and overstatement of returns. FIX: Properties AD now switches on the property's own hold — IF(S&gt;=8, capital-gains rate, corporate rate) — so the per-property tax is correct at any hold length, and a new model check flags any active property held under two years. WARNING 2 — THE 35% ORDINARY-RATE LINE IS STRUCTURALLY ALWAYS ZERO: rental revenue never exceeds total operating expenses in any year (Y1 92,453 vs 233,891 through Y7 9,933 vs 36,941), so MAX(0, rent − opex) × 35% evaluates to zero in all ten years and the corporate-rate input is inert. The formula is correct accounting — the rental operation runs at a loss by design, with the return coming from the exit — but nothing on the statement said so, so a reader could not tell whether the line was working or broken. FIX: visible explanation added beside the line, plus a model check that fires if rental taxable income ever turns positive, so the line cannot quietly become live. WARNING 3 — INDIGO INPUTS OUTSIDE PROJECT DATA (ServCo Financials C5/C6, ServCo Personnel C6:H15): these are sanctioned — Ricardo's own rule is 'blue variables should either be in Project Data or at the top of this tab', and per-role compensation must stay on the confidential tab. FIX: the Cover colour-coding legend now states all three legitimate input locations, so the convention is documented rather than assumed. WARNING 4 — SENSITIVITY STEP SIZES HARDCODED: the ±0.02 appreciation, ±0.05/±0.10 entry-discount and ±$2/±$4 rent increments were literals inside 30-plus grid formulas. FIX: three labelled indigo inputs added at the top of Portfolio Strategy and every grid axis repointed to them. Details and verification in the following entries. IMPLEMENTATION AND VERIFICATION: (1) HOLD-DEPENDENT GAINS RATE — Properties AD6:AD19 now =MAX(0,AC)*IF(S&gt;=8,'Project Data'!$D$30,'Project Data'!$D$29), and Income Statement C70:L70 switches at the statement level using SUMPRODUCT((ROUNDUP(Properties!$U/4,0)=year)*activation*(Properties!$S&lt;8))&gt;0 to detect any short-hold sale landing in that year. Values unchanged today (all holds 8 quarters): per-property tax 99,996 / 110,442 / 63,943 / 146,686 / 141,210 / 94,417 / 121,136 / 133,804 and IS tax 0/0/258,356/0/365,382/0/287,896. TESTED by setting Aires' hold to 6 quarters: its tax jumped 99,996 -&gt; 212,257 (15% -&gt; 35%), the IS Year-2 line picked up 212,257, the new check flipped to CHECK and the master check to REVIEW; restoring 8 quarters returned everything to OK. (2) TWO NEW MODEL CHECKS at Project Data rows 88-89: 'Every active property holds &gt;= 2 years' and 'Rental operation runs at a loss (35% ordinary-rate line inactive by design)'. Inserted ahead of the master check so it stays at the foot of the block. CRITICAL CATCH: the master check formula was =COUNTIF(D81:D87,"CHECK") and would NOT have covered the two new rows — extended to D81:D89, verified by the REVIEW state appearing during the hold test. Dashboard B51 said 'seven automated integrity checks' as typed text; now =COUNTA('Project Data'!$D$81:$D$89) and renders ' 9 automated integrity checks'. (3) TAX LINES DOCUMENTED — Income Statement N69 and N70 carry visible italic notes: N69 explains the ordinary-rate line is zero by design (rental revenue $866,204 against operating expenses $1,509,080 over the program, losses not carried forward — conservative), N70 states the 15% rate applies only at holds of two years or more and that the formula switches to 35% otherwise. Column N set to 420pt. (4) COVER LEGEND now names all four legitimate input locations (Project Data, Properties deal columns, top of ServCo Financials, ServCo Personnel) and ends 'Nowhere else.' — the ServCo indigo cells are documented rather than looking like violations. First draft ran 234 characters and was clipped at column F by the legend swatch (overflow blocked, wrap off); trimmed to 161 characters and verified by screenshot. (5) SENSITIVITY STEPS EXTRACTED to three labelled indigo inputs on Portfolio Strategy row 3 (appreciation ±2.0%, entry discount ±5.0%, rent ±$2). All fourteen axis cells repointed: exit-sensitivity D6/F6, IRR-grid D37/F37, discount ladder C38/C39/C41/C42, rent-grid discount axis D46/F46 and rent axis C47:C51. The takeaway at B43 also had a literal 20 (the discount span in points) and /4 (the appreciation span) — both now derive from the step inputs, and its appreciation figure was rendering at '0%' which rounded the derived 6.9% to 7%; now 0.0%. TESTED by setting the appreciation step to 3.0%: both grid axes moved to 3.9%/6.9%/9.9% and returned to 4.9%/6.9%/8.9% on restore. TWO MISTAKES I MADE AND CORRECTED DURING THIS WORK, both caught by read-back: (a) I first wrote the step inputs into row 2, which is a MERGED subtitle cell — the write was swallowed by the merge and destroyed the existing subtitle. I could not recover the original text, so B2 now carries a reconstructed subtitle ('Selection, exit sensitivity and acquisition criteria for the 8 active properties · USD · appreciation and rent grids centre on the Project Data base case') and the inputs moved to the free row 3. If the original wording mattered, it needs restoring from a prior version. (b) I repointed the rent axis to 'Project Data'!$K$58:$K$67, a range stale by four rows after this session's inserts — the axis rendered $6.1/$8.1/$12.1/$14.1 (reading vacancy and discount values). Corrected to $K$62:$K$71 and the axis returned to $16.3-$24.3. Portfolio Strategy re-scanned afterwards: zero stale range references, zero hardcoded literals, zero errors. FINAL STATE: all nine model checks OK, master ALL CHECKS PASS; Balance Sheet balance and cash tie-out both 0 in all ten periods after the tax change; Investor Return unchanged at capital 3,419,318 / distributions 7,942,366 / net profit 4,523,048 / MOIC 2.32x / IRR 17.6% / payback Year 7; workbook error sweep clean except the known Dashboard F1 logo image.</t>
  </si>
  <si>
    <t>Entry 129 — IRR PRESENTATION CORRECTED: PORTFOLIO vs INVESTOR IRR DISAMBIGUATED (Ricardo: 'IRR graph is misleading as these are not investor IRR but portfolio IRRs. Also missing the portfolio IRR under or next to Investor IRR. Word annual next to IRR is not necessary and is misleading. IRR graph should have light blue bars'). THE MISLEADING PART, correctly identified: the chart sat inside the 'Investor Returns' block titled 'Investor Return Driver' while plotting DEAL-LEVEL portfolio IRR (17.8% to 35.9%) — figures that exclude the fund overhead layer, taxes and capital-call timing. A reader would have taken 25.9% as their own return when the investor figure is 17.6%. FIXES: (1) chart title -&gt; 'Portfolio IRR by Entry Discount — Deal-Level, Before Fund Costs'; series name (Dashboard B65) -&gt; 'Portfolio IRR (deal-level)'; data-block header (B64) -&gt; 'Portfolio deal-level IRR by entry discount'. (2) PORTFOLIO IRR ADDED TO THE METRICS BLOCK directly beneath Investor IRR, so the two sit adjacent and the spread is visible at a glance: Investor MOIC 2.32x / Investor IRR (net of fees &amp; tax) 17.6% / Portfolio IRR (deal-level, before fund costs) 25.9% / Payback Year 7 / Average hold 2.0 yrs / Exit value ÷ all-in cost 1.63x / Gross gain ÷ capital 1.22x. The whole block E10:G16 was rewritten rather than a row inserted, to avoid shifting chart anchors and prose rows. (3) '(annual)' REMOVED from both IRR labels — Dashboard E11 now 'Investor IRR (net of fees &amp; tax)' and Investor Return B18 now simply 'Investor IRR'. IRR is annualised by construction; the word added nothing and invited the reading that some other IRR was non-annual. (4) CHART BARS light blue #9DC3E6 with #1F4E78 data labels, matching the other charts. LAYOUT CONSEQUENCE, caught by rendering: the metrics block grew from six rows to seven, so the chart at top 352 clipped the new 'Gross gain ÷ capital' line, and row 16 was only 8pt tall so that line was itself half-height. Chart moved to top 385 (height 185, bottom 570 — still clear of the row-25 paragraph at 592) and row 16 set to 18pt. Verified by screenshot: all seven metrics legible, chart clear of the block. No model values changed — the portfolio IRR cell is a link to the existing Portfolio Strategy calculation.</t>
  </si>
  <si>
    <t>Entry 130 — CAPITAL GAINS TAX DEFINED IN GLOSSARY WITH ITS POINTS OF APPLICATION (Ricardo: 'add Capital Gains explanation in Glossary and where it applies'). GAP: the Glossary carried 'Ganancia Ocasional' (the rate concept) and 'Corporate Income Tax' (the alternative rate) but no entry for the tax line the model actually charges, and nothing told a reader WHERE in the workbook it is applied. Added row 105 'Capital Gains Tax' inside Colombian Taxes &amp; Costs, between Ganancia Ocasional and Retención en la Fuente: defines the base (sale price less selling costs less all-in basis of purchase + closing + works), states the rate switch as live TEXT() off 'Project Data'!$D$30 and $D$29 (15% at two years or more, 35% below), and then names the three places it appears — the Income Statement line 'Capital gains tax — property sales' by year of sale, Properties column AD per property, and the net sale proceeds that fund investor distributions. It closes with the point that this is the only tax the programme actually pays, because the rental operation runs at a loss and the ordinary-rate line is zero in every year. ALSO TIGHTENED the three neighbouring entries so the tax terms read as one story rather than three disconnected definitions: Ganancia Ocasional now ends 'See Capital Gains Tax for where it is applied'; Corporate Income Tax now states it applies BOTH to rental operating profit AND to sale gains where a hold is under two years (previously it mentioned only rental profit, which understated its role now that Entry 128 made the rate switch real), and notes it is zero in every year of this model; Retención en la Fuente now says explicitly that it is not modelled as an expense, since it is a credit rather than a cost. ROW HEIGHTS sized to the wrapped text against the measured 640pt definition column (112 characters per line): row 104 -&gt; 52pt, 105 -&gt; 95pt, 106 -&gt; 37pt, 107 -&gt; 52pt. VERIFIED by rendered screenshot of the whole Colombian Taxes &amp; Costs block — all four definitions fully visible, no clipping, bold terms and banding consistent with the rest of the Glossary. Documentation only; no formulas or model values touched.</t>
  </si>
  <si>
    <t>Dulcinea — Medellín Real Estate Market Data</t>
  </si>
  <si>
    <t>DANE IPVN — National Annual Variation (53 municipalities, % vs same quarter prior year)</t>
  </si>
  <si>
    <t>Quarter</t>
  </si>
  <si>
    <t>Total</t>
  </si>
  <si>
    <t>Apartments</t>
  </si>
  <si>
    <t>Houses</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</si>
  <si>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</si>
  <si>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</si>
  <si>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</si>
  <si>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</si>
  <si>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</si>
  <si>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</si>
  <si>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</si>
  <si>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</si>
  <si>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</si>
  <si>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</si>
  <si>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</si>
  <si>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</si>
  <si>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</si>
  <si>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</si>
  <si>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</si>
  <si>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</si>
  <si>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</si>
  <si>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</si>
  <si>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DANE IPVN — Medellín AM by Socioeconomic Stratum, Q2 2026 (%)</t>
  </si>
  <si>
    <t>Comparison</t>
  </si>
  <si>
    <t>Medellín total</t>
  </si>
  <si>
    <t>Estrato bajo (1–3)</t>
  </si>
  <si>
    <t>Estrato medio (4)</t>
  </si>
  <si>
    <t>Estrato alto (5–6)</t>
  </si>
  <si>
    <t>Quarterly (Q2 2026 vs Q1 2026)</t>
  </si>
  <si>
    <t>Year to date (Q2 2026 vs Q4 2025)</t>
  </si>
  <si>
    <t>Annual (Q2 2026 vs Q2 2025)</t>
  </si>
  <si>
    <t>Model Cross-Check — Appreciation Assumption vs the DANE Prints</t>
  </si>
  <si>
    <t>Model derived — USD appreciation applied to exits</t>
  </si>
  <si>
    <t>DANE national annual, apartments (Q2 2026)</t>
  </si>
  <si>
    <t>DANE Medellín AM total, annual (Q2 2026)</t>
  </si>
  <si>
    <t>DANE Medellín AM estrato alto 5–6, annual (Q2 2026)</t>
  </si>
  <si>
    <t>Model input vs Medellín estrato alto (points)</t>
  </si>
  <si>
    <t>USD equivalent of the Medellín estrato-alto print</t>
  </si>
  <si>
    <t>USD/COP — the Peso-to-Dollar Bridge</t>
  </si>
  <si>
    <t>Reference point</t>
  </si>
  <si>
    <t>COP per USD</t>
  </si>
  <si>
    <t>Early 2000s (approx.)</t>
  </si>
  <si>
    <t>Average since 2004</t>
  </si>
  <si>
    <t>All-time high (Nov 2022)</t>
  </si>
  <si>
    <t>2026 average</t>
  </si>
  <si>
    <t>2026 low / high</t>
  </si>
  <si>
    <t>High</t>
  </si>
  <si>
    <t>1. DANE, Boletín técnico Índice de Precios de Vivienda Nueva (IPVN), II trimestre 2026 — national and Medellín AM series, tables 3 to 6. Primary source, fetched from dane.gov.co/files/operaciones/IPVN/bol-IPVN-IItrim2026.pdf</t>
  </si>
  <si>
    <t>2. DANE, IPVN series page (historical bulletins and methodology): dane.gov.co/index.php/estadisticas-por-tema/construccion/indice-de-precios-de-vivienda-nueva-ipvn</t>
  </si>
  <si>
    <t>3. Medellín city-level 2025 prints (+8.29% Q4 2025, +8.77% full year) — press coverage of earlier DANE releases: elcolombiano.com, semana.com, infobae.com, March–May 2026. Secondary.</t>
  </si>
  <si>
    <t>4. USD/COP series: tradingeconomics.com/colombia/currency, exchangerates.org.uk, theglobaleconomy.com, 2026. Secondary.</t>
  </si>
  <si>
    <t>5. IPVN measures NEW-BUILD sale prices in pesos. Dulcinea buys and resells existing stock, so the index is a directional benchmark for El Poblado price movement, not a like-for-like resale index.</t>
  </si>
  <si>
    <t>Chart data — Medellín annual by stratum vs model input</t>
  </si>
  <si>
    <t>Estrato bajo</t>
  </si>
  <si>
    <t>Estrato medio</t>
  </si>
  <si>
    <t>DANE annual (Q2 2026)</t>
  </si>
  <si>
    <t>Model COP appreciation input</t>
  </si>
  <si>
    <t>Medellín Market Data</t>
  </si>
  <si>
    <t>Entry 132 — NEW TAB: MEDELLÍN MARKET DATA (Ricardo: 'add a tab dedicated to real estate in Medellin covering growth and data and graphs, DANE bulletins, tables, series ... at end before first helper tab and handoff'). Created at position 15, between Glossary and _Qtr Engine, tab colour #1F4E78, and added to the Cover workbook guide (row 22, ahead of the Confidential note). CONTENT, all sourced from the PRIMARY DANE bulletin fetched from dane.gov.co (Boletín técnico IPVN, II trimestre 2026): (1) rows 4-23 national annual variation series, 18 quarters from 2022 Q1 to 2026 Q2, Total / Apartments / Houses — the full arc from 7.65% in 2022 Q1, peaking at 12.40% in 2023 Q4, easing to 8.80% in 2026 Q2. (2) rows 25-29 Medellín AM by socioeconomic stratum for Q2 2026 on all three DANE comparisons (quarterly, year-to-date, annual), with the annual row banded as the one that matters. (3) rows 31-41 a LIVE model cross-check reading Project Data D6/D7/D11 against the DANE prints, plus a formula-driven commentary paragraph. (4) rows 43-50 the USD/COP reference points behind the peso-to-dollar bridge, with the model TRM banded. (5) rows 52-57 sources, including the methodological caveat that IPVN measures NEW-BUILD peso prices while Dulcinea buys and resells existing stock, so the index is directional rather than like-for-like. (6) two charts to the right of the content (left 1060): a line chart of the national annual series Total vs Apartments, and a column chart comparing Medellín annual growth by stratum against the model's COP appreciation input. Chart-data helper rows 59-62 grouped, both charts plotVisibleOnly = false. MATERIAL FINDING SURFACED BY BUILDING THIS — the reason the tab is worth having: the model assumes 8.5% COP appreciation, which sits comfortably against the national apartment print of 8.88%, BUT the Medellín estrato 5-6 annual print for Q2 2026 is 6.18%, and Dulcinea's properties are estrato 5-6. The model input is therefore 2.3 points above the closest available comparable on the latest print, which in USD terms is 6.9% modelled against 4.6% realised. Context both ways: Medellín ran ABOVE the national average through 2025 (+8.77% full year, +8.29% Q4) and below it in 2026, and one quarter is not a trend — but the gap is now visible on its own tab with the arithmetic shown rather than buried. The commentary states plainly that holding 8.5% is defensible on the multi-year record and that cutting to the estrato-alto print is the conservative case. NOT ACTIONED: no change to the appreciation input; that is Ricardo's call. LAYOUT NOTE: the charts were first placed at left 640 and overlapped the data tables; moved to 1060, verified clear by screenshot. VERIFIED: rendered screenshots of the tables and both charts; workbook error sweep clean apart from the two logo cells (Cover F1, Dashboard F1); Project Data master check ALL CHECKS PASS.</t>
  </si>
  <si>
    <t>Monthly Cash-Flow &amp; XIRR Engine (internal)</t>
  </si>
  <si>
    <t>Month #</t>
  </si>
  <si>
    <t>Month end</t>
  </si>
  <si>
    <t>Model quarter</t>
  </si>
  <si>
    <t>Deal — purchase + closing</t>
  </si>
  <si>
    <t>Deal — renovation capex</t>
  </si>
  <si>
    <t>Deal — net operating income</t>
  </si>
  <si>
    <t>Deal — net sale proceeds (pre-tax)</t>
  </si>
  <si>
    <t>Deal — net cash flow (pre-tax)</t>
  </si>
  <si>
    <t>Deal — gains tax at exit</t>
  </si>
  <si>
    <t>Deal — net cash flow (after tax)</t>
  </si>
  <si>
    <t>Results — XIRR on dated monthly flows</t>
  </si>
  <si>
    <t>Portfolio XIRR (deal-level, pre-tax, before fund costs)</t>
  </si>
  <si>
    <t>Portfolio XIRR (deal-level, after gains tax)</t>
  </si>
  <si>
    <t>Reconciliation — annual IRR() comparison</t>
  </si>
  <si>
    <t>Reconciliation — totals must tie to the statements</t>
  </si>
  <si>
    <t>Total capital called — monthly engine</t>
  </si>
  <si>
    <t>Total distributions — monthly engine</t>
  </si>
  <si>
    <t>Basis tie</t>
  </si>
  <si>
    <t>Total net sale proceeds — monthly engine</t>
  </si>
  <si>
    <t>Total net sale proceeds — Properties (active)</t>
  </si>
  <si>
    <t>Sale-proceeds tie</t>
  </si>
  <si>
    <t>Portfolio deal-level XIRR (monthly dated flows, excl. fund overheads)</t>
  </si>
  <si>
    <t>Monthly engine ties to the statements (capital called and distributions)</t>
  </si>
  <si>
    <t>Difference vs annual method (points)</t>
  </si>
  <si>
    <t>Entry 133 — ALL IRRs MOVED TO MONTHLY XIRR ON A NEW _IRR Engine TAB (Ricardo: 'audit and make sure IRR calculations are done by month (create helper calculation tabs if needed) and use the XIRR formula for more precise results. review entire workbook'). AUDIT FINDING: every IRR in the workbook was annual and used IRR(), which assumes equal periods and dates every flow at a period boundary. Three surfaces were affected — Investor Return C18 =IRR(C10:L10) on ten year-end-dated investor flows; Portfolio Strategy D12:F12 =IRR(D9:D11), a three-period annual proxy that was NOT the real cash-flow engine; and the two sensitivity grids (D38:F42 entry discount x appreciation, D47:F51 rent x entry discount) which used the same three-period HSTACK proxy. The underlying model is QUARTERLY (_Qtr Engine, 40 quarters, lumps anchored to Properties Q/R/T/U), so annual year-end dating was discarding real timing information: an acquisition closing in Q4-26 and an exit landing mid-year were both being pushed to a fiscal year boundary. NEW TAB _IRR Engine (position 18, immediately before _Handoff, internal/plain formatting, frozen at row 5): a 120-month grid, every row formula-driven, no hardcoded values. Columns A-D month index / month-end date / model year / model quarter. Columns E-G investor capital calls, distributions, net. Columns H-N deal-level purchase+closing, renovation capex, net operating income, net sale proceeds, pre-tax net flow, gains tax, after-tax net flow. TIMING CONVENTION, stated on the tab at A2: purchase+closing, capex start and sale land in the FIRST month of their model quarter, matching the quarterly engine; capex spreads evenly across the works months; holding costs (predial, insurance, maintenance reserve, HOA, utilities, service fee) accrue every month from acquisition to sale; rental income starts at the rental-start month and carries the quarterly ramp factor and real rent growth. INVESTOR FLOWS PRESERVE THE STATEMENTS EXACTLY — this was the design decision that matters. Rather than rebuild the distribution waterfall monthly (which would have broken the tie to the Balance Sheet and Cash Flow Statement), the annual amounts are taken straight from Statement of Cash Flows row 47 and Investor Return rows 8-9 and RE-DATED: capital calls allocated across the months of the year by that quarter's acquisition+capex need, distributions allocated by that quarter's gross sale value, with a year-end fallback where a year has no exits. Totals therefore tie to the penny — 3,419,318 called and 7,942,366 distributed — so MOIC, net profit, payback and every statement figure are UNCHANGED. Only the discounting of timing moves. RESULTS: Investor XIRR 17.5% against the prior annual 17.6% — the annual method was OVERSTATING by 0.1 points, because capital is called at the start of a year while the annual convention discounted it as if it arrived at year-end. Portfolio deal-level XIRR (pre-tax, before fund costs) 25.79% against the prior proxy's 25.87%. Deal-level XIRR after capital gains tax 22.2%, newly available and quoted in the Portfolio Strategy note. REPOINTED: Investor Return C18 now ='_IRR Engine'!$Q$6 (green cross-sheet link); the prior annual figure is retained at C20 as a labelled reconciliation line with a method paragraph at C21, so the change is auditable rather than silent. Portfolio Strategy D12:F12 and both sensitivity grids rebuilt as array XIRR formulas over SEQUENCE(120) months x 10 properties via MMULT, parameterised by entry discount, appreciation and rent scale. Rows 9-11 on Portfolio Strategy are retained as a simplified single-cycle illustration and the note at J12 now says explicitly that they no longer drive row 12. GRIDS NOW TIE TO THE HEADLINE, which they did not before: E40 and E49 both read 25.79%, identical to E12 and to the row-by-row engine at Q7 — the same number computed two independent ways (array formula and 120-row grid) agreeing to ten decimal places, which is the cross-validation for the whole build. THREE NEW MODEL CHECKS at Project Data rows 90-92: capital and distribution totals tie to the statements; deployed basis and net sale proceeds tie to Properties; Portfolio Strategy E12 ties to the engine. The master check MOVED from D90 to D93 and now covers D81:D92 (twelve checks) — a check block extension that does not cover the new rows is the classic silent failure and was caught deliberately here. Dashboard B51 repointed to COUNTA(D81:D92) and D93 and now renders '12 automated integrity checks ... ALL CHECKS PASS'. PROSE CORRECTED, one live defect: Portfolio Strategy B43 claimed 'even the weakest corner clears the fund-level hurdle'. That was true at the old grid (17.8% weakest vs 17.6% fund IRR) and is FALSE at the new one (15.1% vs 17.5%) — the sentence now states the grid span and says the weakest corner holds a double-digit deal-level return. Also: B20 was rendering the appreciation axis at 0% (showing 5/7/9 for 4.9/6.9/8.9) and now uses 0.0%; _Forced Assumptions C6 had the same 0% rounding on the derived 6.9% and was fixed; Glossary C113 (IRR) now defines the XIRR method and quotes both live figures. TWO MISTAKES MADE AND CORRECTED, both caught by read-back: (a) the array formula failed twice with InvalidArgument until the LET names were changed — single-letter LET names (T, R, P, U, Q, V) are rejected by Excel; all engine names now carry a 'z' prefix. Worth remembering. (b) merging C21:L21 on Investor Return to hold the method paragraph SWALLOWED the formula already sitting in C21; the label went to B21 and the paragraph was rewritten into a fresh C21:L21 merge. This is the merged-cell gotcha already recorded at B3 note (4), hit again. VERIFIED: all twelve model checks OK and master ALL CHECKS PASS; workbook-wide error sweep clean apart from the two known logo in-cell images (Cover F1, Dashboard G1 — never clear); reconciliation block on _IRR Engine reads OK on all three ties; both sensitivity grids and the Dashboard IRR chart rendered and inspected; prose row heights re-measured against true merged widths on Investor Return, Portfolio Strategy, Dashboard and Glossary.</t>
  </si>
  <si>
    <t>Exit Cap Rate &amp; Income Yield by Property — Annual</t>
  </si>
  <si>
    <t>Exit value (USD)</t>
  </si>
  <si>
    <t>Yield on cost</t>
  </si>
  <si>
    <t>Less administración / HOA and utilities (per property, COP)</t>
  </si>
  <si>
    <t>Engine Parameters — every constant used by this tab is named here</t>
  </si>
  <si>
    <t>Engine horizon (months)</t>
  </si>
  <si>
    <t>Properties in the underwriting table</t>
  </si>
  <si>
    <t>Months per year (calendar constant)</t>
  </si>
  <si>
    <t>Months per quarter (calendar constant)</t>
  </si>
  <si>
    <t>COP per COP million (unit conversion)</t>
  </si>
  <si>
    <t>Final exit falls inside the engine horizon</t>
  </si>
  <si>
    <t>Capital and distribution tie</t>
  </si>
  <si>
    <t>Total basis deployed — monthly engine</t>
  </si>
  <si>
    <t>Total basis deployed — Properties (active)</t>
  </si>
  <si>
    <t>Gains tax charged — monthly engine</t>
  </si>
  <si>
    <t>Gains tax charged — Properties (active)</t>
  </si>
  <si>
    <t>Gains tax tie</t>
  </si>
  <si>
    <t>Sign test — flows change sign at least once (XIRR is solvable)</t>
  </si>
  <si>
    <t>Rows populated — engine covers the full horizon</t>
  </si>
  <si>
    <t>Monthly engine ties to Properties (basis deployed, net sale proceeds, gains tax)</t>
  </si>
  <si>
    <t>Capital called</t>
  </si>
  <si>
    <t>Statement Integrity — Foot &amp; Cross-Foot</t>
  </si>
  <si>
    <t>Income Statement: total revenue = rental revenue + property sales</t>
  </si>
  <si>
    <t>Income Statement: rental revenue = sum of the per-property lines</t>
  </si>
  <si>
    <t>Income Statement: property sales = sum of the per-property lines</t>
  </si>
  <si>
    <t>Income Statement: gross profit = revenue − cost basis − selling costs</t>
  </si>
  <si>
    <t>Income Statement: property operating expenses = sum of the expense lines</t>
  </si>
  <si>
    <t>Income Statement: total operating expenses = property expenses + G&amp;A</t>
  </si>
  <si>
    <t>Income Statement: operating income = gross profit − total operating expenses</t>
  </si>
  <si>
    <t>Income Statement: total taxes = income tax + capital gains tax</t>
  </si>
  <si>
    <t>Income Statement: net income = operating income − total taxes</t>
  </si>
  <si>
    <t>Cash Flow: operating + investing + financing = net change in cash</t>
  </si>
  <si>
    <t>Cash Flow: beginning cash + net change = ending cash</t>
  </si>
  <si>
    <t>Cash Flow: beginning cash agrees to the prior year ending cash</t>
  </si>
  <si>
    <t>Cash Flow: net income agrees to the Income Statement</t>
  </si>
  <si>
    <t>Cash Flow: direct-method memo ties to the net change in cash</t>
  </si>
  <si>
    <t>Balance Sheet: total assets = cash + real estate held for sale</t>
  </si>
  <si>
    <t>Balance Sheet: real estate roll-forward ties (opening + spend − basis released)</t>
  </si>
  <si>
    <t>Balance Sheet: contributed capital = cumulative capital called</t>
  </si>
  <si>
    <t>Reasonableness &amp; Control</t>
  </si>
  <si>
    <t>Cash balance never negative in any year</t>
  </si>
  <si>
    <t>Cumulative capital called never exceeds the commitment</t>
  </si>
  <si>
    <t>Capital gains tax within statutory bounds (0 to the higher statutory rate on gain)</t>
  </si>
  <si>
    <t>No hardcoded values inside the Income Statement grid</t>
  </si>
  <si>
    <t>No hardcoded values inside the Cash Flow grid</t>
  </si>
  <si>
    <t>No hardcoded values inside the Balance Sheet grid</t>
  </si>
  <si>
    <t>Every property sells after it is acquired</t>
  </si>
  <si>
    <t>No active property sells beyond the model horizon</t>
  </si>
  <si>
    <t>Prop #</t>
  </si>
  <si>
    <t>Deal-Level Cash Flows (before fund overheads)</t>
  </si>
  <si>
    <t>Entry 134 — ANNUAL EXIT CAP RATES ADDED · TWO LIVE DEFECTS FOUND AND FIXED · MODEL CHECKS EXPANDED TO 41 · MAGIC NUMBERS ELIMINATED · WORKING TABS REFORMATTED (Ricardo: 'fix all. no magic numbers. even work tabs must be organized and formatted so humans can understand. No AI slop. Introduce standard financial engineering model checks throughout the workbook. Tests that CPAs use to make sure their calculations are correct. We also need to calculate resulting annual exit cap rates as results for each property. I believe we calculated monthly cap rates before and that is why they were so low.'). (1) THE MONTHLY-CAP-RATE HYPOTHESIS IS WRONG — RECORDED BECAUSE IT WILL COME UP AGAIN. The cap rates were never monthly. Properties column X has always been an ANNUAL stabilized NOI figure and W an exit value, so X/W was already annual. Verified property by property: 1.74% / 0.84% / 1.26% / -0.54% / -0.97% / 0.88% / 1.04% / 0.96% on the eight active deals, 0.51% for the active portfolio. The level is a function of the assumption set, and the arithmetic is now on the tab rather than in anyone's head: effective gross rent of 602,700 (861,000 asking less 258,300 of 30% vacancy) carries 513,173 of operating cost — 142,840 rent-linked (property management 15%, housekeeping 8%, ICA 0.7%), 122,256 basis-linked (predial, insurance, maintenance reserve), 104,078 HOA and utilities, and 144,000 of ServCo property service fee at 1,500/property/month FLAT regardless of rent. The flat fee is the single biggest reason the estates go negative: Casa Montana and Casa Monte Sereno rent at 10/m² against El Poblado's 25, so 18,000/yr of service fee plus basis-linked cost exceeds their net rent, giving NOI of -15,145 and -26,081. This is not a modelling error — it is the deliberate design that the return comes from the entry discount and the comps-based exit, not from income, which is exactly what the 25.79% deal-level XIRR against a 0.51% cap rate says. (2) NEW OUTPUT — ANNUAL EXIT CAP RATE. Properties columns AH/AI/AJ added: exit cap rate (annual NOI ÷ exit value), yield on cost (annual NOI ÷ all-in basis), gross rent yield on exit — per property rows 6-19 plus the row-20 all-portfolio and row-21 active-portfolio rollups, formatted 0.00%. Portfolio Strategy rows 69-93 carry the reader-facing block: a per-property table (# / property / status / annual NOI / exit value / exit cap rate / yield on cost) with inactive rows greyed by conditional formatting, the active-portfolio line, then the GROSS RENT TO NOI BRIDGE with its own tie check at E92, and a dynamic takeaway paragraph. _Forced Assumptions C10 and E10, which carried the typed '~0.8-1.7% effective', are now live formulas off the new columns. (3) DEFECT FOUND — DIRECT-METHOD MEMO NEVER TIED. Statement of Cash Flows row 57 ('Capital raised') was =IF(year=1,'Project Data'!$D$40,0), i.e. the full 5,000,000 commitment, while the financing section (row 47) correctly shows only the 3,411,139 actually called in Year 1 and 8,179 in Year 2. The memo check at row 63 was therefore reading 1,588,861 in Year 1 and -8,179 in Year 2 — non-zero, visible on the tab, and nobody caught it because NO MODEL CHECK COVERED IT. Row 57 now reads =C47 across C:L, label changed to 'Capital called', and row 63 returns 0 in all ten years. (4) DEFECT FOUND — INCOME STATEMENT PROPERTY-SALES DETAIL IGNORED THE ACTIVATION FLAG. Rows 19-28 read =IF(ROUNDUP(Properties!$U6/4,0)=year,Properties!$W6,0) with no Properties!$D activation multiplier, so the per-property display included ICP4 and ICP5, which the fund does not own. The total on row 18 comes from the engine and was right, so the tab footed vertically but the detail overstated: Year 5 detail summed 8,853,449 against a total of 6,971,423 (the 1,882,027 difference being ICP4) and Year 7 summed 7,723,705 against 5,493,008 (2,230,697, ICP5). Found by the new cross-foot check, which is the whole argument for adding them. Rows 19-28 now carry Properties!$D as a multiplier and the literal /4 is replaced by the named quarters-per-year ratio. (5) MODEL CHECKS: 12 -&gt; 41, organised into three labelled groups on Project Data with the master check now at D126 covering D81:D125. 'Statement Integrity — Foot &amp; Cross-Foot' (rows 95-112, 18 checks): Income Statement total revenue foots, rental revenue and property sales each equal the sum of their ten per-property lines (BYCOL per year, not just a grand total), gross profit, property operating expenses, total operating expenses, operating income, total taxes and net income each foot; Cash Flow operating+investing+financing equals net change in cash, beginning plus change equals ending, beginning agrees to prior-year ending, net income agrees to the Income Statement, direct-method memo ties; Balance Sheet total assets and total equity foot, the real-estate roll-forward ties (opening + spend − basis released) and contributed capital equals cumulative capital called (SCAN). 'Reasonableness &amp; Control' (rows 115-125, 11 checks): cash never negative in any year, cumulative capital called never exceeds the commitment, distributions reconcile to capital called plus cumulative net income (7,942,366 = 3,419,318 + 4,523,048), capital gains tax within statutory bounds, NO HARDCODED VALUES inside the Income Statement / Cash Flow / Balance Sheet grids (ISNUMBER against NOT(ISFORMULA) — all three return zero), every property sells after it is acquired, works finish before the sale quarter, no active property sells beyond the horizon, and the exit-cap bridge ties. All 41 read OK; master ALL CHECKS PASS. Dashboard B51 repointed to COUNTA(D81:D125) and D126 and now renders '41 automated integrity checks'. (6) MAGIC NUMBERS ELIMINATED from the work introduced in Entry 133. _IRR Engine now carries an 'Engine Parameters' block at P4:Q12 naming every constant it uses — engine horizon in months (DERIVED as months-per-year × statement year columns, not typed), properties in the underwriting table (ROWS of the Properties block), months per year, months per quarter, COP per COP million, model start, final exit quarter, and a check that the final exit falls inside the horizon. Every monthly row formula and every array-XIRR grid cell on Portfolio Strategy now references these instead of bare 120 / 10 / 12 / 3 / 1000000. Results are bit-identical after the change (Investor 17.4641%, deal-level 25.7912%, grid centres unchanged), which is the proof the substitution was faithful. A workbook-wide literal scan afterwards returns only calendar conversions (×12 months per year, ×3 or /3 months per quarter, /4 quarters per year), the COP-million unit conversion and the model-check tolerances — no business assumption is embedded in a formula anywhere. (7) WORKING TABS REFORMATTED. _Qtr Engine: the subtitle said '24 quarters' when the tab runs 40 — now a live formula reading the actual quarter count and years, and it explains that column B is the Properties row index (which is why the property order runs ICP1, ICP2, ICP4, ICP5, ICP3 rather than alphabetically) and that no inputs live on the tab. Column B given a 'Prop #' header. Navy section bars extended across the full 40-quarter data width instead of stopping at column B. House money format with '–' for zeros applied to the whole grid, integers on the counts and owned-flag rows, uniform 16pt rows, 20pt bars, property labels recoloured green as cross-sheet links. _IRR Engine: three merged navy column-group bars on row 4 (Period / Investor Cash Flows / Deal-Level Cash Flows), navy header row, dynamic subtitle stating the timing convention, uniform 18pt rows, the parameters/results/reconciliation blocks banded light blue with indented labels, and green/red conditional formatting on all seven tie cells. A gains-tax tie, a sign test (flows change sign so XIRR is solvable) and a row-count test were added to the engine's own reconciliation block. (8) ALSO: Cover workbook guide rows 13, 15 and 19 rewritten for the new content and rows 13/15/19/22 resized (row 22 had been clipping five lines of text into 18pt since the Medellín tab was built). VERIFIED: 41 model checks OK and master ALL CHECKS PASS; workbook-wide error sweep clean apart from the two known logo in-cell images (Cover F1, Dashboard G1 — never clear); Properties AH:AJ, the Portfolio Strategy block, the Project Data check block, the Cover guide, _Qtr Engine and _IRR Engine all rendered and inspected; engine reconciliation block reads OK on all seven ties; XIRR outputs unchanged from Entry 133. TWO MISTAKES CORRECTED DURING THIS WORK: (a) copying the rent-table formats onto the new cap-rate block dragged its GOLD sub-band conditional formatting with it, which violates the no-yellow rule — format.fill.clear() does not remove conditional formatting, conditionalFormats.clearAll() is required; (b) Range.numberFormat rejects a 1×2 array against a multi-row range, it needs a full-size array.</t>
  </si>
  <si>
    <t>Entry 135 — SHEET TAB COLOUR CONVENTION APPLIED (Ricardo: 'all model tabs should have one color. All working tabs or calculation tabs should be plain and start with a _'). BEFORE: the workbook was almost entirely uncoloured — only three tabs carried any colour at all, and they were the wrong three. Medellín Market Data was #1F4E78 (set when it was built, Entry 132), while _Qtr Engine and _Handoff were grey #9E9E9E. So the only visually distinguished tabs were one deliverable and two internal ones, which is the inverse of the intended signal. AFTER: fifteen model/deliverable tabs all carry the workbook primary navy #132E57 — Cover, Dashboard, Project Data, Income Statement, Statement of Cash Flows, Balance Sheet, Investor Return, Sources &amp; Uses, Portfolio Strategy, Properties, Property Detail, ServCo Financials, ServCo Personnel, Glossary, Medellín Market Data. The four working tabs carry NO tab colour — _Qtr Engine, _Forced Assumptions, _IRR Engine, _Handoff. NO RENAMES WERE NEEDED: every calculation/working tab already carried the leading underscore and no deliverable tab did, so the naming half of the convention was already satisfied. HIDDEN-SHEET GOTCHA, worth recording: ServCo Personnel is a HIDDEN sheet, and Excel returns null for Worksheet.tabColor on a hidden sheet — the write appears to fail when it has actually succeeded. Setting the colour required unhiding, writing, re-hiding, and verification required unhiding again to read #132E57 back before re-hiding. Any future tab-colour sweep must handle hidden sheets this way rather than trusting the read. OPEN POINT FOR RICARDO: ServCo Personnel is the only hidden sheet in the workbook. It holds confidential per-role compensation so hiding is defensible, but it is named like a deliverable and now coloured like one, which is slightly contradictory — either it becomes visible (and the confidential comp is protected some other way) or it is treated as internal. No change made; flagged in chat. The convention has also been written into Ricardo's standing instructions so it carries to other workbooks, with the Convento Obra Pía presentation-tab family (purple) noted as the standing exception. No model values, formulas or formatting inside any tab were touched; all 41 model checks still read OK and the master still reads ALL CHECKS PASS.</t>
  </si>
  <si>
    <t>Trailing-12-Month NOI at Exit (USD) — last full year of stabilized operation before the sale</t>
  </si>
  <si>
    <t>Trailing-12-Month Gross Rent at Exit (USD)</t>
  </si>
  <si>
    <t>Exit Cap Rate (annual) — trailing-12-month NOI at exit ÷ exit value</t>
  </si>
  <si>
    <t>Yield on Cost (annual) — trailing-12-month NOI at exit ÷ all-in basis</t>
  </si>
  <si>
    <t>Gross Rent Yield on Exit (annual) — trailing-12-month gross rent ÷ exit value</t>
  </si>
  <si>
    <t>Trailing-12-Month NOI at exit — the annual figure behind the exit cap rate</t>
  </si>
  <si>
    <t>Trailing-12-mo NOI at exit (USD)</t>
  </si>
  <si>
    <t>Yield on Cost</t>
  </si>
  <si>
    <t>Entry 136 — EXIT CAP RATE MOVED TO A TRAILING-TWELVE-MONTH BASIS (Ricardo: 'exit cap must be annual so it is the entire last years worth of stable rent (sum of) to be used instead of only 1 month'). WHAT CHANGED AND WHY IT MATTERS. Entry 134 built the exit cap rate off Properties column X, the year-one STABILIZED annual NOI. That was already an annual figure — no month was ever annualised — but it was the wrong annual figure: it is a year-one steady-state number, while every property actually sells in year 3, 5 or 7 with two per cent real rent growth compounded to its own exit year. The cap rate was therefore being measured against a year of rent the property had already grown past. Ricardo's instruction is correct in substance even though the diagnosis (a monthly figure) was not: the denominator year must be the last twelve months the property actually earned before the sale. NEW COLUMNS on Properties: AK 'Trailing-12-Month NOI at Exit' and AL 'Trailing-12-Month Gross Rent at Exit'. Each is an array formula over SEQUENCE(months per year) covering the twelve months immediately preceding the sale month — sale month = (sale quarter − 1) × months per quarter + 1, window = salemonth−12 to salemonth−1 — applying the owned and renting flags, the quarterly ramp factor and (1 + real rent growth)^(model year − 1) month by month, exactly as _IRR Engine does, then summing. Every constant is drawn from the _IRR Engine parameter block; no literals. Columns AH/AI/AJ were repointed onto AK and AL, so exit cap rate = AK ÷ exit value, yield on cost = AK ÷ all-in basis, gross rent yield on exit = AL ÷ exit value. Column headers restated to name the basis explicitly. Rows 20 and 21 carry the all-portfolio and active-portfolio rollups. RESULTS MOVED UP, as expected: active-portfolio trailing NOI 112,849 against the year-one stabilized 89,527 — a 23,322 uplift that is entirely real rent growth compounded to each property's own exit year. Exit cap rate 0.51% -&gt; 0.65%; yield on cost 0.84% -&gt; 1.06%; gross rent yield on exit 3.47% -&gt; 3.64%. Per property the exit cap rate is now 1.82 / 1.02 / 1.35 / -0.40 / -0.86 / 0.95 / 1.23 / 1.14 per cent on the eight active deals. The two estates remain NEGATIVE (Casa Montana -11,202, Casa Monte Sereno -23,131) though less so than on the stabilized basis, for the reason recorded in Entry 134: 10/m² estate rents against a flat 1,500/property/month service fee. GATING FIX WORTH NOTING: the first version of AK/AL gated on activation × sale quarter, which zeroed ICP4 and ICP5 and made the all-portfolio row 20 identical to the active row 21. Changed to gate on the sale quarter alone, so the two substitute properties now show their would-be cap rates (1.14% and 1.56%) for comparison while the active rollup still filters on the activation flag. BRIDGE EXTENDED on Portfolio Strategy: after 'Stabilized NOI' the block now carries 'Add: real rent growth to each property's exit year' (23,322, computed as the trailing gross rent less the stabilized effective gross rent, net of the rent-linked cost ratio) and 'Trailing-12-Month NOI at exit — the annual figure behind the exit cap rate' (112,849), with its own tie check against Properties AK21. The tie is exact, which is the cross-validation: the portfolio-level bridge and the ten per-property array formulas agree to the dollar by two independent routes. The table's NOI column and the takeaway paragraph were repointed and rewritten; the paragraph now opens by stating the trailing-twelve-month basis in terms, so the question does not need re-litigating. NEW MODEL CHECK (Project Data row 126, master moved to D127 covering D81:D126, 42 checks total): 'Trailing-12-month exit window is fully stabilized (ramp complete before it starts)' — fires if any active property's rental start plus ramp quarters lands later than its sale quarter minus four, which would put ramp months inside the trailing window and understate the cap rate. Currently OK for all eight: rental starts at quarter 3, ramp is 2 quarters, sale at quarter 9, so the window (quarters 5-8) is fully stabilized. This check is what stops the metric silently degrading if anyone shortens a hold or lengthens the ramp. Dashboard B51 repointed to COUNTA(D81:D126) and D127 and now renders '42 automated integrity checks'. ALSO: _Forced Assumptions C10 and E10 restated on the trailing basis; Glossary gained 'Exit Cap Rate' and 'Yield on Cost' definitions (rows 116-117), both dynamic, both stating the trailing-twelve-month convention and why a low cap rate is expected in a comps-priced exit. UNCHANGED: Investor MOIC 2.32x, Investor XIRR 17.5%, deal-level XIRR 25.79% pre-tax / 22.21% after tax, all statements, all cash flows. The cap-rate work is a reporting layer over existing NOI mechanics and touches no driver. VERIFIED: 42 model checks OK and master ALL CHECKS PASS; workbook error sweep clean apart from the two known logo in-cell images (Cover F1, Dashboard G1); the Portfolio Strategy block rendered and inspected end to end; bridge tie OK; Glossary rows sized to their wrapped content.</t>
  </si>
  <si>
    <t>Gross Rent Yield on Cost (annual) — trailing-12-month gross rent ÷ all-in basis</t>
  </si>
  <si>
    <t>KPI</t>
  </si>
  <si>
    <t>Value</t>
  </si>
  <si>
    <t>Entry discount to comparable value (m²-weighted, active)</t>
  </si>
  <si>
    <t>The return is bought at closing, not earned from rent</t>
  </si>
  <si>
    <t>Comparable value of the active portfolio at entry (fully improved)</t>
  </si>
  <si>
    <t>What the assets are worth improved, before any appreciation</t>
  </si>
  <si>
    <t>All-in basis paid per dollar of comparable value</t>
  </si>
  <si>
    <t>70 cents buys a dollar of value — the margin is structural</t>
  </si>
  <si>
    <t>Value uplift on all-in basis at exit</t>
  </si>
  <si>
    <t>Discount recapture plus appreciation over the hold</t>
  </si>
  <si>
    <t>Gross multiple on every dollar deployed into property</t>
  </si>
  <si>
    <t>Average hold per property (months)</t>
  </si>
  <si>
    <t>Short duration — capital is not parked for a decade</t>
  </si>
  <si>
    <t>Downside protection ≈ the entry discount, by construction</t>
  </si>
  <si>
    <t>Carry coverage — trailing gross rent ÷ annual property operating cost</t>
  </si>
  <si>
    <t>Rent's job is to pay the hold, not to be the return</t>
  </si>
  <si>
    <t>Leverage / debt service</t>
  </si>
  <si>
    <t>None — all equity</t>
  </si>
  <si>
    <t>No refinancing risk, no lender clock on the exit</t>
  </si>
  <si>
    <t>Headline: every dollar committed returns 2.3</t>
  </si>
  <si>
    <t>Headline: annualized, after everything</t>
  </si>
  <si>
    <t>Portfolio deal-level XIRR (pre-tax, before fund costs)</t>
  </si>
  <si>
    <t>What the property trade itself earns</t>
  </si>
  <si>
    <t>Exit cap rate (annual, trailing 12 months — reference only)</t>
  </si>
  <si>
    <t>Reported for completeness; the exit buyer prices comps, not yield</t>
  </si>
  <si>
    <t>Gross rent yield on cost (annual, trailing 12 months)</t>
  </si>
  <si>
    <t>The intuitive rent-on-price figure before the cost stack</t>
  </si>
  <si>
    <t>Steps:  vacancy ±</t>
  </si>
  <si>
    <t>Entry 137 — THE RETURN ARGUMENT: INVESTOR KPI BLOCK, GROSS-YIELD COLUMN, VACANCY × SERVICE-FEE SENSITIVITY (Ricardo: 'I am not sure how I can tell an investor that a property with a cap rate of 0.65% is a good deal? What is my argument and what other KPIs do I use?' — following the exchange where the 0.65% was suspected of being monthly; it is annual, and the Aires decomposition in chat showed the gap is the cost stack: 8.96% gross yield on cost falls to 2.97% net through 30% vacancy, 23.7% rent-linked costs, and a double management layer of 15% property management PLUS the flat 1,500/month service fee = 33,712/yr on one apartment, 32% of its effective rent). THREE ADDITIONS, all on the trailing-12-month basis of Entry 136. (1) PROPERTIES COLUMN AM — 'Gross Rent Yield on Cost (annual)': trailing-12-month gross rent ÷ all-in basis. Active portfolio 5.94%; apartments 6.5-9.3%; the two estates 2.4-3.2%. This is the intuitive rent-on-price figure an investor reaches for, now visible next to the net figures so the 9%-to-3%-to-0.65% chain is inspectable per property. (2) PORTFOLIO STRATEGY ROWS 98-115 — 'The Return Argument — Investor KPIs' — fourteen numbered KPIs, each with value and a one-line 'what it tells the Investor': entry discount 30.0% · comparable value at entry 15,221,856 · all-in basis $0.70 per dollar of comparable value · value uplift at exit 63.2% · exit ÷ cost 1.63x · hold 24 months · MARGIN OF SAFETY 31.8% (new metric: the uniform exit-value decline the Investor can absorb and still recover capital = net profit ÷ (exit value × (1 − selling costs) × (1 − gains rate)); conservative because it ignores the tax floor at zero) · carry coverage 1.22x (trailing gross rent ÷ annual property operating cost — rent pays the hold, it is not the return) · no leverage · MOIC 2.32x · Investor XIRR 17.5% · deal XIRR 25.8% · exit cap 0.65% (explicitly 'reference only') · gross yield on cost 5.94%. The argument paragraph beneath (all dynamic TEXT()) frames it: discount-capture trade, not a yield vehicle; the exit buyer is a residential consumer paying comparable value, not an investor demanding yield, which is WHY the entry discount exists; protection is structural (31.8% decline cushion, no leverage, self-liquidating); lead with MOIC, XIRR and margin of safety, quote the cap rate only to explain why income is not the thesis. (3) ROWS 117-126 — 'Sensitivity — Vacancy × ServCo Service Fee → Active-Portfolio Exit Cap Rate': 5×5 grid, vacancy 20-40% by the ±5% step against fee 500-2,500 by the ±500 step (both steps labelled blue inputs at row 118, the sanctioned Portfolio Strategy sensitivity-step location), base case (30%, 1,500) at the exact centre F122 highlighted #D9EAF7 and TIED to Properties AH21 by a new model check. Grid maths: trailing gross scales linearly with (1−vacancy)/(1−base vacancy); rent-linked costs scale with gross; basis-linked and HOA costs are drawn from the bridge cells E88/E89; fee replaces E90. Centre reproduces 0.65% exactly, which validates the decomposition. Best corner (20% vacancy, $500 fee) reaches 1.60%; worst (40%, $2,500) is -0.30%. The takeaway line makes the point that matters: the two most questionable cost assumptions move the cap rate two-and-a-half-fold but leave it an order of magnitude below the 25.8% deal XIRR — income assumptions move the cap rate, not the return. MODEL CHECKS: 43 now — row 127 'Vacancy × service-fee grid centre ties to the headline exit cap rate', master moved D127 -&gt; D128 covering D81:D127, conditional formatting re-applied over the full column, Dashboard B51 repointed and rendering '43 automated integrity checks'. FORMAT NOTES: KPI labels merged C:D and notes merged F:H, notes italic grey and wrapped, rows sized to the taller of label/note wrap; grid axes bold right-aligned per the sensitivity-axis convention; prose rows 115 and 126 merged B:H and measured to content. During the build the D38 format-copy again dragged fills onto the grid — cleared and only the centre highlight re-applied (the Entry 134 conditional-formatting gotcha, second sighting: always clear CF and fills after format-painting from the older grids). VERIFIED: 43 checks OK, master ALL CHECKS PASS; full block rendered and inspected twice; F122 confirmed the only highlighted grid cell by direct fill read; workbook error sweep clean apart from the two logo cells. UNCHANGED: all statements, XIRRs (17.46% / 25.79% / 22.21%), MOIC, cap-rate columns from Entry 136.</t>
  </si>
  <si>
    <t>Implied Pricing at Exit — the Pseudo Cap Rate Ladder (reverse-calculated from the modeled exit value)</t>
  </si>
  <si>
    <t>Exit value of the active portfolio (comps-priced)</t>
  </si>
  <si>
    <t>The price the modeled buyer pays</t>
  </si>
  <si>
    <t>Implied price per m² at exit (USD)</t>
  </si>
  <si>
    <t>The comps-based sanity check — compare to El Poblado asking prices</t>
  </si>
  <si>
    <t>Implied price per m² at exit (COP millions)</t>
  </si>
  <si>
    <t>Same figure in the currency the local market quotes</t>
  </si>
  <si>
    <t>Buyer's gross yield at full asking rents (trailing-12-month basis)</t>
  </si>
  <si>
    <t>What a landlord underwriting full occupancy sees at this price</t>
  </si>
  <si>
    <t>Same price, our conservative occupancy</t>
  </si>
  <si>
    <t>An owner running it personally, without the fund's fee layer</t>
  </si>
  <si>
    <t>Exit cap rate at Dulcinea's full cost stack (for reference)</t>
  </si>
  <si>
    <t>Our fund-loaded arithmetic against their price — the 0.65%</t>
  </si>
  <si>
    <t>Entry 138 — PSEUDO CAP RATE LADDER: EXIT PRICE REVERSE-CALCULATED INTO THE BUYER'S YIELDS (Ricardo: 'what if you use the actual estimated exit value to reverse calculate the pseudo Cap Rate?'). NEW BLOCK at Portfolio Strategy rows 128-137, beneath the vacancy × fee sensitivity. The idea: the modeled exit value is comps-priced, so run it BACKWARDS into every yield convention a market participant might use, from the buyer's arithmetic down to Dulcinea's. The ladder, all live formulas: exit value 17,393,821 (link to Properties W21) · implied price per m² at exit $4,915 USD / 15.2M COP (exit value ÷ active m², converted at the model TRM via the named unit constants) · buyer's gross yield at FULL ASKING rents 5.20% (per-property trailing-12-month gross grossed back up by each property's own vacancy, SUMPRODUCT over AL/(1−I62:I71), ÷ exit value) · gross yield at Dulcinea's 30% vacancy 3.64% (= Properties AJ21) · net yield to a SELF-MANAGING owner 2.02% (trailing NOI with the two ServCo layers added back — property management 15% of gross and the 1,500/month service fee — ÷ exit value) · Dulcinea full-stack exit cap 0.65% (= AH21). THE ARGUMENT THIS ARMS: 5.20% gross at asking is ordinary residential pricing, so the exit price is defensible on the buyer's own maths — the 0.65% is not a statement about the asset or the price but the arithmetic of running a family home as a fee-loaded fund asset for two years. The takeaway paragraph at B137 says exactly that and closes by tying exit-price credibility to the 1.63x exit multiple. COLOUR CODING: pure cross-sheet links green (E129, E133, E135); values computed on this sheet black (E130-E132, E134). No new inputs, no new checks needed — E135 and E133 are direct links to already-checked cells and the other rows are arithmetic on checked figures. Formatting mirrors the KPI block: navy bar, labels merged C:D, notes merged F:H italic grey wrapped, rows measured to the taller of label/note. VERIFIED: block rendered and inspected; all seven values agree with the pre-build live computation run through execute_office_js before any cell was written; master check still ALL CHECKS PASS (43 checks); no statement, XIRR or cap-rate figure changed anywhere.</t>
  </si>
  <si>
    <t>Entry 139 — SUPPORTING ANALYSIS TAB: CAP-RATE MATERIAL AND SECONDARY TABLES MOVED OFF THE CORE TABS (Ricardo: 'do not overcomplicate Portfolio Strategy with things investors wont look at. Move secondary tables to separate tab at end of tab sequence as supporting material and not core to Portfolio Strategy. Cap Rate analysis could be part of this Support Strategy tab' — following 'create an additional tab after Medellín Market Data for cap rate discussions... Do not pollute the model with cap rate discussions'). WHAT EXISTS NOW: one tab, 'Supporting Analysis', position 16 (after Medellín Market Data, last deliverable tab before the _ working tabs), navy tab colour, navy title band and dynamic subtitle stating explicitly that NOTHING ON THIS TAB FEEDS THE MODEL — it reads from it. CONTENTS, in order: rows 4-31 the cap-rate discussion (per-property trailing-12-month exit cap table, gross-rent-to-NOI bridge with tie check at E29, takeaway); rows 33-50 The Return Argument — Investor KPIs (14 KPIs + argument paragraph); rows 52-61 the vacancy × service-fee cap-rate sensitivity (base centre F57, tied by model check); rows 63-72 the pseudo cap rate ladder; rows 75-106 THE THREE BLOCKS MOVED OFF PORTFOLIO STRATEGY THIS ENTRY — the Entry Discount × Appreciation IRR grid (rows 75-82), the Rent × Entry Discount IRR grid (84-91), and the Practiced Market Rent by Property card (93-106). PORTFOLIO STRATEGY IS NOW THE INVESTOR CORE ONLY, A1:K34: title, sensitivity-step inputs (row 3, still the sanctioned home of the five step inputs — the moved grids reference them cross-sheet), Total Funds Needed / exit sensitivity / deal- and fund-level XIRR block, the Buy Box, and the Exit Timing Optimization grid. MECHANICS AND VERIFICATION: both moves used Range.moveTo (cut/paste semantics), so every external reference FOLLOWED automatically — verified by read-back: the Dashboard IRR-chart data block now reads 'Supporting Analysis'!$C$77/$E$77-$E$81 and the chart RENDERS CORRECTLY (17.4%-36.2%, inspected); Project Data checks D125 and D127 now point at 'Supporting Analysis'!$E$29 and $F$57 and read OK; check D92 still points at 'Portfolio Strategy'!$E$12, which stayed. Formulas moved by cut keep pointing at their original cells, so the grids' references to the step inputs became 'Portfolio Strategy'!$D$3/$F$3/$H$3 and the grid values are UNCHANGED (base row 23.4/25.8/28.2). Row heights mirrored from source before the emptied source rows were deleted (Portfolio Strategy rows 36-137 across the two moves; contents live on the new tab, nothing destroyed). GOTCHAS HIT: (a) =ROW()-70 style index formulas are positional and broke on the first move (# column read -64); rebuilt as =ROW()-5 at the destination — never move ROW()-arithmetic without re-anchoring. (b) getImage() served a STALE render twice this session (showed the old gold fill after it had been replaced); the authoritative verification is a direct fill/font read, which returned #D9EAF7/black on the two estate-rate cells F98:F99 (the pre-existing GOLD static fill on the $10 rates was replaced with the house light blue per the no-gold rule; the table's conditional formats were cleared and the grey-inactive rule re-added for rows 103-104). CROSS-REFERENCES UPDATED: Glossary C116 and _Forced Assumptions E10 now say 'the Supporting Analysis tab'; Cover guide row 23 renamed and re-described ('Analyst-level supporting material — the cap rate discussion ... plus the IRR sensitivity grids and per-property rent card moved off Portfolio Strategy'), row height re-measured; Cover C15 (Portfolio Strategy description) trimmed back to 'Total funds needed, exit sensitivity, deal- and fund-level XIRR, the buy box, and exit-timing optimization'. TAB COUNT NOW 20 (16 navy deliverable incl. hidden ServCo Personnel, 4 plain working). ALL 43 MODEL CHECKS OK, master ALL CHECKS PASS. NOTE FOR FUTURE EDITS: the cap-rate/KPI/ladder blocks and both IRR grids now live on Supporting Analysis — any new analyst-grade table (sensitivities, benchmarking, methodology discussions) goes THERE, not on Portfolio Strategy, Dashboard or the statements.</t>
  </si>
  <si>
    <t>Portfolio IRR (deal-level, after gains tax)</t>
  </si>
  <si>
    <t>Entry 140 — AFTER-GAINS-TAX PORTFOLIO IRR ADDED TO THE DASHBOARD METRICS BLOCK (Ricardo: 'if inevitable the IRR must be in dashboard too' — the gains tax is unavoidable, so the after-tax deal-level figure belongs on the headline surface, not only on Supporting Analysis / _IRR Engine). CHANGE: Dashboard metrics block extended from seven metrics (E10:G16) to eight (E10:G17). New line at E13/G13 'Portfolio IRR (deal-level, after gains tax)' = '_IRR Engine'!$Q$17 (22.2%), placed DIRECTLY beneath the pre-tax portfolio line so the three IRRs read as a ladder — Investor 17.5% / Portfolio pre-tax 25.8% / Portfolio after gains tax 22.2% — followed by Payback, Average hold, Exit÷cost and Gross gain÷capital, each shifted down one row by REWRITING cells (never inserting a row in this block — Entry 129 precedent — because the four charts below are anchored by absolute top offsets and the prose rows would shift). Row 17 restyled from the empty 29.5pt filler to an 18pt metric row via format-copy from row 16; number formats re-applied per line (0.0% / "Year "0 / 0.0 yrs / 0.00x). CLEARANCE: the block now bottoms at 384; the IRR by Entry Discount chart was nudged from top 385 to 395 (bottom 571, still clear of the row-25 paragraph at ~592). Verified by render: all eight metrics legible, chart clear. COLOUR NOTE: G13 was first written green per the cross-sheet-link rule, then recoloured BLACK to match the block — the Dashboard metrics block's established style (and the RC-CFI reader-facing rule that supersedes on style) is black values throughout, and G10:G12/G14 are all cross-sheet links already rendered black. Consistency within the block wins. NO other changes; all 43 model checks still ALL CHECKS PASS.</t>
  </si>
  <si>
    <t>Link pulling from another sheet in this workbook — trace to its source tab before changing anything</t>
  </si>
  <si>
    <t>Formula calculated on the same sheet — never overwrite</t>
  </si>
  <si>
    <t>Dashboard</t>
  </si>
  <si>
    <t>Working tabs (_ prefix)</t>
  </si>
  <si>
    <t>Entry 141 — COVER REFACTORED: GREEN-LINK LEGEND ADDED, GUIDE COMPLETED AND GEOMETRY NORMALISED (Ricardo: 'you need to insert the meaning of green numbers in the Cover tab, refactor and update Cover tab'). THE GAP RICARDO CAUGHT: the colour legend had four rows — blue input, black formula, light-blue key result, traffic-light guidance — and NO ENTRY FOR GREEN, even though green cross-sheet links are used throughout the workbook (every statement line, the Investor Return IRR cell, the whole Supporting Analysis tab) and green is one of only four font colours in the CFI scheme. A reader had no way to know what a green number meant. FIX: new legend row inserted at row 8 with a green #008000 swatch — 'Link pulling from another sheet in this workbook — trace to its source tab before changing anything'. The black row above it was also tightened to say what it now exclusively means: 'Formula calculated on the same sheet — never overwrite' (it previously read 'same-sheet or cross-sheet', which contradicted the green convention it was missing). The blue-input row was updated to name the two sensitivity-step locations (Portfolio Strategy row 3 and Supporting Analysis row 53) alongside Project Data, Properties and the two ServCo tabs. Legend is now five colours plus the zeros/negatives note. ALSO FIXED — two indigo step inputs on Supporting Analysis (D53 vacancy step, F53 service-fee step) were written as #0000FF when the Cover swatch and the rest of the workbook use #1F4EAD; recoloured to match, so the legend swatch and the live cells are the same colour. WORKBOOK GUIDE — TWO MISSING TABS ADDED: (1) DASHBOARD, which was absent entirely despite being the second tab and the intended entry point — now the first guide row, 'Start here — headline metrics (MOIC, the three IRRs, payback), four charts, and the narrative blocks; every figure links to the tabs below'. (2) 'Working tabs (_ prefix)' as a single combined row naming all four and what each is for, closing with 'Plain formatting, no tab colour, no inputs — calculation and record only', so the underscore convention is documented on the cover rather than only in _Handoff. Portfolio Strategy's description was already trimmed in Entry 139; Supporting Analysis' description names what moved there. GEOMETRY NORMALISED — the real refactor: the guide's description cells had THREE DIFFERENT MERGE SPANS accumulated over past edits (rows 14-16 and 18-23 merged C:E = 570pt, row 17 merged C:J = 871pt, rows 24-26 merged C:F = 679pt), which is why row heights ranged from 24pt to 124pt for similar text and why the block rendered with large arbitrary gaps (Supporting Analysis at 124pt for 299 characters, Medellín at 87pt for 168). All thirteen description cells unmerged and re-merged uniformly C:F (679pt — Ricardo's specified span; a first pass used C:H and was corrected), then every row measured to its own wrapped content against that one width: heights now 23 / 37 / 52pt in three clean tiers by line count, spacer row 13 reduced to 8pt. Verified by render: no clipping, no dead space, labels vertically centred against their text. NOT CHANGED: the Cover F1 logo (in-cell image reading #VALUE! — never clear), the title band, the Confidential band and footer. No formulas outside the Cover were touched; all 43 model checks still ALL CHECKS PASS.</t>
  </si>
  <si>
    <t>Capital commitment (memo — drawn only as acquisitions close)</t>
  </si>
  <si>
    <t>Capital called per the acquisition schedule</t>
  </si>
  <si>
    <t>Presentation tie (sources − uses; zero by construction)</t>
  </si>
  <si>
    <t>Hold scenarios (months):</t>
  </si>
  <si>
    <t>Entry 142 — FULL-WORKBOOK AUDIT REMEDIATION: SOURCES &amp; USES REBUILT, TAUTOLOGICAL CHECK REPLACED, SCRATCH DEBRIS CLEARED, HOLD AXIS DERIVED (Ricardo ran /audit entire workbook, then 'fix them all'). THE AUDIT ITSELF came back clean on everything that matters: all seven integrity ties independently recomputed from raw values (not trusting the workbook's own checks) return errors of 1e-8 or smaller — Balance Sheet balances, BS cash = CF ending cash, CFO+CFI+CFF = change in cash, beginning+change = ending, retained-earnings roll-forward, contributed capital = cumulative calls, total assets = cash + real estate. Zero formula errors outside the two logo cells, no external workbook links, calculation mode Automatic, no circular references, no orphan hardcodes inside any statement grid, effective tax on operating income 15.2-16.7% (consistent with the 15% gains rate), cash never below the 250,000 reserve. FINDING 1 — CRITICAL, AND I PARTLY MIS-DIAGNOSED IT FIRST TIME, RECORDED HERE SO THE RECORD IS STRAIGHT. Sources &amp; Uses C15 was =C7-SUM(C10:C14), a pure balancing PLUG, labelled 'Less: Wave-2 acquisitions funded by Wave-1 exit proceeds' and showing -6,139,190. My first report said the amount was wrong because the true Wave-2 basis is 7,635,599. On checking, the AMOUNT is arithmetically defensible — it is total uses 11,139,190 less the 5,000,000 raise — so the number was not fabricated; the LABEL was wrong (it is the total funding gap, not Wave-2 acquisitions) and the construction was a plug, which is the real defect: C18 = C7 − SUM(C10:C15) is algebraically forced to zero, so Project Data check D84 COULD NEVER FAIL. A check that cannot fail is worse than no check, because it reads OK forever. REBUILD: the tab now separates commitment from cash. Sources = capital commitment 5,000,000 shown as an italic MEMO line excluded from the total (this also closes audit finding 2 — the tab used to present the full raise as deployed, contradicting Investor Return and the Dashboard, which both say capital is called only as acquisitions close), capital called 3,419,318 linked to Cash Flow row 47, exit proceeds recycled into later acquisitions 7,719,872, total sources 11,139,190. Uses unchanged at 11,139,190. Row 18 retained but relabelled honestly as 'Presentation tie (sources − uses; zero by construction)'. NEW REAL TEST at rows 20-24, 'Recycling Feasibility — can the exits actually fund the later buys?': net sale proceeds banked on or before the final acquisition quarter (10,824,845, computed independently as SUMPRODUCT of active properties whose sale quarter &lt;= the last acquisition quarter, net of gains tax) against recycling required (7,719,872), giving 3,104,973 of headroom and an OK/CHECK flag with conditional formatting. Project Data D84 now reads that flag and is relabelled 'Sources &amp; Uses: exit proceeds cover the recycling the acquisition schedule requires'. PROOF OF NON-TAUTOLOGY, since that was the whole point: four separate input perturbations moved the headroom to 6,239,274 (purchase price x6), 2,950,239 (one hold to 40 quarters) and 201,937 (all three Wave-1 holds to 24 quarters, pushing their exits past the final acquisition) — the old C18 was identically zero for every one of those. I could not drive it fully negative without the horizon check tripping first, so the flag itself stayed OK in all four tests; it is live and input-sensitive, and the failure mode it guards is exits landing after the buys they are meant to fund. ALL STRESS INPUTS RESTORED AND VERIFIED (K6 back to 2,060; S6/S8/S11 back to 8). FINDING 3 — the dead 'of which Tranche 1' line (Project Data D41, equal to 100% of the raise and, after the rebuild, referenced by nothing) was repurposed rather than deleted, to avoid row surgery on a tab whose geometry has caused two past defects: B41 is now 'Total capital deployed (raise called + recycled exit proceeds, derived)' = 'Sources &amp; Uses'!C8, green, 11,139,190. A dead blue input became a live derived output. FINDING 4 — two leftover scratch formulas at _IRR Engine S1:S2 (a BYCOL trial and a hardcode counter from the Entry 134 build) cleared. FINDING 5 — the Exit Timing hold axis (18/24/36 months) was typed into D23:F23, the last hardcoded sensitivity axis in the workbook. Three labelled indigo inputs added at Portfolio Strategy D21:F21 under 'Hold scenarios (months):' with a 0" mo" format, and D23:F23 now reference them; verified the grid body reads D$23/E$23/F$23 so a change to the inputs flows through the whole table. FINDING 6 — the direct-method memo tie sits inside a collapsed group, which is exactly why the memo break fixed in Entry 137 went unseen for so long. It is already mirrored into the Project Data block (check row 108), and now the GROUP HEADER ITSELF is dynamic: Statement of Cash Flows B54 reads 'Direct-Method Memo (expand for detail) — ties to net change in cash: OK', so the status is visible without expanding. FINDING 7 — WITHDRAWN. It suggested unhiding ServCo Personnel; Ricardo's standing instruction is now that hidden sheets stay hidden and visibility is never toggled, not even to verify. Noting for the record that in Entry 135 I did briefly unhide and re-hide it twice to set and read its tab colour; that will not happen again, and any property unreadable while hidden is to be reported as unverifiable instead. FINAL STATE: 43 model checks, all OK, master ALL CHECKS PASS; workbook error sweep clean apart from the two logo in-cell images (Cover F1, Dashboard G1); Investor MOIC 2.32x and XIRR 17.5% unchanged; no statement, engine or returns figure moved.</t>
  </si>
  <si>
    <t>Entry 143 — DASHBOARD KPI COLUMNS REBALANCED, 'PROFIT PER $1' REMOVED (Ricardo: 'remove profit per $1 of capital invested and rebalance two columns in dashboard'). The Investor Returns strip has two KPI columns: program dollars on the left (labels B10:B15, values C) and return ratios on the right (labels E, values G). REMOVED: 'Profit per $1 of capital invested' ($0.90 = net profit ÷ the 5,000,000 raise) from the left column — a defensible cut beyond tidiness, since it divided by the full commitment rather than the 3,419,318 actually called, understating the economics, and it near-duplicated 'Gross gain ÷ capital'. REBALANCED: 'Gross gain ÷ capital' moved from the right column's overflow row 17 into the freed left slot at B15/C15, relabelled 'Gross gain ÷ capital raised' for precision (=C13/C10, 1.22x, same-sheet formula so black). Columns now sit six left (raise / all-in investment / gross exit value / gross gain / net profit / gross gain ÷ raise) and seven right (MOIC / Investor XIRR / Portfolio XIRR pre-tax / after gains tax / payback / average hold / exit ÷ cost). Row 17 cleared and returned to its 29.5pt filler height; the IRR by Entry Discount chart moved back up from top 395 to its original 385 seat now the right column is one row shorter (bottom 570, clear of the row-25 paragraph). Verified by render: both columns aligned, no clipping, chart clear. No values changed anywhere — the removed metric was display-only and the moved one kept its exact formula. All 43 model checks remain ALL CHECKS PASS.</t>
  </si>
  <si>
    <t>Trailing-12-Month NOI at Exit</t>
  </si>
  <si>
    <t>Gross Rent Yield (on cost / on exit)</t>
  </si>
  <si>
    <t>Margin of Safety</t>
  </si>
  <si>
    <t>Recycling (Exit-Proceeds Reinvestment)</t>
  </si>
  <si>
    <t>Working Capital Reserve</t>
  </si>
  <si>
    <t>XIRR</t>
  </si>
  <si>
    <t>Deal-Level vs Fund-Level IRR</t>
  </si>
  <si>
    <t>Carry Coverage</t>
  </si>
  <si>
    <t>Entry Discount</t>
  </si>
  <si>
    <t>Value Uplift at Exit</t>
  </si>
  <si>
    <t>Entry 144 — GLOSSARY COMPLETED: TEN MISSING TERMS ADDED, ONE HEADWORD RENAMED (Ricardo asked whether every term on the Dashboard and other tabs is explained in the Glossary; the answer was 'mostly' — this session had introduced vocabulary faster than the Glossary followed — and he said yes to closing the gap). TEN NEW ENTRIES, all dynamic TEXT() formulas quoting live figures, placed in their proper sections. Deal &amp; Property Terms (inserted after Buy Box, now rows 87-88): ENTRY DISCOUNT — astonishingly never a headword despite being the model's primary lever — with the m²-weighted 30% average, the (1 − discount) exit mechanics and the ~1-point-of-IRR-per-point rule; WAVE 1 / WAVE 2 with live property counts (3 and 5, derived from acquisition quarters against the quarters-per-year constant) and a cross-reference to Recycling. Rental &amp; Operating Terms (row 98): CARRY COVERAGE (1.22x, quoting the Supporting Analysis KPI cell) with the rent-pays-the-hold framing. Capital &amp; Returns (rows 117-118 inserted after IRR, rows 123-127 appended): XIRR (dated-flow definition, 120 monthly flows, 'see IRR'); DEAL-LEVEL vs FUND-LEVEL IRR quoting all three live figures (25.8% / 22.2% / 17.5%) and stating that the gaps price the tax and the fund structure; TRAILING-12-MONTH NOI AT EXIT (112,849 vs 89,527 stabilized); GROSS RENT YIELD on cost / on exit (5.94% / 3.64%); MARGIN OF SAFETY (31.8%, with the $0.70-per-dollar construction); RECYCLING (the 5,000,000-deploys-11,139,190 mechanism with the feasibility figures); WORKING CAPITAL RESERVE (5% of the raise, 250,000, the distribution floor). RENAME: 'Renovation Value Uplift' (B82) is now 'VALUE UPLIFT AT EXIT', matching the label used on Project Data D16 and the Dashboard — its existing definition already described the combined renovation + discount recapture + appreciation meaning, so only the headword moved. MISTAKE MADE AND CORRECTED, worth recording: I first wrote the new headword into B84 from a stale row map — B84 is 'Closing Costs (buyer)', which briefly read 'Value Uplift at Exit' over the notary-fees definition. Caught on the same read-back that showed the definition mismatch; B84 restored, B82 renamed. Row maps go stale the moment rows are inserted — re-read before renaming, always. All ten entries format-copied from the IRR row, wrapped, and row heights measured to the 640pt definition column; both edited zones rendered and inspected. Glossary now runs to row 127 and its own intro claim — 'every defined term used in this workbook' — is true again. All 43 model checks OK, master ALL CHECKS PASS; no model values touched (documentation only).</t>
  </si>
  <si>
    <t>Entry 145 — VACANCY ASSUMPTION RESET: 30% → 55% FOR ALL PROPERTIES (Ricardo: properties available for rental 90% of the time and rented 50% of that time → 45% effective occupancy → vacancy input 55%). Project Data I62:I71 set to 55% each; portfolio average D14 derives to 55%. Exit-driven figures unchanged: all-in 10,655,299 · gross exit value 17,393,821 · gross gain 6,077,557 · uplift 63% · payback Year 7. Rental-driven figures moved: capital called 3,419,318→3,595,239 · recycled proceeds 7,719,872→7,536,094 · total deployed 11,139,190→11,131,333 · distributions 7,942,366→7,882,540 · net profit 4,523,048→4,287,300 · Investor MOIC 2.32x→2.19x · Investor XIRR 17.5%→16.4% · portfolio deal-level XIRR 25.8%→24.6% pre-tax, 22.2%→21.0% after gains tax. Supporting Analysis vacancy × service-fee grid re-centred itself (axis derives from D14); base-case active exit cap rate is now NEGATIVE at -0.34% — rent no longer fully covers holding costs at 45% occupancy (check D89 'rental operation runs at a loss by design' remains OK). Dashboard B7 investor prose reworded in the same edit: 'covers holding costs' → 'defrays holding costs' to stay truthful. All 43 model checks OK, master ALL CHECKS PASS. Rev-5 snapshot above refreshed in the same edit.</t>
  </si>
  <si>
    <t>Entry 146 — SERVCO PERSONNEL SPLIT INTO TWO HIDDEN CONFIDENTIAL TABS (Ricardo: 'separate the confidential tab into US and Colombia, both confidential and hidden, both flow into same tab'). PRE-DELETION SNAPSHOT of 'ServCo Personnel' (hidden, A1:I20): rows 6-15 ten roles [Managing Director/US/360,000 USD/1.15 load/15%; Finance Director/US/240,000/1.15/15%; Dir Planning &amp; Corp Dev/US/360,000/1.15/15%; Country Manager/Medellín/25 COP M-mo/1.45/60%; Asset &amp; Renovation Mgr/Medellín/15/1.45/85%; Guest Ops Mgr/Medellín/9/1.45/50%; Controller/Medellín/10/1.45/25%; BD Mgr Medellín/9/1.45/0%; BD Mgr Cartagena/9/1.45/0%; Marketing Dir Cartagena/12/1.45/0%]. G col =IF(E="COP",D*12*1000000/'Project Data'!$D$5,D)*F; I col =G*H; G16 total 1,605,165; I17 allocated 361,280; I18 borne by parent =G16-I17 1,243,885; I19 US allocated SUMIF 165,600; I20 Colombia SUMIF("&lt;&gt;US") 195,680. DOWNSTREAM (rewired this entry): ServCo Financials C22:H22 ='ServCo Personnel'!$I$17; ServCo Financials B7 prose MIN/MAX H9:H12 + H6; _Forced Assumptions C8 H6/H7/I17; pointer text ServCo Financials B68, Project Data B74/C74. CHANGE: content split into 'ServCo Personnel US' (3 US roles, allocated total I10) and 'ServCo Personnel Colombia' (7 roles, allocated total I14), both hidden; C22:H22 = US I10 + Colombia I14; prose refs repointed; original tab DELETED after rewire. Values must be unchanged: allocation 361,280 (165,600 US + 195,680 CO).</t>
  </si>
  <si>
    <t>ServCo Personnel — US — Confidential Cost Detail (USD)</t>
  </si>
  <si>
    <t>ServCo Team — US Roles, Per-Role Cost Build</t>
  </si>
  <si>
    <t>Total team cost — US, fully loaded, 100%</t>
  </si>
  <si>
    <t>Total allocated to Dulcinea — US</t>
  </si>
  <si>
    <t>ServCo Personnel — Colombia — Confidential Cost Detail (USD)</t>
  </si>
  <si>
    <t>ServCo Team — Colombia Roles, Per-Role Cost Build</t>
  </si>
  <si>
    <t>Total team cost — Colombia, fully loaded, 100%</t>
  </si>
  <si>
    <t>Total allocated to Dulcinea — Colombia</t>
  </si>
  <si>
    <t>ServCo personnel costs and per-role detail are handled on the confidential ServCo Personnel US and Colombia worksheets.</t>
  </si>
  <si>
    <t>Entry 147 — AUDIT FIXES: (1) Cover F6:F9 blue static 1234s + F10 'within range' test debris CLEARED (contents+formats; snapshot: F6=1234, F7=1234, F8=1234, F9=1234, F10='within range'; no formulas referenced Cover!F6:F10). (2) INPUT CENTRALIZATION — new 'Sensitivity &amp; Scenario Parameters' block Project Data B130:D140: D131 appreciation step 2.0%, D132 entry-discount step 5.0%, D133 rent step $2, D134 vacancy step 5.0%, D135 ServCo fee step 500, D136/D137/D138 hold scenarios 18/24/36 mo, D139 ServCo office/tools 20,000, D140 ServCo service delivery 60,000 (all indigo inputs). Repointed to it, recolored black: Portfolio Strategy D3/F3/H3 + D21:F21; Supporting Analysis D53/F53; ServCo Financials C5:C6. All displayed values unchanged; sensitivity grids and statements unmoved; master check ALL CHECKS PASS.</t>
  </si>
  <si>
    <t>Sensitivity &amp; Scenario Parameters</t>
  </si>
  <si>
    <t>Sensitivity step — market appreciation (±)</t>
  </si>
  <si>
    <t>Sensitivity step — entry discount (±)</t>
  </si>
  <si>
    <t>Sensitivity step — monthly rent per m² (±, USD)</t>
  </si>
  <si>
    <t>Sensitivity step — vacancy (±)</t>
  </si>
  <si>
    <t>Hold scenario A (months)</t>
  </si>
  <si>
    <t>Hold scenario B (months)</t>
  </si>
  <si>
    <t>Hold scenario C (months)</t>
  </si>
  <si>
    <t>ServCo overhead — office, tools &amp; software (USD/yr)</t>
  </si>
  <si>
    <t>ServCo overhead — service delivery (USD/yr)</t>
  </si>
  <si>
    <t>Renting All-In Basis</t>
  </si>
  <si>
    <t>Housekeeping billings</t>
  </si>
  <si>
    <t>Housekeeping delivery</t>
  </si>
  <si>
    <t>Margin-bearing</t>
  </si>
  <si>
    <t>Acquisition fee — not charged</t>
  </si>
  <si>
    <t>Renovation management fee — not charged</t>
  </si>
  <si>
    <t>Disposition fee — not charged</t>
  </si>
  <si>
    <t>Entry 148 — RAMP REMOVED · RENOVATION-PERIOD CHARGES RE-GATED · PERSONNEL &amp; SERVCO CORRECTIONS (9/1/26). (1) RAMP: Project Data D15 rental ramp-up 2→1 quarter (Ricardo: 'no ramp'; 1 chosen over 0 because D15 is a divisor in the ramp math — 0 would #DIV/0! ~583 cells). Glossary C95 reworded, plural fixed. (2) RENOVATION GATING (Ricardo: no rental-related fees while a property is under renovation; approved scope = service fee + maintenance reserve): _IRR Engine J6:J125 LET term 'fixed' split into ownFix (predial+insurance+HOA+utilities, gated on owned) and rentFix (maintenance reserve D23 + service fee D35, gated on renting); same split in Properties AK6:AK15 (values unchanged — trailing window fully stabilized, D-check guarantees) and Portfolio Strategy D12:F12 + both Supporting Analysis IRR grids (30 cells patched in place). NEW _Qtr Engine support blocks: 'Renting Flag (1 = renting in quarter)' rows 97-107 and 'Renting All-In Basis' rows 109-119 (same B-index order 1,2,3,4,5,6,7,9,10,8 as the Owned blocks). Property Detail maintenance-reserve rows (13,29,45,…,221) and service-fee rows (17,33,…,225) repointed to the Renting blocks and IFERROR-wrapped — the four spare property blocks (11-14) threw #N/A into the Income Statement mid-build before the wrap; caught and fixed same session. Dynamic prose updated: Portfolio Strategy J12, Glossary C74/C96, Supporting Analysis C25, Project Data E35, ServCo Financials E58. IMPACT: Investor XIRR 16.6%→17.1% · MOIC 2.21x→2.27x · called 3,490,347 · distributions 7,914,687 · deal-level XIRR base 24.8%→25.4%. Renovation length confirmed a PER-PROPERTY input (Properties R6:R15, currently all 2 qtrs; T = Q + R). (3) OUTLINES: all row/column grouping removed from the 15 visible reader-facing tabs (kept on _ tabs). Office.js cannot clear the residual outline gutters on Project Data (ungroup reports success but state is unreadable; full-sheet ranges throw InvalidOperation) — Ricardo advised to finish manually: select-all ▸ Data ▸ Ungroup ▸ Clear Outline, or Options ▸ Advanced ▸ untick 'Show outline symbols'. (4) PERSONNEL: both hidden ServCo Personnel tabs unhidden on Ricardo's explicit request; he then re-hid US (stays hidden) and edited it directly (3 roles 240,000 base · 1.10 load · 20% → allocated 158,400). Colombia stays VISIBLE; H6:H9 allocations set to 0% (existing Ashoka team fulfils all Colombia jobs; full 501,165 borne by parent; I14 renders '–'). ServCo Financials B7 policy prose updates itself. (5) HOUSEKEEPING NOW MARGIN-BEARING: new indigo input Project Data D141 'ServCo housekeeping delivery cost (% of amount billed to Dulcinea)' = 50% (row 141, ES label C141, descriptor E141); ServCo C24:H24 = C19×$D$141 (CF row 44 follows via =C24); '(at cost)' dropped from billings/delivery labels rows 19/24/39/44; fee schedule C60 'Margin-bearing', E60 dynamic. Dulcinea side untouched. (6) AUDIT FIXES (audit-xls model scope, run twice this session): CRITICAL FIND — ServCo Financials revenue rows 15/16/17/19 pointed at STALE Income Statement rows (pulled maintenance reserve 7,549 / service fees 27,000 / TOTAL OPEX 107,953 / HOA 24,466 instead of asset mgmt C49 45,296 / property mgmt C38 11,887 / service fees C45 27,000 / housekeeping C37 6,340); remapped columns C:H. Acquisition, renovation-management and disposition fees ZEROED in the revenue and cash blocks with labels '— not charged' (documented intent in memo/Portfolio Strategy J12/Glossary; Dulcinea's statements contain no such expense lines); memo row 64 now computes the foregone fees explicitly (=acq+reno+disp formulas; 73,091 / 120,116 / 112,236 in acquisition years) instead of C20−C63. CONSEQUENCE: ServCo slice Y1 revenue 240,059→90,522, Y1 margin −151,048, cumulative parent funding through Y6 = 791,367 — previous figures were flattered by the overstated revenue. Total revenue now equals 'Fees currently charged' identically. END-OF-SESSION VERIFICATION: BS $0 all 10 years · CF ending = BS cash · master ALL CHECKS PASS · zero formula errors (Cover F1 / Dashboard G1 logo images only).</t>
  </si>
  <si>
    <t>Entry 149 — SERVCO FEES CUT TO TAMARINDO REFERENCE LEVELS (9/1/26, Ricardo: 'use the lower numbers provided by the attached as that will raise IRR for investor'; reference = Tamarindo Credits Colombia Ops services list: PM fees 1% of invested capital + 10% of rental income). Project Data D33 asset management fee 1.5%→1.0%; D34 property management 15%→10%. Insurance NOT changed (reference 1.4% is HIGHER than model 0.15%; kept the lower model rate per the same instruction); maintenance reserve already matches at 0.5%. Typed labels converted to dynamic TEXT() prose: ServCo Financials B16/B36 'Property management (10% of rent)', Property Detail B16/B32/.../B240 (15 cells) 'ServCo property management (10%)'. Fee schedule D56/D57 and Glossary C72/C73 update via existing links. NOTE: applied PM rate 10% now sits BELOW the furnished short-stay industry range 15%–25% quoted at ServCo Financials C57 (arm's-length optics flagged to Ricardo). ServCo slice deficits (funded by Ashoka parent) deepen accordingly. Impact figures verified post-change and recorded in this entry's session chat; headline outputs in the rev-7 snapshot above (MOIC 2.27x, XIRR 17.1%) are SUPERSEDED by this entry.</t>
  </si>
  <si>
    <t>Entry 150 — SERVCO FEE CUT REVERTED (9/1/26, Ricardo: 'revert the numbers back because I do not want hurt ServCo'). Project Data D33 asset management fee back to 1.5%; D34 property management back to 15%. Entry 149 is fully superseded; rev-7 snapshot headline figures (MOIC 2.27x, XIRR 17.1%) are current again. The dynamic TEXT() label formulas introduced in Entry 149 (ServCo Financials B16/B36, Property Detail B16..B240) are KEPT — they now render 15% automatically and replace previously typed numbers per the dynamic-prose rule. No other cells touched.</t>
  </si>
  <si>
    <t>Entry 151 — SESSION LOG: TAMARINDO SERVICES BENCHMARK REVIEW + FEE ROUND TRIP (9/1/26). (1) Compared model against Tamarindo Credits Colombia services list (image provided by Ricardo): every reference item is captured — AM fee 1.5% vs reference 1% of invested capital; PM 15% vs reference 10% of rent; maintenance 0.5% exact match; notary/registration covered in closing costs 2.5%/3.8%; cleaning covered via housekeeping 8% of rent + $1,500/mo service fee. (2) Insurance: reference shows 1.4% of property value — model keeps 0.15%/yr of all-in basis (Project Data C22), consistent with market benchmarks: Jericó Colombia Real Estate (Aug 2026) 0.1%–0.3% of structure reconstruction value/yr (excludes land, so 0.15% on all-in basis is conservative); Medellin Guru 2023/24 SURA quote COP 1.6M/yr on COP 450M coverage. Post-quake (M7.4 Chocó, 8/10/26; ~US$394M insured losses per Fasecolda 8/24/26): no residential premium repricing published yet; a move to 0.25% would cost only ~$3K/yr — immaterial. C22 source note NOT yet updated with these links — pending Ricardo's go-ahead. (3) Fee round trip: Entry 149 cut fees (Investor IRR 17.06%→17.65%, MOIC 2.27x→2.33x), Entry 150 reverted in full to protect ServCo — model verified back at baseline, ALL CHECKS PASS. Kept improvement: 17 fee labels (ServCo Financials B16/B36, Property Detail B16..B240) are now dynamic TEXT() formulas. (4) OPEN: Ricardo said 'try again' then cancelled the clarifying question — direction on fee levels (re-cut / middle path / other IRR levers) unresolved. ServCo Financials C57 industry-range text (15%–25%) is static; only relevant if fees are cut again.</t>
  </si>
  <si>
    <t>Entry 152 — CAPITAL RAISE $5M → $7M (9/2/26, Ricardo). Project Data!D40 changed 5,000,000 → 7,000,000. E41 note converted from static '$5M' text to a TEXT() formula on D40. Acquisition schedule unchanged, so only the working-capital reserve (5% of raise) moves: $250,000 → $350,000; capital called $3,490,347 → $3,590,347; distributions $7,914,687 → $8,014,687; Investor IRR 17.06% → 16.74%; MOIC 2.27x → 2.23x. Uncalled commitment $3,409,653. ALL CHECKS PASS. Revert: set D40 back to 5000000.</t>
  </si>
  <si>
    <t>Unit price (USD per Unit, per Operating Agreement)</t>
  </si>
  <si>
    <t>Membership Units of Dulcinea Investments, LLC are issued at US$10,000 each</t>
  </si>
  <si>
    <t>Units issued to date</t>
  </si>
  <si>
    <t>210 Units issued under the Operating Agreement (3 Mar 2026) and First Amendment (2 Jul 2026)</t>
  </si>
  <si>
    <t>Capital committed to date (USD, derived)</t>
  </si>
  <si>
    <t>Authorized capital ceiling (USD, Second Amendment)</t>
  </si>
  <si>
    <t>Authorized capital raised from US$5.0M to US$7.0M — Second Amendment to the Operating Agreement (pending signature, Sep 2026)</t>
  </si>
  <si>
    <t>Raised from 75% to 80% by the First Amendment; required for new acquisitions, dispositions, debt and capital increases</t>
  </si>
  <si>
    <t>Remaining raise to reach the authorized ceiling (USD, derived)</t>
  </si>
  <si>
    <t>Entry 153 — CAPITAL STRUCTURE FACTS FROM 'DULCINEA CALL' 9/2/26 (Granola, Dov Tuzman / Adriana / Jesi / Ricardo). CAPTURED INTO MODEL: Project Data rows 43–48 added under Capital — Unit price $10,000 (blue), Units issued 210 (blue), Capital committed to date =D43*D44 = $2,100,000, Authorized ceiling =D40 ($7.0M), Supermajority 80% (blue), Remaining raise =D46−D45 = $4,900,000. Reference 13 added (B63). ALL CHECKS PASS. FACTS NOT YET MODELLED (decisions needed): (1) $2.1M already subscribed by John Rubinstein (majority; ~$430K per Aug-12 notes) + Marty Feinberg (~$120K) + KIT — model calls capital purely off the acquisition schedule; consider a Q1 opening balance = committed capital. (2) Aires de Campestre + Fontanar are APPROVED and paid/committed (green); San Lucas, Casa Samuel Gaviria (Montana Lote 2), Casa Monte Sereno pre-authorized by Rubinstein; Rancho Llano Grande NOT authorized (insufficient data); Casa Lote Represa on standby. Model still selects ICP1–ICP3 simulated properties. (3) Quarterly pro-rata distributions of ALL net cash (rent + sale proceeds) are CONTRACTUAL under the OA — cannot be withheld or recycled; model recycles exits into Wave 2 (Sources &amp; Uses) — must be rebuilt as distribute-then-'Dulcinea II' if at all. (4) 20% Carry/promote to KIT on all net profits incl. rent — not modelled. (5) PM fee: Dov says 15–25% of rental income is Medellín market (10% = referral-only); model at 15% is the LOW end — OK; 3% sales commission is fixed in Colombia (model selling costs 3.8% incl. notary). (6) Business model: buy → up to 6 mo renovation → ~8 mo rental at ~45% occupancy (30-day-min stays, 'by Lola &amp; Ber' brand, Ashoka as PM) → sell at ~24 months; Medellín net cap rate 4–6% (~5% realistic; 5.5% quoted by 3 El Poblado PMs, range 4.8–6.3%); predial ~$2K/yr on a $1M property. (7) Rubinstein asked for a small Dulcinea-investor upside tied to Lola &amp; Ber brand success (rev share / equity sliver / ROFR) — mechanism TBD by Dov. (8) Second Amendment ($7M ceiling) to be signed before Rubinstein leaves Ibiza 9/3. (9) Jesi Gómez is the Medellín market-data resource for the model (rents/m² by zone, PM fees by zone); Boris (Tamarindo) is NOT on Dulcinea. Prior Entry 152 (raise → $7M) matches Dov's rounding recommendation.</t>
  </si>
  <si>
    <t>Gross distributions (before carry)</t>
  </si>
  <si>
    <t>Total capital called — Investor Return C16</t>
  </si>
  <si>
    <t>Total distributions — Investor Return C19</t>
  </si>
  <si>
    <t>Gross distributions reconcile to capital called plus cumulative net income</t>
  </si>
  <si>
    <t>Carry (Carried Interest / Promote)</t>
  </si>
  <si>
    <t>2026-09-02T05:00:00.000Z</t>
  </si>
  <si>
    <t>Entry 154 — CARRY TO MANAGING MEMBER BUILT INTO INVESTOR RETURNS (9/2/26, Ricardo: 'dashboard should show results for investors after Dulcinea takes out its share'). New input Project Data!D49 = 20% Carry (OA §4.3; blank row inserted at 50 so References moved to 51+). Investor Return: rows 10–11 inserted — row 10 Carry = -MAX(0, rate × MAX(0, cum gross distributions − cum capital called) − prior carry) (return-of-capital first, then 20/80; carry on rent + sale proceeds), row 11 Net distributions to Investors; Net Investor Cash Flow now = C7+C11. Metrics rows 17–19 inserted: Gross distributions $8,014,687 / Carry ($884,868) / Total distributions to Investors $7,129,819. _IRR Engine col F now allocates row 11 (net) monthly; P15/P25/P27 labels updated. Dashboard: E10/E11 labels '(after carry)', B14 relabelled, new B16:C16 Carry KPI, B38 prose cites carry. Checks: D95 and D125 repointed to gross distributions (C17); new D126 carry-waterfall check; master now COUNTIF D89:D136. Glossary rows 128–129: Carry, Managing Member. RESULTS: Investor IRR 16.74% → 14.40%; MOIC 2.23x → 1.99x; net profit to Investors $4,424,340 → $3,539,472. ALL CHECKS PASS. Not changed: recycling, quarterly timing, opening $2.1M capital.</t>
  </si>
  <si>
    <t>Memo: cash available before distributions</t>
  </si>
  <si>
    <t>Gross distributions (before carry) reconcile to cash paid out in the Cash Flow</t>
  </si>
  <si>
    <t>Balance Sheet: total equity = contributed capital + retained earnings − distributions</t>
  </si>
  <si>
    <t>Entry 155 — DISTRIBUTIONS &amp; CARRY FLOW THROUGH THE FINANCIAL STATEMENTS (9/2/26, Ricardo approved #1–#3 one at a time). (1) Statement of Cash Flows: rows 48 'Distributions to Investors (after carry)' = -'Investor Return'!row 11 and 49 'Carry distributions to Managing Member (KIT)' = 'Investor Return'!row 10 inserted under Financing; row 50 Net Financing = 47+48+49; new memo row 55 'cash available before distributions' = beginning cash + operating + investing + capital called (breaks circularity); direct-method memo gained row 65 'Distributions to Investors and Carry', total cash out now SUM(62:65). Row 47 capital call now ×(year ≤ horizon D9) — previously tried to rebuild the reserve after liquidation. Investor Return row 8 repointed from 'Balance Sheet'!C7 to CF row 55 and the '−SUM prior distributions' term removed; row 9 = INDEX(CF row 55, D9) − INDEX(row 8, D9). (2) Balance Sheet: row 18 'Distributions to Members (cumulative, incl. Carry)' inserted; Total Equity (row 19) = 16+17+18; Balance Check $0 all years. (3) Checks: D95 now tests gross distributions vs −SUM(CF C48:L49); D118 now includes the distributions row. FINDING: the prior model double-counted surplus cash (shown as distributed on Investor Return but left in cash to fund later acquisitions). With distributions actually leaving, Years 4 &amp; 6 call fresh capital ($94,578 + $141,310). RESULTS: capital called $3,590,347 → $3,799,024; gross distributions $8,014,687 → $8,223,364; carry ($884,868) unchanged; net profit to Investors $3,539,472 unchanged; MOIC 1.99x → 1.93x; IRR 14.4% → 14.3%. Ending cash holds at $350K reserve, zero from Year 7. ALL CHECKS PASS. Tax position confirmed by Ricardo: keep Colombian 15% ganancia ocasional at sale (Form 4 registration governs FX repatriation, not the tax trigger); US tax is the Member's via K-1 issued by Dulcinea Investments, LLC (partnership). Dashboard B61 prose ('Cash ends the program at…') now cites ~$0 — to be reviewed. NEXT: Glossary restructure into sections (#4, approved).</t>
  </si>
  <si>
    <t>Entry 156 — DASHBOARD: INVESTOR-NET IRR SERIES, OPPORTUNITY REWRITE, PROSE MERGES (9/2/26, Ricardo approved each step). (1) CHART 'Portfolio IRR by Entry Discount': second series added. New data row Dashboard!B66:G66 'Investor IRR (net of fees, tax &amp; carry) — indicative' = C65*'Investor Return'!$C$22/'Supporting Analysis'!$E$79 — i.e. deal-level IRR scaled by the base-case Investor/deal-level ratio (14.3%/25.4% ≈ 0.56), giving 9.6% / 11.8% / 14.3% (base, exact) / 17.1% / 20.2%. Method is INDICATIVE by design: carry, capital-gains tax and the fee stack all scale with profit, so a proportional haircut is a fair first-order estimate; an exact per-discount Investor IRR would need five full model runs frozen as values (rejected — goes stale). Chart re-sourced to B64:G66, title now 'Portfolio IRR by Entry Discount — Deal-Level vs. Investor Net', legend on at bottom, Investor series grey #7F7F7F with 0.0% data labels. (2) THE OPPORTUNITY intro rewritten from the deal documents (term sheet + OA now saved as the 'dulcinea-deal-documents' skill). B5 = vehicle (Delaware LLC managed by KIT Capital, El Poblado, 2–4 yr holds, 15% occasional-gains vs 35% corporate); B6 = program ($10,000 Units, $7,000,000 authorized, $2,100,000 already committed and at work in the first two properties, capital drawn as acquisitions close, 10 properties / 5 negotiated / 5 placeholders / 8 modelled, $10,655,299 all-in); B7 = alignment (30% entry discount, 6.9%/yr comparable growth, distributions property by property, Managing Member's 20% only after Investors get capital back, 'returns shown here are what an Investor keeps'). All figures are live TEXT() links to Project Data D29/D30/D40/D43/D45/D49/J69/D11 and Properties counts. Removed the 'Wave 1 exits recycle into Wave 2' claim — inconsistent with the OA's quarterly / deal-by-deal distribution requirement. Kept out of investor view per Ricardo: fee stack detail, Supermajority %, cap table. (3) FORMATTING: all ten Dashboard prose blocks (rows 5,6,7,25,34,37,38,48,51,61) unmerged from B-only and re-merged B:G, wrap on, vertical centre, left aligned, row heights measured to content (24–54pt) — verified by range image, no clipping. OPEN ITEMS: (a) B34 still reads 'returns $7,338,496 on $7,000,000 invested' — should cite capital called $3,799,024, and its 'as Wave 1 exits' phrase is stale; (b) B61 still reads 'Cash ends the program at $0 … reserve floor of $0' (change #3b, proposed, not approved); (c) chart caption explaining the indicative method — proposed, not approved; (d) Term Sheet + Operating Agreement reference tabs — proposed, not approved; (e) Glossary restructure into sections (General &amp; Deal Terms / Income Statement / Cash Flow / Balance Sheet / Investor Return / Taxes incl. Colombian &amp; US / Operations &amp; ServCo / Market) with new tax definitions — approved in principle, section map not yet presented. NO model numbers changed in this entry: capital called $3,799,024, distributions $8,223,364, carry $884,868, Investor MOIC 1.93x, IRR 14.3%, ALL CHECKS PASS.</t>
  </si>
  <si>
    <t>Acquisition Timing — Estimated Closing Dates by Sequence</t>
  </si>
  <si>
    <t>Sequence gap ladder (days after previous closing):</t>
  </si>
  <si>
    <t>Distribution bounds — best case / worst case / mean / sigma (days):</t>
  </si>
  <si>
    <t>Seq</t>
  </si>
  <si>
    <t>Anchor date</t>
  </si>
  <si>
    <t>Ladder gap</t>
  </si>
  <si>
    <t>Ladder closing</t>
  </si>
  <si>
    <t>Percentile</t>
  </si>
  <si>
    <t>Normal gap</t>
  </si>
  <si>
    <t>Normal closing</t>
  </si>
  <si>
    <t>Hold scenario D (months) — short-hold test</t>
  </si>
  <si>
    <t>Hold scenario E (months) — short-hold test</t>
  </si>
  <si>
    <t>Hold scenario F (months) — short-hold test</t>
  </si>
  <si>
    <t>Exit Timing — Estimated Sale Dates by Marketing Lag</t>
  </si>
  <si>
    <t>Works complete</t>
  </si>
  <si>
    <t>Lag</t>
  </si>
  <si>
    <t>Sale date</t>
  </si>
  <si>
    <t>Hold (months)</t>
  </si>
  <si>
    <t>Net return</t>
  </si>
  <si>
    <t>Gains tax rate</t>
  </si>
  <si>
    <t>Less: fund overheads (asset mgmt, legal &amp; admin, GMF) → after overheads</t>
  </si>
  <si>
    <t>Shortfall absorbed by reserve / retained proceeds (commitment cap binding)</t>
  </si>
  <si>
    <t>Commitment Headroom — every acquisition is funded by called capital; exit proceeds are distributed, not recycled</t>
  </si>
  <si>
    <t>Total capital commitment</t>
  </si>
  <si>
    <t>Capital called through final exit</t>
  </si>
  <si>
    <t>Undrawn commitment (zero = cap binding; shortfall shown in the sources line above)</t>
  </si>
  <si>
    <t>Total capital deployed (called capital plus shortfall absorbed, derived)</t>
  </si>
  <si>
    <t>Exit proceeds distributed deal by deal; every acquisition funded by called capital within the commitment</t>
  </si>
  <si>
    <t>Capital calls drawn on schedule as acquisitions close</t>
  </si>
  <si>
    <t>Reserve drawn below target at a year-end (shortfall funded from the reserve)</t>
  </si>
  <si>
    <t>Entry 157 — NO-RECYCLING MECHANICS (9/2/26, Ricardo: distributions must happen and new capital must be called within the commitment; 'fix here and everywhere else'). (1) Statement of Cash Flows row 47 rewritten: capital called = working-capital reserve target less (beginning cash + operating cash excluding after-tax sale proceeds + investing outflows), capped at the CUMULATIVE undrawn commitment (Project Data D40 − prior calls). Old formula called only the shortfall after spending sale proceeds and capped each year at D40 separately. (2) Investor Return row 8 rewritten: interim distribution = all cash above the reserve; the pipeline hold-back term removed. (3) Sources &amp; Uses rows 2, 7, 20–24 relabelled from 'Recycling Feasibility' to 'Commitment Headroom'; C24 now = reserve drawn below target at any pre-exit year-end. (4) Project Data B41/C41 label, B92/D92 check (cash never negative). (5) Dashboard B34, Portfolio Strategy B24 &amp; J17, Glossary C88 &amp; C126, _Forced Assumptions B11/E11/B12/E12 — Wave-2-funded-by-Wave-1 language removed. RESULT (current Q/S timing): capital called 7,000,000 (was 4,184,419); cap binds in Year 5 — ~$61K of proceeds retained and reserve runs down $141K in Year 6 (S&amp;U C7, C24); distributions Y3 2.85M / Y5 1.60M / Y7 4.65M+0.35M; profit to Investor 2,096,066 unchanged; MOIC 1.30 (was 1.50, more capital called for the same profit); Investor XIRR 13.11% (was 12.80%). Balance check 0 all years; _IRR Engine ties OK. OPEN: D40 is 7.0M — Ricardo mentioned ~7.1M; confirm. Properties Q/S wiring to the Portfolio Strategy timing tables still pending approval.</t>
  </si>
  <si>
    <t>Entry 158 — PORTFOLIO STRATEGY REBUILD: TIMING TABLES, 10-SLOT BLOCKS, IRR BRIDGE, BUY BOX, OVERHEAD GATING (9/2/26, Ricardo approved each step). (1) PROPERTIES: ICP1–ICP3 deactivated (B11:B13 = 0) → 5 active (Aires, Fontanar, San Lucas, Casa Montana, Monte Sereno); Sources &amp; Uses total uses $7.06M vs $7.0M commitment. (2) EXIT TIMING GRID widened from 3 to 6 hold scenarios (6/9/12/18/24/36 mo). New indigo inputs Project Data D151:D153 = hold scenarios D/E/F (6, 9, 12); A/B/C (D145:D147 = 18/24/36) unchanged. Grid D30:I39, Optimal hold J, Suggested exit K. Result: optimal hold = 6 months (sell at works completion) for every property — the 30% entry-discount capture is a one-time uplift; annualizing it over a longer hold dilutes faster than 6.9%/yr appreciation replaces; the 24-month 35%→15% tax cliff gives only a local bump. Takeaway B40 rewritten as TEXT()-linked prose. (3) ACQUISITION TIMING block (bar row 42, inputs 44–45, table 47–56): closing-gap ladder 30/45/60/90 d (indigo), distribution bounds 30–90 d → mean 60 / σ 20; sequence # inputs (Fontanar, Aires, San Lucas, Monte Sereno, Casa Montana); Fontanar anchored to model start (15th of start month), Aires anchored 15-Nov-26 (indigo); later closings = previous + stratified NORM.INV draw (percentile (i−0.5)/n), rounded, clamped. Normal closings: 15-Oct-26 / 15-Nov-26 / 26-Dec-26 / 24-Feb-27 / 14-May-27 → model qtrs 1/1/1/2/3. Ladder version alongside. (4) SALE TIMING block (bar row 58, inputs row 60, table 62–71): marketing lag 1–4 quarters after works completion → mean 2.5 / σ 1.0; liquidity order San Lucas, Aires, Fontanar, Monte Sereno, Casa Montana; lags 1/2/3/3/4 q; total holds 3/4/5/5/6 q; sale qtrs 4/5/6/7/9; Gains tax rate column L (all 35% — holds &lt;24 mo). Net-return column uses the grid formula. (5) All three blocks extended to 10 slots (Properties rows 6–15); formulas IF($B="","") guarded; percentiles divide by COUNT of sequenced rows so the normal draws re-spread on activation; check cell M(hdr row of acq table) = ✓ when both sequence lists match Properties!B21 active count. Subtitles show live active count. (6) IRR BRIDGE rows 14–16 inserted between deal XIRR (13) and Investor XIRR (17): row-13 LET extended with gains tax at sale (Properties S≥8 → D30 else D29), fund G&amp;A monthly from Income Statement row 52, carry = D49 × cumulative profit at final sale. All sensitised across the 3 appreciation columns. E17 = Investor Return C22 (moved from D — was under the wrong column); D17/F17 = D16/F16 + (E17−E16) parallel shift (documented in note). (7) BUY BOX B20:B25 rewritten: all model-derived figures TEXT()-linked (discount MINIFS J69:J78, works MAXIFS R, closing D18, D4, optimal hold J30, lag inputs, tax D29/D30, occupancy 1−D14, negative-NOI count on Properties X, XIRR rows 13/7/E17). Removed: El Retiro 'avoid' contradiction, 'Wave 2 funded by exit proceeds' recycling language, typed $2,968/m², typed IRRs, 'model quarter 26'. Item-1 comparables ($/m²) stay static (external). (8) OVERHEAD GATING AUDIT: renting-flag costs (service fee D35, PM D34, housekeeping D24, ICA D25, maintenance D23) correctly start at works completion; owned-flag costs (predial, insurance D22, HOA, utilities) correctly start at acquisition; AM fee D33 accrues from acquisition incl. works (~$49K over the five works periods) — POLICY CALL OPEN (acquisition vs rental-ready). FIXED: grid D30:I39 and sale K62:K71 return formulas omitted works-period ownership costs → added ownfx×MIN(m, R×3)/12×(1−D29). 6-mo column now 60.6–60.9% (was flat 62.2%); 9-mo San Lucas 39.25% (was 40.20%). (9) LAYOUT: Notes column moved by Ricardo from N to J (merged J:AG per row, italic 10pt). Spacer rows (9pt) before each section; section bars 22pt, header rows 30pt, data rows 18pt; columns D:L = 95px, B 98, C 347. Cross-sheet refs into Portfolio Strategy touch rows ≤ 12 only (D3, F3, D4, E12). (10) DEAL DOCS CHECKED: OA §4.2(a) quarterly distributions, §4.3 deal-by-deal Capital Event distributions, §4.3(c) American-style; §5.3(b) ServCo fees need Supermajority (Ricardo: approval exists). OPEN: (a) Project Data D40 $7.0M vs ~$7.1M authorized — uses $7.06M; (b) Properties Q6:Q10 / S6:S10 wiring to the timing tables (Q → 1/1/1/3/2, S → 4/5/3/6/5) — proposed, awaiting approval; expected: final exit Q9, horizon 3 yrs, tax 35% on all sales, row 16→17 timing gap collapses; (c) AM-fee start timing.</t>
  </si>
  <si>
    <t>Working capital reserve (months of forward fund overheads held in cash)</t>
  </si>
  <si>
    <t>Memo: working-capital reserve target (next-12-months fund G&amp;A; zero at final exit)</t>
  </si>
  <si>
    <t>Working capital reserve (Year-1 target: next-12-months fund overheads)</t>
  </si>
  <si>
    <t>Capital Call Timing (Just-in-Time)</t>
  </si>
  <si>
    <t>Uncalled Commitment</t>
  </si>
  <si>
    <t>Exit Timing Optimization — XIRR on Monthly Dated Flows by Hold Length (USD)</t>
  </si>
  <si>
    <t>Market appreciation in COP (%/yr)</t>
  </si>
  <si>
    <t>Market appreciation in COP (%/yr) — basis-weighted average of the per-property inputs (derived)</t>
  </si>
  <si>
    <t>Market Appreciation (per property)</t>
  </si>
  <si>
    <t>Model — COP appreciation, basis-weighted average of the per-property inputs</t>
  </si>
  <si>
    <t>Model input — COP depreciation vs USD (0.0% on the post-election peso view)</t>
  </si>
  <si>
    <t>USD market appreciation — per-property inputs seeded from the DANE apartment/house split, with peso depreciation set to zero</t>
  </si>
  <si>
    <t>Single 6.9% USD rate for every property (8.5% COP less 1.5% peso depreciation)</t>
  </si>
  <si>
    <t>USD returns assume appreciation net of FX, with peso depreciation currently set to zero — so the USD and COP appreciation rates are equal. A 10% COP devaluation between buy and sell moves exit proceeds directly.</t>
  </si>
  <si>
    <t>Entry 159 — RESERVE RE-BASED, JIT CAPITAL CALLS, TIMING WIRED INTO PROPERTIES, PER-PROPERTY APPRECIATION (9/3/26, Ricardo approved each step one at a time). (1) RESERVE — SCALING RELEASE: new memo row Statement of Cash Flows 56 'working-capital reserve target'; initially = S&amp;U C14 x (all-in basis still owned at year-end / total basis), so each sale releases its share. Rows 47 and Investor Return row 8 now test against row 56. Investor IRR 13.11% -&gt; 13.54%. (2) RESERVE RE-BASED TO FORWARD OVERHEADS: Project Data D42 changed from '5% of raise' (=$350K) to 'months of forward fund overheads held in cash' = 3 (indigo input, format 0). Row 56 = D42/12 x next year's Income Statement row 52 G&amp;A, zero in the final year. S&amp;U C14 relabelled and now reads row 56. Diagnosis first: python XIRR on the engine's monthly flows showed the $350K reserve alone accounted for 1.8 of the 2.1-point row16-to-row17 gap (investor ex-reserve 15.31% vs row 16 15.68%). Investor IRR 13.54% -&gt; 14.81% at 12 months, then 15.42% at 3 months. (3) JUST-IN-TIME CAPITAL CALLS: _IRR Engine column E rewritten — each year's SCF row 47 call is allocated across months in proportion to that month's actual deal outflow (purchase+closing at the closing month, renovation as billed monthly, operating deficits as they occur) instead of being dumped into the acquisition quarter. Annual totals still tie to row 47 exactly. Month-1 call fell $1.64M -&gt; $1.33M. Row16-to-row17 gap now 0.24 pts. NOTE: renovation is monthly progress billing, NOT a 10/20/30/30/10 draw ladder — a ladder in the call column alone would desynchronise from the deal-level engine and Portfolio Strategy row 13 for ~0.05 pt. (4) /audit-xls ON _IRR Engine (model scope): 0 critical, 2 warnings, 4 info. Clean — every column one consistent formula down 120 rows, annual roll-ups tie to SCF 47 / IR 11 / IS 47 / IS 70 to the dollar, all constants named in the Q5:Q12 parameter block. All three headline results are XIRR on dated monthly flows (Q15 investor, Q16 deal pre-tax, Q17 deal after tax); the only IRR() is Q20, an annual cross-check (14.51% vs 14.81% XIRR at the time), which feeds nothing. (5) AUDIT FINDING #1 FIXED — PROJECT DATA INPUT MISALIGNMENT: columns F (utilities), I (vacancy), J (entry discount), K (STR rate) sat ONE ROW ABOVE their property labels (F69 held Aires' value in the header row; row 79 blank). Numerically self-consistent because every formula read F69:F78 etc., but editing by label edited the wrong property (the row labelled San Lucas showed $10 STR while the model used $25). Moved F69:K78 -&gt; F70:K79 and repointed 480 range references across Portfolio Strategy, Properties, Property Detail, Supporting Analysis, Glossary and _IRR Engine plus 17 single-cell refs. All outputs identical to six decimals — that was the proof. MY ERROR: first pass shifted only range starts and put #REF! through the model; second pass fixed the range ends. (6) TIMING TABLES WIRED INTO PROPERTIES: Q6:Q15 and S6:S15 are no longer indigo inputs — both are black formulas reading the Portfolio Strategy timing tables by property #, with IFERROR fallbacks for un-sequenced rows (acquisition Q1; hold = works + mean marketing lag). Acquisitions moved from 1/9/1/17/18 to 1/1/1/3/2 and holds from 8 across the board to per-property. Final exit Q26 -&gt; Q9, horizon 7 yrs -&gt; 3, gains tax 15% -&gt; 35% on all five sales (all holds under 8 quarters), and the recycling problem disappeared structurally because every purchase now precedes every sale. Investor IRR 15.42% -&gt; 18.49%; profit $2.10M -&gt; $1.42M; MOIC 1.30x -&gt; 1.21x. THE TRADE, STATED PLAINLY: +3 pts of IRR for -$680K of absolute profit, mostly the tax step-up and four fewer years of appreciation. (7) WORKS AND MARKETING-LAG REFINEMENTS (research-backed): Casa Montana works 2 -&gt; 3 quarters (architect's PDF is 194 m2 of NEW CONSTRUCTION plus a 578M pool, not a refit; licence + studies + finishing stack to 8-10 months). New 'Lag override (q)' indigo column on the sale table (M76:M85) — blank keeps the normal-distribution draw, a number overrides it. Casa Montana lag 4 -&gt; 3 q, Fontanar 3 -&gt; 2 q (comparable product to Aires; the extra quarter was percentile mechanics, not an asset view). Lags now 1/2/2/3/3. Time-on-market research: Lonja de Medellín 237-day average across estratos 4-6 (includes stale/unrenovated stock); brokers quote 2-4 months for well-priced premium product, 6-12 otherwise; no published DOM series for rural Oriente. (8) TRANSFORMATION BUDGETS VERIFIED AGAINST DROPBOX: 'Dulcinea portfolio overview and status_8_26_26.docx' ties to the model exactly on all five renovation budgets, purchases and sizes (1,500 / 760 / 900 / 1,700 / 1,000 COP mm). The doc defines the budgets as INCLUDING design, fit-out/furnishings and soft costs — which is why the 2.7-3.1M COP/m2 implied rates sit above contractor 'integral remodel' benchmarks of 1.5-2.8M/m2 and are still reasonable. Casa Montana architect estimate 'VALORES APROX OBRAS ADICIONALES' totals 1,318.6M against the 1,700M budget, leaving 381M (29%) for design, FF&amp;E and contingency. OPEN CONCERNS: Monte Sereno's 1,000M 'incl. pool' is thin (Casa Montana's pool alone is 578M); no contingency line anywhere; architect's figures are pre-design. (9) PER-PROPERTY MARKET APPRECIATION (replaces the single workbook-wide rate): new indigo input column Project Data G70:G79 'Market appreciation in COP (%/yr)' with derived USD column H70:H79 = (1+G)/(1+D6)-1. Seeded 8.50% for the three El Poblado apartments and 7.15% for the two El Retiro houses (DANE IPVN Q1-2026 prints for apartamentos and casas); ICPs at 8.50%. Project Data D6 peso depreciation 1.5% -&gt; 0.0% (post-election: TRM ~3,757 Jan -&gt; ~3,130 end-July, strongest since 2020; entry basis already converts at the fixed TRM in D5, so 2026 peso strength is priced into what the fund pays). D7 is no longer a typed input — it is the basis-weighted average of column G = 7.81%, so D11 = 7.81% and the sensitivity axis re-centred to 5.81/7.81/9.81%. Repointed 183 formulas: Properties W6:W15, Portfolio Strategy row 8, bridge rows 13-16 (zgrow now a per-property array plus the column offset), both exit grids, and the sale-table returns. Investor IRR 19.36% -&gt; 20.01%; profit $1.45M; MOIC 1.210x. Houses now visibly earn less (Casa Montana 20.6% vs Fontanar 31.3%). (10) IRR BRIDGE ROWS 14-17 REFRESHED: labels and notes were describing the old 24-month, cap-binding world. Now TEXT-linked — row 14 shows '5 of 5 sales at the 35% short-hold rate' and quantifies the tax step as the largest item in the bridge, row 15 cites the 3-year fund life, row 16 shows the carry dollars, row 17 describes JIT calls and sale-month distributions with the reserve as the only remaining drag. Also fixed: the fund IRR had been sitting under the 4.9% column instead of the base column. (11) PROSE SWEEP FOR THE PER-PROPERTY CHANGE: Glossary new entry 'Market Appreciation (per property)' (C132) and 'Exit Value' (C83) rewritten; Project Data E6/E7/E11 notes and the C7 Spanish label rewritten, reference rows 60-62 no longer say '7%/yr IN USD'; Portfolio Strategy J7 axis note; Medellín Market Data cross-check labels B32/B33 and the B41 takeaway; _Forced Assumptions row 6 (assumption, live value, replaced, risk) and the E14 FX note. VERIFICATION AFTER EVERY STEP: Balance Sheet balances all years, all four _IRR Engine reconciliation ties OK, Project Data D92 cash check OK, Sources &amp; Uses tie zero, no error values in any repointed range. Capital called $6,891,920 against the $7,000,000 commitment. OPEN ITEMS: (a) renovation contingency — none in the model; discussed as either an expected cost (~10%, costs ~1 pt of IRR) or ring-fenced uncalled commitment (no IRR cost); Ricardo has not chosen. (b) ServCo asset-management fee accrues from acquisition including the works period (~$49K across the five works periods) — policy call open on whether it should start at rental-ready instead. (c) Monte Sereno works budget and the missing contingency per item 8. (d) Long methodology notes in the narrow Project Data column E and Medellín B41 are clipped at ~20pt, matching the existing convention on those tabs — offered to widen, not yet done.</t>
  </si>
  <si>
    <t>Entry 160 — DEAL-LEVEL IRR REMOVED FROM THE DASHBOARD (9/3/26, Ricardo: 'this IRR should not be shown to investor on dashboard'; chose option A of two offered). DELETION LOG, exact pre-change state of Dashboard E12:G14: E12 'Portfolio IRR (deal-level, before fund costs)' / G12 ='Portfolio Strategy'!$E$13 = 43.74%; E13 'Portfolio IRR (deal-level, after gains tax)' / G13 ='_IRR Engine'!$Q$17 = 27.85%; E14 'Payback (model year)' / G14 ='Investor Return'!$C$23 = 3. ACTION: E12:G12 cleared and rows 13-14 shifted up one, so the KPI block now reads Investor MOIC (after carry) 1.21x, Investor IRR (net of fees, tax &amp; carry) 20.0%, Portfolio IRR (deal-level, after gains tax) 27.9%, Payback (model year) 3. RATIONALE: 43.7% is before gains tax, fund overheads and carry — shown beside the 20.0% Investor figure an investor could mistake it for their own return. The full bridge from deal-level down to Investor-level (rows 13-17: 43.7 -&gt; 27.9 -&gt; 24.6 -&gt; 20.2 -&gt; 20.0%) remains on Portfolio Strategy for internal use. I recommended removing BOTH deal-level lines (option B); Ricardo chose A, keeping the after-tax line.</t>
  </si>
  <si>
    <t>Portfolio IRR</t>
  </si>
  <si>
    <t>Entry 161 — RC-CFI 01 v2 FORMATTING PASS ON THE TWO STATEMENTS (9/3/26, Ricardo: 'refactor the formatting and style', plan presented and approved). Governing standard: rc-cfi-01-formatting-v2, which supersedes dulcinea-design-standard on appearance. PHASE 1 AUDIT found 9 defects; all remediated except the two noted below. CHANGES, Statement of Cash Flows and Income Statement (formatting only — no formula, value, or structural change): (1) ROW HEIGHTS normalised by row class — title 34pt, navy header rows 18pt, section bars 20pt, key-result rows 22pt, all body and spacer rows 18pt. Previously rows 8-17, 33-42 and 59-68 on the Cash Flow ran at 14.5pt while the identical per-property block at 22-31 ran at 18pt. (2) FONT SIZE now uniform 12pt on every row except the 15pt title (was a mix of 11pt on per-property detail and 12pt on their sibling line items; title had been 18pt). Aptos throughout, unchanged. (3) SECTION BARS reduced from 14pt to 12pt bold white on #1F4E78 per the standard's 11-12pt spec. Cash Flow bars rows 6/21/46/58; Income Statement rows 6/31/36/48/68. (4) ITALIC REMOVED from 30 rows on the Cash Flow (per-property blocks 8-17, 33-42 and the Direct-Method Memo 59-68 were italic while the identical block at 22-31 was not — inconsistent within a row class). Row 2 subtitle keeps its italic. Income Statement had no italic. (5) VALUE ALIGNMENT set explicitly right on C:L for all body/key/spacer rows (was relying on Excel's General default); period headers rows 4-5 centred; column B labels left. (6) COLUMN A INDEX SEQUENCE FIXED. Pre-change state, all three Cash Flow blocks: rows 8-17 held 1,2,3,4,5,6,7,9,10,8 — i.e. rows 15/16/17 were 9,10,8 instead of 8,9,10. Same scramble at rows 27-31 and 38-42. Harmless today because all five affected properties are inactive and every formula follows $A consistently, but activating ICP3 would have listed it after ICP4/ICP5, out of order versus every other tab. Now 1-10 in sequence in all three blocks. Column A holds the property index consumed by both the label formulas (INDEX(Properties!$E:$E,$A8+5)) and the value formulas (MATCH($A22,'_Qtr Engine'!$B$8:$B$17,0)) — it is load-bearing, not decoration. (7) COLUMN A WIDTH set to 20pt on both sheets so the indices read as a narrow gutter (12pt was tried first and clipped '10' to '#'). TWO DELIBERATE EXCEPTIONS TO THE STANDARD, both logged as required by section 9: (a) COLUMN GROUPS H:L (Years 6-10) remain on both statements. Ricardo asked for them explicitly one turn earlier ('narrow the income statement and cash flow statement sheets from 10 years to 5 years', option B of two offered) in order to present 5-year statements without deleting anything. RC-CFI 01 v2 section 9 prohibits grouping on reader-facing sheets. MY PROCESS ERROR: I built the groups without first checking the governing standard and flagging the conflict. Kept rather than reversed because the instruction was explicit and recent; revisit if the workbook is ever audited against the standard verbatim. The pre-existing Direct-Method Memo group at rows 58-68 falls under the same exception. (b) The per-property rows for INACTIVE properties remain visible as unlabelled '–' placeholder rows (Entry 160 sequence: values reverted to dashes, labels blanked via IF(Properties!$D$n=0,"",...)). Ricardo chose this over grouping them away. VERIFICATION: rendered read-back of both sheets; font sizes now {12pt: 67 rows, 15pt: 1} and row heights {18pt: 62, 20pt: 4, 22pt: 1, 34pt: 1} on the Cash Flow, with the equivalent distribution on the Income Statement; zero error cells on either sheet; Balance Sheet balances every year; _IRR Engine ties OK; Investor XIRR unchanged at 20.01% (formatting did not move outputs). NOT CHANGED: all formulas, all values, all fills and font colours (already on-palette — navy #1B2A4A title/headers, header blue #1F4E78 bars, light blue #D9EAF7 on Ending Cash), number formats, indent hierarchy, freeze panes, column widths B:M, tab order, and the Direct-Method Memo content. STILL OPEN (pre-existing, unrelated): the Project Data model check 'Every active property holds &gt;= 2 years (15% gains rate applies)' reads CHECK. It encodes the old 24-month exit rule that the short-hold schedule deliberately breaks. Offered to re-word it to test the chosen policy; awaiting Ricardo's decision.</t>
  </si>
  <si>
    <t>Entry 162 — ALL 10-YEAR TABLES COLLAPSED TO 5 YEARS; INVESTOR RETURN PROSE SIMPLIFIED (9/3/26, Ricardo: 'balance sheet should be collapsed same way as other statements', 'same with investor return', 'colapse all 10 year tables in all tabs to 5 years', 'rewrite and simplify', 'rewrite and fit into table'). (1) COLUMN GROUPS H:L (Years 6-10) now collapsed on FIVE tabs: Income Statement and Statement of Cash Flows (Entry 161), plus Balance Sheet, Investor Return and Property Detail added here. Each grouped via Range.group(byColumns) then hideGroupDetails; nothing deleted, no formula touched, expand with the + toggle above column M. Verified the last visible column reads Year 5 on all five. (2) TABS CHECKED AND DELIBERATELY NOT COLLAPSED: Dashboard (chart-data block at B67:I70 runs Years 1-7 and the charts plot from it — grouping would break the series); ServCo Financials (single-column cost assumptions, no year grid); Sources &amp; Uses, Portfolio Strategy, Properties, Project Data, Glossary, Medellín Market Data, Supporting Analysis (no year columns); _Qtr Engine (40-quarter engine C:AP — internal, and collapsing it would make the engine harder to audit); ServCo Personnel US (hidden — visibility not touched). (3) INVESTOR RETURN B2 SUBTITLE rewritten, 266 chars -&gt; 114, now fits one line inside the table width. WAS: 'Capital is called per the acquisition schedule ($6,891,920 of the $7,000,000 commitment is drawn); interim distributions release cash above the working-capital reserve and unfunded pipeline needs; final liquidation at the end of Year 3, when the last property sells.' NOW: 'USD · $6,891,920 of the $7,000,000 commitment drawn · every sale distributed, nothing recycled · final exit Year 3'. TWO SUBSTANTIVE CORRECTIONS, not just trimming: the old text cited 'unfunded pipeline needs' as a reason cash is held back — that hold-back was removed in Entry 157, so it described mechanics the model no longer has; and 'final liquidation at the end of Year 3' implied a wind-up event when the model distributes each sale as it occurs. All three figures remain TEXT-linked (SCF C47:L47, Project Data D40, Project Data D9). (4) INVESTOR RETURN C25 METHOD NOTE rewritten and the row re-fitted. WAS 5 lines clipped at 82.75pt: 'Headline IRR is XIRR on 120 dated monthly investor cash flows (_IRR Engine). Capital calls are dated to the month of the acquisition they fund and distributions to the month of the exit that releases them; annual totals tie exactly to the statements ($6,891,920 called, $8,338,223 distributed). The prior annual method dated every flow at fiscal year-end, which overstated the result by 0.0 points.' NOW 3 lines at 50pt: 'IRR is XIRR on dated monthly cash flows: calls in the month of the acquisition they fund, distributions in the month of the exit that releases them. Annual totals tie to the statements — $6,891,920 called, $8,338,223 distributed.' Dropped the '120 dated monthly' count and the _IRR Engine tab reference (internal plumbing on an investor-facing tab) and cut the closing sentence, which now reads 'overstated by 0.0 points' — the JIT-call and distribution-timing changes in Entry 159 closed that gap, so the sentence said nothing. Dollar figures stay TEXT-linked to _IRR Engine Q24/Q26. MY ERROR EN ROUTE: first sized row 25 from column C's width alone and got 209pt; the text spans C:L and renders on three lines, corrected to 50pt and confirmed visually. (5) STANDARD CONFLICT, RESTATED: RC-CFI 01 v2 section 9 prohibits grouping, outlines and hidden columns on reader-facing sheets. All five collapsed tabs are reader-facing. Ricardo directed this explicitly across four separate instructions, so it is logged here as a deliberate, approved exception per section 9's own escape clause rather than treated as a defect. If the workbook is ever audited against the standard verbatim, ungrouping is a one-command reversal on each tab (Range.ungroup(byColumns)). VERIFICATION: zero error cells on Balance Sheet, Investor Return and Property Detail after grouping; Balance Check row reads $0 in every year; _IRR Engine ties OK; Investor XIRR 20.01%, MOIC 1.21x, $6,891,920 called and $8,338,223 distributed — unchanged, confirming these were presentation-only edits. Rendered read-back captured for each tab. NOT CHANGED: any formula, value, number format, fill, font colour, indent level, column width B:M, tab order, sheet visibility, or chart. Row heights unchanged except Investor Return row 25 (82.75 -&gt; 50pt). STILL OPEN: (a) Project Data model check 'Every active property holds &gt;= 2 years (15% gains rate applies)' reads CHECK — it encodes the pre-Entry-159 exit rule that the short-hold schedule deliberately breaks; needs re-wording to test the chosen policy. (b) Investor Return C22 renders the headline IRR in GREEN; RC-CFI 01 v2 section 6 reserves green for discrete Pass/OK indicators, not numbers — reader-facing outputs should be black. (c) On Investor Return, Payback and the annual-IRR reconciliation sit BELOW the light-blue key-result band, so the highlight is not the last line of the block. (d) Balance Sheet uses thick borders above its total rows while the other statements are border-free, and keeps bold-italic on Retained Earnings and Balance Check — standard accounting emphasis, left in place, but it is the one visual difference across the statement family. (e) Renovation contingency and the ServCo asset-management fee timing, both carried from Entry 159.</t>
  </si>
  <si>
    <t>Market appreciation in USD (%/yr, derived)</t>
  </si>
  <si>
    <t>Entry 163 — DELETION LOG: ORPHAN VALUE CLEARED AT PROJECT DATA F10 (9/3/26, Ricardo: 'what is this number?' then 'clear it'). PRE-CHANGE STATE: 'Project Data'!F10 contained the hard-coded value 0.18 — no formula, no label, no units, General number format (displayed as a bare '0.18'), black font, sitting on the 'Final exit — last selected property sale (model quarter)' row three columns right of the notes column. VERIFIED ORPHAN BEFORE CLEARING: scanned every worksheet for cross-sheet references to 'Project Data'!F10 and for same-sheet F10 references — zero consumers. It was also the only populated cell in F1:F67; column F does not come into use until the per-property table header at row 68 (Utilities). Likely a stray paste or a parked test figure. ACTION: contents cleared (formats untouched). No formula, check, or output depends on it; nothing moved as a result.</t>
  </si>
  <si>
    <t>Reference Constants &amp; Benchmarks</t>
  </si>
  <si>
    <t>True constant, not an assumption — converts Size (m²) to Size (sq ft) on Properties column J, which drives All-In $/sq ft.</t>
  </si>
  <si>
    <t>Entry 164 — REFERENCE CONSTANTS MOVED OUT OF THE REFERENCES BLOCK (9/3/26, Ricardo: 'these numbers are misplaced here. place them in more appropriate space and not with references'). Two live inputs were sitting at Project Data rows 66-67, wedged between the numbered References list (rows 51-65) and the per-property table header (row 68) — visually part of the source citations but functionally live model values. NEW SECTION created at row 155, 'Reference Constants &amp; Benchmarks' (bar formatting copied from row 139), which is where the RC-CFI 01 v2 preferred section order places reference/lookup values — last. MOVED: (1) row 66 'Square feet per square metre (unit conversion)' D66 = 10.7639 -&gt; D156, black font (a true constant, not an assumption), with a new note explaining it converts Size (m²) to Size (sq ft) on Properties column J. (2) row 67 'STR benchmark range — El Poblado (USD/m² per month), low / high' D67 = 18, E67 = 28 -&gt; D157/E157, indigo (they are editable inputs). REPOINTED 20 formulas: Properties J6:J15 (sq ft = m² × constant) from $D$66 to $D$156; Project Data L70:L79 (STR guidance verdicts) from $D$67/$E$67 to $D$157/$E$157. OLD CELLS B66:E67 cleared (contents only). VERIFICATION: Properties sq-ft values unchanged (489 m² -&gt; 5,263.55 sq ft etc. across all five active); all ten guidance verdicts still render correctly ('$28/m² · Poblado $18–28 · at ceiling', El Retiro rows unchanged); zero error cells on Project Data; Investor XIRR 20.52% and _IRR Engine tie unchanged, confirming a pure relocation. NOT CHANGED: no rows inserted or deleted anywhere (the new section was appended into empty rows below the Sensitivity block, so nothing shifted and no other reference moved).</t>
  </si>
  <si>
    <t>Derived Values</t>
  </si>
  <si>
    <t>Entry 165 — DERIVED ROWS MOVED OUT OF THE PROJECT DATA INPUT BLOCK (9/3/26, Ricardo: 'Project tab is for input and these rows are calculated', with rows 7/9/10/11 selected; chose 'relocate them to a Derived section on Project Data' from three options offered, then approved the three-step plan). PRE-CHANGE STATE: the General &amp; FX block held four formula rows interleaved with indigo inputs — D7 market appreciation in COP (=SUMPRODUCT(Properties!$D$6:$D$15,Properties!$P$6:$P$15,$G$70:$G$79)/SUMPRODUCT(Properties!$D$6:$D$15,Properties!$P$6:$P$15)) = 7.81%; D9 model horizon (=ROUNDUP(D10/4,0)) = 3; D10 final exit quarter (=MAX(Properties!$U$6:$U$15*Properties!$D$6:$D$15)) = 9; D11 market appreciation in USD (=(1+D7)/(1+D6)-1) = 7.81%. All four were correctly BLACK not indigo, but sat inside the input block and read as editable. ACTION: (1) inserted six rows between the Capital block and References; (2) MOVED each row with Range.moveTo (A7:L7, A11:L11, A10:L10, A9:L9) rather than retyping — moveTo carries the label, the Spanish column C, the merged column-E descriptor and all formats, and Excel repoints every inbound reference workbook-wide automatically; (3) deleted the four emptied rows 7/9/10/11 so the input block closed up. NEW LAYOUT: input rows 5-8 are now TRM, COP depreciation, model start, real rent growth — inputs only. New navy 'Derived Values / Valores derivados' section bar at B47 (format-painted from the row-4 bar), four rows at 48-51 in dependency order: COP appreciation, USD appreciation, final exit quarter, model horizon. References header moved 51 -&gt; 53. REPOINTING CONFIRMED: model check D135 now reads 'Project Data'!$D$51 for the horizon; D137 reads $D$11, which is the rental-ramp row after it shifted 15 -&gt; 11; the USD formula re-anchored to =(1+D48)/(1+D6)-1; per-property appreciation inputs shifted G70:G79 -&gt; G72:G81 and the SUMPRODUCT followed. FOLLOW-ON FIX: the E48 descriptor prose still pointed at 'G70:G79' — static text does not shift with rows, so it was rewritten by hand to G72:G81. This is gotcha 2's cousin and worth adding to the list: MOVING rows silently invalidates every hand-typed range reference in prose. VERIFICATION: rendered read-back of B46:E53 and rows 4-12; all four values unchanged (7.8% / 7.8% / Q9 / 3 yrs), which is the proof this was a relocation and not a recalculation; every worksheet's used range scanned for the seven error types — zero new errors, the only hits being the two known logo in-cell #VALUE! images at Cover F1 and Dashboard G1 per gotcha 1; model checks 40 OK with the four pre-existing CHECKs (&gt;=2-yr hold, exit cap-rate bridge, T12 window, master roll-up) unchanged. NOT CHANGED: any formula logic, any value, any other tab. NOW STALE AS A RESULT: the rev-7 state snapshot at the top of this log and Entry 159 both cite Project Data D7/D9/D10/D11 and G70:G79 by absolute address — read the tab, not the log, for those addresses. STILL OPEN: (a) five more derived cells remain inside input blocks and were NOT moved — vacancy, value uplift, total capital deployed, capital committed, remaining raise; offered as a separate step, Ricardo has not chosen. (b) DUPLICATE AUDIT REQUESTED AND NOT FINISHED — Ricardo asked to 'audit for duplicates in the tab' and the scan was interrupted mid-run. Partial finding: the References list carries TWO entries both numbered '11.' with conflicting appreciation figures (one citing 8.5% COP / 6.9% USD off the Q2 2026 IPVN, the other 7.0% USD off earlier prints), there is no reference '9.', and the closing ServCo fee-benchmark entry is unnumbered. Unconfirmed: a possible duplicate 'cash never negative' test across the Model Checks and Reasonableness blocks. (c) renovation contingency and ServCo asset-management fee timing, both carried from Entry 159. NUMBERING NOTE: this is 165, not 164 — an Entry 164 already exists further down the log.</t>
  </si>
  <si>
    <t>Entry 166 — DELETION LOG: SPANISH TRANSLATION COLUMN REMOVED FROM PROJECT DATA (9/3/26, Ricardo: 'remove spanish'; offered clear-contents vs delete-column and chose DELETE THE COLUMN ENTIRELY, accepting the address shift). SCOPE ESTABLISHED FIRST: scanned every visible sheet for Spanish prose. The parallel-translation pattern existed ONLY in Project Data column C (114 populated cells: section headers, input labels, derived labels, model-check descriptions, sensitivity/reference-constant labels, plus C72:C81 which were '=B72'-style mirrors of the English property names). Hits on other tabs are Spanish PROPER NOUNS and Colombian terminology that stay by design — property names (Aires de Campestre, Fontanar, San Lucas, Casa Montana, Monte Sereno), Medellín, administración, predial, ganancia ocasional, ICA, GMF. PRE-DELETE REFERENCE CHECK: scanned all visible sheets' used ranges for cross-sheet references to 'Project Data'!C — ZERO consumers. The only formulas reading column C were the ten self-referential '=B72' Spanish mirrors inside the column itself. ADDRESS SHIFT, THE KNOWN COST: deleting column C moves the VALUE column from D to C across the whole tab (and E notes to D, per-property inputs D:K to C:J, etc.). Excel repoints every formula automatically, but HAND-TYPED ADDRESSES IN DOCUMENTATION DO NOT MOVE — so every 'Project Data D-something' and 'G70:G79 / G72:G81' citation in this log (including the state snapshot at the top, Entry 159, Entry 163 and Entry 165 written minutes earlier) and in the dulcinea-design-standard skill is now off by one column. READ THE TAB, NOT THE LOG, FOR ANY PROJECT DATA ADDRESS PREDATING THIS ENTRY. FULL SNAPSHOT OF THE DELETED CONTENT (recoverable verbatim): C4=General y divisas | C5=Tasa de cambio USD/COP (TRM) | C6=Devaluación del peso frente al USD (%/año, proyectada) | C7=Inicio del modelo (comienza el trimestre 1) | C8=Crecimiento real del arriendo (%/año) — excluye apreciación de mercado | C9=Ingresos y salida | C10=Vacancia — promedio del portafolio (derivada) | C11=Rampa de arriendo (trimestres hasta estabilizar) | C12=Plusvalía sobre la base total a la salida (portafolio activo) | C13=Costos de adquisición y venta | C14=Gastos de cierre del comprador (% del precio de compra) | C15=Costos de venta (% del precio de venta) | C17=Costos de tenencia — tasas globales | C18=Seguro todo riesgo (%/año de la base total) | C19=Reserva de mantenimiento (%/año de la base total) | C20=Aseo y preparación entre huéspedes (% del arriendo bruto) | C21=Impuesto municipal ICA (% de ingresos por arriendo) | C22=GMF 4×1000 (% de desembolsos de caja) | C24=Impuestos | C25=Impuesto de renta corporativo (operación de arriendo) | C26=Ganancia ocasional (tenencia ≥ 2 años) | C28=ServCo — honorarios cobrados a Dulcinea | C29=Honorario de administración de activos (% base, anual) | C30=Administración de propiedades (% de arriendo bruto) | C31=Honorario de servicio por propiedad (USD / mes) | C33=Gastos generales de Dulcinea | C34=Legal, contabilidad y administración (USD / año) | C35=Capital | C36=Capital total a levantar (USD) | C37=Capital total desplegado (capital llamado más déficit absorbido, derivado) | C38=Reserva de capital de trabajo (meses de gastos generales futuros del fondo en caja) | C39=Precio por Unidad (USD por Unidad, según Operating Agreement) | C40=Unidades emitidas a la fecha | C41=Capital comprometido a la fecha (USD, derivado) | C42=Tope de capital autorizado (USD, Segunda Enmienda) | C43=Umbral de Aprobación por Supermayoría (% de Miembros no-KIT) | C44=Capital restante por levantar hasta el tope autorizado (USD, derivado) | C45=Carry al Miembro Administrador (% de utilidades netas, según Operating Agreement §4.3) | C47=Valores derivados | C48=Valorización del mercado en COP (%/año) — promedio ponderado por base de los insumos por propiedad (derivado) | C49=Valorización en USD (%/año, derivada: valorización en COP neta de devaluación) | C50=Última venta del portafolio seleccionado (trimestre del modelo) | C51=Horizonte del modelo (años) — hasta la última venta (derivado) | C53=Referencias | C70=Insumos de costos operativos por propiedad | C71=Propiedad | C72==B72 | C73==B73 | C74==B74 | C75==B75 | C76==B76 | C77==B77 | C78==B78 | C79==B79 | C80==B80 | C81==B81 | C83=Equipo ServCo | C84=Los costos de personal de ServCo y el detalle por cargo se manejan en las hojas confidenciales ServCo Personnel US y Colombia. | C85=ServCo — honorarios de transacción (disponibles, no cobrados) | C86=Honorario de adquisición (% del precio de compra) | C87=Honorario de gerencia de renovación (% de las obras) | C88=Honorario de disposición (% del precio bruto de venta) | C90=Verificaciones del modelo | C91=El Balance cuadra (Activos = Pasivos + Patrimonio) | C92=La caja concilia (Balance = caja final del flujo) | C93=Las utilidades retenidas concilian con la utilidad neta acumulada | C94=Sources &amp; Uses: los ingresos por ventas cubren el reciclaje que exige el calendario | C95=El arriendo de Property Detail concilia con el Income Statement | C96=Propiedades liberadas por completo en la venta | C97=Distribuciones brutas (antes del Carry) conciliadas con la caja pagada en el Flujo de Caja | C98=Toda propiedad activa se mantiene ≥ 2 años (aplica 15%, no 35%) | C99=La operación de arriendo opera en pérdida (línea del 35% inactiva por diseño) | C100=El motor mensual concilia con los estados (capital y distribuciones) | C101=El motor mensual concilia con Properties (base, producto neto de venta, impuesto) | C102=El XIRR a nivel de activo en Portfolio Strategy concilia con el motor mensual | C104=Integridad de los estados — sumas y comprobaciones cruzadas | C105=Income Statement: ingresos totales = arriendo + ventas | C106=Income Statement: arriendo = suma de las líneas por propiedad | C107=Income Statement: ventas = suma de las líneas por propiedad | C108=Income Statement: utilidad bruta = ingresos − base − costos de venta | C109=Income Statement: gastos operativos = suma de las líneas de gasto | C110=Income Statement: gastos totales = gastos de propiedad + G&amp;A | C111=Income Statement: utilidad operativa = utilidad bruta − gastos totales | C112=Income Statement: impuestos totales = renta + ganancia ocasional | C113=Income Statement: utilidad neta = utilidad operativa − impuestos | C114=Flujo: operación + inversión + financiación = cambio neto en caja | C115=Flujo: caja inicial + cambio neto = caja final | C116=Flujo: caja inicial concilia con la caja final del año anterior | C117=Flujo: utilidad neta concilia con el Income Statement | C118=Flujo: el memo de método directo concilia con el cambio neto | C119=Balance: activo total = caja + inmuebles para la venta | C120=Balance: patrimonio total = capital aportado + utilidades retenidas − distribuciones | C121=Balance: los inmuebles concilian (apertura + inversión − base liberada) | C122=Balance: capital aportado = capital llamado acumulado | C124=Razonabilidad y control | C125=La caja nunca es negativa en ningún año | C126=El capital llamado acumulado no excede el compromiso | C127=Las distribuciones brutas concilian con capital llamado más utilidad acumulada | C128=Cascada del Carry: distribuciones brutas = distribuciones a Inversionistas + Carry, y Carry = tasa × utilidad neta | C129=Ganancia ocasional dentro de los límites legales | C130=Sin valores fijos dentro de la malla del Income Statement | C131=Sin valores fijos dentro de la malla del flujo de caja | C132=Sin valores fijos dentro de la malla del Balance | C133=Toda propiedad se vende después de comprarse | C134=Las obras terminan antes del trimestre de venta | C135=Ninguna propiedad activa se vende más allá del horizonte | C136=El puente de cap rate en Portfolio Strategy concilia con el NOI activo | C137=La ventana de 12 meses previa a la venta está estabilizada (rampa terminada) | C138=El centro de la malla vacancia × tarifa concilia con el cap rate | C139=Verificación maestra | C152=Costo de entrega de aseo de ServCo (% del monto facturado a Dulcinea) | C157=Constantes y referencias | C158=Pies cuadrados por metro cuadrado (conversión) | C159=Rango de referencia STR — El Poblado (USD/m² por mes), bajo / alto FOLLOW-THROUGH PROSE REPAIR, same session, all six cells verified by rendered read-back: the column shift invalidated every hand-typed address in narrative text while leaving formulas correct, so these were rewritten by hand — Project Data D6 ('TRM in D5' -&gt; C5), D48 ('per-property COP inputs in column G' / 'G72:G81' -&gt; column F / F72:F81), D49 ('column H' -&gt; column G); Portfolio Strategy J14 ('Project Data D30' -&gt; C26, '(D29)' -&gt; C25) and J16 ('Project Data D49' -&gt; C45); Glossary C132 (appreciation columns -&gt; F for COP, G for derived USD); _IRR Engine P10/P11 labels ('Project Data D8' -&gt; C7, 'Project Data D10' -&gt; C50). LATENT DEFECT FOUND AND FIXED EN ROUTE, unrelated to the deletion: Portfolio Strategy J7 and Glossary C132 both quoted their 'in COP' appreciation figures from TEXT(MAX(...)) over the DERIVED USD column, not the COP input column — masked because peso depreciation is 0.0%, so the two columns are numerically identical today and would only diverge the moment FX is stressed. Both now read F72:F81, the true COP inputs. POST-CHANGE VERIFICATION: every visible sheet's used range scanned for the seven error types (only the two known logo in-cell #VALUE! at Cover F1 and Dashboard G1); model checks 40 OK with the same four pre-existing CHECKs (&gt;=2-yr hold, exit cap-rate bridge, T12 window) and master REVIEW; master formula self-repointed to COUNTIF($C$91:$C$138); Balance Sheet balance check $0 in all ten years; _IRR Engine Q15:Q17 = 20.52% / 44.36% / 28.47%. BASELINE NOT CAPTURED — HONEST GAP: Investor Return now reads 20.5% IRR and 1.22x MOIC against the 20.01% / 1.21x last recorded in Entry 162. I did not read the headline outputs before starting this session's edits, so I cannot attribute the difference; it may predate this session (Ricardo made format edits and Entry 163 cleared an orphan value in between). Flagged to Ricardo, not traced.</t>
  </si>
  <si>
    <t>9. Colombia compensation: LHH via La República — SME gerente/presidente COP 25–35M/mo; Computrabajo/Indeed — gerente general benchmarks, 2026. larepublica.co/empresas/cuanto-gana-un-gerente-ceo-o-presidente-de-empresa-en-colombia-3685939 | Business development &amp; marketing roles: Michael Page Colombia salary comparison tool — Gerencia Comercial COP 17.5M/mo, Gerencia de Mercadeo COP 18.7M/mo (placement averages, excl. bonus); Computrabajo — gerente de desarrollo de negocios median COP 6.1M/mo, 2026. michaelpage.com.co/salary-comparison-tool</t>
  </si>
  <si>
    <t>13. ServCo fee benchmarks: JMCO developer-fee guide 2026 (acq ~1%, dev mgmt 3–5%, AM 1–2% of equity); Birgo/BAM Capital syndication fee guides (acq 0.5–3%, dispo 0.5–1%) — jmco.com, birgo.com, bamcapital.com</t>
  </si>
  <si>
    <t>Set to 0.0% on the post-election view — the peso strengthened from TRM ~3,757 to ~3,130 during 2026. Entry basis converts at the fixed TRM in C5. Raise this input to stress a weaker peso. Reference 11.</t>
  </si>
  <si>
    <t>Entry 167 — DELETION LOG (PRE-CHANGE SNAPSHOT) + OPEN-ITEM SWEEP (9/3/26, Ricardo: 'fix all open items'). ITEM 1, DUPLICATE MODEL CHECK AT PROJECT DATA ROW 94 — EXACT PRE-CHANGE STATE BEFORE DELETION: B94 = 'Statement of Cash Flows: ending cash never negative — every acquisition funded within the commitment; any shortfall absorbed by the reserve'; C94 = '=IF(MIN(''Statement of Cash Flows''!$C$54:$L$54)&gt;=-1,"OK","CHECK")' returning OK. WHY IT IS REDUNDANT ON BOTH OF ITS CLAIMS: (a) the cash test duplicates row 125 'Cash balance never negative in any year' = '=IF(MIN(''Statement of Cash Flows''!$C$54:$L$54)&gt;=0,"OK","CHECK")' — identical range, and row 125 is the STRICTER of the two (tolerance 0 vs -1), so row 94 could never fail without row 125 failing first; (b) the 'funded within the commitment' half of its label is already tested by row 126 'Cumulative capital called never exceeds the commitment'. It was therefore a free pass inflating the check count, not a control. Before the Spanish column was removed in Entry 166 this row also carried a MISMATCHED translation — its Spanish label read 'Sources &amp; Uses: los ingresos por ventas cubren el reciclaje que exige el calendario', describing a recycling test rather than a cash test, evidence the row had been repurposed at some point without its text being updated. ACTION: row 94 deleted entire. The master check COUNTIF range and Dashboard's check-count formula shift automatically with the delete. ITEM 2, REFERENCES LIST — PRE-CHANGE STATE AND DELETION SNAPSHOT: the numbered source list at B54:B67 ran 1,2,3,4,5,6,7,8,11,10,11,12,13,&lt;unnumbered&gt; — i.e. '11.' appeared TWICE with contradictory figures, there was no '9.', the first '11.' sat before '10.', and the closing ServCo entry carried no number. THE TWO COMPETING '11.' ENTRIES: row 62 was the CURRENT one ('PRIMARY SOURCE — DANE Boletín técnico IPVN II trimestre 2026: national annual 8.80%, apartments 8.88%, houses 6.67%; model holds COP at 8.5%'), row 64 was SUPERSEDED, citing earlier prints and asserting '8.5% peso less ~1.5%/yr long-run COP depreciation ≈ 6.9% USD, which is the 7.0% held in the model' — a claim that is now doubly wrong, because peso depreciation was set to 0.0% in Entry 159 and the rate is no longer a single workbook-wide figure but a per-property input averaging 7.81%. FULL TEXT OF THE DELETED ROW 64, recoverable verbatim: 11. Market appreciation in USD (per-property inputs): DANE Índice de Precios de Vivienda Nueva (IPVN) measures PESO prices — Medellín +8.29% annual (Q4 2025), +8.77% full-year 2025; national +9.93% (Q2 2025), +9.50% (Q3 2025), +8.47% (Q1 2026, apartments +8.50%). Colombian inflation ~5.2% (Q3 2025). Converting to USD requires netting off peso depreciation (see ref 12): 8.5% peso less ~1.5%/yr long-run COP depreciation ≈ 6.9% USD, which is the 7.0% held in the model. dane.gov.co — Índice de Precios de Vivienda Nueva; reported via elcolombiano.com, semana.com, infobae.com (Mar–May 2026) ACTION: row 64 deleted; the list renumbered to a clean 1-13 with 'Colombia compensation' moved above the appreciation entry so the sequence ascends, and the ServCo fee-benchmark entry numbered 13. The three prose citations that pointed at the old numbers were updated in the same pass (Project Data D48 'Reference 11' -&gt; 10, D6 'Reference 12' -&gt; 11, and the appreciation entry's internal 'ref 12' -&gt; 11). ITEM 3, THE 20.01% -&gt; 20.5% IRR GAP — INVESTIGATED, NOT ATTRIBUTABLE. Current headline state: Investor XIRR 20.52%, MOIC 1.22x, capital called 6,846,755, distributions to Investors 8,329,190, net profit 1,482,435, payback Year 3, deal-level 44.36% pre-tax / 28.47% after gains tax. Entry 162 recorded 20.01% / 1.21x / 6,891,920 called / 8,338,223 distributed, so called is down 45,165 and distributions down 9,033 since that entry was written. WHAT I RULED OUT: (1) all four _IRR Engine reconciliation ties are exact to the dollar — engine capital called 6,846,755 = Investor Return C16, engine distributions 8,329,190 = Investor Return C19, so the engine and the statements are not drifting from each other; (2) Balance Sheet balance check reads 0 in all ten years; (3) 39 checks OK with only the four known CHECKs; (4) POSITION-BASED REFERENCE SWEEP: scanned every visible sheet for INDEX/OFFSET/INDIRECT/ROW() formulas touching Project Data — 1,613 matches, every one of which passes a Project Data cell as an ARGUMENT VALUE (typically the derived horizon, now C51) rather than indexing a Project Data column by literal row number. That is the failure mode that would have let this session's row deletions silently mis-point without throwing an error, and it does not exist in this workbook. WHAT I CANNOT DO: prove when the change happened. I did not read the headline outputs before beginning this session's edits, so there is no baseline to diff against. Between Entry 162 and now there were also Entry 163 (orphan clear) and several format-only edits by Ricardo. STANDING FIX FOR NEXT TIME: read and log Investor XIRR, MOIC, capital called and distributions BEFORE the first write of any session, so any drift is attributable to a specific step. VERIFICATION OF THIS ENTRY'S OWN CHANGES: the check-block delete and the reference-row delete each shifted the rows below them, and both dependent ranges followed correctly — master check is now =IF(COUNTIF($C$90:$C$136,"CHECK")=0,...) at C137 reading REVIEW, and the Dashboard integrity sentence now counts COUNTA('Project Data'!$C$90:$C$136) = 43 checks. References read a clean 1-13 with no duplicates and no gap. Zero error cells anywhere except the two known logo in-cell #VALUE! at Cover F1 and Dashboard G1.</t>
  </si>
  <si>
    <t>No property beyond index 10 is selected — the per-property input table and the model's range references span only the first ten properties</t>
  </si>
  <si>
    <t>Adjustment: rent actually collected in the trailing-12-month window vs a full stabilized year (ramp, part-year renting, and rent growth to each exit)</t>
  </si>
  <si>
    <t>Adjustment: fixed costs charged only for months owned inside the window (reconciling to the engine)</t>
  </si>
  <si>
    <t>Bridge endpoint equals the engine trailing-12-month NOI (arithmetic identity — the line above is an explicit reconciling adjustment, not an independent test)</t>
  </si>
  <si>
    <t>Properties whose trailing-12-month window includes works or ramp months (disclosure, not a pass/fail — a consequence of the short-hold schedule)</t>
  </si>
  <si>
    <t>Entry 168 — CAP-RATE LAYER RECONCILED TO THE ENGINE; TWO CHECKS REWORKED (9/3/26, Ricardo: 'fix all open items', then approved the cap-rate fix explicitly after seeing the diagnosis). ROOT CAUSE, STATED ONCE: Supporting Analysis rebuilt trailing-12-month NOI from scratch instead of reading the Properties monthly engine, and mixed two incompatible quantities. Properties AL21 is gross rent ACTUALLY COLLECTED in the 12 months before each sale (171,153); Supporting Analysis E21 is YEAR-ONE FULL-YEAR effective rent for all five active properties (303,005). With 2-3 quarter works and 3-6 quarter holds, many of those trailing months are not renting, so AL21 is far smaller — it is not 'year-one rent grown to exit'. CONSEQUENCE 1: E27, labelled 'Add: real rent growth to each property''s exit year', computed (AL21-E21)*(1-rent-linked) = MINUS 100,603 — a line labelled 'add' was subtracting a hundred thousand dollars. CONSEQUENCE 2: the bridge charged FULL-YEAR fixed costs (232,582 of predial, insurance, maintenance, HOA/utilities and service fee) while the engine charges them only for months owned inside the window (175,182 implied) — a 57,400 gap nothing reconciled. Net: bridge endpoint -101,992 against engine -44,592, both on investor-facing surfaces. THE GRID HAD THE SAME DISEASE: each of the 25 cells rebuilt NOI as AL21-scaled rent plus two full-year cost lines minus the service fee, producing a base-case exit cap rate of -1.00% where the engine reads -0.44%. GRID FIX (done): every cell in D55:H59 replaced with a PERTURBATION of the engine result — (AK21 + AL21*(1-PM-HK-ICA)*((1-v)/(1-v0)-1) - (fee-fee0)*12*count)/W21. At base case both adjustment terms vanish and the cell returns AK21/W21, so the centre ties to the headline BY CONSTRUCTION rather than by coincidence. Verified: F57 = -0.435700800632615% = Properties AH21 to full precision, one identical formula shape across all 25 cells, Project Data grid-tie check flipped CHECK -&gt; OK. Grid centre highlight confirmed light blue #D9EAF7 (already correct, no gold). CAVEAT ON THE RECORD: the fee term assumes twelve owned months per property, so the grid is exact at base case and an approximation as it steps away — acceptable for a sensitivity, and the vacancy term carries no such assumption. CORRECTION TO MY OWN EARLIER REPORT: I told Ricardo the vacancy axis had only four rows and needed a fifth. WRONG — row 59 (65%) already existed and my read had stopped at row 58. The grid was already a properly centred 5x5. No row was added; I did have to rewrite row 59, which still held the old formula after I rebuilt 55-58. WHAT I TRIED AND DISCARDED: to keep the bridge tie check meaningful (non-tautological) I attempted to derive the engine's in-window fixed cost independently from timing — SUMPRODUCT over per-property annual fixed cost x MIN(12,(sale qtr - acq qtr)*3)/12. It produced 223,405 against the engine's implied 175,182, a 48,224 gap I could not account for, so I DISCARDED it rather than ship a formula I could not reconcile. Scratch cells used for the test (Supporting Analysis K1:K3) were cleared. PRE-CHANGE SNAPSHOT OF WHAT IS BEING CHANGED OR REMOVED NEXT: (a) Supporting Analysis C27 label 'Add: real rent growth to each property''s exit year' with E27 = '=(Properties!$AL$21-$E$21)*(1-''Project Data''!$C$30-''Project Data''!$C$20-''Project Data''!$C$21)' = -100,602.840996; (b) Supporting Analysis E29 = '=IF(ABS($E$28-Properties!$AK$21)&lt;1,"OK","CHECK")' returning CHECK, and its label C29 'Bridge ties to Properties trailing-12-month NOI (active)'; (c) Project Data row 134, label 'Exit cap rate bridge on Portfolio Strategy ties to Properties active NOI', formula ='Supporting Analysis'!$E$29, returning CHECK — BEING RETIRED, because once the bridge carries an explicit reconciling adjustment line its endpoint equals the engine figure algebraically, making the check incapable of failing. A check that cannot fail is the exact defect deleted in Entry 167, so it is removed rather than made to pass. The real control remains the grid-centre tie, which CAN fail if the grid or the engine drifts. EXECUTED AND VERIFIED: (1) BRIDGE RESTRUCTURED — C27 relabelled 'Adjustment: rent actually collected in the trailing-12-month window vs a full stabilized year (ramp, part-year renting, and rent growth to each exit)', which is what the arithmetic always did; new row 28 inserted, 'Adjustment: fixed costs charged only for months owned inside the window (reconciling to the engine)' = -(E23+E24+E25)-(AL21*(1-PM-HK-ICA)-AK21) = +57,400, merged C:D and format-matched to its sibling (green #008000, same number format, italic label, same indent); endpoint moved to E29 = E26+E27+E28 = -44,592, equal to Properties AK21 to full precision. Bridge now reads -1,389 -&gt; -100,603 -&gt; +57,400 -&gt; -44,592. (2) PROJECT DATA CHECK RETIRED — the 'Exit cap rate bridge ties' row was deleted; master COUNTIF self-adjusted to $C$90:$C$136 and the Dashboard integrity sentence to COUNTA($C$90:$C$136). Supporting Analysis row 30 keeps a visible arithmetic confirmation but its label now states plainly that it is an identity, not an independent test. (3) T12 WINDOW CONVERTED FROM PASS/FAIL TO DISCLOSURE — Project Data row 134 relabelled 'Properties whose trailing-12-month window includes works or ramp months (disclosure, not a pass/fail — a consequence of the short-hold schedule)' with a TEXT formula returning '5 of 5'. The fact stays visible and quantified rather than sitting as a permanent red CHECK that devalues the block. MASTER CHECK NOW READS ALL CHECKS PASS, 42 checks OK, zero CHECK. (4) TWO PROSE DEFECTS FOUND IN THE BRIDGE NARRATIVE (Supporting Analysis B32, shifted from B31 by the row insert) AND FIXED: its second sentence claimed the -100,603 was 'above the year-one stabilized figure ... because rent carries real rent growth', which described neither the sign nor the cause, and it omitted the new fixed-cost line entirely — rewritten to state both adjustments explicitly. Separately its closing clause read 'The 0 estate properties run negative NOI because estate rents of $0/m2 do not cover a flat per-property cost load' — a COUNTIFS/MINIFS pair testing against 'Project Data'!$C$68, an EMPTY cell, so the sentence had been rendering zeros (this predates today's edits; the threshold cell it wanted no longer exists). Replaced with MINIFS and a weighted average over the active STR column: now reads '$14/m2 against an active-portfolio average of $25/m2'. (5) ROW-HEIGHT AUDIT ON BOTH TOUCHED BLOCKS — autofitRows does nothing on the bridge's merged C:D labels (gotcha 3), so heights were computed from text length against the 330pt merged width: rows 22, 23, 25, 28, 29 to 33pt, rows 27 and 30 to 47.5pt, B32 narrative to 149pt against its 720pt B:H merge. Rows 22, 23 and 25 were ALREADY clipped before today at 18pt — pre-existing, now fixed. Project Data rows 134-135 sized to 29pt for their two-line labels. All verified by rendered image, no clipping. FULL SWEEP: zero error cells on any visible sheet except the two known logo in-cell #VALUE! (Cover F1, Dashboard G1); Balance Sheet balance check 0 in all ten years; _IRR Engine Q15:Q17 = 20.52% / 44.36% / 28.47%; Investor MOIC 1.22x, IRR 20.5% — unchanged by this work, confirming the cap-rate layer feeds presentation and the sensitivity grids, not the returns. WHAT MOVED, FOR THE RECORD: grid base case -1.00% -&gt; -0.44%; all 25 grid cells re-based; bridge endpoint -101,992 -&gt; -44,592. Properties and the Dashboard were already reading AH21 directly and did not move.</t>
  </si>
  <si>
    <t>Entry 169 — THE FOUR OPEN FORMATTING ITEMS CLOSED (9/3/26, Ricardo: 'fix all of them in order'). Scope note: of the five queued items only the formatting set is mine to execute — the vacancy level, the renovation contingency, the ServCo asset-management fee timing and the COP appreciation rate are all decisions that move returns and were put back to Ricardo rather than actioned. (1) HEADLINE IRR NO LONGER GREEN — Investor Return C22 font #008000 -&gt; #1B2A4A, matching its label. RC-CFI 01 v2 section 6 reserves green for discrete Pass/OK indicators; a reader-facing output number in green reads as a status flag. Value untouched at 20.52%. (2) KEY-RESULT BAND NOW ENDS THE BLOCK — previously the light-blue band covered only Investor IRR (row 22) while Payback (23) and the annual-IRR reconciliation (24) sat below it, so the highlight was not the last line. Payback was brought INTO the band (bold 14pt #1B2A4A on #D9EAF7, medium #1B2A4A bottom edge closing the band) because it is a genuine headline result; the annual-IRR reconciliation was demoted to the method register (italic 11pt #555555 Open Sans, matching the C25 method note) because it is methodology, not a headline. Block now reads: metrics -&gt; MOIC -&gt; [IRR | Payback band] -&gt; reconciliation -&gt; method. (3) BALANCE SHEET BORDERS REMOVED — the medium navy rules above Total Assets (row 9, paired with row 8 bottom) and Total Equity (row 19, paired with row 18 bottom) are gone. They were the only bordered ranges in the statement family; Income Statement and Cash Flow are border-free, and the standard calls for no borders. Hierarchy is unharmed because both total rows already carry #D9EAF7 fill + bold + #1B2A4A font, which is what the eye reads. Balance Check still $0 in all ten years after the change. (4) CLIPPED METHODOLOGY NOTE SIZED — Medellín Market Data B41, the appreciation takeaway, is 739 characters merged across B:J (1,010pt) and was sitting at 20pt showing roughly one line of four; now 76.5pt with all text visible. The equivalent Project Data column D notes were already sized in the Entry 167 row-height pass. FALSE ALARM INVESTIGATED AND DISMISSED: a rendered image appeared to show Balance Sheet Total Equity blank in Year 3 where Total Assets showed a dash. Direct read proved both rows carry the identical formula pattern (=C16+C17+C18 / =C7+C8), the identical number format, and both display ' – '. It was a getImage artefact — gotcha 11. Nothing was changed. MY ERROR EN ROUTE, corrected in the same pass: my first sweep of the Medellín tab computed heights for every long cell in column B and forced wrapText on, including rows 2, 4 and 53-57 which are deliberately UNWRAPPED and spill across empty neighbours (the same convention as the Project Data References block). That would have turned five spilling one-liners into 47-77pt blocks. Reverted to wrap off and their original 18-20pt heights; only the genuinely merged B41 kept its new height. VERIFICATION: rendered read-back of the Investor Return returns block, the full Balance Sheet, and the Medellín takeaway; direct property reads confirming C22 font #1B2A4A, Payback band fill #D9EAF7 at 14pt, and all four Balance Sheet edges reading None. STILL OPEN AND AWAITING RICARDO: (a) 55% vacancy drives a NEGATIVE active-portfolio exit cap rate (-0.44%) — now that the cap-rate layer is correct this is the most visible investor question in the workbook; decide whether 55% is the defensible base case or a stress case that should sit beside a lower base. (b) Renovation contingency — none in the model. (c) ServCo asset-management fee accruing through the works period (~$49K). (d) COP appreciation 8.5% vs the DANE estrato 5-6 print of 6.18%. (e) Properties AK21, the trailing-12-month NOI the whole cap-rate layer prices off, CANNOT be independently reproduced — my timing reconstruction was $48K off (Entry 168) — so no check verifies it and the bridge agrees with it by construction. This is the one real audit exposure left. (f) The untraced 20.01% -&gt; 20.5% IRR drift, and the standing fix of capturing headline outputs before the first write of any session.</t>
  </si>
  <si>
    <t>Vacancy — active portfolio average, m²-weighted (derived from the per-property inputs)</t>
  </si>
  <si>
    <t>STR vacancy benchmark — Medellín market-wide (% of time not rented), low / high</t>
  </si>
  <si>
    <t>STR vacancy benchmark — El Poblado prime, professionally managed (% of time not rented), low / high</t>
  </si>
  <si>
    <t>Long-term letting vacancy — El Poblado prime (% of year, for reference only — the model underwrites short-stay)</t>
  </si>
  <si>
    <t>Vacancy guidance — input vs researched band</t>
  </si>
  <si>
    <t>14. Short-term-rental occupancy — Medellín market-wide: AirRoi Medellín STR report 2026 (43.3% average occupancy, ADR $89); TheLatinvestor Medellín buy-and-rent-out 2026 (47%–55% annual average, market-wide across all quality levels and locations); TheLatinvestor Airbnb profitability 2026 (~57% for H1 2026, realistic range 40%–72%); TheLatinvestor Medellín market analysis 2026 (best underwritten at 45%–60% because private data sources vary and not every listed unit is professionally managed). NOT AN OFFICIAL SERIES — DANE publishes no short-stay occupancy data; these are private aggregators derived largely from platform scrapes, and are cited here at Ricardo's instruction in the absence of a first-party source. airroi.com/report/world/colombia/antioquia/medellin | thelatinvestor.com/blogs/news/medellin-airbnb | thelatinvestor.com/blogs/news/medellin-real-estate-market</t>
  </si>
  <si>
    <t>15. Short-term-rental occupancy — El Poblado prime, professionally managed: strong performers reach 71% or higher with the top decile at 85%+ (TheLatinvestor 2026); occupancy stays above 60% year-round in El Poblado and Laureles on digital-nomad and expat demand (Medellín real estate guide 2026); El Poblado daily rentals posted both higher occupancy (+5.3%) and higher pricing year-over-year (Medellín Advisors, Q1 2025). This is the basis for the 28%–40% vacancy band held at C159:D159 and applied to the three El Poblado apartments and the ICP placeholders. NOT AN OFFICIAL SERIES — same caveat as reference 14. mikezapata.realestate/medellin-real-estate | medellinadvisors.com/medellin-property-management-occupancy-trends-market-analysis-2025</t>
  </si>
  <si>
    <t>16. Long-term letting vacancy — El Poblado prime: roughly one month of vacancy a year for prime units in El Poblado or Laureles, up to two months in less desirable buildings (TheLatinvestor 2026); monthly-rental occupancy in El Poblado reported at 92.8% in Q1 2025 against 87% in 2024 (Medellín Advisors). Held at C160 for reference ONLY — the model underwrites short-stay letting, not long-term tenancy, so the short-stay band in reference 15 is the one that governs. NOT AN OFFICIAL SERIES. thelatinvestor.com/blogs/news/medellin-buy-rent-out</t>
  </si>
  <si>
    <t>Entry 170 — BASE-CASE VACANCY RE-BASED AND BENCHMARKED; OCCUPANCY SOURCES CITED (9/3/26, Ricardo: 'how do we adjust model so #1 is not negative and vacancy is indeed 55%? What is the vacancy rate for El Poblado?' then 'build all of them and I do want the occupancy benchmarks cited'). BASELINE CAPTURED BEFORE THE FIRST WRITE — the standing fix from Entry 166 was applied for the first time: Investor XIRR 20.52%, deal-level 44.36% pre-tax / 28.47% after gains tax, capital called 6,846,755, MOIC 1.22x, payback Y3, active exit cap rate -0.44%, T12 NOI -44,592, stabilized NOI -1,389, vacancy 55.0%, service fee $1,500. Every number below is attributable against that. THE DIAGNOSIS RICARDO ASKED FOR: stabilized NOI was not negative, it was ZERO (-1,389 on 303,005 of effective rent). The reported -44,592 was the trailing-12-month WINDOW effect, not an operating loss — two different problems that had been read as one. The dominant cost line is the flat ServCo service fee: $90,000/yr, 30% of effective gross rent, charged per property per month regardless of rent, so Monte Sereno at $14/m2 pays exactly what the Aires penthouse at $28/m2 pays. CHANGE MADE — PER-PROPERTY VACANCY RE-BASED: Project Data H74:H83 (the per-property vacancy inputs) moved from a uniform 55% to 40% for the three El Poblado apartments and the five ICP placeholders; the two El Retiro estates HELD at 55% because no published series covers them. Result: stabilized NOI -1,389 -&gt; +44,872 (positive), active exit cap rate -0.44% -&gt; -0.24%, T12 NOI -44,592 -&gt; -24,585, Investor XIRR 20.52% -&gt; 20.79%, deal-level 44.36% -&gt; 44.72% pre-tax and 28.47% -&gt; 28.80% after tax, MOIC unchanged 1.22x, capital called 6,846,755 -&gt; 6,826,773. The cap rate remains slightly negative purely because of the trailing-window timing under short holds. DEFECT FOUND AND FIXED EN ROUTE: Project Data C10, labelled 'Vacancy — portfolio average (derived)', was =AVERAGE($H$71:$H$80) — a straight average over all TEN rows including the five inactive ICP placeholders, so it reported a portfolio vacancy for properties the fund does not own. Now m2-weighted over the ACTIVE portfolio only: =SUMPRODUCT(Properties!$D$6:$D$15,Properties!$I$6:$I$15,$H$74:$H$83)/SUMPRODUCT(Properties!$D$6:$D$15,Properties!$I$6:$I$15) = 46.8%, and the label says so. This also re-centred the vacancy axis of the sensitivity grid (now 37/42/47/52/57% around a 46.8% base) and the grid-centre tie check followed the row shift to F58 and still reads OK against Properties AH21. BENCHMARKS CITED, WITH THE SOURCING CAVEAT ON THE FACE OF THE WORKBOOK: three new constants in the Reference Constants block — STR vacancy market-wide Medellin 43%/57% (C161:D161), El Poblado prime professionally-managed 28%/40% (C162:D162), long-term letting El Poblado ~8% held for reference only (C163). Three new numbered references 14, 15, 16 at B67:B69 carrying the full source list and URLs. EVERY ONE OF THEM IS FLAGGED 'NOT AN OFFICIAL SERIES' IN THE REFERENCE TEXT: DANE publishes no short-stay occupancy data, so these are private aggregators (AirRoi, TheLatinvestor, Medellin Advisors, mikezapata.realestate) derived largely from platform scrapes. Ricardo was told this and instructed to cite them anyway; the reference text records that. NEW GUIDANCE COLUMN: Project Data L72 header plus L74:L83 verdicts, matching the existing column-K STR guidance pattern — reads e.g. '40% vacancy - Poblado prime 28%-40% - within band', with the estates reading 'El Retiro — no published series'. Three containsText conditional-format rules (green within band, yellow above band = conservative, red below band = overstated revenue), polarity deliberately inverted versus the STR-rate column because HIGHER vacancy is the conservative direction. Project Data D10 rewritten as a TEXT formula so the band, the occupancy equivalent and the estate exception all re-state themselves if any input moves. HYPOTHESIS RAISED AND DISPROVED — I need this on the record because I told Ricardo the opposite mid-task: I believed Properties AK (the T12 NOI column the whole cap-rate layer prices off) gated the service fee and maintenance reserve on OWNERSHIP while the statements gate them on RENTING, and proposed rewriting 14 formulas. Reading AK6 first showed rows 6-15 ALREADY carry the correct ownFix/rentFix split — maintenance reserve and service fee are renting-gated, exactly matching Property Detail rows 13/17 which read the '_Qtr Engine' Renting Flag and Renting All-In Basis. No inconsistency existed in the active model. Only the four INACTIVE backup rows AK16:AK19 still held the old single-'fixed' formula; those were aligned to the corrected pattern by copying AK15 down (values stay 0 — they are guarded by IF($U16=0,0,...) — so nothing moved). THIS ALSO EXPLAINS THE $48,224 GAP FROM ENTRY 168: my independent reconstruction charged ALL fixed costs on owned months, whereas the model correctly charges maintenance and the service fee only on renting months. So Properties AK21 IS reproducible after all and the audit exposure flagged in Entry 168 is materially smaller than I stated — I had modelled it wrong, not the workbook. VERIFIED: master check ALL CHECKS PASS at C140 (rows shifted +3 by the reference inserts), 42 checks, zero CHECK; Balance Sheet balance check 0 in all ten years; zero error cells anywhere except the two known logo in-cell #VALUE! at Cover F1 and Dashboard G1; guidance column and reference text read back rendered. NOT DONE — AWAITING RICARDO, both blocked on the same decision: (a) SERVICE FEE STRUCTURE. Making the fee per-property rather than flat requires rewriting all 364 formulas that reference 'Project Data'!$C$31 across Properties, Property Detail, Supporting Analysis, _IRR Engine, Portfolio Strategy, ServCo Financials and Glossary — the same class of job as the Properties 6:15 range sweep, and it needs its own pass. The cheap alternative is to change the fee LEVEL at C31, a single input: roughly $750/property/month would carry the reported cap rate to zero. A third option, which is the one I would argue for, is that the flat fee is largely DUPLICATIVE — the model already charges property management at 15% of gross rent AND housekeeping/turnover at 8% AND an asset-management fee at 1.5% of basis, and the flat fee's own descriptor says 'concierge, housekeeping coordination, guest services', which is what the 15% and the 8% already buy. Reference 13 benchmarks acquisition, development-management, asset-management and disposition fees but supports no flat per-door charge. NOTE: cutting it moves money from ServCo to Dulcinea and increases the parent's funding of the ServCo slice. (b) TAKING THE TWO EL RETIRO ESTATES OUT OF THE RENTAL PROGRAM depends on (a): zeroing their STR rate stops their rent but they would still be charged the flat fee, which is exactly the distortion being removed.</t>
  </si>
  <si>
    <t>Entry 171 — FLAT SERVCO SERVICE FEE ELIMINATED AS DUPLICATIVE (9/3/26, Ricardo chose option 3 of three offered: change the level / build a per-property column / drop it as duplicative). PRE-CHANGE STATE, for reversal: Project Data C31 = 1,500 (indigo input, 'Service fee per owned property (USD / month)'), descriptor D31 = 'Concierge, housekeeping coordination, guest services — charged from rental start, not during renovation'. Referenced by 364 formulas across Properties, Property Detail, Supporting Analysis, _IRR Engine, Portfolio Strategy, ServCo Financials and Glossary — none of which need rewriting, because setting the input to zero flows through all of them. Baseline immediately before this change: Investor XIRR 20.79%, deal-level 44.72% pre-tax / 28.80% after tax, capital called 6,826,773, MOIC 1.22x, active exit cap rate -0.24%, T12 NOI -24,585, stabilized NOI +44,872. ServCo Financials pre-change: asset management fee 76,729 + property service fees 27,000 + property management, total revenue 129,678 against total operating costs 242,913, the deficit funded by the Ashoka parent. THE ARGUMENT FOR REMOVAL: the model already charges property management at 15% of gross rental revenue, housekeeping and turnover at 8% of gross rent, and an asset-management fee at 1.5% of basis owned. The flat fee's own descriptor — concierge, housekeeping coordination, guest services — describes work the 15% and the 8% already pay for, so it was a third charge on the same service. It was also structurally regressive: a flat per-door amount meant Casa Monte Sereno at $14/m2 paid exactly what the Aires penthouse at $28/m2 paid, which is what drove the estates to negative NOI and dragged the active portfolio to breakeven. Reference 13 benchmarks acquisition, development-management, asset-management and disposition fees and supports NO flat per-door charge. CONSEQUENCE ACKNOWLEDGED: this moves money from ServCo to Dulcinea. ServCo loses the 27,000 of modelled property service fees (the figure is 27,000 rather than the 90,000 annualised number quoted in the NOI bridge because the fee only accrues in renting quarters and the holds are short), so the parent's funding of the ServCo slice increases by that amount. Ricardo was told this before choosing. ALSO CHANGED IN THE SAME PASS: the second axis of the Vacancy x ServCo Service Fee sensitivity grid had to be replaced. Its columns were defined as C31 plus or minus the step at C147, so with the fee at zero the axis would have read -1,000 / -500 / 0 / 500 / 1,000 — negative fees are meaningless. The axis is now PROPERTY MANAGEMENT as a percent of gross rent, centred on the 15% input at C30, which is the fee that now carries the servicing economics and is the assumption actually worth stress-testing. Sensitivity step row 147 repurposed from 'ServCo service fee (±, USD/property/month)' to 'property management (± percentage points)'.</t>
  </si>
  <si>
    <t>Service fee per owned property (USD / month) — consolidated into property management</t>
  </si>
  <si>
    <t>Sensitivity step — property management (± percentage points of gross rent)</t>
  </si>
  <si>
    <t>Sensitivity — Vacancy × Property Management → Active-Portfolio Exit Cap Rate (annual)</t>
  </si>
  <si>
    <t>Vacancy ↓ \ Property mgmt →</t>
  </si>
  <si>
    <t>property management ±</t>
  </si>
  <si>
    <t>Buyer's net yield, self-managed (ServCo management fees stripped)</t>
  </si>
  <si>
    <t>Property service fees — not charged</t>
  </si>
  <si>
    <t>Property service fee — not charged</t>
  </si>
  <si>
    <t>ServCo service fee (not charged)</t>
  </si>
  <si>
    <t>Vacancy × property-management grid centre ties to the headline exit cap rate</t>
  </si>
  <si>
    <t>Eliminated as duplicative — covered by property management and housekeeping</t>
  </si>
  <si>
    <t>Entry 172 — SERVICE-FEE REMOVAL CLEANUP PASS (9/3/26, Ricardo: 'finish and fix all'). Closes out Entry 171. NO MODEL VALUES MOVED — every write below is a label, a prose formula or a row height; master check still reads ALL CHECKS PASS at Project Data C140 and Investor/deal-level XIRRs are unchanged. VERIFIED FIRST, NOT REBUILT: the Vacancy x Property Management sensitivity grid on Supporting Analysis was already complete at five columns D:H (property management 10.0 / 12.5 / 15.0 / 17.5 / 20.0 percent, stepped off Project Data C147) with the 15 percent base case in the centre column F and the tie check at C139 reading F58 against Properties AH21 — an earlier read of mine stopped at column F and reported it as three columns; it was not. PROSE AND LABELS CORRECTED, all of which still described the flat fee as a live charge and rendered '$0': (1) Supporting Analysis C25 — NOI bridge line now 'Less ServCo property service fee — eliminated as duplicative (see Glossary)'; the line itself stays at zero so E26 keeps summing E21:E25 and the E28 window reconciliation is untouched. (2) Supporting Analysis B32 — the cap-rate narrative dropped the 'of which $0 is the flat ServCo service fee at $0/property/month' clause; it now attributes operating cost to rent-linked management, housekeeping and ICA (86,182) with the vacancy allowance (309,708) called out as taken above it, and the estate-rent sentence now blames the fixed per-property load of administracion, utilities and predial rather than the deleted fee. (3) Supporting Analysis B62 — the takeaway read 'cutting the service fee from $0 to $0/month adds about 0.10%'; second lever is now property management, 15.0 percent to 10.0 percent, which is what the grid's second axis actually tests. (4) Supporting Analysis C70 — 'ServCo management and service fee stripped' to 'ServCo management fees stripped'. (5) Glossary C74 — 'Property Service Fee' now defines the charge as eliminated as duplicative, names the two fees that cover the work, and records that the input is retained at zero so it can be reinstated by raising it. (6) Portfolio Strategy J13 — the flat fee was listed under INCLUDES inside operating income; moved to the EXCLUDES list, now 'the four ServCo fees not charged' alongside acquisition, renovation management and disposition. (7) Project Data B139 — check label 'Vacancy x service-fee grid centre' to 'Vacancy x property-management grid centre', matching the axis change made in Entry 171. ZERO LINES LABELLED RATHER THAN DELETED (no rows removed, so nothing shifted and no reference broke): Income Statement B45 'ServCo — property service fees (not charged)'; ServCo Financials B17 and B58 suffixed '— not charged', matching the existing 'not charged' convention already used on rows 14 and 18, and E58's basis text replaced with 'Eliminated as duplicative — covered by property management and housekeeping'; Property Detail B17/33/49/65/81/97/113/129/145/161/177/193/209/225/241 all read 'ServCo service fee (not charged)'. ROW HEIGHTS: Supporting Analysis row 62 was 14.5pt against 489 characters of wrapped prose — clipped before this pass, not by it — now 67pt; Glossary row 74 28.75 to 52.5pt for the longer definition; Supporting Analysis C25 deliberately shortened so the bridge row holds at 33pt in line with the other bridge labels, and ServCo E58 shortened so row 58 holds at 18pt like the rest of the fee schedule. ERROR SCAN: zero error cells workbook-wide except the two known in-cell logo images at Cover F1 and Dashboard G1. STILL OPEN, unchanged by this pass: taking the two El Retiro estates out of the rental program (Entry 170 item b) — now unblocked, since zeroing their STR rate no longer leaves them carrying a flat fee.</t>
  </si>
  <si>
    <t>Entry 173 — EL RETIRO ESTATES: TESTED OUT OF THE RENTAL PROGRAM, REVERTED, ITEM CLOSED ON THE MERITS (9/3/26, Ricardo: 'fix next'). Closes Entry 170 item (b) as a decided NO rather than as executed work. WHAT WAS TESTED: STR rate zeroed on the two El Retiro estates — Project Data J77 (Casa Montana Lote 2 / Samuel Gaviria House, baseline $28/m2) and J78 (Casa Monte Sereno, baseline $14/m2). RESULT, measured not estimated: stabilized NOI fell from $134,872 to $42,465; trailing-twelve-month NOI fell from $24,915 to NEGATIVE $45,656; the active-portfolio exit cap rate went from 0.243% to NEGATIVE 0.446%; deal-level XIRR 45.50% to 44.55%. REVERTED IMMEDIATELY to J77=28, J78=14 and verified back at baseline (Supporting Analysis E26 $134,872, E29 $24,915, G16 0.243%, E47 45.50%; Investor Return C22 21.45%, C21 1.227x MOIC, C23 payback year 3). WHY THE LOGIC REVERSED: the estates only looked loss-making BECAUSE of the flat $1,500/property/month service fee removed in Entry 171 — Casa Monte Sereno at $14/m2 was carrying the identical flat charge as the Aires penthouse at $28/m2, which is precisely the regressiveness that justified deleting the fee. With the fee gone both estates contribute positive margin, while their fixed ownership costs (predial at 0.6% against 0.45% elsewhere, administracion, utilities, insurance) are charged whether or not the property is offered for rent. Pulling the rent strips the contribution and leaves the cost behind, and it re-opens the negative exit cap rate that Entry 170 existed to fix. CONCLUSION: do not take the estates out of the rental program on financial grounds. IF IT IS EVER REVISITED for a non-financial reason (owner's own use, or not wanting short-stay guests in those two houses), the change is two inputs — J77 and J78 to zero — but it must be paired with a second fix: Project Data C10, the m2-weighted portfolio vacancy, averages across every active row and would keep weighting a 55% vacancy assumption on properties no longer being offered. The fix is to add a rented test to both legs of that SUMPRODUCT so non-rented rows drop out of the weighting; without it the headline vacancy and the centre column of the Vacancy x Property Management grid both misstate. NO NET CHANGE TO THE WORKBOOK FROM THIS ENTRY — the two inputs are back at their baseline values and every headline metric ties to its pre-test figure.</t>
  </si>
  <si>
    <t>Chart data (grouped — expand to view)</t>
  </si>
  <si>
    <t>Scenario</t>
  </si>
  <si>
    <t>Entry 174 — CAPITAL-GAINS / HOLD-PERIOD PROSE WAS FALSE; DASHBOARD CHART-DATA BLOCK TIDIED (9/3/26, Ricardo: 'capital gains holding is not true', then 'fix all'). NO MODEL VALUES MOVED — every write is prose, a label, a row height, a column width or a row group. THE FINDING: the workbook asserted in four places that every property is held two years or more and that sales are therefore taxed at Colombia's 15% ganancia ocasional rate instead of the 35% ordinary rate. That is false. Active holds (Properties S6:S10) are 4, 4, 3, 6 and 5 quarters — 9 to 18 months, basis-weighted average 13.2 months — and none reaches the 8 quarters the 15% rate requires under Ley 2277 de 2022. THE MODEL WAS ALREADY RIGHT: Income Statement row 70 reads MAX(0,gain)*IF(any property sold that year has hold &lt; 8 quarters, C25, C26), so it has always charged the ordinary 35% rate. Returns are NOT overstated and nothing recalculated — Investor XIRR stays 21.45%, MOIC 1.227x, deal-level XIRR 45.50%, master check ALL CHECKS PASS. Only the narrative was wrong, and it was wrong in the investor's favour, which is why it mattered. REWRITTEN, all as TEXT formulas driven off Properties S6:S15 and the D6:D15 active flags so they track any change to the exit schedule: Dashboard B5 (was 'sells after holds of two to four years — long enough for every sale to be taxed at 15%'; now states the 9-18-month range, the 13.2-month average, and that the 35% rate applies because no hold clears the threshold); Project Data D26 (the input descriptor claimed 'every hold in this model exceeds two years' — now says the opposite and notes the 15% input only bites above 8 quarters); Glossary C81 Hold Period; Glossary C107 Ganancia Ocasional; Glossary C110 Corporate Income Tax — C110 was the worst of the set, describing the 35% rate as 'zero in every year of this model' when it is zero only on RENTAL profit and fully live on SALE gains; Income Statement B70 label lost its false '(≥2-yr hold)' qualifier. ALREADY CORRECT, LEFT ALONE: Portfolio Strategy B23 and J14, and Income Statement N70, all describe the 8-quarter switch accurately. TWO FURTHER PROSE FIXES: Portfolio Strategy B40 said the optimal hold is 6 months while the schedule runs 9-18 — not a contradiction but an unexplained one, so it now reconciles the two through the 1-4 quarter marketing lag (works completion plus lag = the actual holds). Dashboard B61 read 'the reserve floor of $0 is held through peak deployment', a vacuous sentence built on a MIN that evaluates to zero; it now reports the reserve peak (17,346 in Year 1), the run-down, and the 0 close, all dynamic. APPRECIATION FIGURES IN THE STATE SNAPSHOT WERE MY OWN ERROR AND ARE FIXED IN B3: rev 8 said 'COP 8.5% driving derived USD 6.9%'. Actual is Project Data C48 = 7.81% COP, basis-weighted from per-property seeds of 8.50% (El Poblado apartments) and 7.15% (El Retiro houses), and C49 = 7.81% USD. The COP and USD rates read IDENTICAL only because peso depreciation at C6 is held at 0.0% — a permanently flat TRM at 3,090, which means the USD return carries no currency drag whatsoever. Flag that alongside the appreciation-level question, not separately. Dashboard B5's '7.8%/yr in USD' is correct as written. DASHBOARD CHART-DATA BLOCK (rows 62-82): the long descriptor paragraph sat in B64, the same row as the Entry 20%-40% column headers, so prose overflowed across the header cells — moved to its own merged caption at B62 (italic 10pt, 35pt). Three of the four sub-tables had no header-row label (B67 and B70 held junk ='' formulas) — now Scenario / Period / Period / Property in bold, matching the property table's existing pattern. Block unified to Aptos 10pt vertically centred, bold on header rows only, orphan formatting cleared from E74:I82, uniform 16pt row heights. Columns H and I were 48pt against 110pt elsewhere so the Year 6-7 cumulative figures rendered as #######; widened to 110pt (verified the KPI strip and all four charts above are unaffected). Rows 64:82 grouped — the label read '(expand)' but no group existed. Safe to collapse: all four charts anchor at rows 17, 26, 39 and 52, none over the block, and all four already carry plotVisibleOnly = false. NEW STANDING INSTRUCTION FROM RICARDO: never freeze top rows or columns on any tab in any workbook, and do not change the freeze panes that already exist (Project Data 4 rows; Properties 5r/5c; Property Detail 5r/2c; Portfolio Strategy 2 rows; _Qtr Engine 5r/2c; _IRR Engine 5 rows) unless he asks. OPEN, NOT ADDRESSED: the appreciation-level and zero-peso-depreciation question at B3.</t>
  </si>
  <si>
    <t>Method Notes — Returns Bridge (rows 7-17)</t>
  </si>
  <si>
    <t>N2 (row 8) — Active properties only: every line in this block is a SUMPRODUCT against the Properties activation column, so deactivating a property drops it from funds needed, exit value, NOI and the IRR. Per property: all-in basis ÷ (1 − entry discount) × (1 + appreciation)^hold years.</t>
  </si>
  <si>
    <t>N3 (row 9) — Row 7 / Total Funds Needed - 1. Gross value uplift only: before selling costs, taxes, holding costs and the time value of money.</t>
  </si>
  <si>
    <t>N4 (row 10) — t=0 of a simplified single-cycle cash flow: the whole acquisition outlay (purchase + closing costs + renovation budget), negative. Equals -D4.</t>
  </si>
  <si>
    <t>N5 (row 11) — t=1 carries 5 months of stabilized NOI — twelve less the 7-month works window, both derived from the active set rather than assumed.</t>
  </si>
  <si>
    <t>N6 (row 12) — t=2: twelve months of stabilized NOI grown at real rent growth (2.0%), plus the row-7 exit value less selling costs (3.8%).</t>
  </si>
  <si>
    <t>N9 (row 15) — Row 14 flows less fund G&amp;A spread monthly from Income Statement row 52 (asset-management fee, legal/admin, GMF) over the 3-year fund life. Overheads are base-case dollars in all three columns — they do not move with appreciation. Cost: 3.3% pts.</t>
  </si>
  <si>
    <t>N1</t>
  </si>
  <si>
    <t>N2</t>
  </si>
  <si>
    <t>N3</t>
  </si>
  <si>
    <t>N4</t>
  </si>
  <si>
    <t>N5</t>
  </si>
  <si>
    <t>N6</t>
  </si>
  <si>
    <t>N7</t>
  </si>
  <si>
    <t>N8</t>
  </si>
  <si>
    <t>N9</t>
  </si>
  <si>
    <t>N10</t>
  </si>
  <si>
    <t>N11</t>
  </si>
  <si>
    <t>Entry 175 — PORTFOLIO STRATEGY METHOD NOTES RELOCATED; RETURNS BRIDGE ROW HEIGHTS LEVELLED (9/3/26, Ricardo: 'fix all', after choosing 'keep the bridge compact, move notes to their own section'). NO MODEL VALUES MOVED — relocation of prose plus row heights, widths and merges. THE PROBLEM: the eleven method notes for the returns bridge sat in column O of rows 7-17, each merged across O:AH (20 columns, 960pt), sharing rows with the bridge itself in C:F. Row height could serve the notes or the bridge but not both, and it served neither: five note rows were clipped (row 13's XIRR note is 1,121 characters in a 69.5pt row, needing about 96pt) while rows 9, 10 and 12 sat at 37.75pt for a single line. Heights ran 18 / 66 / 32 / 37.75 / 37.75 / 19 / 37.75 / 69.5 / 25.25 x4 with no relation to content. WHAT WAS DONE: the eleven notes were copied VERBATIM into a new 'Method Notes — Returns Bridge (rows 7-17)' section at Portfolio Strategy B87:K98 — light-blue #D9E5F7 section bar with #3271D2 bold 12pt header at row 87, then one merged B:K row per note at rows 88-98, italic 11pt #555555, each row sized to its own text (52.5 / 38 / 23.5 / 23.5 / 23.5 / 23.5 / 96 / 38 / 38 / 23.5 / 52.5pt). Each note is prefixed 'N1 (row 7) —' through 'N11 (row 17) —' so it maps to the bridge line it explains. The copy was verified note-by-note against the originals BEFORE anything was cleared (a string-containment check on all eleven, with an abort path if any failed). Only then were O7:O17 unmerged and O6:AH17 cleared. The bridge now carries a compact 'Notes' column of N1-N11 cross-references in G6:G17 (centred, 11pt #555555) — placed immediately right of the value columns C:F rather than out at O, which had left a wide empty gap between the numbers and the labels. Rows 6-17 are now a uniform 25.25pt. Column O was cleared afterwards; the tab's used range shrank from A1:AH85 to A1:O98. This also brings the tab closer to the design standard's investor-core width rule (analyst detail out of the main table), without moving the notes off the tab entirely — Ricardo chose to keep them on Portfolio Strategy rather than migrate them to Supporting Analysis. VERIFIED: G6:H17 and B87:K92 rendered and read clean; no note text remains anywhere in G:N; master check ALL CHECKS PASS; workbook error scan clean except the two known logo #VALUE! cells at Cover F1 and Dashboard G1. NOTE FOR NEXT TIME: reading a cell inside a merged block returns the ANCHOR's value, which made the notes look like they lived in two different columns during the audit. Confirm a merge's anchor and cellCount before concluding where content sits.</t>
  </si>
  <si>
    <t>Entry 176 — APPRECIATION ANCHOR REVIEWED AND HELD; LAST OPEN ITEM CLOSED (9/3/26, Ricardo: 'fix and close all open'). NO MODEL VALUES CHANGED — the seeds stay exactly where they were; this entry records the review so the question is not re-litigated. THE REVIEW: Project Data F74:F83 carries per-property COP appreciation, seeded 8.50% for the El Poblado apartments (F74:F76, F79:F83) and 7.15% for the El Retiro estates (F77:F78), basis-weighting to 7.81% at C48 and, because peso depreciation at C6 is 0.0%, an identical 7.81% USD at C49. Those two seeds match the DANE IPVN national-by-type print for 2026 Q1 exactly (apartments 8.50%, houses 7.15%) — so the anchor was one quarter stale, since the Medellin Market Data tab already carries the 2026 Q2 print at apartments 8.88% and houses 6.67%, plus a Medellin-specific stratum table whose estrato alto (5-6) annual variation is 6.18%. THREE OPTIONS WERE PUT TO RICARDO WITH THE IMPACT QUANTIFIED OFF THE EXISTING BRIDGE (Portfolio Strategy rows 13-17, which already brackets appreciation at 5.8% / 7.8% / 9.8%): refresh to the Q2 national print, which basis-weights to roughly 7.75% and leaves Investor XIRR at about 21.5% because the estates carry 51% of active basis and their rate falls while the apartments' rises; switch every property to the 6.18% estrato alto figure, which cuts the weighted rate about 1.6 points and takes Investor XIRR from 21.45% to roughly 20.1% with deal XIRR near 43%; or hold the Q1 2026 seeds. RICARDO'S DECISION: HOLD the Q1 2026 seeds, on the multi-year record. Recorded on the input itself — Project Data D48 is now a TEXT formula that names the Q1 anchor and cites the newer Q2 figures and the estrato print as LIVE links to 'Medellin Market Data' D23, E23 and F29, so the descriptor updates itself if that tab is refreshed and a future reader can see both the choice and what was rejected. CURRENCY, CLOSED AT THE SAME TIME: peso depreciation at C6 = 0.0% is deliberate and documented at D6 on the post-election view (TRM strengthened from about 3,757 to about 3,130 during 2026), with that input designated as the stress lever. It is NOT an oversight, though it does mean the USD return carries no currency drag at all: 2%/yr of depreciation would pull USD appreciation from 7.81% to 5.70% — roughly the bridge's low column — and Investor XIRR to about 19.9%. Both figures are in the B3 snapshot for whoever reopens it. STATE SNAPSHOT: B3's 'OPEN DECISION FOR RICARDO (the only open item)' paragraph is replaced with 'NO OPEN DECISIONS', carrying the decision, its rationale and both quantified alternatives. As of this entry the workbook has no open items. VERIFIED: master check ALL CHECKS PASS; Investor XIRR 21.45%, MOIC 1.227x, payback Year 3, deal-level XIRR 45.50%, active exit cap rate +0.243% — all unchanged from before the review.</t>
  </si>
  <si>
    <t>Entry 177 — PROPERTY MANAGEMENT RAISED TO 20%; TAB RENAMED; SUPPORTING ANALYSIS BEING MERGED INTO PORTFOLIO ANALYSIS (9/3/26, Ricardo: 'Move supporting Analysis to Portfolio Strategy. Rename Portfolio Strategy, Portfolio Analysis. Increase property management to 25%' then 'move property management to 20% and execute plan'). THIS ENTRY IS THE PRE-MOVE RECORD required before any content is removed. (1) PROPERTY MANAGEMENT: Project Data C30 went 15.0% -&gt; 25.0% -&gt; 20.0% (final). At 25% the exit cap rate fell to 0.051%, five basis points off zero, which is why the intermediate figure is recorded here. FINAL STATE AT 20%: Investor XIRR 21.32% (was 21.45% at 15%), MOIC 1.2255x (was 1.227x), payback Year 3 unchanged, deal-level XIRR 45.34% (was 45.50%), stabilized NOI $116,691 (was $134,872), trailing-12-month NOI $15,046 (was $24,915), exit cap rate 0.147% (was 0.243%), yield on cost 0.229%. 20% sits at the top of the 15%-25% furnished-rental benchmark band shown on ServCo Financials E57, so it is defensible but no longer conservative. The Vacancy x Property Management sensitivity axis re-centred automatically to 15.0 / 17.5 / 20.0 / 22.5 / 25.0 percent with the base case still in centre column F; Glossary C73 and ServCo Financials D57 followed the input. TO REVERT: set C30 back to 0.15 — everything above is formula-driven off that one input. (2) RENAME: the 'Portfolio Strategy' tab is now 'Portfolio Analysis'. Excel re-pointed every cross-sheet reference automatically (verified: Supporting Analysis E47 reads ='Portfolio Analysis'!$E$13). Position unchanged, 9th in the tab order. Note that the design-standard skills and several _Handoff entries still say 'Portfolio Strategy' — read them as this tab. (3) THE MERGE, PRE-MOVE SNAPSHOT: Supporting Analysis occupies B1:H107 and holds 268 formulas, 177 of which carry internal absolute references. Its blocks are: cap-rate table and NOI bridge (rows 4-32), Investor KPI block (33-50), Vacancy x Property Management grid (52-62), pseudo cap-rate ladder (63-72), the two IRR sensitivity grids (75-91), and the rent card (93-106). Destination is Portfolio Analysis rows 101-207, a +100 row offset, chosen because that tab currently ends at row 98 (A1:O98). 21 external references point at Supporting Analysis today: Dashboard 15 (the chart-data block feeding all four charts), Glossary 4, Project Data 1 (the grid-centre tie check at C139), _Forced Assumptions 1. Column geometry was checked first and is compatible — the destination is wider on every column (C 347 vs 240, D:H 95 vs 90), so blocks reflow roomier with no clipping. TIE-OUT TARGETS the merge must reproduce exactly: cap rate 0.147%, yield on cost 0.229%, stabilized NOI $116,691, T12 NOI $15,046, deal XIRR 45.34%, Investor XIRR 21.32%, MOIC 1.2255x, master check ALL CHECKS PASS. The Supporting Analysis tab is to be deleted ONLY after that tie-out passes; if any figure moves, the move is reverted and the tab stays. Anyone reading this mid-flight: if both tabs exist and Portfolio Analysis has content below row 100, the merge was interrupted — the authoritative copy is whichever tab the 21 external references still resolve to.</t>
  </si>
  <si>
    <t>Entry 178 — MERGE EXECUTED AND VERIFIED; STATE SNAPSHOT REFRESHED TO REV 9 (9/3/26, continuation of Entry 177's plan). Supporting Analysis (B1:H107, 268 formulas) was copied into Portfolio Analysis at B101:H207 — a +100 row offset chosen because Portfolio Analysis ended at row 98. TRANSFORM: same-sheet absolute references (177 of them) were shifted +100 by regex outside quoted string literals only; cross-sheet references (Properties!, 'Project Data'!, etc.) and prose inside TEXT()-formula quotes were left untouched — verified on samples before writing (=SUM($E$21:$E$25) became =SUM($E$121:$E$125) while Properties!$AK$21 inside the same formula stayed put). Formats, merges and row heights copied separately via copy_paste_range and a row-height loop. 21 external references across Dashboard/Glossary/Project Data/_Forced Assumptions were then re-pointed from 'Supporting Analysis'!X{n} to 'Portfolio Analysis'!X{n+100} (actual count 24 once Cover's 2 were found in the sweep). TIE-OUT GATE PASSED before deletion: cap rate 0.147%, yield on cost 0.229%, stabilized NOI 116,690.67, T12 NOI 15,045.99, deal XIRR 45.34%, Investor XIRR 21.32%, MOIC 1.2255x — all exact matches to the pre-move Entry 177 baseline. Supporting Analysis tab deleted; 21 tabs to 20. POST-DELETE DEFECT FOUND AND FIXED: 60 cells (Portfolio Analysis C106:H115) broke to #REF! because the cap-rate table's property-index column used the positional formula =ROW()-5 — it returned 101 at the new row 106 instead of 1, so every INDEX(Properties!...,$B106) pointed past row 15. This is gotcha 12 (positional formulas break when moved) biting in practice. Fixed by replacing B106:B115 with literal values 1 through 10 — shift-proof per the standard. Re-scanned after the fix: zero #REF!, zero errors anywhere except the two permanent logo #VALUE! cells at Cover F1 and Dashboard G1. Rendered and visually confirmed all four Dashboard charts (Ending Cash, Investor Cash Flows, All-In Cost vs Exit Value, Portfolio IRR vs Investor IRR by Entry Discount) — all four read correctly off the relocated grids. Master check reads ALL CHECKS PASS, 43 checks, 0 failures; Project Data C139 now ties to 'Portfolio Analysis'!$F$158 instead of the deleted tab. STATE SNAPSHOT AT B3 REFRESHED TO REV 9: tab count 21-&gt;20, tab order updated, Portfolio Strategy references changed to Portfolio Analysis throughout, headline figures updated for the 20% property-management rate (Investor XIRR 21.45%-&gt;21.32%, MOIC 1.227x-&gt;1.2255x, deal XIRR 45.50%-&gt;45.34%, exit cap rate 0.243%-&gt;0.147%, stabilized NOI 134,872-&gt;116,691, T12 NOI 24,915-&gt;15,046, gross rent yield on cost 3.00%-&gt;2.29%), and a REV 9 DELTA paragraph appended narrating all three structural changes (property management rate, tab rename, tab merge) plus the ROW() gotcha for future reference. STANDING NOTE: Portfolio Analysis is no longer investor-core-only per the design standard's tab-role rule — it now carries both the investor-facing funds/exit/XIRR block (rows 1-98) and the full analyst detail (rows 101-207) that used to live on a separate tab. This was Ricardo's explicit instruction, not a drift; flag it as intentional if it comes up in a future design audit.</t>
  </si>
  <si>
    <t>Dulcinea — Portfolio Analysis: Selection, Exit Sensitivity &amp; Buy Box (USD)</t>
  </si>
  <si>
    <t>Entry 179 — POST-MERGE FORMATTING AUDIT ON PORTFOLIO ANALYSIS (9/3/26, Ricardo: 'fix and adjust all', scoped to the 4 candidates from the prior turn). Audited all four candidates one at a time with consent before each write, per standing instruction. (1) PORTFOLIO ANALYSIS FORMATTING: two defects found and fixed. B1's title still read 'Dulcinea — Portfolio Strategy: Selection, Exit Sensitivity &amp; Buy Box (USD)' from before Entry 177's rename — corrected to 'Portfolio Analysis'. B101, the relocated section band, still carried the old tab's navy fill #132E57 while B1 uses #1B2A4A — recoloured B101 to #1B2A4A so the tab reads as one consistent navy rather than two. Checked and found NOT defects: columns N:O at 48-49pt vs 95pt elsewhere — both columns are entirely empty on this tab, so the narrow width is harmless; row heights at 14.5pt on B133/B152/B163/B175/B193 — confirmed these are plain Aptos Narrow body rows, not section headers, so 14.5pt is correct. (2) DASHBOARD CHART-DATA BLOCK: scanned B62:I82 for stale 'Supporting Analysis' or 'Portfolio Strategy' references and for value errors — zero of either. Clean, no action needed. (3) 20% PROPERTY-MANAGEMENT SENSITIVITY VIEW: already exists and requires no new build. The Vacancy x Property Management grid at Portfolio Analysis B153:H162 auto-recentred on the Entry 177 rate change to 15.0 / 17.5 / 20.0 / 22.5 / 25.0 percent with the base case still in centre column F (F158). (4) No fourth item was raised beyond the three already closed in Entry 177/178 review. NO MODEL VALUES CHANGED — both fixes were text and fill-colour only, re-read and confirmed after each write. Master check and headline figures unaffected (Investor XIRR 21.32%, MOIC 1.2255x, deal XIRR 45.34%, exit cap rate 0.147% — unchanged from Entry 178).</t>
  </si>
  <si>
    <t>Entry 180 — PROPERTY MANAGEMENT REVERTED TO 15%; HOUSEKEEPING DELIVERY COST CORRECTED TO 5% OF RENT; FEE DESCRIPTIONS AND MARKET REFERENCES ADDED TO THE INCOME STATEMENT (9/3/26, Ricardo). SUPERSEDES ENTRIES 177-179 ON THE PROPERTY-MANAGEMENT RATE — read this entry for the live figure. (1) PROPERTY MANAGEMENT IS BACK AT 15.0% (Project Data C30). The full path this session was 15% -&gt; 25% -&gt; 20% -&gt; 15%; Entries 177, 178 and 179 all describe 20% as live and are STALE on that single point. Reverting restored every figure exactly to its pre-session value: Investor XIRR 21.45%, MOIC 1.227x, payback Year 3, deal-level XIRR 45.50%, stabilized NOI $134,872, T12 NOI $24,915, exit cap rate 0.243%, yield on cost 0.379%. The sensitivity axis re-centred to 10.0 / 12.5 / 15.0 / 17.5 / 20.0 percent with the base case in centre column F; Glossary C73 and ServCo Financials D57 followed automatically. A useful side effect: Project Data D31, the service-fee descriptor that hardcodes '15% of gross rent' in prose, is accurate again — but it is still a TYPED number in a text cell, so it will go stale again the moment C30 moves. Worth converting to a formula. (2) HOUSEKEEPING DELIVERY COST: Ricardo confirmed the 8% housekeeping charge is billed TO THE PROPERTY (Dulcinea pays it, which the model already had right at Income Statement row 37) and that ServCo's cost to deliver it is 5% OF GROSS RENT, not the 4% the model implied. The input at Project Data C153 is expressed as a percentage OF BILLINGS, so it moved from 50% to 62.5% (5 divided by 8). NO EFFECT ON INVESTOR RETURNS — Dulcinea pays 8% either way; this input only sets ServCo's cost of goods, so ServCo's housekeeping margin narrows from 4% to 3% of gross rent and its parent-funded deficit grows by roughly $1,974 across the program on ~$15,790 of billings. THREE DISPLAY DEFECTS SURFACED AND WERE FIXED with that change: C153's number format was 0%, which rendered 62.5% as a misleading '63%' — now 0.0%; D153's descriptor read 'half the pass-through billing', true at 50% but wrong at 62.5% — now a formula reading 'Delivery cost runs at 62.5% of the pass-through billing, i.e. 5.0% of gross rent against the 8.0% billed'; and ServCo Financials E60 had the same 0% rounding — now shows both the 62.5%-of-billings and the 5.0%-of-gross-rent figures. (3) REFERENCE 10 CORRECTED (Project Data B63). The source note claimed 'Model holds COP appreciation at 8.5%... 8.5% less ~1.5%/yr = 6.9% USD, the derived rate the model applies' — contradicting the live inputs on both legs. It now states the per-property seeds (8.50% apartments / 7.15% houses at F74:F83) basis-weighting to 7.81% at C48, that peso depreciation at C6 is 0.0% by decision so the derived USD rate at C49 is ALSO 7.81% with no currency drag, and that netting the ~1.5%/yr long-run depreciation would give roughly 6.2% USD as a STRESS CASE, not the live assumption. (4) FEE DESCRIPTIONS AND MARKET REFERENCES written to Income Statement N37:N51, one per line, italic 10pt #4A5561 wrapped and vertically centred to match the tab's existing notes at N69/N70. Every rate cited is a TEXT() formula against Project Data, so the notes track their inputs. Rows resized 35pt for two-line notes and 22pt for one-line (up from 18pt, which clipped them) — this makes the operating-expense block taller than before; the alternative is a separate notes section, offered but not taken. Each note gives the line's definition, how it is charged (rent-linked, basis-linked, or per-property), and the numbered market reference. FINDINGS RECORDED IN THOSE NOTES, worth carrying forward: THREE COST LINES HAVE NO EXTERNAL BENCHMARK — maintenance reserve 0.5%/yr (qualitative descriptor only), Dulcinea legal/accounting/admin $30,000/yr (direct budget estimate), and insurance 0.15%/yr (the 0.1%-0.2% band is in the input descriptor but is not tied to a numbered source). ONE DEFINITIONAL MISMATCH — the asset-management benchmark in ref 13 is quoted on EQUITY, the model charges 1.5% on BASIS; close with no debt, but not the same measure. FOUR SERVCO FEES REMAIN NOT CHARGED (acquisition ~1%, renovation management 3-5%, disposition 0.5-1%, flat service fee) — investor-generous, and the renovation-management waiver is the most notable given every property runs a 9-month works programme. TWO OPEN QUESTIONS RAISED BUT NOT ACTIONED: (a) IVA — Colombian VAT at 19% is generally chargeable on property-management and housekeeping services, and the model has no VAT line anywhere despite 23% of gross rent flowing to ServCo in fees; if IVA applies and is not recoverable this is a real omitted cost. (b) Possible double-count between property management at 15% and housekeeping at 8% — the 15%-25% market band for furnished management typically INCLUDES guest servicing, the same argument that justified eliminating the flat service fee; and rows 43 and 44 carry two separate maintenance lines ('Utilities &amp; maintenance' and 'Maintenance reserve') with no stated boundary between them. Master check ALL CHECKS PASS throughout.</t>
  </si>
  <si>
    <t>Entry 181 — REVISED CASA MONTANA WORKS PROPOSAL REVIEWED; BUDGET AND TIMELINE DELIBERATELY HELD AS IS (9/3/26, Ricardo: 'keep as is'). NO MODEL CHANGES. Document reviewed: 'VALORES APROX OBRAS ADICIONALES - CASA MONTANA LOTE 02 Revised 01.pdf', 9 pages, architect's revised relacion de mejoras y ampliaciones. WHAT THE REVISED PROPOSAL SAYS: total COP 1,318,600,000 across seven packages — piscina 74 m2 with lap lane and kids' beach COP 577.7M (12 wks construction), alcoba piso 2 + plataforma 80 m2 COP 335.35M (9 wks), alcoba posterior con bano 25 m2 COP 179.0M (10 wks), piso madera natural IPE/Cumaru 120 m2 COP 96.6M (6 wks), estudio/bano/linos 15 m2 COP 54.45M (4 wks), fachadas cocina/enchape/zocalo 20 m2 COP 43.5M (6 wks), zona de ropas y alcoba servicio 10 m2 COP 32.0M (4 wks). Areas: intervention 342 m2, expansion incl. pool 194 m2, current house 397 m2, TOTAL WITH EXPANSIONS 591 m2. THE TOTAL IS UNCHANGED from the version already cited in Reference 2 (Project Data B55) at COP 1,318.6M, and the 591 m2 figure already matches Properties I9 exactly — so nothing in the revision contradicts what the model carries on area or on the architect's number. THE ONE DISCREPANCY, WHICH PREDATES THIS UPLOAD AND IS NOW A RECORDED DECISION, NOT AN ERROR: Properties L9 carries COP 1,700M against the architect's COP 1,318.6M — a COP 381.4M / USD 123,430 gap, i.e. the model budgets 29% above the estimate. RICARDO'S DECISION: HOLD 1,700M. Rationale: the proposal explicitly excludes licence/legalisation costs and states that values must be adjusted once designs and studies exist, so the excess stands as contingency (and possibly FF&amp;E, which the architect's scope does not cover). DO NOT 'correct' L9 down to 1,318.6M on the basis that it disagrees with Reference 2 — the difference is intentional headroom. QUANTIFIED, SHOULD IT EVER BE REVISITED: cutting L9 to 1,318.6M would take Casa Montana's renovation from USD 550,162 to 426,731 (-22.4%) and its all-in basis from 1,714,482 to 1,591,052; portfolio renovation would fall from USD 1,896,440 to 1,773,010 (-6.5%) and portfolio all-in basis from 6,571,966 to 6,448,536 (-1.88%). Because exit value is comparable-driven off the 591 m2 and would not move, the full 123,430 would drop to the bottom line and improve returns. Casa Montana is 29% of the active portfolio's entire renovation spend, so this single input dominates the works line. TIMELINE ALSO HELD AT 3 QUARTERS (Properties R9). The proposal's discipline tables support two readings: pre-construction critical path is 8 weeks (2 wks architectural + 4 wks structural + 2 wks budget/programming, running the design disciplines concurrently across packages); construction is 51 weeks if the seven packages run in series but only 12 weeks if they run concurrently, the pool being the binding single package. So SEQUENTIAL = 59 wks / 13.6 months / 4.5 qtrs, and FULLY PARALLEL = 20 wks / 4.6 months / 1.5 qtrs. The model's 3 quarters (39 weeks) sits between them — it assumes meaningful parallelism but not full concurrency, which is a defensible central case: the pool is a standalone structure that can genuinely run alongside interior works, while the two new bedrooms both require structural design and would compete for the same crew. RISK TO WATCH: Casa Montana is already the portfolio's longest works programme at 3 quarters against 2 for every other property, so it sets the works tail. A slip to 4 quarters would extend its hold from 6 to 7 quarters — still inside the 8-quarter capital-gains threshold, so no tax cliff, but it would push the exit and dilute the IRR through the annualisation effect the Exit Timing grid documents.</t>
  </si>
  <si>
    <t>Input</t>
  </si>
  <si>
    <t>Dulcinea Portfolio Investment Model — Input</t>
  </si>
  <si>
    <t>10. Market appreciation in USD (per-property inputs): PRIMARY SOURCE — DANE, Boletín técnico Índice de Precios de Vivienda Nueva (IPVN), II trimestre 2026: national annual variation 8.80% (Q2 2026 vs Q2 2025), apartments 8.88% and houses 6.67% annual; quarterly +2.41% vs Q1 2026 (houses +3.68%, apartments +2.37%). The IPVN measures PESO prices. Model holds COP appreciation as PER-PROPERTY inputs (Input F74:F83), seeded 8.50% for El Poblado apartments and 7.15% for El Retiro houses off the 2026 Q1 print, basis-weighting to 7.81% at C48. Peso depreciation at C6 is held at 0.0% by decision (see D6), so the derived USD rate at C49 is also 7.81% — the model applies no currency drag. Netting off the ~1.5%/yr long-run depreciation in ref 11 would instead give roughly 6.2% USD; that is a stress case, not the live assumption. dane.gov.co/files/operaciones/IPVN/bol-IPVN-IItrim2026.pdf | series page: dane.gov.co/index.php/estadisticas-por-tema/construccion/indice-de-precios-de-vivienda-nueva-ipvn. SECONDARY (city-level prints, press coverage of earlier DANE releases): Medellín +8.29% annual Q4 2025 and +8.77% full-year 2025 — elcolombiano.com, semana.com, infobae.com (Mar–May 2026)</t>
  </si>
  <si>
    <t>11. USD/COP for the peso-to-dollar bridge: ~2,000 COP/USD in the early 2000s; all-time high 5,118 (Nov 2022); 2026 average 3,596–3,611, range 3,175–3,806; spot ~3,100–3,660 (Apr–Aug 2026), with the peso up 13–22% against the dollar over the trailing twelve months. Long-run depreciation therefore averages roughly 1.5%/yr, but the path is highly volatile. Model TRM is fixed at the Input input and FX is not projected. tradingeconomics.com/colombia/currency, exchangerates.org.uk, theglobaleconomy.com (2026)</t>
  </si>
  <si>
    <t>N1 (row 7) — Sensitivity axis: USD appreciation, centred on the portfolio basis-weighted rate (7.8%) at ±2 points. Appreciation is a PER-PROPERTY input (Input column F, in COP) — 8.5% for the El Poblado apartments and 7.2% for the El Retiro houses, per the DANE apartment/house split. Each column shifts every property's own rate by the same offset, so the columns are a parallel move in the market, not a re-ranking of the assets. Peso depreciation is 0.0%: the high column is therefore a stronger property market, not a currency bet.</t>
  </si>
  <si>
    <t>N10 (row 16) — Row 15 flows less carry at the final sale: 20% of cumulative profit above returned capital (Input C45) = $384,545. Deal-timed — before the cash-timing effect below. Cost: 4.6% pts.</t>
  </si>
  <si>
    <t>Per-deal economics. Indigo cells are inputs; all other columns are formulas driven by Input.</t>
  </si>
  <si>
    <t>Model TRM (fixed, Input)</t>
  </si>
  <si>
    <t>Cost Assumptions (inputs on the Input tab)</t>
  </si>
  <si>
    <t>Every defined term used in this workbook. Figures quoted below update automatically with the inputs on the Input tab.</t>
  </si>
  <si>
    <t>Edit only indigo-font cells on the Input tab — every other cell is a formula or a cross-sheet link and updates automatically. Font color tells you a cell's role at a glance; see the Color-Code Legend below.</t>
  </si>
  <si>
    <t>Hardcoded, user-editable assumption. Lives on the Input tab or the Properties deal columns.</t>
  </si>
  <si>
    <t>Model start — Input C7</t>
  </si>
  <si>
    <t>Entry 182 — TAB RENAMED: 'Project Data' -&gt; 'Input' (9/11/26, Ricardo: 'change Project Data to Input'). Sheet renamed via the worksheet name property; Excel auto-repointed all inbound formula references. Visible prose referencing the old tab name was updated in 35 cells across 13 tabs: Cover B6, B15; Dashboard B51; Input B1, B63, B64; Income Statement B2, N40:N43; Portfolio Analysis B2, B88, B95, B97, B102, B207; Properties E2; Property Detail B2; Medellin Market Data B50; ServCo Financials B4; Glossary B2, B5, C8, C26, C83, C87, C93, C103, C129, C132; _Qtr Engine A2; _IRR Engine A2, P10, P11. Phrasing normalised ('on Project Data' -&gt; 'on the Input tab', 'Project Data column X' -&gt; 'Input column X'). Historical _Handoff entries retain the old name as written. Post-change scan: zero remaining 'Project Data' strings outside _Handoff; the only # cells in the workbook are the pre-existing in-cell logo images at Cover F1 and Dashboard G1. No model values changed.</t>
  </si>
  <si>
    <t>Exit Sensitivity — Entry Discount →</t>
  </si>
  <si>
    <t>Portfolio exit value</t>
  </si>
  <si>
    <t>Deal XIRR after tax</t>
  </si>
  <si>
    <t>Entry 183 — CARRY QUESTION ANSWERED; NO MODEL CHANGES (9/17/26, Ricardo: 'what is the carry for the Dulcinea fund itself paid from investors results?'). Read-only session. ANSWER, from Investor Return: carry to the Managing Member (KIT) is 20% of distributions above returned capital, with NO preferred-return hurdle in the model. Gross distributions 8,699,798 less capital called 6,777,075 = 1,922,723 of profit x 20% = 384,545 carry, all taken in Year 3 (Oct-28 – Sep-29), the year cumulative distributions cross returned capital (Investor Return row 10 / C18). Investors keep 8,315,254 after carry, net profit 1,538,179, MOIC 1.227x, Investor XIRR 21.45% — all matching the rev 10 snapshot at B3, so nothing has drifted since Entry 182. HOUSEKEEPING: the B3 snapshot still named the tab 'Project Data' in its tab order and cell references; those strings were replaced with 'Input' in B3 this session (Entry 182 rename). Cell addresses on that tab are unchanged. The two open questions from Entry 180 (19% IVA on ServCo services; possible property-management/housekeeping double-count) remain the only open items.</t>
  </si>
  <si>
    <t>Entry 184 — HEADLINE OUTPUTS RE-VERIFIED AGAINST REV 10; NO CHANGES (9/17/26, Ricardo: 'update handoff'). Read-only session, no writes anywhere in the workbook except this entry. VERIFIED LIVE, all exact matches to the rev 10 snapshot at B3: capital called through final exit 6,777,075 · gross distributions 8,699,798 · carry to the Managing Member (KIT) at 20% 384,545 · distributions to Investors after carry 8,315,254 · net profit to Investor 1,538,179 · Investor MOIC 1.227x · Investor XIRR 21.45% (Investor Return C22, linked to '_IRR Engine' Q15) · annual IRR reconciliation 21.52% at C24 · payback model year 3. KEY INPUTS CONFIRMED UNMOVED: property management 15.0% (Input C30 — the rev 10 reversion is still in place, NOT the 20% or 25% described in Entries 177-179) · flat property service fee 0, still eliminated (C31) · housekeeping delivery cost 62.5% of billings = 5.0% of gross rent (C153) · peso depreciation 0.0% by decision (C6) · COP appreciation 7.81% basis-weighted, derived USD 7.81% (C48/C49). Master check at Input C140 reads ALL CHECKS PASS across C93:C139, 43 checks, 0 failures. NOTHING HAS DRIFTED since Entry 183, so the rev 10 snapshot at B3 stands as written and was not re-dated. STILL THE ONLY OPEN ITEMS, unchanged since Entry 180: (a) 19% Colombian value added tax (IVA) on service company services is absent from the model entirely, despite 23% of gross rent flowing to ServCo in fees; (b) property management at 15% plus housekeeping and turnover at 8% may double-count guest servicing — the same argument that eliminated the flat service fee — while Income Statement rows 43-44 carry two undelineated maintenance lines.</t>
  </si>
  <si>
    <t>Monthly ask after cap (USD)</t>
  </si>
  <si>
    <t>First model year with distributions (none paid before this year)</t>
  </si>
  <si>
    <t>Entry 110 — MATERIAL MODEL CHANGE: SERVCO PERSONNEL &amp; OFFICE ALLOCATIONS REMOVED FROM THE DULCINEA INCOME STATEMENT (Ricardo: 'Dulcinea income statement should only have the ServCo items that are charged to Dulcinea so ServCo will remain negative for now'). DEFECT: Dulcinea was being charged BOTH the arm's-length fee schedule AND ServCo's own internal costs — a double count. Under the fee schedule ServCo charges Dulcinea: asset management fee, property management fee, property service fee, and housekeeping at cost (plus acquisition / renovation-management / disposition fees, which are currently not charged). ServCo's personnel allocation and office/tools are ServCo's COSTS OF DELIVERING those fees, not separate charges to Dulcinea. DELETION LOG — Income Statement rows 50/51/52 removed, with their exact formulas: row 50 'ServCo — management &amp; personnel, Colombia (fixed)' = ='ServCo Personnel'!$I$20*MIN(4,MAX(0,'Project Data'!$D$8-(C$4-1)*4))/4 (Y1 195,680); row 51 'ServCo — management &amp; personnel, US (fixed)' = ='ServCo Personnel'!$I$19*MIN(4,MAX(0,'Project Data'!$D$8-(C$4-1)*4))/4 (Y1 165,600); row 52 'ServCo — office, tools &amp; administration (fixed)' = ='ServCo Financials'!$C$5*MIN(4,MAX(0,'Project Data'!$D$8-(C$4-1)*4))/4 (Y1 60,000 at the time the formula was written, 20,000 after Ricardo cut the input). All three carried the horizon gate MIN(4,MAX(0,D8-(year-1)*4))/4 so they stopped at the final sale quarter. Total removed from Dulcinea G&amp;A: 381,280/yr in Year 1. RETAINED on the Dulcinea income statement (genuinely charged to Dulcinea): housekeeping at cost (row 37), ServCo property management 15% of rent (38), ServCo property service fees (45), ServCo asset management fee (49), plus Dulcinea's own legal/accounting/admin and GMF. ServCo Financials is UNCHANGED — it still carries allocated team cost, office/tools and service delivery as its own costs against the fees it earns, so its Dulcinea-slice margin stays negative and the Ashoka parent absorbs it, exactly as Ricardo directed. Dependent references verified before deleting: Statement of Cash Flows C60:H60 (=-'Income Statement'!C56 total opex) and The Ask C13 (='Income Statement'!C56) point at the TOTAL row, which Excel re-pointed automatically; Total G&amp;A =SUM(C49:C54) and Total operating expenses auto-contracted. ServCo Financials' revenue links (IS rows 42/44/45/46) sit above the deleted rows and were unaffected. RETURNS IMPACT AND VERIFICATION RECORDED BELOW. VERIFICATION RESULTS: Income Statement after the delete — Total General &amp; Administrative 491,143 -&gt; 108,338 (asset management fee 45,296 + Dulcinea legal 50,000 + GMF 13,043); Total operating expenses 636,776 -&gt; 253,971; formulas auto-contracted to =SUM(C49:C51) and =C46+C52. Dependents re-pointed by Excel and re-read: Statement of Cash Flows C60 = -'Income Statement'!C137 (renders (253,971)) and The Ask C13 = 'Income Statement'!C137. RETURNS (material): total capital invested 4,998,231 -&gt; 3,467,012 (lower opex means smaller capital calls); distributions 6,930,070 -&gt; 7,887,081; net profit 1,931,838 -&gt; 4,420,069; MOIC 1.39x -&gt; 2.27x; Investor IRR 7.0% -&gt; 17.1%; payback year 7 unchanged. ServCo Financials unchanged and still negative as directed: revenue 312,288 (Y1) / 198,546 (Y6) against costs 465,746 / 458,755, margin (153,458) / (260,210). COLLATERAL BREAK FOUND AND FIXED: Portfolio Strategy E13 threw #REF! because its formula summed 'Income Statement'!C136+C48+C49+C50 — the stale reference flagged earlier this session (it was summing NOI plus a blank section header, and rows 50-52 no longer exist). Repointed to ='Income Statement'!C121 (Total General &amp; Administrative) and reworded to '— spread vs deal IRR = cost of the fund structure ($108K/yr of fund overheads)', which is now the correct overhead layer. RED-TRIANGLE NOTES REMOVED: the 8 legacy notes added to Portfolio Strategy C6:C13 earlier this turn were deleted (0 remain) and replaced with a VISIBLE notes column at J5:J13 headed 'Notes' (Aptos 10 italic gray #4A5561, wrapped, top-aligned, column width 300, autofit heights 28-138pt). Column J was chosen because G:H hold the hold-optimization block. J12 and J13 spell out the IRR composition in full: J12 lists what the deal-level IRR includes (property management 15%, housekeeping 8%, service fee $1,500/mo, predial, insurance, maintenance reserve, HOA, utilities, ICA, 30% vacancy, 3.8% selling costs) and excludes (asset management fee, Dulcinea legal/accounting, GMF, both taxes, capital-call timing, and the three uncharged ServCo fees); J13 states that the fund-level IRR adds the overhead layer, taxes and real call timing, and that ServCo personnel/office are not charged to Dulcinea. Workbook error sweep now clean except the known Dashboard F1 in-cell image; Project Data master check ALL CHECKS PASS.</t>
  </si>
  <si>
    <t>Entry 99 — SERVCO FINANCIALS REBUILD COMPLETED (continuation of Entry 98; Ricardo refined: 'pertinent and blue variables at the top section followed by an income statement, followed by a cash flow statement' + 'mind your format and design rules'). FINAL LAYOUT (RC-CFI v2 styling: #1F4E78 bars 20pt white bold, #D9EAF7 subsections/total bands navy bold, Aptos 11, 18pt body rows, indentLevel 1 detail lines, money format with en-dash zeros, no borders): row 1 title band 'ServCo (Ashoka Unit) — Income Statement, Dulcinea Slice (USD)'; row 2 subtitle; row 4 Inputs bar; rows 5-6 the two indigo #1F4EAD inputs (office/tools 60,000; service delivery 115,000 — top-of-tab placement per Ricardo's rule); row 7 allocation-policy prose (live TEXT() off ServCo Personnel H6/H9:H12); row 9 Income Statement bar with Year 1-6; rows 10-11 model year (=COLUMN()-2) / period (EDATE off 'Project Data'!$D$6); row 12 Revenue subsection; rows 13-19 seven fee lines (acq via Properties Q/M x D73, renov via engine row 31 x D74, asset/prop-mgmt/service-fees/housekeeping ='Income Statement'!C114/C45/C46/C42, dispo via engine row 71 x D75); row 20 Total revenue band; row 21 Operating Costs subsection; rows 22-25 team ='ServCo Personnel'!$I$17*infl, office =$C$5*infl, housekeeping =C19, delivery =$C$6*infl; row 26 Total operating costs band; row 27 Operating margin band; row 28 margin %; row 29 parent-absorption note; row 31 NEW ServCo Cash Flow bar: row 32 Cash from operations (=margin), row 33 Funding from Ashoka parent =MAX(0,-CFO), row 34 Net cash flow band (renders '–' all years), row 35 Cumulative funding from parent (282,807 -&gt; 2,234,243 by Y6); row 37 Fee Schedule bar + table rows 38-45 (rates link to Project Data D73/D74/D32/D33/D34/D75; PM range cell shortened to '15% – 25%' with long-term note moved into 'Charged on' to fix clipping); row 47 Memo bar + rows 48-53 (currently charged =C15+C16+C17+C19, incremental, % of basis via engine row 57, % of rental rev via IS C7, program total =SUM(row 20)=1,780,622 with dynamic Year-7 label, confidentiality pointer). A double blank row (old 8-9) was collapsed by deleting one row — internal refs auto-adjusted, re-verified after. VERIFIED post-rebuild: total revenue by year 312,288 / 279,806 / 389,724 / 320,711 / 273,540 / 204,553 (matches pre-rebuild); costs 595,095 -&gt; 745,759; margin (282,807) -&gt; (541,206), -47.5% -&gt; -72.6%; zero error cells on the tab; Project Data master check ALL CHECKS PASS. No other sheet references ServCo Financials (verified at Entry 93), so no external breakage. Old blocks removed: separate 'Charges to Dulcinea' table, Y1-only Management &amp; Personnel snapshot (folded into Allocated team cost line), old Service P&amp;L (merged into the IS).</t>
  </si>
  <si>
    <t>Entry 98 — SERVCO FINANCIALS REBUILT AS A SERVCO INCOME STATEMENT (Ricardo: 'this tab should be mostly an income statement for ServCo' + 'Blue variables should either be in Project Data or at the top of this tab'). PRE-REBUILD SNAPSHOT (layout being replaced; all formulas re-created from the same sources, no values change): rows 4-5 model-year/period header; rows 7-15 Fee Schedule (Service/Industry range/Rate applied/Charged on; rates link D9='Project Data'!$D$73, D10=$D$74, D11=$D$32, D12=$D$33, D13=$D$34, D14=$D$75); rows 17-27 Charges to Dulcinea by year: C18 acq =SUMPRODUCT((ROUNDUP(Properties!$Q$6:$Q$15/4,0)=C$4)*Properties!$M$6:$M$15)*'Project Data'!$D$73, C19 renov =SUMIF('_Qtr Engine'!$C$5:$AP$5,C$4,'_Qtr Engine'!$C$31:$AP$31)*'Project Data'!$D$74, C20 asset ='Income Statement'!C114, C21 prop mgmt =IS!C45, C22 service fees =IS!C46, C23 dispo =SUMIF(engine row 71)*$D$75, C24 housekeeping =IS!C42, C25 total =SUM, C26 currently charged =C20+C21+C22+C24, C27 incremental =C25-C26; rows 29-33 Management &amp; Personnel Y1 links (C30 =ServCo Personnel I19, C31 =I20, C32 =I17) + confidentiality note; rows 34-39 Other ServCo Costs inputs (C35=60000, C36=115000) + allocation-policy prose; rows 41-49 Service P&amp;L (C43 team =I17*infl, C44 =$C$35*infl, C45 =C24, C46 =$C$36*infl, C47 total, C48 margin, C49 %); rows 51-54 memo (% of basis via engine row 57, % of rental rev via IS!C7, program total =SUM(C25:H25)=1,780,622 with dynamic Year label from 'Project Data'!$D$7). NEW LAYOUT: rows 1-2 title/subtitle (title renamed to income-statement framing); row 4 Inputs bar; rows 5-6 the two blue inputs (office/tools 60,000; service delivery 115,000) — now at the TOP per Ricardo's rule; rows 7-8 allocation-policy prose (links to ServCo Personnel H6/H8:H11); row 10 statement bar with Year 1-6; rows 11-12 model year/period; row 13 Revenue label; rows 14-20 seven fee revenue lines; row 21 Total revenue band; row 22 Operating Costs label; rows 23-26 team/office/housekeeping-delivery/service-delivery (fixed lines inflate per Entry 97); row 27 Total operating costs band; row 28 Operating margin band; row 29 margin %; row 31 parent-absorption note; row 33 Fee Schedule bar (reference block moved BELOW the statement); rows 34-41 fee table; row 43 Memo bar; rows 44-49 memo lines (currently-charged, incremental, % of basis, % of rental revenue, program total, confidentiality pointer). VERIFY TARGETS: total revenue by year 312,288 / 279,806 / 389,724 / 320,711 / 273,540 / 204,553; program total 1,780,622; Y1 operating margin (282,807). No other sheet references ServCo Financials (re-verified before Entry 93), so the rebuild is externally safe. ROLLBACK: reconstruct per this snapshot.</t>
  </si>
  <si>
    <t>Contribution Margin by Property</t>
  </si>
  <si>
    <t>Property sale (gross)</t>
  </si>
  <si>
    <t>Less: cost basis released on sale</t>
  </si>
  <si>
    <t>Contribution margin</t>
  </si>
  <si>
    <t>CM % of revenue</t>
  </si>
  <si>
    <t>Portfolio Contribution Margin</t>
  </si>
  <si>
    <t>Total variable costs</t>
  </si>
  <si>
    <t>Total Contribution Margin</t>
  </si>
  <si>
    <t>of which — rental CM</t>
  </si>
  <si>
    <t>of which — sales CM</t>
  </si>
  <si>
    <t>Contribution margin by property</t>
  </si>
  <si>
    <t>Fixed Costs</t>
  </si>
  <si>
    <t>Total property-level fixed costs</t>
  </si>
  <si>
    <t>Fund-level</t>
  </si>
  <si>
    <t>Total fund-level fixed costs</t>
  </si>
  <si>
    <t>Total fixed costs</t>
  </si>
  <si>
    <t>Margin after direct fixed costs</t>
  </si>
  <si>
    <t>Margin after direct fixed costs, % of revenue</t>
  </si>
  <si>
    <t>Margin after direct fixed costs by property</t>
  </si>
  <si>
    <t>Less: direct fixed costs</t>
  </si>
  <si>
    <t>Renovation period (months) — no rent while under works</t>
  </si>
  <si>
    <t>Monthly Cash-Flow Engine (internal)</t>
  </si>
  <si>
    <t>Calendar month</t>
  </si>
  <si>
    <t>Owned Flag (1 = owned in month)</t>
  </si>
  <si>
    <t>Renting Flag (1 = renting in month)</t>
  </si>
  <si>
    <t>=TEXT(EDATE(Input!$C$7,(H10-1)*12),"mmm-yy")&amp;" – "&amp;TEXT(EDATE(Input!$C$7,H10*12-1),"mmm-yy")</t>
  </si>
  <si>
    <t>Month Purchased (model month #)</t>
  </si>
  <si>
    <t>Renovation Length (months)</t>
  </si>
  <si>
    <t>Total Hold (months)</t>
  </si>
  <si>
    <t>Rental Start (model month #)</t>
  </si>
  <si>
    <t>Month Sold (model month #)</t>
  </si>
  <si>
    <t>Month</t>
  </si>
  <si>
    <t>Marketing lag bounds — best case / worst case / mean / sigma (months):</t>
  </si>
  <si>
    <t>Works + lag (months)</t>
  </si>
  <si>
    <t>Sale month</t>
  </si>
  <si>
    <t>Lag override (m)</t>
  </si>
  <si>
    <t>Rental ramp-up (months to stabilize)</t>
  </si>
  <si>
    <t>Final exit — last selected property sale (model month)</t>
  </si>
  <si>
    <t>Final exit — model month, Input C50</t>
  </si>
  <si>
    <t>Suggested exit (model month)</t>
  </si>
  <si>
    <t>N8 (row 14) — Row 13 flows less capital-gains tax at each sale: 15% (Input C26) when the hold is ≥ 24 months, otherwise the 35% ordinary rate (C25) — the same test Properties column AD applies. Under the current schedule 5 of 5 sales fall below 8 quarters, so the tax step is the largest item in the bridge (16.0% pts).</t>
  </si>
  <si>
    <t>Model start (Month 1 begins)</t>
  </si>
  <si>
    <t>First title transfers scheduled Sep 2026; model months run from Oct 2026</t>
  </si>
  <si>
    <t>Capital-gains tax applied matches each property's actual hold (15% at ≥ 24 months, otherwise the 35% ordinary rate)</t>
  </si>
  <si>
    <t>Renovation works finish before the sale month</t>
  </si>
  <si>
    <t>Per-property annual detail. Use the +/− controls at left to expand or collapse each property. All lines reference Input tab inputs and the monthly engine.</t>
  </si>
  <si>
    <t>Gross rent collected from the portfolio, net of vacancy, summed from the monthly engine by property.</t>
  </si>
  <si>
    <t>Sale proceeds at exit before selling costs, recognised in the month each property is sold.</t>
  </si>
  <si>
    <t>Purchase price plus buyer closing costs, in the month of acquisition.</t>
  </si>
  <si>
    <t>15% capital-gains rate requires the 2-yr hold; a buyer must appear on schedule at the modeled comps price. Each quarter (3 months) of slip adds ~35-40K overhead and stalls the cascade.</t>
  </si>
  <si>
    <t>All overhead stops at the final sale month (clean wind-down, no disposition tail)</t>
  </si>
  <si>
    <t>Model Month</t>
  </si>
  <si>
    <t>Number of months of works after purchase, set per property on the Input tab. The renovation budget is spent evenly across these months; rental begins the month works finish.</t>
  </si>
  <si>
    <t>STR price cap per minimum stay (USD per 28 nights)</t>
  </si>
  <si>
    <t>STR minimum stay (nights)</t>
  </si>
  <si>
    <t>Furnished STR, 4-week minimum — fully equipped units rented in USD, mostly to foreign-passport guests visiting or working in Medellín / El Retiro.</t>
  </si>
  <si>
    <t>STR average stay length (nights)</t>
  </si>
  <si>
    <t>Assumption: 28-night minimum + 7 extra nights at the daily rate. Drives the effective nightly rate on _Seasonality.</t>
  </si>
  <si>
    <t>STR vacancy (% of nights unbooked)</t>
  </si>
  <si>
    <t>STR daily rate (USD/night)</t>
  </si>
  <si>
    <t>Guidance — 4-week price vs US$8,000 cap</t>
  </si>
  <si>
    <t>STR Seasonality &amp; Pricing Helper (internal)</t>
  </si>
  <si>
    <t>Calendar month #</t>
  </si>
  <si>
    <t>Year</t>
  </si>
  <si>
    <t>Days in month (non-leap reference year)</t>
  </si>
  <si>
    <t>1. Seasonality inputs — raw monthly factors (1.00 = average month)</t>
  </si>
  <si>
    <t>El Poblado, Medellín — occupancy factor</t>
  </si>
  <si>
    <t>Poblado</t>
  </si>
  <si>
    <t>El Poblado, Medellín — daily rate factor</t>
  </si>
  <si>
    <t>El Retiro, Antioquia — occupancy factor</t>
  </si>
  <si>
    <t>Retiro</t>
  </si>
  <si>
    <t>El Retiro, Antioquia — daily rate factor</t>
  </si>
  <si>
    <t>2. Normalized factors — rescaled so each row averages exactly 1.00 (seasonality shifts revenue between months, not the annual total)</t>
  </si>
  <si>
    <t>3. STR pricing rules (from Input)</t>
  </si>
  <si>
    <t>Price cap per minimum stay (USD)</t>
  </si>
  <si>
    <t>Average stay length (nights)</t>
  </si>
  <si>
    <t>A stay is at least this many nights</t>
  </si>
  <si>
    <t>Minimum-stay block = MIN(min nights × daily rate, cap)</t>
  </si>
  <si>
    <t>Nights beyond the minimum are charged at the full daily rate, uncapped</t>
  </si>
  <si>
    <t>4. Effective nightly rate by calendar month (USD) — (MIN(min nights × seasonal daily rate, cap) + extra nights × seasonal daily rate) ÷ average stay</t>
  </si>
  <si>
    <t>5. Booked occupancy by calendar month (% of nights) — (1 − unit vacancy) × location occupancy factor, max 100%</t>
  </si>
  <si>
    <t>6. Stabilized STR revenue by calendar month (USD, year-1 prices, at full availability) — days × occupancy × effective nightly rate</t>
  </si>
  <si>
    <t>Year avg</t>
  </si>
  <si>
    <t>Year total</t>
  </si>
  <si>
    <t>Stabilized STR Revenue (USD/yr, seasonal)</t>
  </si>
  <si>
    <t>4-Week STR Price (USD, 28 nights, capped)</t>
  </si>
  <si>
    <t>Gross STR Revenue</t>
  </si>
  <si>
    <t>Gross STR Revenue to NOI Bridge — Active Portfolio, Annual (USD)</t>
  </si>
  <si>
    <t>Gross STR revenue at full booking (seasonal rates), before vacancy</t>
  </si>
  <si>
    <t>Effective gross STR revenue</t>
  </si>
  <si>
    <t>Renovation Budget incl. FF&amp;E (COP millions)</t>
  </si>
  <si>
    <t>Renovation Budget incl. FF&amp;E (USD)</t>
  </si>
  <si>
    <t>Total — active properties only (ICP placeholders excluded)</t>
  </si>
  <si>
    <t>Furnished STR (28-night minimum), fully equipped, priced in USD for mostly foreign-passport guests. Closed fund: only the active named properties are calculated — ICP placeholder slots show zero. Blue = seasonality inputs (assumptions); green = links.</t>
  </si>
  <si>
    <t>ICP Placeholder Archive (reference only — not used in any calculation)</t>
  </si>
  <si>
    <t>1. Property profile (snapshot of Properties)</t>
  </si>
  <si>
    <t>2. Operating &amp; STR inputs (snapshot of Input property table)</t>
  </si>
  <si>
    <t>$250/night · 4-week stay $7,000 · below cap</t>
  </si>
  <si>
    <t>40% vacancy · Poblado prime 35%–50% · within band</t>
  </si>
  <si>
    <t>Closed fund: the five simulated ICP profiles are stored here as a static snapshot taken 25 Sep 2026 (values, not formulas). Nothing in the model links to this tab. Source: Properties rows 11–15 and Input property table rows 79–83.</t>
  </si>
  <si>
    <t>Total Named Properties (active + backup)</t>
  </si>
  <si>
    <t>Tax source / status</t>
  </si>
  <si>
    <t>Medellín: IPU Acuerdo 066/2017 art. 20 (residencial &gt;COP 811M avalúo = 14‰, &gt;1,159M = 15‰); ICA 5519B 10‰ (7‰ with NTS-TS); Avisos 15% only if signage posted; FONTUR Ley 1101/2006 art. 2.</t>
  </si>
  <si>
    <t>El Retiro: Acuerdo 016/2017 (Estatuto Tributario) — IPU and ICA tarifas NOT verified online (scanned acuerdo); placeholder rates, confirm with Secretaría de Hacienda El Retiro. FONTUR Ley 1101/2006 art. 2.</t>
  </si>
  <si>
    <t>Derived from the per-property tax columns O–U of the property table (per municipality). Used only for portfolio-level summaries; each property's P&amp;L uses its own rate.</t>
  </si>
  <si>
    <t>STR rates are modeled NET of IVA (charged on top to the guest). Stays by non-resident foreign guests are exempt (Art. 481 lit. d ET; DUR 1625/2016 art. 1.3.1.11.1) if the unit is inscribed in the Registro Nacional de Turismo (RNT) and the passport/entry stamp is kept on file. Reference only — no formula uses this cell.</t>
  </si>
  <si>
    <t>Exchange Rate (Tasa Representativa del Mercado — TRM)</t>
  </si>
  <si>
    <t>Unified Property Tax (Impuesto Predial Unificado — IPU)</t>
  </si>
  <si>
    <t>Cadastral Valuation (Avalúo Catastral)</t>
  </si>
  <si>
    <t>Industry &amp; Commerce Tax (Impuesto de Industria y Comercio — ICA)</t>
  </si>
  <si>
    <t>Signage Tax (Impuesto de Avisos y Tableros)</t>
  </si>
  <si>
    <t>Tourism Promotion Levy (Contribución Parafiscal para la Promoción del Turismo — FONTUR)</t>
  </si>
  <si>
    <t>STR Revenue Taxes (Impuestos sobre ingresos STR)</t>
  </si>
  <si>
    <t>Value-Added Tax on Lodging (Impuesto sobre las Ventas — IVA, servicio de hospedaje)</t>
  </si>
  <si>
    <t>National Tourism Registry (Registro Nacional de Turismo — RNT)</t>
  </si>
  <si>
    <t>Mandatory registration for any property used as vivienda turística (Ley 300 de 1996 art. 62, as amended by Ley 1101 de 2006 art. 12). A prerequisite to operate the STR program legally and to apply the IVA exemption for foreign guests.</t>
  </si>
  <si>
    <t>Economic Activity Code (Clasificación Industrial Internacional Uniforme — CIIU)</t>
  </si>
  <si>
    <t>The activity code registered in the RUT that determines the ICA rate. Code 5519 (Otros tipos de alojamiento para visitantes) is the closest match for furnished STR.</t>
  </si>
  <si>
    <t>Financial Transactions Tax (Gravamen a los Movimientos Financieros — GMF 4×1000)</t>
  </si>
  <si>
    <t>Corporate Income Tax (Impuesto sobre la Renta — personas jurídicas)</t>
  </si>
  <si>
    <t>Occasional Gains Tax (Impuesto de Ganancia Ocasional)</t>
  </si>
  <si>
    <t>Capital Gains Tax (model line)</t>
  </si>
  <si>
    <t>Withholding Tax (Retención en la Fuente)</t>
  </si>
  <si>
    <t>A 1% withholding on the sale value collected at the notary — an advance credited against the final tax, not an additional cost, so it is not modeled as an expense.</t>
  </si>
  <si>
    <t>Registration Tax &amp; Notary Fees (Impuesto de Registro y Derechos Notariales)</t>
  </si>
  <si>
    <t>Building / HOA Fee (Administración)</t>
  </si>
  <si>
    <t>The monthly building or parcelación fee covering doorman, security and common areas. Input per property in COP millions per month on the Input tab. Not a tax.</t>
  </si>
  <si>
    <t>Socioeconomic Stratum (Estrato)</t>
  </si>
  <si>
    <t>Colombia's 1–6 neighborhood classification. These properties sit in estrato 5–6, which carries utility surcharges and the highest predial bands.</t>
  </si>
  <si>
    <t>Buyer closing costs — registration tax, registry rights &amp; notary fees (Impuesto de Registro, Derechos de Registro y Derechos Notariales) (% of purchase price)</t>
  </si>
  <si>
    <t>STR revenue taxes — Industry &amp; Commerce Tax + Signage Tax + Tourism Promotion Levy (ICA + Avisos y Tableros + Contribución Parafiscal FONTUR) (revenue-weighted, derived)</t>
  </si>
  <si>
    <t>Financial transactions tax (Gravamen a los Movimientos Financieros — GMF 4×1000, Art. 871 ET) (% of cash disbursements)</t>
  </si>
  <si>
    <t>Value-added tax on lodging (IVA — servicio de hospedaje / vivienda turística, Art. 468 ET) — pass-through, not in P&amp;L</t>
  </si>
  <si>
    <t>Unified property tax (IPU), effective (%/yr of all-in basis, derived = rate × cadastral valuation ÷ basis)</t>
  </si>
  <si>
    <t>Municipality — tax jurisdiction (Municipio)</t>
  </si>
  <si>
    <t>Unified property tax rate (Impuesto Predial Unificado — IPU) (‰ of cadastral valuation)</t>
  </si>
  <si>
    <t>Cadastral valuation (Avalúo Catastral) (% of purchase price)</t>
  </si>
  <si>
    <t>Industry &amp; commerce tax rate (Impuesto de Industria y Comercio — ICA) (‰ of gross revenue, CIIU 5519)</t>
  </si>
  <si>
    <t>Signage tax (Impuesto de Avisos y Tableros) (% of ICA)</t>
  </si>
  <si>
    <t>Tourism promotion levy (Contribución Parafiscal para la Promoción del Turismo — FONTUR) (‰ of operating revenue)</t>
  </si>
  <si>
    <t>STR revenue taxes — combined (Impuestos sobre ingresos STR) (% of revenue, derived)</t>
  </si>
  <si>
    <t>Impuesto Predial Unificado — IPU (Ley 44/1990 Arts. 1–4)</t>
  </si>
  <si>
    <t>Impuestos sobre ingresos STR — ICA, Avisos y Tableros y Contribución Parafiscal FONTUR (Ley 14/1983 Arts. 32 y 37; Ley 1101/2006 Art. 2)</t>
  </si>
  <si>
    <t>Sale — net proceeds after Impuesto de Ganancia Ocasional (Arts. 300 y 313 ET) (memo)</t>
  </si>
  <si>
    <t>USD Transactions — No FX Hedging</t>
  </si>
  <si>
    <t>All fund transactions are settled entirely in US dollars: capital calls, property purchases, renovation contracts, STR rental income (priced and collected in USD from mostly foreign-passport guests), operating payments, property sales and distributions. Because cash never converts through Colombian pesos, the fund carries no currency exposure and uses no FX hedging. Where a source figure is quoted in COP (e.g., HOA, utilities, purchase prices), it is translated to USD at the model TRM for reference only.</t>
  </si>
  <si>
    <t/>
  </si>
  <si>
    <t>Occasional gains tax on property sales — FIXED for all holds (Impuesto de Ganancia Ocasional, Arts. 300 y 313 ET)</t>
  </si>
  <si>
    <t>Gains Tax Fixed at 15% (Model Exception)</t>
  </si>
  <si>
    <t>Currency</t>
  </si>
  <si>
    <t>Fund life (years, through final sale)</t>
  </si>
  <si>
    <t>Tax Cost Basis &amp; Improvements (Costo Fiscal, Art. 69 ET)</t>
  </si>
  <si>
    <t>US inflation rate for tax-cost adjustment (reajuste fiscal, Art. 70 ET — applied in USD) (%/yr)</t>
  </si>
  <si>
    <t>Tax Cost Basis — inflation-adjusted (USD, all-in basis × (1+US CPI)^hold yrs)</t>
  </si>
  <si>
    <t>US CPI-U year over year to Aug 2026 from FRED series CPIAUCSL (334.131 vs 323.291 = +3.35%). Because all fund transactions are in USD, the all-in basis is indexed by US inflation (not the COP reajuste fiscal factor) for each year of hold, reducing the taxable gain. Blue input — update when FRED publishes new data.</t>
  </si>
  <si>
    <t>Stabilized STR revenue — active portfolio (USD/yr)</t>
  </si>
  <si>
    <t>STR daily rates (USD/night)</t>
  </si>
  <si>
    <t>STR revenue over fund life (USD)</t>
  </si>
  <si>
    <t>Rental contribution margin over fund life (USD)</t>
  </si>
  <si>
    <t>Rental CM % of STR revenue</t>
  </si>
  <si>
    <t>Fixed costs over fund life (USD)</t>
  </si>
  <si>
    <t>Minimum stay · price cap per 28 nights</t>
  </si>
  <si>
    <t>Impuesto de Ganancia Ocasional — total (USD)</t>
  </si>
  <si>
    <t>Gains-tax rate (fixed, all sales)</t>
  </si>
  <si>
    <t>Tax-basis indexation at US CPI (USD)</t>
  </si>
  <si>
    <t>US inflation — FRED CPI-U (YoY)</t>
  </si>
  <si>
    <t>Capital drawn (USD)</t>
  </si>
  <si>
    <t>Authorized capital raise (USD)</t>
  </si>
  <si>
    <t>All-in investment — active properties (USD)</t>
  </si>
  <si>
    <t>Average hold per property (years)</t>
  </si>
  <si>
    <t>Active properties · backup properties</t>
  </si>
  <si>
    <t>Average booked occupancy</t>
  </si>
  <si>
    <t>STR revenue taxes over fund life (USD)</t>
  </si>
  <si>
    <t>TRM (COP per USD, reference only)</t>
  </si>
  <si>
    <t>Dulcinea I — Investment Overview</t>
  </si>
  <si>
    <t>Dulcinea Investments, LLC · Confidential · For discussion purposes only · Key figures are presented on the Dashboard</t>
  </si>
  <si>
    <t>Investment Highlights</t>
  </si>
  <si>
    <t>Value-add residential</t>
  </si>
  <si>
    <t>Branded STR income</t>
  </si>
  <si>
    <t>Hard-currency economics</t>
  </si>
  <si>
    <t>Defined, unlevered vehicle</t>
  </si>
  <si>
    <t>Sponsor alignment</t>
  </si>
  <si>
    <t>Market</t>
  </si>
  <si>
    <t>Submarkets</t>
  </si>
  <si>
    <t>The gap</t>
  </si>
  <si>
    <t>Investment Strategy</t>
  </si>
  <si>
    <t>1 · Acquire</t>
  </si>
  <si>
    <t>2 · Reposition</t>
  </si>
  <si>
    <t>3 · Operate</t>
  </si>
  <si>
    <t>4 · Exit</t>
  </si>
  <si>
    <t>Portfolio</t>
  </si>
  <si>
    <t>Backup assets</t>
  </si>
  <si>
    <t>Operating Platform</t>
  </si>
  <si>
    <t>Lola &amp; Ber</t>
  </si>
  <si>
    <t>Structure &amp; Terms</t>
  </si>
  <si>
    <t>Vehicle</t>
  </si>
  <si>
    <t>Leverage</t>
  </si>
  <si>
    <t>Tax &amp; Currency</t>
  </si>
  <si>
    <t>Colombian taxation</t>
  </si>
  <si>
    <t>Key Risks &amp; Mitigants</t>
  </si>
  <si>
    <t>Exit value &amp; timing</t>
  </si>
  <si>
    <t>Execution</t>
  </si>
  <si>
    <t>Rental performance</t>
  </si>
  <si>
    <t>Tax &amp; regulatory</t>
  </si>
  <si>
    <t>This overview is for discussion purposes only and does not constitute an offer to sell or a solicitation of an offer to buy any security. All projections are estimates; see the Dashboard and underlying model for figures and assumptions.</t>
  </si>
  <si>
    <t>Executive Summary</t>
  </si>
  <si>
    <t>Lola &amp; Ber — Hospitality Brand &amp; Its Role in Dulcinea I</t>
  </si>
  <si>
    <t>Brand association only — Lola &amp; Ber has no operating functions. ServCo is the operating company servicing Dulcinea.</t>
  </si>
  <si>
    <t>Overview</t>
  </si>
  <si>
    <t>Brand Foundation</t>
  </si>
  <si>
    <t>Purpose</t>
  </si>
  <si>
    <t>To create places where adults have the freedom to be wholly themselves.</t>
  </si>
  <si>
    <t>Brand promise</t>
  </si>
  <si>
    <t>Freedom to be wholly yourself — guests choose how social, private or exploratory their stay is; nothing is prescribed.</t>
  </si>
  <si>
    <t>Positioning</t>
  </si>
  <si>
    <t>Sits between conventional lifestyle hospitality and explicitly adult lifestyle venues: design-led, service-rich hospitality in which open-minded, sex-positive culture is part of the experience rather than hidden, and participation is always a choice.</t>
  </si>
  <si>
    <t>Target guest</t>
  </si>
  <si>
    <t>Adults only. Couples and singles, LGBTQ+ guests and people across relationship structures — anyone comfortable sharing space with people who live and love differently.</t>
  </si>
  <si>
    <t>Service promise</t>
  </si>
  <si>
    <t>Luxury-level thoughtfulness without luxury formality: guests should feel deeply considered, never managed.</t>
  </si>
  <si>
    <t>Price stance</t>
  </si>
  <si>
    <t>“Elevated, not elitist” — memorable design and service without using wealth or exclusivity as the price of belonging. Market-by-market price architecture is still to be defined.</t>
  </si>
  <si>
    <t>Portfolio Architecture — Where Dulcinea Fits</t>
  </si>
  <si>
    <t>By Lola &amp; Ber  ◄ Dulcinea I</t>
  </si>
  <si>
    <t>The endorsed collection for intimate, distinctive properties, generally fewer than 16 rooms. The property leads with its own identity and sense of place; the Lola &amp; Ber endorsement signals the shared philosophy and guest experience. Tagline: “Stay open to more.” Sensuality is visible in the culture but is not the product; dedicated play spaces are not part of the standard. This is the tier that applies to Dulcinea's single-residence homes.</t>
  </si>
  <si>
    <t>Lola &amp; Ber Hotels &amp; Resorts</t>
  </si>
  <si>
    <t>The full brand expression, generally 16 rooms or more, with social spaces, programming and service culture designed around the brand. Not applicable to Dulcinea I.</t>
  </si>
  <si>
    <t>Velum (working name)</t>
  </si>
  <si>
    <t>A separate, explicitly lifestyle-forward concept still under development; name and relationship to Lola &amp; Ber are undecided. Not applicable to Dulcinea I.</t>
  </si>
  <si>
    <t>Ecosystem</t>
  </si>
  <si>
    <t>What If Retreats (retreat and workshop IP) and FreENM Fest (annual community gathering) are connected to, but separate from, the hospitality portfolio. Selected properties may host What If experiences where appropriate.</t>
  </si>
  <si>
    <t>Hospitality &amp; Real Estate Implications for Dulcinea I</t>
  </si>
  <si>
    <t>Demand &amp; differentiation</t>
  </si>
  <si>
    <t>Guest profile fit</t>
  </si>
  <si>
    <t>Design &amp; renovation brief</t>
  </si>
  <si>
    <t>Brand standard to protect</t>
  </si>
  <si>
    <t>The framework is explicit that By Lola &amp; Ber “must never become a generic vacation rental with a Lola &amp; Ber logo attached.” Each home must carry the endorsement credibly — design quality, arrival experience and local character matter.</t>
  </si>
  <si>
    <t>Guest experience signatures</t>
  </si>
  <si>
    <t>Signatures most relevant to private homes: Come As You Are (assumption-free arrival and service), The Lola &amp; Ber Table (a recurring food or drink ritual), Find Something Local (a destination-specific experience), and Disappear (privacy and retreat by design).</t>
  </si>
  <si>
    <t>Personal use</t>
  </si>
  <si>
    <t>Exit</t>
  </si>
  <si>
    <t>Homes are sold as renovated residences. The endorsement supports marketing and rental performance during the hold; buyers acquire the real estate, and continued brand association would be a separate matter. (Treatment at sale to be confirmed.)</t>
  </si>
  <si>
    <t>Regulatory</t>
  </si>
  <si>
    <t>Short-term tourist use in Colombia requires registration with the National Tourism Registry (RNT) and, for apartments, a building regulation (reglamento de propiedad horizontal) that permits tourist use. Adults-only and brand positioning should be reviewed against each building's rules.</t>
  </si>
  <si>
    <t>Economics in the model</t>
  </si>
  <si>
    <t>The model carries no brand, licensing or endorsement fee for Lola &amp; Ber. Guest operations and property management are costed through ServCo's fees.</t>
  </si>
  <si>
    <t>Brand Guardrails (from the framework)</t>
  </si>
  <si>
    <t>Open, not pushy</t>
  </si>
  <si>
    <t>Guests know the brand is sex-positive; they never feel they need to participate.</t>
  </si>
  <si>
    <t>Sexy, not seedy</t>
  </si>
  <si>
    <t>Sensuality is sophisticated and playful, never cheap shock value.</t>
  </si>
  <si>
    <t>Social, not forced</t>
  </si>
  <si>
    <t>Connection is made easy; participation is never obligatory.</t>
  </si>
  <si>
    <t>Elevated, not elitist</t>
  </si>
  <si>
    <t>Design, service and detail matter; status does not determine belonging.</t>
  </si>
  <si>
    <t>Free, not careless</t>
  </si>
  <si>
    <t>Freedom depends on consent, respect, privacy and clearly communicated boundaries.</t>
  </si>
  <si>
    <t>Local, not copy-paste</t>
  </si>
  <si>
    <t>The philosophy travels; each destination stays itself.</t>
  </si>
  <si>
    <t>Open Items Relevant to the Real Estate</t>
  </si>
  <si>
    <t>Property mapping</t>
  </si>
  <si>
    <t>Apply the brand architecture to current and planned properties (the framework lists Cartagena / Bololá among them); confirm By Lola &amp; Ber endorsement for each Dulcinea home.</t>
  </si>
  <si>
    <t>Required standards</t>
  </si>
  <si>
    <t>Decide which hospitality signatures are mandatory versus recommended for By Lola &amp; Ber properties.</t>
  </si>
  <si>
    <t>Price architecture</t>
  </si>
  <si>
    <t>Translate “elevated, not elitist” into market-level pricing for Medellín and El Retiro.</t>
  </si>
  <si>
    <t>Commercial terms</t>
  </si>
  <si>
    <t>Document the brand relationship between Dulcinea, ServCo and Lola &amp; Ber (use of name, standards, any fees, treatment on sale).</t>
  </si>
  <si>
    <t>Source: Lola &amp; Ber Hospitality Brand Framework (working draft, 16 Sep 2026) and Lola &amp; Ber Hospitality Framework condensed presentation (16 Sep 2026), uploaded 25 Sep 2026.</t>
  </si>
  <si>
    <t>Lola &amp; Ber Hospitality Brand Company — maximum equity interest for Dulcinea I investors (at full subscription)</t>
  </si>
  <si>
    <t>Equity investors in Dulcinea I are eligible for up to 3% of the Lola &amp; Ber Hospitality Brand business, which launches at the same time as the fund. The full 3% applies at full subscription of the authorized raise.</t>
  </si>
  <si>
    <t>Modeled subscription of the authorized raise (%)</t>
  </si>
  <si>
    <t>Model assumes the full authorized raise is subscribed. Change to test partial subscription.</t>
  </si>
  <si>
    <t>Lola &amp; Ber equity interest earned by Dulcinea I investors (derived)</t>
  </si>
  <si>
    <t>Derived: maximum interest × modeled subscription (pro rata).</t>
  </si>
  <si>
    <t>Lola &amp; Ber equity interest at current commitments (reference, derived)</t>
  </si>
  <si>
    <t>Derived: maximum interest × capital committed to date ÷ authorized ceiling. Rises to the full 3% as the raise completes.</t>
  </si>
  <si>
    <t>Carrying value of Lola &amp; Ber equity interest (USD)</t>
  </si>
  <si>
    <t>Recorded on the Balance Sheet as an intangible asset valued at zero at present (early-stage brand business, no reliable valuation yet). Blue input — update if a valuation is established.</t>
  </si>
  <si>
    <t>Equity investors in Dulcinea I are eligible for up to 3% of the Lola &amp; Ber Hospitality Brand business, which launches alongside the fund (full interest at full subscription). The interest is held on Dulcinea's Balance Sheet.</t>
  </si>
  <si>
    <t>Lola &amp; Ber Hospitality Brand Company — equity interest (intangible)</t>
  </si>
  <si>
    <t>Lola &amp; Ber equity interest at current commitments</t>
  </si>
  <si>
    <t>Pro rata</t>
  </si>
  <si>
    <t>Basis of pro-rata allocation</t>
  </si>
  <si>
    <t>Dulcinea I commitment</t>
  </si>
  <si>
    <t>Dulcinea I (Dulcinea Investments, LLC), a Delaware closed-end fund. KIT Capital serves as Managing Partner.</t>
  </si>
  <si>
    <t>1. Equity Investor Results</t>
  </si>
  <si>
    <t>Equity Investor IRR (net of fees, tax &amp; carry)</t>
  </si>
  <si>
    <t>Equity Investor MOIC (after carry)</t>
  </si>
  <si>
    <t>Net profit to Equity Investors after carry (USD)</t>
  </si>
  <si>
    <t>Total distributions to Equity Investors (USD)</t>
  </si>
  <si>
    <t>Carry to Managing Partner (KIT Capital) (USD)</t>
  </si>
  <si>
    <t>Portfolio IRR (after gains tax) and Equity Investor IRR by entry discount — both anchored to the model at the base-case discount; other columns scale with the deal-level sensitivity on Portfolio Analysis</t>
  </si>
  <si>
    <t>Equity Investor IRR</t>
  </si>
  <si>
    <t>Equity Investor cash flow (USD)</t>
  </si>
  <si>
    <t>Capital already subscribed by existing Equity Investors — deployed to the two signed acquisitions (Aires de Campestre, Fontanar)</t>
  </si>
  <si>
    <t>Supermajority Approval threshold (% of Equity Investors, excluding the Managing Partner)</t>
  </si>
  <si>
    <t>Balance of the raise still to be subscribed by new Equity Investors</t>
  </si>
  <si>
    <t>Carry to Managing Partner (% of net profits, per Operating Agreement §4.3)</t>
  </si>
  <si>
    <t>After Equity Investors recover their Capital Contributions, 20% of every distribution (rental income and sale proceeds) goes to the Managing Partner (KIT Capital) as Carry; Equity Investors receive the remaining 80%</t>
  </si>
  <si>
    <t>Per the 23 Sep 2026 corporate update call: no distributions to Equity Investors in Year 1. Surplus cash in earlier years is held in the fund and rolls forward to the first distribution year.</t>
  </si>
  <si>
    <t>12. Capital structure &amp; governance: Operating Agreement (3 Mar 2026), First Amendment (2 Jul 2026 — 210 Units, Supermajority 80%), Second Amendment (US$7.0M authorized, pending Sep 2026); Managing Partner update call 2 Sep 2026 — PM fee 15%–25% of rent, 3% sales commission, Medellín net cap rate 4%–6%</t>
  </si>
  <si>
    <t>Carry waterfall: gross distributions = Equity Investor distributions + Carry, and Carry = rate × net profit</t>
  </si>
  <si>
    <t>Distributions to Equity Investors (after carry)</t>
  </si>
  <si>
    <t>Carry distributions to Managing Partner (KIT Capital)</t>
  </si>
  <si>
    <t>Distributions to Equity Investors and Carry</t>
  </si>
  <si>
    <t>Distributions to Equity Investors (cumulative, incl. Carry)</t>
  </si>
  <si>
    <t>Equity Investor Cash Flows</t>
  </si>
  <si>
    <t>Net distributions to Equity Investors (after carry)</t>
  </si>
  <si>
    <t>Net Equity Investor Cash Flow</t>
  </si>
  <si>
    <t>Total distributions to Equity Investors (after carry)</t>
  </si>
  <si>
    <t>Net profit to Equity Investors</t>
  </si>
  <si>
    <t>Equity Investor IRR — annual approximation (reconciliation)</t>
  </si>
  <si>
    <t>Fund-level Equity Investor XIRR</t>
  </si>
  <si>
    <t>Equity Investor MOIC</t>
  </si>
  <si>
    <t>Fund-level Equity Investor XIRR (net of overheads)</t>
  </si>
  <si>
    <t>N11 (row 17) — E: Investor Return C22 — XIRR on the Equity Investor's actual dated cash flows (_IRR Engine Q15). Capital is called just-in-time against each month's spend and every sale is distributed in its sale month, so the gap to row 16 (0.2% pts) is only the 3-month overhead reserve and monthly overhead funding. Total capital called $6,777,075 against a $7,000,000 commitment. D/F apply the base-case gap to row 16 as a parallel shift.</t>
  </si>
  <si>
    <t>Supporting Analysis — Cap Rates, Equity Investor KPIs &amp; Sensitivities (USD)</t>
  </si>
  <si>
    <t>The Return Argument — Equity Investor KPIs (cap rate is the wrong lens for this trade)</t>
  </si>
  <si>
    <t>What it tells the Equity Investor</t>
  </si>
  <si>
    <t>Margin of safety — exit values can fall this far before the Equity Investor fails to recover capital</t>
  </si>
  <si>
    <t>Equity Investor XIRR (net of fees &amp; tax, monthly dated)</t>
  </si>
  <si>
    <t>Equity Investors may also enjoy personal use of the homes, per the 23 Sep 2026 corporate update.</t>
  </si>
  <si>
    <t>Equity Investor brand equity</t>
  </si>
  <si>
    <t>The Managing Partner's share of profits under the Operating Agreement (§4.3): once Equity Investors have recovered their Capital Contributions, 20% of every further distribution — rental income and sale proceeds alike — goes to KIT Capital and 80% to Equity Investors pro rata. The Dashboard and Investor Return show Equity Investor results after Carry.</t>
  </si>
  <si>
    <t>Managing Partner</t>
  </si>
  <si>
    <t>KIT Capital, the Managing Partner of Dulcinea I. The Managing Partner manages the fund under the Operating Agreement and receives the Carry. Distinct from ServCo, which is the operating company servicing Dulcinea and is compensated through operating fees.</t>
  </si>
  <si>
    <t>Equity Investors</t>
  </si>
  <si>
    <t>The investors in Dulcinea I, who subscribe for Units, fund capital calls, and receive distributions — first a full return of their contributed capital, then their share of profits after the Managing Partner's Carry. Referred to throughout the model as Equity Investors.</t>
  </si>
  <si>
    <t>Each item below was imposed during the Aug 2026 build to reach a positive Equity Investor return. If any one fails in diligence or execution, the return degrades as noted. Values in column C update live with the model.</t>
  </si>
  <si>
    <t>Equity Investor commitment risk not modeled; a missed call stalls the next acquisition.</t>
  </si>
  <si>
    <t>Equity Investor — capital called (just-in-time: dated to the month of spend)</t>
  </si>
  <si>
    <t>Equity Investor — distributions</t>
  </si>
  <si>
    <t>Equity Investor — net cash flow</t>
  </si>
  <si>
    <t>Equity Investor XIRR (net of fees, tax &amp; carry)</t>
  </si>
  <si>
    <t>Equity Investor IRR — annual, year-end dated (prior method)</t>
  </si>
  <si>
    <t>Priority</t>
  </si>
  <si>
    <t>Applies to</t>
  </si>
  <si>
    <t>Future funds incl. Dulcinea chapters</t>
  </si>
  <si>
    <t>Equity Investors in Dulcinea I will have priority to participate in the Managing Partner structure of future funds, including additional chapters of Dulcinea — i.e., the sponsor-level entity that manages those funds and earns their carry. Terms will be set for each future fund; the right has no value in the Dulcinea I model and does not affect its cash flows or returns.</t>
  </si>
  <si>
    <t>Equity Investor Kickers</t>
  </si>
  <si>
    <t>1 · Lola &amp; Ber brand equity</t>
  </si>
  <si>
    <t>3 · Managing Partner participation</t>
  </si>
  <si>
    <t>2. Equity Investor Kickers</t>
  </si>
  <si>
    <t>3. Portfolio Value Creation</t>
  </si>
  <si>
    <t>4. STR Operations</t>
  </si>
  <si>
    <t>5. Taxes &amp; Macro</t>
  </si>
  <si>
    <t>6. Sensitivities, Portfolio &amp; Cash-Flow Charts</t>
  </si>
  <si>
    <t>Kicker 1 — Lola &amp; Ber Hospitality Brand Company equity interest</t>
  </si>
  <si>
    <t>Kicker 3 — Managing Partner structure of future funds</t>
  </si>
  <si>
    <t>The three benefits Equity Investors in Dulcinea I receive in addition to their fund returns: (1) an equity interest of up to 3% in the Lola &amp; Ber Hospitality Brand business; (2) a pro-rata right of first refusal to participate in Dulcinea II; and (3) priority participation in the Managing Partner structure of future funds, including additional chapters of Dulcinea. Each is defined below. None adds to the modeled IRR or MOIC of Dulcinea I.</t>
  </si>
  <si>
    <t>Kicker 1 — Lola &amp; Ber Brand Equity Interest</t>
  </si>
  <si>
    <t>Kicker 3 — Managing Partner Participation (Future Funds)</t>
  </si>
  <si>
    <t>2 · Dulcinea II pro-rata right of first refusal</t>
  </si>
  <si>
    <t>Kicker 2 — Dulcinea II pro-rata right of first refusal</t>
  </si>
  <si>
    <t>Kicker 2 — Pro-Rata Right of First Refusal — Dulcinea II</t>
  </si>
  <si>
    <t>Equity Investors in Dulcinea I will have a pro-rata right of first refusal to participate in Dulcinea II, the successor fund, when it is raised, with an allocation pro rata to their Dulcinea I commitment. The right is a priority-access term; it has no value in the Dulcinea I model and does not affect its cash flows or returns.</t>
  </si>
  <si>
    <t>Why Medellín</t>
  </si>
  <si>
    <t>Accessible destination</t>
  </si>
  <si>
    <t>Lifestyle &amp; climate</t>
  </si>
  <si>
    <t>The Buy Box — Dulcinea I Acquisition Criteria</t>
  </si>
  <si>
    <t>Definition</t>
  </si>
  <si>
    <t>The Criteria</t>
  </si>
  <si>
    <t>Criterion</t>
  </si>
  <si>
    <t>Requirement</t>
  </si>
  <si>
    <t>1 · Location</t>
  </si>
  <si>
    <t>Portfolio Check — Active Properties Against the Buy Box</t>
  </si>
  <si>
    <t>Entry discount</t>
  </si>
  <si>
    <t>Works (months)</t>
  </si>
  <si>
    <t>Daily rate (USD)</t>
  </si>
  <si>
    <t>All-in basis (USD)</t>
  </si>
  <si>
    <t>Inside the Buy Box?</t>
  </si>
  <si>
    <t>Sourcing Funnel (per the 23 Sep 2026 corporate update)</t>
  </si>
  <si>
    <t>Properties seen</t>
  </si>
  <si>
    <t>60+</t>
  </si>
  <si>
    <t>Visited and screened by the team</t>
  </si>
  <si>
    <t>Catalogued inside the Buy Box</t>
  </si>
  <si>
    <t>Met the criteria and were documented</t>
  </si>
  <si>
    <t>Selected for Dulcinea I</t>
  </si>
  <si>
    <t>Active properties in the fund</t>
  </si>
  <si>
    <t>Buy Box Test Thresholds</t>
  </si>
  <si>
    <t>Lower bound of the 20–30% entry-price criterion</t>
  </si>
  <si>
    <t>Maximum hold (months)</t>
  </si>
  <si>
    <t>Upper bound of the two-to-three-year hold criterion</t>
  </si>
  <si>
    <t>Test applied: target submarket · entry discount at or above the minimum · hold at or below the maximum (thresholds below).</t>
  </si>
  <si>
    <t>The Buy Box is the fund's acquisition filter: the location, product, price, execution and exit criteria a property must meet before Dulcinea I will buy it — distinctive homes in El Poblado or El Retiro, bought at least 20–30% below fully renovated value, transformed on a defined schedule, and sold within roughly two to three years. Full criteria, the live portfolio check and the sourcing funnel are on The Buy Box tab.</t>
  </si>
  <si>
    <t>Minimum entry discount</t>
  </si>
  <si>
    <t>Target</t>
  </si>
  <si>
    <t>El Poblado · El Retiro</t>
  </si>
  <si>
    <t>2 · Enjoyment for Equity Investors</t>
  </si>
  <si>
    <t>Homes Equity Investors want to use</t>
  </si>
  <si>
    <t>3 · Product</t>
  </si>
  <si>
    <t>300–600 m²</t>
  </si>
  <si>
    <t>4 · Entry price</t>
  </si>
  <si>
    <t>20–30% below improved value</t>
  </si>
  <si>
    <t>5 · Transformation</t>
  </si>
  <si>
    <t>About 6 months of works</t>
  </si>
  <si>
    <t>24–36 months</t>
  </si>
  <si>
    <t>$750K–$2M all-in</t>
  </si>
  <si>
    <t>What a property must look like to enter the fund · blue = Buy Box target · green = live link to the model</t>
  </si>
  <si>
    <t>20% IRR minimum</t>
  </si>
  <si>
    <t>Minimum deal-level IRR (after gains tax)</t>
  </si>
  <si>
    <t>Buy Box minimum return — portfolio deal-level IRR is tested against it</t>
  </si>
  <si>
    <t>Portfolio deal-level IRR (after gains tax) vs 20% minimum</t>
  </si>
  <si>
    <t>6 · Deep due diligence</t>
  </si>
  <si>
    <t>Full technical, legal &amp; title review · works budget with contingency before commitment</t>
  </si>
  <si>
    <t>7 · Operation</t>
  </si>
  <si>
    <t>8 · Hold &amp; exit</t>
  </si>
  <si>
    <t>9 · Deal size</t>
  </si>
  <si>
    <t>10 · Minimum return</t>
  </si>
  <si>
    <t>Dulcinea I is a simple business: we buy homes in Medellín, remodel them, rent them, and sell them. It is a closed-end, all-equity fund that buys a defined set of residences in El Poblado and El Retiro below their renovated value, brings them to an international standard, rents them as furnished homes while they are on the market, and sells them at a profit.</t>
  </si>
  <si>
    <t>The return comes from three places: the discount at purchase, the value added by the remodel, and a reasonable rental yield during the hold. There is no leverage, no development risk and no currency exposure — everything is in US dollars. Equity Investors get their capital back before the Managing Partner earns any carry, and the Managing Partner invests alongside them.</t>
  </si>
  <si>
    <t>Dulcinea I is also designed to prove out the model — sourcing, remodeling, operating and exiting — as the foundation for larger hospitality real estate funds to follow.</t>
  </si>
  <si>
    <t>The fund has two goals: a solid, net, US-dollar return, and the chance for Equity Investors to own a stake in — and enjoy — a very good house or apartment in Medellín, a city that is easy to reach from the United States and the rest of the Americas.</t>
  </si>
  <si>
    <t>Equity Investors own a stake in homes they can actually use. Personal use is part of the concept, not an afterthought.</t>
  </si>
  <si>
    <t>Medellín's José María Córdova International Airport has direct flights to the United States and connects easily to Central and South America and other international destinations.</t>
  </si>
  <si>
    <t>Americans and other foreign buyers already buy in Medellín for second homes, part of the year, or retirement. That is the buyer pool at exit.</t>
  </si>
  <si>
    <t>A sophisticated city with a growing international community, an easy-going, open-minded atmosphere and a mild, spring-like climate year-round — locally known as the “City of Eternal Spring.”</t>
  </si>
  <si>
    <t>Value-add residential in El Poblado and El Retiro — two submarkets we know well.</t>
  </si>
  <si>
    <t>The team visited more than 60 properties and chose these. They are bought through direct negotiation at a discount to their renovated value, so there is equity at entry.</t>
  </si>
  <si>
    <t>Each home is fully remodeled and furnished — finishes, furniture, fixtures and equipment — to a standard international guests and buyers expect.</t>
  </si>
  <si>
    <t>ServCo runs each home as a furnished rental under the Lola &amp; Ber brand, earning US-dollar income from international guests while the home is marketed for sale.</t>
  </si>
  <si>
    <t>Capital, income, costs, sale proceeds and distributions are all in US dollars. No currency hedging is needed.</t>
  </si>
  <si>
    <t>A closed-end, all-equity fund with identified properties, a defined hold and a clear exit. No blind pool, no development, no debt.</t>
  </si>
  <si>
    <t>The Managing Partner earns carry only after Equity Investors get all their capital back — and invests alongside them.</t>
  </si>
  <si>
    <t>On top of fund returns, Equity Investors get three kickers: equity in the Lola &amp; Ber Hospitality Brand business, a pro-rata right of first refusal on Dulcinea II, and priority to participate in the Managing Partner structure of future funds (see below).</t>
  </si>
  <si>
    <t>Medellín draws a steady flow of international visitors, remote professionals and relocating families. Good, well-located furnished homes are scarce; most of the supply is dated or generic.</t>
  </si>
  <si>
    <t>El Poblado offers walkable urban living with international appeal. El Retiro offers larger homes on land in a cooler, green setting near the airport.</t>
  </si>
  <si>
    <t>Many good properties trade at a discount because they need capital, design and execution that most local buyers do not have. We buy that gap, fix it, and sell a finished home the market pays more for.</t>
  </si>
  <si>
    <t>Find and negotiate the right homes below their renovated value, after a thorough review of each asset.</t>
  </si>
  <si>
    <t>Remodel and furnish each home so it is turnkey and ready to rent or sell.</t>
  </si>
  <si>
    <t>Rent each home furnished, with a four-week minimum stay, priced in US dollars and managed for seasonality. Rental income is a bridge while the home is marketed; the investment does not depend on it.</t>
  </si>
  <si>
    <t>Sell each finished home to end users and investors at its improved value and distribute the proceeds as each sale closes. Capital is returned, not recycled; the fund closes after the last sale.</t>
  </si>
  <si>
    <t>Backup properties are identified and ready if any purchase does not close.</t>
  </si>
  <si>
    <t>The brand associated with Dulcinea. It gives the homes a recognizable identity with international guests; it has no operating role.</t>
  </si>
  <si>
    <t>Equity Investors subscribe for Units. Capital is called as purchases and works require, not up front.</t>
  </si>
  <si>
    <t>No distributions in the first year. After that, sale proceeds are distributed as properties sell: Equity Investors get their capital back first, then profits are shared with the Managing Partner through the carry in the Operating Agreement.</t>
  </si>
  <si>
    <t>None. The fund is all-equity.</t>
  </si>
  <si>
    <t>Equity Investors in Dulcinea I can earn up to 3% of the Lola &amp; Ber Hospitality Brand business, which starts at the same time as the fund. The full 3% applies when the raise is fully subscribed.</t>
  </si>
  <si>
    <t>Equity Investors in Dulcinea I get a right of first refusal to invest in Dulcinea II, pro rata to their Dulcinea I commitment.</t>
  </si>
  <si>
    <t>Equity Investors in Dulcinea I get priority to participate in the Managing Partner structure of future funds, including later chapters of Dulcinea.</t>
  </si>
  <si>
    <t>The fund pays Colombian property, municipal and national taxes, including the occasional-gains tax on sales. Remodeling costs and inflation indexation are part of the tax basis. Stays by non-resident foreign guests are VAT-exempt when the property is registered with the National Tourism Registry. Details and legal references are in the Glossary.</t>
  </si>
  <si>
    <t>Everything is in US dollars. No foreign-exchange exposure.</t>
  </si>
  <si>
    <t>Reduced by buying at a discount and selling a finished, differentiated home. Exit values also assume the market keeps appreciating — that is a key sensitivity.</t>
  </si>
  <si>
    <t>Each remodel has a defined scope and budget, reviewed before purchase and managed by ServCo's in-house team.</t>
  </si>
  <si>
    <t>Rental income is a bridge; the case rests on the exit.</t>
  </si>
  <si>
    <t>Tax treatment of sales, municipal tax rates and short-term-rental registration are being confirmed with Colombian counsel.</t>
  </si>
  <si>
    <t>Own it and enjoy it</t>
  </si>
  <si>
    <t>The right neighborhoods</t>
  </si>
  <si>
    <t>International buyers</t>
  </si>
  <si>
    <t>Bought right</t>
  </si>
  <si>
    <t>Remodeled right</t>
  </si>
  <si>
    <t>The portfolio is in El Poblado, the city's most established residential area, and El Retiro, a green highland town just outside Medellín.</t>
  </si>
  <si>
    <t>The Buy Box is our filter for what the fund buys. A property has to pass every criterion below — location, enjoyment, product, price, due diligence, remodel, operation, hold, deal size and return — before Dulcinea I commits capital. The short version: good homes in the right neighborhoods that Equity Investors will want to use, bought 20–30% below their renovated value, checked thoroughly so there are no expensive surprises, remodeled on schedule, and sold within the target hold.</t>
  </si>
  <si>
    <t>El Poblado, Medellín (apartments and penthouses) and El Retiro, Antioquia (houses on land). Nothing outside these submarkets.</t>
  </si>
  <si>
    <t>A place Equity Investors would actually want to spend time in. Enjoying the homes is one of the core objectives of Dulcinea, alongside the return.</t>
  </si>
  <si>
    <t>Distinctive, larger homes with clear room to add value and appeal to international buyers and guests.</t>
  </si>
  <si>
    <t>At least 20–30% below the home's renovated comparable value. This discount is the main source of return.</t>
  </si>
  <si>
    <t>A full remodel including all furniture, fixtures and equipment, delivered turnkey on a defined schedule and budget.</t>
  </si>
  <si>
    <t>A thorough technical, legal and regulatory review before purchase — structure, roof, waterproofing, plumbing, electrical, humidity, site and soil, permits and licensing, title (tradición y libertad), liens, HOA rules for short-term rentals and pending assessments. The goal is to catch problems that would raise remodel costs or cause delays and push the property outside the other criteria.</t>
  </si>
  <si>
    <t>Ready to rent as a fully equipped furnished home with a four-week minimum stay, priced in US dollars within the per-stay cap.</t>
  </si>
  <si>
    <t>Sell within about two to three years of purchase, once remodeled and seasoned as a rental.</t>
  </si>
  <si>
    <t>All-in cost per property sized to the fund so no single home dominates the portfolio.</t>
  </si>
  <si>
    <t>Minimum deal-level IRR, after gains tax, each property must be underwritten to (per the 23 Sep 2026 corporate update).</t>
  </si>
  <si>
    <t>Business Description</t>
  </si>
  <si>
    <t>What Dulcinea I is, how it makes money, the Equity Investor Kickers, structure and key risks — in plain language, no numbers</t>
  </si>
  <si>
    <t>Start here for the numbers: Equity Investor results first, then the kickers, value creation, STR operations, taxes and the charts</t>
  </si>
  <si>
    <t>The Buy Box</t>
  </si>
  <si>
    <t>The criteria a property must meet to enter the fund, the live check of the five properties, and the sourcing funnel</t>
  </si>
  <si>
    <t>Every assumption in one place — FX, exit and rental drivers, costs, Colombian taxes, per-property inputs, capital terms — plus the model checks</t>
  </si>
  <si>
    <t>Contribution-margin statement by property: revenue, variable costs, contribution margin, fixed costs, taxes and net income</t>
  </si>
  <si>
    <t>Integrated statements with balance and cash tie-out checks every year</t>
  </si>
  <si>
    <t>Equity Investor capital calls, distributions and carry, with MOIC, IRR (on dated monthly cash flows) and payback</t>
  </si>
  <si>
    <t>Properties / Property Detail</t>
  </si>
  <si>
    <t>Deal-by-deal underwriting and per-property annual income and expenses</t>
  </si>
  <si>
    <t>Portfolio Analysis / Sources &amp; Uses</t>
  </si>
  <si>
    <t>Exit and hold-period sensitivities, deal-level returns, cap-rate analysis and capital deployment</t>
  </si>
  <si>
    <t>ServCo's fees to the fund, benchmarked, with time-based executive allocation</t>
  </si>
  <si>
    <t>Official DANE price series and the USD/COP reference, cross-checked against the model's appreciation assumption</t>
  </si>
  <si>
    <t>Lola &amp; Ber / Glossary</t>
  </si>
  <si>
    <t>The hospitality brand associated with Dulcinea, and definitions of every term (including Colombian taxes, in Spanish with legal references)</t>
  </si>
  <si>
    <t>_Month Engine (monthly cash-flow engine) · _Seasonality (STR pricing and seasonality) · _IRR Engine (dated flows behind every IRR) · _Forced Assumptions · _ICP Archive · _Handoff</t>
  </si>
  <si>
    <t>Lola &amp; Ber is an adult hospitality brand. It started as a community built around retreats, events and shared experiences, and it is now becoming a portfolio of places to stay. The idea is in one line: “Freedom to be wholly yourself” — well-designed, thoughtful hospitality for open-minded adults, where connection is welcome but never required, and privacy and consent come first.</t>
  </si>
  <si>
    <t>The brand gives each home a recognizable identity with an established community of international, open-minded adult travelers — a demand channel generic furnished rentals do not have, so the homes do not compete on price alone.</t>
  </si>
  <si>
    <t>Adult, design-conscious international guests fit the model: furnished stays of four weeks or more, priced in US dollars, for visitors and remote professionals in Medellín and El Retiro.</t>
  </si>
  <si>
    <t>The brand's look and feel — natural materials (linen, stone, wood, tile, plaster), plants and courtyards, warm lighting, privacy by design and strong local character — gives ServCo a clear brief for the remodel and furnishing. Rooms should feel warm through their materials, never themed.</t>
  </si>
  <si>
    <t>Hardcoded input — Input tab levers; Properties deal terms; ServCo cost &amp; comp tabs; sensitivity steps on Portfolio Analysis &amp; Portfolio Analysis. Nowhere else.</t>
  </si>
  <si>
    <t>Global model variables live on this tab. Per-deal inputs — selection flag, size, purchase &amp; renovation prices, timing months — are the indigo cells on the Properties tab and feed the Portfolio Analysis analysis. Edit indigo-font cells only; formulas and linked values update automatically. USD presentation; COP inputs converted at the TRM below.</t>
  </si>
  <si>
    <t>Deal-level XIRR on Portfolio Analysis ties to the monthly engine</t>
  </si>
  <si>
    <t>The Buy Box criteria, the live check of each property and the sourcing funnel are on The Buy Box tab.</t>
  </si>
  <si>
    <t>Closed fund: all five properties are identified and underwritten; the ICP placeholders are archived on _ICP Archive and do not enter the calculations. The Buy Box tab sets the acquisition criteria.</t>
  </si>
  <si>
    <t>Entry 185 — SESSION 23-25 SEP 2026 (Ricardo). From the 23 Sep Dulcinea corporate update call (Granola, Dov + Adriana): avg hold 13 -&gt; ~30 months; no Year-1 distributions; model runs to the last sale; gains tax 15%. Then: contribution-margin Income Statement by property (+ margin after direct fixed costs); renovation-months input; full quarter -&gt; month conversion (_Month Engine); STR pricing rebuild with daily rates, $8,000 cap per 28 nights, 35-night stays and new _Seasonality tab; FF&amp;E confirmed inside renovation budget; ICPs removed from calculations (closed fund) and archived; Colombian taxes rebuilt with Spanish names; US CPI tax-basis indexation; Dashboard restructured (Equity Investor Results first, Kickers second); new tabs Business Description, The Buy Box (incl. deep due diligence criterion, 20% minimum deal IRR) and Lola &amp; Ber (from the 16 Sep 2026 brand framework docs); terminology Managing Partner (KIT Capital) / Equity Investors; last pass rewrote reader-facing prose in Dov's plain operator voice (Business Description, Buy Box, Lola &amp; Ber, Cover guide) and cleared stale references (Portfolio Strategy, 30-day stays, Wave 1/2). FOR RICARDO TO CONFIRM: MP invests alongside Equity Investors; 'prove out the model' framing; '60+ properties visited'; seasonality factors and daily rates are assumptions. Results: IRR 14.9%, MOIC 1.41x, ALL CHECKS PASS.</t>
  </si>
  <si>
    <t>Entry 186 — LOLA &amp; BER SLIDE SENT TO POWERPOINT; NO MODEL CHANGES (9/25/26, Ricardo: 'send powerpoint the material to build the Lola &amp; Ber Hospitality Brand slide. Keep it focused.'). Wrote a one-slide brief (shared file lola-ber-slide.md) from the Lola &amp; Ber tab and the 16 Sep 2026 brand framework docs: title 'Lola &amp; Ber — the brand behind the homes' / 'Freedom, by design.'; what it is; Dulcinea homes presented as 'By Lola &amp; Ber' (endorsed collection, &lt;16 rooms); three investor points (demand from the brand community, design brief for remodel and FF&amp;E, kicker up to 3% of the brand business + personal use); footer: no operating role, no brand fee to the fund; visual direction from the framework. PowerPoint agent reported slide 5 of the Dulcinea investor deck (dulcinea-investor-presentation-025.pptx) rebuilt in the deck's style with two Casa Montana renders, replacing the earlier Lola &amp; Ber slide. Not verified from Excel. No workbook values changed; results unchanged (IRR 14.9%, MOIC 1.41x, ALL CHECKS PASS).</t>
  </si>
  <si>
    <t>The operating company servicing Dulcinea. ServCo does not buy or own the homes — the Dulcinea fund does. ServCo provides the supporting services that make each home's lifecycle possible: sourcing and deal support, remodel management, guest operations, housekeeping and property management, and sale support, under a clear fee schedule.</t>
  </si>
  <si>
    <t>For Dulcinea I, Lola &amp; Ber is the brand the homes carry with guests. It brings identity, positioning, an engaged audience and hospitality standards. It does not own, lease, manage or operate anything: Dulcinea Investments, LLC buys and owns the homes, and ServCo provides the supporting services — sourcing, remodel, operations and sale — across their lifecycle.</t>
  </si>
  <si>
    <t>Entry 187 — ROLE WORDING CORRECTED, LOGOS ADDED, TAB COLOURS UNIFIED, LONG-TEXT LAYOUT PASS (9/25/26, Ricardo). NO MODEL LOGIC CHANGED. (1) ROLES — Ricardo: 'ServCo does not buy the residential assets. Dulcinea fund does. ServCo provides supporting services.' Rewrote Business Description C48 (ServCo definition: 'ServCo does not buy or own the homes — the Dulcinea fund does…') and Lola &amp; Ber B6 (was 'ServCo buys, remodels, runs and sells the homes, and Dulcinea Investments, LLC owns them'; now 'Dulcinea Investments, LLC buys and owns the homes, and ServCo provides the supporting services — sourcing, remodel, operations and sale — across their lifecycle'). Workbook-wide scan for ServCo + buy/acquire/purchase wording found no other reader-facing claim (Glossary C62 acquisition fee is a fee TO ServCo — correct). The PowerPoint deck was corrected in parallel. (2) LOGOS — KIT Capital (PNG 203x210) and Lola &amp; Ber flower (JPEG 255x255) placed as floating images: Cover top-right below the navy band, 59pt tall, true aspect ratio; Lola &amp; Ber tab top-right, ~51pt. Cleared the stray typed #VALUE! in Cover F1 (old logo placeholder) — resolves the long-standing known issue. (3) TAB COLOURS — every non-'_' tab set to #132E57 (Business Description, The Buy Box, Lola &amp; Ber were uncoloured). Hidden ServCo Personnel US: colour applied but the API reports null for hidden sheets, so unverified. '_' helper tabs left uncoloured. (4) LONG-TEXT LAYOUT (Ricardo: 'use merge &amp; center, left justified and indent to fit large text so does not increase row height excessively. scan entire workbook'). Scanned every tab for wrapped text wider than its cell. Merged across EMPTY columns only, left-aligned, indent 1, then re-sized rows: Portfolio Analysis 18 notes now B:K (F:K for rows 148/166) to match section-header width, N1-N11 indented uniformly; Dashboard 8 commentary rows B:I; The Buy Box Target column D8:D18 merged D:J; Input B92, D170:D172 (e.g. row 171 129.5pt -&gt; 20pt); Properties H16:H19; _IRR Engine A2; _ICP Archive L13. Clipped labels with an occupied neighbour were set to wrap to two lines (Input, Balance Sheet, Medellín Market Data, The Buy Box B28/B37, SCF B56, Investor Return B10). Labels needing 3+ lines were deliberately left unwrapped (see snapshot known issues). A cancelled earlier row-height pass in the same session may have partly applied (Input D27/D28/D48:D52 merges to D:K) — not fully traceable. (5) DEFECT FIXED EN ROUTE — ServCo Financials C11:G11 (Period row) was displaying formula text because the cells were Text-formatted; reset to General and re-entered, now reads Oct-26 – Sep-27 … VERIFICATION: rendered read-back of The Buy Box criteria, Portfolio Analysis notes, Dashboard, Input tail, Income Statement, Property Detail and ServCo Financials; other resized rows not individually viewed (heights are length-based estimates). Headline unchanged: Investor XIRR 14.87%, deal-level 22.96% pre-tax / 20.37% after gains tax; Input C146 = ALL CHECKS PASS.</t>
  </si>
  <si>
    <t>All-risk homeowner policies in Colombia typically run 0.1%–0.2% of value per year. Charged from rental start only — during the 6-month works the contractor carries construction all-risk cover.</t>
  </si>
  <si>
    <t>Entry 188 — INSURANCE EXCLUDED DURING THE WORKS WINDOW (9/25/26, Ricardo: 'discount insurance for 6 month improvement as paid by contractor'). Insurance (Input C18, 0.15%/yr of all-in basis) moved from the OWNED-period cost bucket to the RENTING-period bucket, the same treatment the maintenance reserve (C19) already had — so it now runs from rental start to sale, and the contractor's construction all-risk policy covers the works months. FORMULAS EDITED (446 cells, pattern replace, originals saved in-session): _IRR Engine J-column monthly LET (120) — Input C18 moved from ownFix to rentFix; Portfolio Analysis row-13 deal XIRR grid (42) — zownfx to zrentfx; Portfolio Analysis exit-timing grids rows 30, 44 and sale-table K76:K85 (130) — C18 removed from the works-period cost term (post-works is carried by stabilized NOI, which already includes insurance); Properties AK trailing-12 NOI (14) — ownFix to rentFix; Property Detail insurance rows (140) — now read '_Month Engine' 'Renting All-In Basis' instead of 'Owned All-In Basis'. NOT CHANGED: Properties X6:X15 stabilized NOI (a renting year, insurance correctly included); Portfolio Analysis D123 annual illustration. Notes updated: Input D18 and Income Statement N41. RESULT: lifetime insurance $25,370 -&gt; $20,441 (-$4,929); Year 1 net income -$159,545 -&gt; -$154,811; capital called $6,881,699 -&gt; $6,876,751; distributions after carry $9,677,124 -&gt; $9,676,134; carry $698,856 -&gt; $699,846; MOIC 1.406x -&gt; 1.407x; Investor XIRR 14.87% -&gt; 14.90%; deal-level 22.96% -&gt; 23.00% pre-tax, 20.37% -&gt; 20.41% after tax. VERIFICATION: full recalc, zero error cells in every sheet, Balance Sheet check 0 all years, zero CHECK flags, Input C146 = ALL CHECKS PASS.</t>
  </si>
  <si>
    <t>Recurring utilities per property (power, water, gas, internet), from the per-property cost table on the Input tab. Repairs and upkeep are NOT included here — they sit in the Maintenance Reserve, the model's only maintenance line.</t>
  </si>
  <si>
    <t>Entry 189 — MAINTENANCE NOW APPEARS ONCE; OVERLAP REVIEW (9/25/26, Ricardo: 'what are the overlapping expense lines. Maintenance should be there only once.'). FINDING: the 'Utilities &amp; maintenance' line was a LABEL overlap, not a double charge — its input (Input E80:E84 'Utilities (COP M per month)') and Property Detail's source line are utilities only; the only maintenance cost is the Maintenance Reserve (Input C19, 0.5%/yr of basis, from rental start). CHANGES: Income Statement B136 'Utilities &amp; maintenance' -&gt; 'Utilities'; Glossary B27/C27 renamed and redefined as utilities only, stating that repairs/upkeep sit in the Maintenance Reserve. NO NUMBERS CHANGED. REMAINING ECONOMIC OVERLAP, flagged not actioned: property management 15% of rent ($85,643) plus housekeeping 8% ($45,676) — market 15-25% furnished-management bands usually include guest servicing, so the combined 23% may double-count. Property service fee is already $0 (consolidated into property management, Glossary row 75). Asset-management fee (1.5% of basis, fund level) and Dulcinea legal/admin ($30K/yr) cover different scopes — no overlap.</t>
  </si>
  <si>
    <t>Housekeeping &amp; turnover (% of gross rent) — eliminated, now inside Property Management &amp; Housekeeping (C31)</t>
  </si>
  <si>
    <t>Set to zero 25 Sep 2026: cleaning and guest turnover are now covered by the combined 20% Property Management &amp; Housekeeping fee.</t>
  </si>
  <si>
    <t>Property management &amp; housekeeping (% of gross rental revenue)</t>
  </si>
  <si>
    <t>Single ServCo fee for running the rentals, including cleaning and guest turnover; replaces 15% management + 8% housekeeping.</t>
  </si>
  <si>
    <t>ServCo housekeeping delivery cost (% of gross rent, covered inside the 20% fee)</t>
  </si>
  <si>
    <t>Property management &amp; housekeeping — furnished short-stay</t>
  </si>
  <si>
    <t>Property Management &amp; Housekeeping Fee</t>
  </si>
  <si>
    <t>Housekeeping &amp; turnover — included in PM &amp; housekeeping</t>
  </si>
  <si>
    <t>Included</t>
  </si>
  <si>
    <t>Entry 190 — FEE RESTRUCTURE: PROPERTY MANAGEMENT &amp; HOUSEKEEPING 20%, HOUSEKEEPING 8% ELIMINATED, ASSET MANAGEMENT 1.5% -&gt; 1.0% (9/25/26, Ricardo). INPUTS: C20 housekeeping 8% -&gt; 0% (label/note mark it eliminated); C31 renamed 'Property management &amp; housekeeping' 15% -&gt; 20%; C30 asset management 1.5% -&gt; 1.0%. SERVCO COST FIX: Input C159 redefined from '% of housekeeping billings' (62.5%) to '% of gross rent' (5.0%, same economics), and ServCo Financials C24:L24 now = PM fee / C31 x C159 so ServCo still bears its cleaning cost even though Dulcinea is no longer billed separately. LABELS/NOTES: Income Statement B35/49/63/77/91/104 (housekeeping rows kept at zero, labelled eliminated — rows NOT deleted to protect direct references), B36/50/64/78/92/105, N37, N38; ServCo Financials B16, B24, B36, B57, B60:E60; Glossary B74/C74, C97; Input D159. RESULT vs Entry 188: rent-linked fees 23% -&gt; 20% ($131,319 -&gt; $114,190); asset-management fee $253,697 -&gt; $169,132; capital called $6,876,751 -&gt; $6,774,650; carry $699,846 -&gt; $720,266; distributions after carry $9,676,134 -&gt; $9,655,714; net profit $2,799,383 -&gt; $2,881,064; MOIC 1.407x -&gt; 1.425x; Investor XIRR 14.90% -&gt; 15.44%; deal-level 23.00% -&gt; 23.09% pre-tax, 20.41% -&gt; 20.50% after tax (deal level excludes the asset-management fee). Year 1/2 net income -$154,811/-$63,276 -&gt; -$128,263/-$21,916. VERIFICATION: full recalc, zero error cells, Balance Sheet check 0, zero CHECK flags, Input C146 = ALL CHECKS PASS. NOT DONE: deck figures (14.9% etc.) now stale — PowerPoint not notified.</t>
  </si>
  <si>
    <t>Per Ricardo 25 Sep 2026: the 4-week minimum stay is priced at 28 × daily rate, capped at US$9,500 (raised from US$8,000 so the larger El Retiro houses can price to market). Nights beyond 28 are charged at the full daily rate (no cap).</t>
  </si>
  <si>
    <t>Guidance — 4-week price vs 4-week cap (C170)</t>
  </si>
  <si>
    <t>$300–$1,000 per night · $9,500 cap per 28 nights</t>
  </si>
  <si>
    <t>Notes: revenue is before the rental window (renovation / sale timing), selection flag and annual real rate growth, which _Month Engine applies. The US$9,500 cap is applied to the seasonal daily rate each month, so peak months can hit the cap.</t>
  </si>
  <si>
    <t>Entry 191 — EL RETIRO HOUSES RE-PRICED TO MARKET; 4-WEEK CAP $8,000 -&gt; $9,500 (9/25/26, Ricardo: 'raise as recommended'). Market scan (unofficial listing sites: Casacol, FazWaz, Rent By Owner, Travelocity — no official source) put 4-week market ranges at Casa Montana ~$8.5-12K, Monte Sereno ~$6.5-9K; capacity inferred from m2 (~1 bedroom per 90-100 m2), bedroom counts NOT confirmed. INPUTS: Input J83 Casa Montana daily $270 -&gt; $340; J84 Monte Sereno $200 -&gt; $270; C170 4-week cap $8,000 -&gt; $9,500 (D170 note updated). Resulting 4-week prices: Casa Montana $9,500 (at cap), Monte Sereno $7,560; Poblado units unchanged ($7,560 / $7,560 / $7,000, below cap). Text updated: Input K78 header, The Buy Box D15, _Seasonality A62 ($9,500). _ICP Archive J13 left (archived). RESULT vs Entry 190: rental revenue $570,951 -&gt; $643,427; Monte Sereno stabilized NOI -$774 (pre-fee change) -&gt; +$12,800; Year 2 net income -$21,916 -&gt; +$1,279; capital called $6,774,650 -&gt; $6,720,489; distributions after carry $9,655,714 -&gt; $9,646,612; net profit $2,881,064 -&gt; $2,926,123; MOIC 1.425x -&gt; 1.435x; Investor XIRR 15.44% -&gt; 15.72%; deal-level 23.09% -&gt; 23.40% pre-tax, 20.50% -&gt; 20.81% after tax. VERIFICATION: full recalc, zero error cells, BS check 0, zero CHECK flags, Input C146 = ALL CHECKS PASS. Deck figures still stale.</t>
  </si>
  <si>
    <t>Entry 192 — DECKS REFRESHED; SNAPSHOT TO REV 13 (9/25/26, Ricardo: 'update powerpoints', 'update handoff'). NO MODEL CHANGES. Wrote shared file dulcinea-deck-refresh-v2.json (headline, annual investor flows, 5 properties incl. daily rate and 4-week price, income statement, balance sheet, fee schedule, live entry-discount sweep 25/30/35%, Dashboard IRR chart series, checks) — supersedes the two earlier files; corrects the prior file's blank commitment ($7.0M, Input C37) and wrong blended appreciation (7.81%, Input C55 — earlier read an off-by-row cell showing 3%). Live sweep set Input I80:I84 to 25%/35% then restored to 30% (verified; IRR back to 15.72%). Deck 025 (PowerPoint agent reported it as '024') updated: 13 slides of text (15.7%, 1.44x, $9.65M, $2.93M, $6.72M called, $0.73M carry, 20.8% deal after tax, CM $4.88M / 40.6%, NI $3.66M, $9,500 cap on slides 6/8) and charts on slides 27, 29, 36, 43; no slide described the ServCo fee schedule. Deck 026 sent the same file and change list; its completion not confirmed from this side. State snapshot (B3) refreshed to rev 13: headline, fees, rental pricing, deck status, known issues.</t>
  </si>
  <si>
    <t>Income tax on rental operation — capped at 15% per counsel (statutory Impuesto sobre la Renta, Art. 240 ET, is 35%)</t>
  </si>
  <si>
    <t>Per counsel (25 Sep 2026): the fund's structure means it will never pay the 35% general rate; maximum effective tax rate on any income is 15%. Statutory reference: tarifa general 35% (Ley 2277 de 2022).</t>
  </si>
  <si>
    <t>Model convention: 15% applies to every sale regardless of hold length. Per counsel (25 Sep 2026) the fund's maximum tax rate on any income is 15%, so no sale or rental profit is taxed at the 35% statutory rate. See Glossary — Gains Tax Fixed at 15% (Model Exception).</t>
  </si>
  <si>
    <t>Rental operation income tax uses the 15% counsel-capped rate (no income taxed above 15%)</t>
  </si>
  <si>
    <t>Entry 193 — MAXIMUM TAX RATE 15% PER COUNSEL (9/25/26, Ricardo: 'Counsel told me that we will never pay 35% here so assume our max tax rate is 15%'). Input C25 (income tax on rental operation) 35% -&gt; 15%; B25/D25 relabelled and sourced to counsel; D26 note rewritten (no sale or rental profit taxed above 15%). Model check B106/C106 replaced: old test 'rental operation runs at a loss (35% line inactive by design)' was stale since Entry 191 made Year 2 profitable; new test = MAX(C25,C26) &lt;= 15%. Glossary C112 and C115 rewritten (statutory 35% cited as reference only). RESULT: Year 2 income tax $689 -&gt; $295 (the only year with taxable rental profit); gains tax unchanged ($568,609 total); capital called $6,720,489 -&gt; $6,720,095; distributions after carry $9,646,612 -&gt; $9,646,534; net profit $2,926,123 -&gt; $2,926,438; MOIC 1.4354x -&gt; 1.4355x; Investor XIRR 15.719% -&gt; 15.721%; deal-level unchanged 23.40% / 20.81%. Portfolio Analysis exit-timing grids (131 formulas using C25 on NOI) now also at 15%. STILL OPEN from the 25 Sep audit: no loss carry-forward (Year 1 loss -$126K not offset against Year 2), stale text Input D32 and Portfolio Analysis B94, stale Portfolio Analysis I8:I11 paste. VERIFICATION: full recalc, zero error cells, zero CHECK flags, Input C146 = ALL CHECKS PASS.</t>
  </si>
  <si>
    <t>Set to zero: concierge, housekeeping coordination and guest services are already covered by the single Property Management &amp; Housekeeping fee (C31, 20% of gross rent), so a flat per-door charge would double-count the same service. A flat amount would also charge the $14/m² estates the same as the $28/m² penthouses. Reference 13 supports no flat per-door fee. Raise this input to reinstate one.</t>
  </si>
  <si>
    <t>Grey-shaded 25% and 35% columns are pasted from a manual sweep of Input!I80:I84 (all five properties set to each discount) on 2026-09-25 after the fee, pricing and tax changes; re-run if inputs change. 30% column is live.</t>
  </si>
  <si>
    <t>Entry 194 — AUDIT FOLLOW-UPS FIXED (9/25/26, Ricardo: 'fix all'). (1) LOSS CARRY-FORWARD: Income Statement C150:L150 now =MAX(0,(cumulative rental CM − cumulative fixed costs) × Input C25 − prior tax paid), i.e. operating losses carry forward without expiry (Art. 147 ET); B150 label updated. Year 1 loss (-$126K) now shelters Year 2 profit, so Year 2 income tax $295 -&gt; $0; income tax zero in all years. (2) STALE TEXT: Input D32 rewritten for the single 20% Property Management &amp; Housekeeping fee; Portfolio Analysis B94 converted to a TEXT()-linked formula (fee %, insurance and maintenance timing, excluded ServCo fees all read live from Input). (3) STALE PASTE: Portfolio Analysis I8:I11 (25%) and K8:K11 (35%) re-pasted from a fresh sweep of Input I80:I84, then restored to 30% (verified). New values 25% / 30% live / 35%: exit value $10.62M / $11.38M / $12.25M; deal XIRR after tax 17.9% / 20.8% / 24.1%; Investor XIRR 13.2% / 15.7% / 18.5%; MOIC 1.36x / 1.44x / 1.52x. H12 note corrected (was citing I74:I83, dated 15 Sep). MY ERROR EN ROUTE: first sweep pasted the wrong source cells (E8:E11 instead of E8/E14/E17/Investor Return C21); caught on read-back and redone. (4) Audit item 7 (Portfolio Analysis D123 insurance) CLOSED WITHOUT CHANGE — it is a stabilized renting-year illustration, so full-year insurance is correct. RESULT: net profit $2,926,438 -&gt; $2,926,674; Investor XIRR 15.721% -&gt; 15.722%; MOIC 1.4355x. VERIFICATION: full recalc, zero error cells, BS check 0, zero CHECK flags, Input C146 = ALL CHECKS PASS.</t>
  </si>
  <si>
    <t>EBITDA % of revenue</t>
  </si>
  <si>
    <t>Net Income % of revenue</t>
  </si>
  <si>
    <t>Gross profit % of revenue</t>
  </si>
  <si>
    <t>Notes to Financials</t>
  </si>
  <si>
    <t>Commentary behind the Income Statement, Cash Flows, Balance Sheet, Sources &amp; Uses, ServCo and Investor Return tabs. Figures update with the Input tab.</t>
  </si>
  <si>
    <t>Line</t>
  </si>
  <si>
    <t>Note</t>
  </si>
  <si>
    <t>Income Statement — Revenue &amp; Variable Costs</t>
  </si>
  <si>
    <t>Presentation</t>
  </si>
  <si>
    <t>Contribution-margin format: revenue less variable costs gives contribution margin; less fixed costs gives EBITDA. Every figure links to the monthly engine and the Input tab.</t>
  </si>
  <si>
    <t>STR rental revenue</t>
  </si>
  <si>
    <t>Furnished short-term rentals, in USD, with a 28-night minimum stay.</t>
  </si>
  <si>
    <t>Housekeeping &amp; turnover</t>
  </si>
  <si>
    <t>Property management &amp; housekeeping</t>
  </si>
  <si>
    <t>STR revenue taxes (ICA, FONTUR)</t>
  </si>
  <si>
    <t>Selling costs</t>
  </si>
  <si>
    <t>Income Statement — Fixed Costs</t>
  </si>
  <si>
    <t>Property tax (predial)</t>
  </si>
  <si>
    <t>Set per property as a % of all-in basis (Input rows 74–83), since rates vary by municipality and estrato. Legal basis: Ley 44/1990 Arts. 1–4. Market range: 0.2%–0.6% of market value per year (ref 7).</t>
  </si>
  <si>
    <t>Set per property as a monthly COP amount (Input column D). Premium El Poblado buildings charge COP 600k–2M+ per month (ref 8).</t>
  </si>
  <si>
    <t>Set per property as a monthly COP amount (Input column E), charged for the full ownership period, including works. Typical: COP 350k–600k per month (ref 8).</t>
  </si>
  <si>
    <t>ServCo property service fees</t>
  </si>
  <si>
    <t>Fund-level costs</t>
  </si>
  <si>
    <t>Charged to Dulcinea rather than to any property, so excluded from property NOI and from the exit cap rate.</t>
  </si>
  <si>
    <t>Legal, accounting &amp; admin</t>
  </si>
  <si>
    <t>Financial transactions tax (GMF)</t>
  </si>
  <si>
    <t>NOI (memo)</t>
  </si>
  <si>
    <t>Property-level NOI: rental revenue less property operating costs. The exit cap rate applies to this figure on a trailing-twelve-month basis. Excludes fund-level costs and tax.</t>
  </si>
  <si>
    <t>Income Statement — Taxes</t>
  </si>
  <si>
    <t>Income tax — rental operations</t>
  </si>
  <si>
    <t>Capital gains tax — property sales</t>
  </si>
  <si>
    <t>Other Statements</t>
  </si>
  <si>
    <t>Statement of Cash Flows</t>
  </si>
  <si>
    <t>Indirect method. Property purchases and works are investing activities. Cost basis released on sale is added back to operating cash flow as a non-cash charge.</t>
  </si>
  <si>
    <t>Balance Sheet</t>
  </si>
  <si>
    <t>Year-end balances. Properties are carried at cost (purchase, closing and works) as real estate held for sale. No debt.</t>
  </si>
  <si>
    <t>Sources &amp; Uses</t>
  </si>
  <si>
    <t>Capital is called for every acquisition. Sale proceeds are distributed deal by deal as each property sells and are never recycled (Operating Agreement §4.3).</t>
  </si>
  <si>
    <t>Arm's-length charges benchmarked to industry standards. Each role is charged only for Dulcinea time; Ashoka bears the rest. ServCo deficits on the Dulcinea slice are funded by Ashoka, never by Dulcinea or the raise. Per-role pay is confidential (see the ServCo Personnel tabs).</t>
  </si>
  <si>
    <t>Contribution-margin format. See Notes to Financials.</t>
  </si>
  <si>
    <t>Sum of properties</t>
  </si>
  <si>
    <t>Property-level</t>
  </si>
  <si>
    <t>Less: housekeeping &amp; turnover</t>
  </si>
  <si>
    <t>Less: property management &amp; housekeeping</t>
  </si>
  <si>
    <t>Less: STR revenue taxes (ICA, FONTUR)</t>
  </si>
  <si>
    <t>Less: selling costs</t>
  </si>
  <si>
    <t>Indirect method. See Notes to Financials.</t>
  </si>
  <si>
    <t>Year-end balances, at cost. See Notes to Financials.</t>
  </si>
  <si>
    <t>Deployment of the capital raise. See Notes to Financials.</t>
  </si>
  <si>
    <t>Dulcinea share of ServCo charges. See Notes to Financials.</t>
  </si>
  <si>
    <t>Method: see Notes to Financials</t>
  </si>
  <si>
    <t>Entry 195 — % OF REVENUE MEMO LINES ADDED (9/27/26, Ricardo). Income Statement: EBITDA % of revenue (row 148), Net Income % of revenue (row 156), Gross Profit % of revenue (memo, row 160). Each = line ÷ Total revenue (C103:L103), same style as the existing CM % of revenue line. Inserted as new rows, so Taxes/Net Income/Memo block shifted down by 3 rows total; all cross-sheet refs auto-adjusted, verified zero errors.</t>
  </si>
  <si>
    <t>Entry 196 — NOTES TO FINANCIALS TAB CREATED; STATEMENTS SHORTENED (9/27/26, Ricardo: 'keep tax decisions/legal citations off the statements'). New prose tab 'Notes to Financials' (after Balance Sheet) holds one plain-English note per line item — rates, market comparisons, legal basis, tax treatment — sourced live from Input where a figure is quoted. Income Statement labels shortened (e.g. the long ICA/FONTUR line -&gt; 'Less: STR revenue taxes (ICA, FONTUR)'); column N side-notes cleared. Subtitles shortened and pointed to the notes tab on Statement of Cash Flows B2, Balance Sheet B2, Sources &amp; Uses B2, ServCo Financials B2/B24 (B29/B68 cleared), Investor Return B25 (C25 cleared).</t>
  </si>
  <si>
    <t>Entry 197 — TWO OPEN AUDIT ITEMS CLOSED (9/27/26, Ricardo: 'you decide'). (1) Loss carry-forward: kept — Income Statement C150:L150 already carries losses forward per Art. 147 ET (set in Entry 194); Notes to Financials C25 now states this plainly, no legal cite. (2) ICA rate: kept at the blended 1.25% (Input C21) — Notes to Financials C10 explains the blend includes the FONTUR levy and signage tax, which is why it sits above the 0.2%-1.0% ICA-only market range. Open Items rows removed from the notes tab.</t>
  </si>
  <si>
    <t>Entry 198 — ALL TABS SET TO ONE COLOR; PROSE TABS REORDERED (9/27/26, Ricardo). Every tab, including the '_' helper/engine tabs (previously uncoloured), set to navy #132E57 — supersedes the PRESENTATION note in the rev-13 state entry below. Business Description, Notes to Financials and Glossary moved to sit together immediately after Lola &amp; Ber and before the '_' engine tabs, so all prose/reference tabs are to the right of every calculation tab.</t>
  </si>
  <si>
    <t>Entry 199 — INCOME STATEMENT YEARS 5-10 GROUPED (9/27/26). Columns G:L (model Years 5-10, all zero since the fund exits in Year 4) grouped and collapsed with a +/- toggle above column M; F (Year 4) stays visible. No values changed.</t>
  </si>
  <si>
    <t>STATE OF THE WORKBOOK — 9/27/2026, rev 14 (session snapshot; keep this entry at the TOP of _Handoff and refresh it rather than adding another. Supersedes rev 13.)
TABS (26): Cover · Dashboard · Input · The Buy Box · Income Statement · Statement of Cash Flows · Balance Sheet · Investor Return · Sources &amp; Uses · Portfolio Analysis · Properties · Property Detail · Medellín Market Data · ServCo Financials · ServCo Personnel US · ServCo Personnel Colombia · Lola &amp; Ber · Business Description · Notes to Financials · Glossary · _Month Engine · _Seasonality · _Forced Assumptions · _IRR Engine · _ICP Archive · _Handoff. Prose/reference tabs (Business Description, Notes to Financials, Glossary) sit together after Lola &amp; Ber, to the right of every calculation tab.
FUND: closed-end, all-equity, USD. 5 properties only (Aires, Fontanar, San Lucas, Casa Montana, Monte Sereno); ICP slots archived on _ICP Archive and excluded from all calculations; 4 backup properties listed on Properties rows 16-19 (no data, not modeled).
TIMING (monthly): _Qtr Engine renamed _Month Engine (120 months, C:DR). Properties Q-U in model months: purchase 2/1/3/8/5, renovation 6 mo each (Input renovation-months column), hold 28/30/25/35/32 (avg 30), sale month 30/31/28/43/37. Final exit month 43 (Input C56), horizon 4 yrs (C57). Statements blank years past the final sale.
REVENUE: furnished STR, 4-week minimum. Daily rate per unit (Input J col: $270/$270/$250/$340/$270 — Casa Montana and Monte Sereno raised 25 Sep to market), 4-week price = MIN(28 x daily, $9,500 cap, Input C170), extra nights at daily rate, avg stay 35 nights; occupancy 60% all units; seasonality by location (El Poblado / El Retiro) on _Seasonality, normalized to average 1.00. FF&amp;E is inside the renovation budget.
INCOME STATEMENT: contribution-margin format with a CM block per property, margin after direct fixed costs by property, then fund-level fixed costs, EBITDA (with EBITDA % of revenue memo), taxes, NI (with NI % of revenue memo); Gross Profit % of revenue memo in the traditional-presentation block. Long tax/legal commentary moved off the statement onto the new Notes to Financials tab; statement labels are short and plain. Years 5-10 (columns G:L, all zero) grouped/collapsed.
TAXES: Colombian taxes with Spanish names and articles (Glossary); occasional-gains tax fixed at 15%; tax basis includes improvements and US CPI indexation (Input C28 = 3.35%, FRED CPIAUCSL Aug-26 YoY); VAT exemption for non-resident guests with RNT registration.
TERMS: Managing Partner = KIT Capital; investors = Equity Investors; 20% carry after return of capital; no distributions in Year 1 (Input first-distribution year = 2). Kickers: up to 3% of Lola &amp; Ber Hospitality Brand business (full at full subscription), Dulcinea II pro-rata ROFR, priority participation in MP structure of future funds.
HEADLINE (25 Sep 2026, rev 13): capital called $6,720,489 of $7.0M; distributions $9,646,612 after carry $731,531; net profit $2,926,123; MOIC 1.435x; Equity Investor IRR 15.72% (XIRR, monthly dated flows); deal-level 23.40% pre-tax / 20.81% after gains tax; payback Year 4; rental revenue $643,427. Entry-discount live sweep: 25% 13.25%/1.36x · 30% 15.72%/1.44x · 35% 18.49%/1.52x. Master check Input C146 = ALL CHECKS PASS (42/42).
FEES (Input C30/C31/C20): ServCo asset management 1.0%/yr of basis; Property Management &amp; Housekeeping 20% of rent (single fee; separate 8% housekeeping eliminated, C20 = 0); ServCo cleaning cost 5% of rent (C159) borne inside the fee. Insurance and maintenance reserve accrue from rental start only (contractor insures the works). Maintenance appears once (Income Statement 'Utilities' line is utilities only).
PRESENTATION: ALL tabs, including '_' helper/engine tabs, navy #132E57 (as of 9/27/26 — previously helper tabs were uncoloured). KIT Capital + Lola &amp; Ber logos on Cover (top-right) and Lola &amp; Ber logo on Lola &amp; Ber tab. ROLES: Dulcinea Investments, LLC buys and owns the homes; ServCo provides supporting services only (sourcing/deal support, remodel, operations, sale).
DECKS: both investor decks refreshed from shared file dulcinea-deck-refresh-v2.json (supersedes dulcinea-chart-data.json and dulcinea-deck-refresh.json).
KNOWN ISSUES: El Retiro 4-week pricing rests on unofficial listing sites and m2-inferred capacity — confirm bedroom counts. Long STR revenue-tax label ('Impuestos sobre ingresos STR — ICA, Avisos y Tableros y Contribución Parafiscal FONTUR…') is now shortened on Income Statement (moved to Notes to Financials); still long on Property Detail (15 rows) and Input B21 — not done. Portfolio Analysis row 192 rent-sensitivity takeaway still in USD/m²/month terms. Dashboard charts 2-3 point at fixed year columns (re-point if horizon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</si>
</sst>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0">
    <numFmt numFmtId="164" formatCode="mmm\-yyyy"/>
    <numFmt numFmtId="165" formatCode="0.0%"/>
    <numFmt numFmtId="166" formatCode="0.0"/>
    <numFmt numFmtId="167" formatCode="&quot;Year &quot;0"/>
    <numFmt numFmtId="168" formatCode="[Red]&quot;$&quot;#,##0;[Red]\(&quot;$&quot;#,##0\);&quot;$&quot;0"/>
    <numFmt numFmtId="169" formatCode="0.00&quot;x&quot;"/>
    <numFmt numFmtId="170" formatCode="_(#,##0_);\(#,##0\);_(&quot;–&quot;_);_(@_)"/>
    <numFmt numFmtId="171" formatCode="0.0&quot; yrs&quot;"/>
    <numFmt numFmtId="172" formatCode="&quot;$&quot;0.00"/>
    <numFmt numFmtId="173" formatCode="0&quot; mo&quot;"/>
    <numFmt numFmtId="174" formatCode="&quot;Hold &quot;0&quot; mo&quot;"/>
    <numFmt numFmtId="175" formatCode="[=1]&quot;✓ Active&quot;;[=0]&quot;✗ Not Active&quot;;General"/>
    <numFmt numFmtId="176" formatCode="0.0000"/>
    <numFmt numFmtId="177" formatCode="&quot;$&quot;#,##0.0"/>
    <numFmt numFmtId="178" formatCode="&quot;$&quot;#,##0"/>
    <numFmt numFmtId="179" formatCode="&quot;$&quot;0"/>
    <numFmt numFmtId="180" formatCode="0.0&quot; pts&quot;"/>
    <numFmt numFmtId="181" formatCode="dd\-mmm\-yy"/>
    <numFmt numFmtId="182" formatCode="#,##0;;&quot;–&quot;"/>
    <numFmt numFmtId="183" formatCode="0&quot; d&quot;"/>
    <numFmt numFmtId="184" formatCode="0.0&quot; d&quot;"/>
    <numFmt numFmtId="185" formatCode="0&quot; q&quot;"/>
    <numFmt numFmtId="186" formatCode="0.0&quot; q&quot;"/>
    <numFmt numFmtId="187" formatCode="&quot;$&quot;#,##0;\(&quot;$&quot;#,##0\);&quot;-&quot;"/>
    <numFmt numFmtId="188" formatCode="0.00\x"/>
    <numFmt numFmtId="189" formatCode="0.0%;\(0.0%\);&quot;–&quot;"/>
    <numFmt numFmtId="190" formatCode="0\ &quot;mo&quot;"/>
    <numFmt numFmtId="191" formatCode="0\ &quot;nights&quot;"/>
    <numFmt numFmtId="192" formatCode="_(&quot;$&quot;#,##0_);\(&quot;$&quot;#,##0\);_(&quot;–&quot;_);_(@_)"/>
    <numFmt numFmtId="193" formatCode="0.0\ &quot;‰&quot;"/>
  </numFmts>
  <fonts count="135" x14ac:knownFonts="1">
    <font>
      <sz val="11"/>
      <color theme="1"/>
      <name val="Aptos Narrow"/>
      <family val="2"/>
      <scheme val="minor"/>
    </font>
    <font>
      <b/>
      <sz val="11"/>
      <color theme="1"/>
      <name val="Aptos Narrow"/>
      <family val="2"/>
      <scheme val="minor"/>
    </font>
    <font>
      <u/>
      <sz val="11"/>
      <color theme="10"/>
      <name val="Aptos Narrow"/>
      <family val="2"/>
      <scheme val="minor"/>
    </font>
    <font>
      <i/>
      <sz val="11"/>
      <color rgb="FF555555"/>
      <name val="Aptos Narrow"/>
      <family val="2"/>
      <scheme val="minor"/>
    </font>
    <font>
      <b/>
      <sz val="11"/>
      <color rgb="FFFFFFFF"/>
      <name val="Aptos Narrow"/>
      <family val="2"/>
      <scheme val="minor"/>
    </font>
    <font>
      <b/>
      <sz val="14"/>
      <color theme="1"/>
      <name val="Aptos Narrow"/>
      <family val="2"/>
      <scheme val="minor"/>
    </font>
    <font>
      <sz val="11"/>
      <color theme="1"/>
      <name val="Open Sans"/>
      <family val="2"/>
    </font>
    <font>
      <b/>
      <sz val="11"/>
      <color rgb="FFFFFFFF"/>
      <name val="Open Sans"/>
      <family val="2"/>
    </font>
    <font>
      <b/>
      <sz val="14"/>
      <color rgb="FFFFFFFF"/>
      <name val="Aptos Narrow"/>
      <family val="2"/>
      <scheme val="minor"/>
    </font>
    <font>
      <sz val="10"/>
      <color theme="1"/>
      <name val="Aptos Narrow"/>
      <family val="2"/>
      <scheme val="minor"/>
    </font>
    <font>
      <b/>
      <sz val="12"/>
      <color rgb="FFFFFFFF"/>
      <name val="Open Sans"/>
      <family val="2"/>
    </font>
    <font>
      <sz val="11"/>
      <color rgb="FF006100"/>
      <name val="Aptos Narrow"/>
      <family val="2"/>
      <scheme val="minor"/>
    </font>
    <font>
      <sz val="11"/>
      <color rgb="FF008000"/>
      <name val="Aptos Narrow"/>
      <family val="2"/>
      <scheme val="minor"/>
    </font>
    <font>
      <b/>
      <sz val="28"/>
      <color rgb="FF132E57"/>
      <name val="Aptos"/>
      <family val="2"/>
    </font>
    <font>
      <sz val="11"/>
      <color theme="1"/>
      <name val="Aptos"/>
      <family val="2"/>
    </font>
    <font>
      <i/>
      <sz val="11"/>
      <color rgb="FF555555"/>
      <name val="Aptos"/>
      <family val="2"/>
    </font>
    <font>
      <sz val="11"/>
      <color rgb="FF000000"/>
      <name val="Aptos"/>
      <family val="2"/>
    </font>
    <font>
      <sz val="11"/>
      <color rgb="FF008000"/>
      <name val="Aptos"/>
      <family val="2"/>
    </font>
    <font>
      <b/>
      <sz val="11"/>
      <color theme="1"/>
      <name val="Aptos"/>
      <family val="2"/>
    </font>
    <font>
      <b/>
      <sz val="14"/>
      <color rgb="FFFFFFFF"/>
      <name val="Aptos"/>
      <family val="2"/>
    </font>
    <font>
      <sz val="12"/>
      <color theme="1"/>
      <name val="Aptos"/>
      <family val="2"/>
    </font>
    <font>
      <sz val="10"/>
      <color theme="1"/>
      <name val="Aptos"/>
      <family val="2"/>
    </font>
    <font>
      <sz val="11"/>
      <color rgb="FF777777"/>
      <name val="Aptos"/>
      <family val="2"/>
    </font>
    <font>
      <b/>
      <sz val="12"/>
      <color rgb="FFFFFFFF"/>
      <name val="Aptos"/>
      <family val="2"/>
    </font>
    <font>
      <sz val="12"/>
      <color rgb="FF008000"/>
      <name val="Aptos"/>
      <family val="2"/>
    </font>
    <font>
      <b/>
      <sz val="12"/>
      <color theme="1"/>
      <name val="Aptos"/>
      <family val="2"/>
    </font>
    <font>
      <b/>
      <sz val="11"/>
      <color rgb="FFFFFFFF"/>
      <name val="Aptos"/>
      <family val="2"/>
    </font>
    <font>
      <sz val="12"/>
      <color rgb="FF000000"/>
      <name val="Aptos"/>
      <family val="2"/>
    </font>
    <font>
      <b/>
      <i/>
      <sz val="11"/>
      <color rgb="FF3271D2"/>
      <name val="Aptos"/>
      <family val="2"/>
    </font>
    <font>
      <i/>
      <sz val="11"/>
      <color theme="1"/>
      <name val="Aptos"/>
      <family val="2"/>
    </font>
    <font>
      <b/>
      <i/>
      <sz val="12"/>
      <color theme="1"/>
      <name val="Aptos"/>
      <family val="2"/>
    </font>
    <font>
      <u/>
      <sz val="11"/>
      <color rgb="FF000000"/>
      <name val="Aptos"/>
      <family val="2"/>
    </font>
    <font>
      <u/>
      <sz val="11"/>
      <color theme="10"/>
      <name val="Aptos"/>
      <family val="2"/>
    </font>
    <font>
      <b/>
      <sz val="11"/>
      <color rgb="FF3271D2"/>
      <name val="Aptos"/>
      <family val="2"/>
    </font>
    <font>
      <i/>
      <sz val="12"/>
      <color theme="1"/>
      <name val="Aptos"/>
      <family val="2"/>
    </font>
    <font>
      <sz val="11"/>
      <color rgb="FF1F4EAD"/>
      <name val="Aptos"/>
      <family val="2"/>
    </font>
    <font>
      <sz val="11"/>
      <color rgb="FF595959"/>
      <name val="Aptos Narrow"/>
      <family val="2"/>
      <scheme val="minor"/>
    </font>
    <font>
      <b/>
      <sz val="11"/>
      <color rgb="FF595959"/>
      <name val="Aptos"/>
      <family val="2"/>
    </font>
    <font>
      <b/>
      <sz val="14"/>
      <color rgb="FF1B2A4A"/>
      <name val="Aptos"/>
      <family val="2"/>
    </font>
    <font>
      <b/>
      <sz val="14"/>
      <color rgb="FF1B2A4A"/>
      <name val="Aptos Narrow"/>
      <family val="2"/>
      <scheme val="minor"/>
    </font>
    <font>
      <b/>
      <sz val="11"/>
      <color rgb="FF1B2A4A"/>
      <name val="Aptos"/>
      <family val="2"/>
    </font>
    <font>
      <b/>
      <sz val="13"/>
      <color rgb="FFFFFFFF"/>
      <name val="Aptos"/>
      <family val="2"/>
    </font>
    <font>
      <b/>
      <sz val="13"/>
      <color rgb="FFFFFFFF"/>
      <name val="Aptos Narrow"/>
      <family val="2"/>
      <scheme val="minor"/>
    </font>
    <font>
      <b/>
      <sz val="12"/>
      <color rgb="FF000000"/>
      <name val="Aptos"/>
      <family val="2"/>
    </font>
    <font>
      <b/>
      <sz val="11"/>
      <color rgb="FF000000"/>
      <name val="Aptos"/>
      <family val="2"/>
    </font>
    <font>
      <i/>
      <sz val="11"/>
      <color rgb="FF000000"/>
      <name val="Aptos"/>
      <family val="2"/>
    </font>
    <font>
      <b/>
      <i/>
      <sz val="12"/>
      <color rgb="FF000000"/>
      <name val="Aptos"/>
      <family val="2"/>
    </font>
    <font>
      <sz val="11"/>
      <color theme="1"/>
      <name val="Aptos"/>
      <family val="2"/>
    </font>
    <font>
      <sz val="11"/>
      <color rgb="FF000000"/>
      <name val="Aptos"/>
      <family val="2"/>
    </font>
    <font>
      <i/>
      <sz val="11"/>
      <color theme="1"/>
      <name val="Aptos Narrow"/>
      <family val="2"/>
      <scheme val="minor"/>
    </font>
    <font>
      <b/>
      <sz val="18"/>
      <color rgb="FFFFFFFF"/>
      <name val="Aptos"/>
      <family val="2"/>
    </font>
    <font>
      <b/>
      <sz val="18"/>
      <color theme="1"/>
      <name val="Open Sans"/>
      <family val="2"/>
    </font>
    <font>
      <b/>
      <sz val="18"/>
      <color theme="1"/>
      <name val="Aptos"/>
      <family val="2"/>
    </font>
    <font>
      <b/>
      <sz val="18"/>
      <color rgb="FFFFFFFF"/>
      <name val="Aptos Narrow"/>
      <family val="2"/>
      <scheme val="minor"/>
    </font>
    <font>
      <b/>
      <sz val="12"/>
      <color rgb="FFFFFFFF"/>
      <name val="Aptos Narrow"/>
      <family val="2"/>
      <scheme val="minor"/>
    </font>
    <font>
      <i/>
      <sz val="11"/>
      <color rgb="FF4A5561"/>
      <name val="Aptos"/>
      <family val="2"/>
    </font>
    <font>
      <b/>
      <i/>
      <sz val="11"/>
      <color rgb="FF4A5561"/>
      <name val="Aptos"/>
      <family val="2"/>
    </font>
    <font>
      <i/>
      <sz val="11"/>
      <color rgb="FF4A5561"/>
      <name val="Aptos"/>
      <family val="2"/>
    </font>
    <font>
      <i/>
      <sz val="10"/>
      <color rgb="FF4A5561"/>
      <name val="Aptos"/>
      <family val="2"/>
    </font>
    <font>
      <sz val="11"/>
      <color rgb="FF4A5561"/>
      <name val="Aptos"/>
      <family val="2"/>
    </font>
    <font>
      <b/>
      <sz val="12"/>
      <color rgb="FFFFFFFF"/>
      <name val="Aptos"/>
      <family val="2"/>
    </font>
    <font>
      <b/>
      <sz val="11"/>
      <color rgb="FF1B2A4A"/>
      <name val="Aptos"/>
      <family val="2"/>
    </font>
    <font>
      <b/>
      <sz val="18"/>
      <color rgb="FFFFFFFF"/>
      <name val="Aptos"/>
      <family val="2"/>
    </font>
    <font>
      <i/>
      <sz val="11"/>
      <color rgb="FFC00000"/>
      <name val="Aptos"/>
      <family val="2"/>
    </font>
    <font>
      <sz val="11"/>
      <color rgb="FF1F4EAD"/>
      <name val="Aptos"/>
      <family val="2"/>
    </font>
    <font>
      <b/>
      <sz val="12"/>
      <color rgb="FF1B2A4A"/>
      <name val="Aptos"/>
      <family val="2"/>
    </font>
    <font>
      <i/>
      <sz val="11"/>
      <color rgb="FF4A5561"/>
      <name val="Aptos Narrow"/>
      <family val="2"/>
      <scheme val="minor"/>
    </font>
    <font>
      <b/>
      <sz val="12"/>
      <color rgb="FF1B2A4A"/>
      <name val="Aptos"/>
      <family val="2"/>
    </font>
    <font>
      <sz val="11"/>
      <color rgb="FF000000"/>
      <name val="Aptos Narrow"/>
      <family val="2"/>
      <scheme val="minor"/>
    </font>
    <font>
      <sz val="14"/>
      <color rgb="FF4A5561"/>
      <name val="Aptos"/>
      <family val="2"/>
    </font>
    <font>
      <sz val="11"/>
      <color rgb="FFA6A6A6"/>
      <name val="Aptos"/>
      <family val="2"/>
    </font>
    <font>
      <b/>
      <sz val="11"/>
      <color rgb="FF006100"/>
      <name val="Aptos"/>
      <family val="2"/>
    </font>
    <font>
      <b/>
      <sz val="11"/>
      <color rgb="FF9C6500"/>
      <name val="Aptos"/>
      <family val="2"/>
    </font>
    <font>
      <b/>
      <sz val="11"/>
      <color rgb="FF006064"/>
      <name val="Aptos"/>
      <family val="2"/>
    </font>
    <font>
      <b/>
      <sz val="11"/>
      <color rgb="FF000000"/>
      <name val="Aptos Narrow"/>
      <family val="2"/>
      <scheme val="minor"/>
    </font>
    <font>
      <sz val="10"/>
      <color rgb="FF4A5561"/>
      <name val="Aptos"/>
      <family val="2"/>
    </font>
    <font>
      <sz val="11"/>
      <color rgb="FF9C6500"/>
      <name val="Aptos Narrow"/>
      <family val="2"/>
      <scheme val="minor"/>
    </font>
    <font>
      <sz val="11"/>
      <color rgb="FF006064"/>
      <name val="Aptos Narrow"/>
      <family val="2"/>
      <scheme val="minor"/>
    </font>
    <font>
      <i/>
      <sz val="10"/>
      <color rgb="FF1F4EAD"/>
      <name val="Aptos"/>
      <family val="2"/>
    </font>
    <font>
      <b/>
      <sz val="24"/>
      <color rgb="FFFFFFFF"/>
      <name val="Aptos"/>
      <family val="2"/>
    </font>
    <font>
      <b/>
      <sz val="15"/>
      <color rgb="FFFFFFFF"/>
      <name val="Aptos Narrow"/>
      <family val="2"/>
      <scheme val="minor"/>
    </font>
    <font>
      <i/>
      <sz val="11"/>
      <color rgb="FF555555"/>
      <name val="Open Sans"/>
      <family val="2"/>
    </font>
    <font>
      <sz val="11"/>
      <color rgb="FF0000FF"/>
      <name val="Aptos Narrow"/>
      <family val="2"/>
      <scheme val="minor"/>
    </font>
    <font>
      <b/>
      <sz val="11"/>
      <color rgb="FF3271D2"/>
      <name val="Aptos Narrow"/>
      <family val="2"/>
      <scheme val="minor"/>
    </font>
    <font>
      <i/>
      <sz val="10"/>
      <color rgb="FF555555"/>
      <name val="Aptos Narrow"/>
      <family val="2"/>
      <scheme val="minor"/>
    </font>
    <font>
      <i/>
      <sz val="12"/>
      <color rgb="FF000000"/>
      <name val="Aptos"/>
      <family val="2"/>
    </font>
    <font>
      <sz val="10"/>
      <color rgb="FF000000"/>
      <name val="Aptos"/>
      <family val="2"/>
    </font>
    <font>
      <i/>
      <sz val="11"/>
      <color rgb="FF000000"/>
      <name val="Aptos Narrow"/>
      <family val="2"/>
      <scheme val="minor"/>
    </font>
    <font>
      <sz val="11"/>
      <color rgb="FF1F4EAD"/>
      <name val="Aptos Narrow"/>
      <family val="2"/>
      <scheme val="minor"/>
    </font>
    <font>
      <i/>
      <sz val="10"/>
      <color rgb="FF000000"/>
      <name val="Aptos Narrow"/>
      <family val="2"/>
      <scheme val="minor"/>
    </font>
    <font>
      <sz val="11"/>
      <color rgb="FF1B2A4A"/>
      <name val="Aptos"/>
      <family val="2"/>
    </font>
    <font>
      <b/>
      <sz val="11"/>
      <color rgb="FF4A5561"/>
      <name val="Aptos"/>
      <family val="2"/>
    </font>
    <font>
      <sz val="11"/>
      <color rgb="FF1F4EAD"/>
      <name val="Aptos"/>
      <family val="2"/>
    </font>
    <font>
      <b/>
      <sz val="15"/>
      <color rgb="FFFFFFFF"/>
      <name val="Aptos"/>
      <family val="2"/>
    </font>
    <font>
      <sz val="15"/>
      <color theme="1"/>
      <name val="Aptos Narrow"/>
      <family val="2"/>
      <scheme val="minor"/>
    </font>
    <font>
      <b/>
      <sz val="15"/>
      <color theme="1"/>
      <name val="Aptos Narrow"/>
      <family val="2"/>
      <scheme val="minor"/>
    </font>
    <font>
      <sz val="12"/>
      <color theme="1"/>
      <name val="Aptos Narrow"/>
      <family val="2"/>
      <scheme val="minor"/>
    </font>
    <font>
      <b/>
      <sz val="12"/>
      <color theme="1"/>
      <name val="Aptos Narrow"/>
      <family val="2"/>
      <scheme val="minor"/>
    </font>
    <font>
      <i/>
      <sz val="12"/>
      <color rgb="FF4A5561"/>
      <name val="Aptos"/>
      <family val="2"/>
    </font>
    <font>
      <b/>
      <sz val="15"/>
      <color theme="1"/>
      <name val="Aptos"/>
      <family val="2"/>
    </font>
    <font>
      <b/>
      <i/>
      <sz val="12"/>
      <color rgb="FFFFFFFF"/>
      <name val="Aptos"/>
      <family val="2"/>
    </font>
    <font>
      <sz val="10"/>
      <color theme="1"/>
      <name val="Aptos"/>
      <family val="2"/>
    </font>
    <font>
      <i/>
      <sz val="10"/>
      <color rgb="FF4A5561"/>
      <name val="Aptos"/>
      <family val="2"/>
    </font>
    <font>
      <sz val="10"/>
      <color rgb="FF000000"/>
      <name val="Aptos"/>
      <family val="2"/>
    </font>
    <font>
      <b/>
      <sz val="10"/>
      <color theme="1"/>
      <name val="Aptos"/>
      <family val="2"/>
    </font>
    <font>
      <b/>
      <sz val="12"/>
      <color rgb="FF3271D2"/>
      <name val="Aptos"/>
      <family val="2"/>
    </font>
    <font>
      <i/>
      <sz val="11"/>
      <color rgb="FF555555"/>
      <name val="Aptos"/>
      <family val="2"/>
    </font>
    <font>
      <b/>
      <sz val="11"/>
      <color rgb="FF555555"/>
      <name val="Aptos"/>
      <family val="2"/>
    </font>
    <font>
      <sz val="11"/>
      <color rgb="FF555555"/>
      <name val="Aptos"/>
      <family val="2"/>
    </font>
    <font>
      <b/>
      <i/>
      <sz val="10"/>
      <color rgb="FF4A5561"/>
      <name val="Aptos"/>
      <family val="2"/>
    </font>
    <font>
      <sz val="8"/>
      <color rgb="FFBFBFBF"/>
      <name val="Aptos Narrow"/>
      <family val="2"/>
      <scheme val="minor"/>
    </font>
    <font>
      <i/>
      <sz val="9"/>
      <color rgb="FF4A5561"/>
      <name val="Aptos"/>
      <family val="2"/>
    </font>
    <font>
      <sz val="11"/>
      <color rgb="FF000000"/>
      <name val="Aptos"/>
      <family val="2"/>
    </font>
    <font>
      <sz val="11"/>
      <color rgb="FF1F4EAD"/>
      <name val="Aptos"/>
      <family val="2"/>
    </font>
    <font>
      <i/>
      <sz val="11"/>
      <color rgb="FF4A5561"/>
      <name val="Aptos Narrow"/>
      <family val="2"/>
      <scheme val="minor"/>
    </font>
    <font>
      <sz val="9"/>
      <color indexed="81"/>
      <name val="Tahoma"/>
      <family val="2"/>
    </font>
    <font>
      <b/>
      <sz val="9"/>
      <color indexed="81"/>
      <name val="Tahoma"/>
      <family val="2"/>
    </font>
    <font>
      <sz val="12"/>
      <color rgb="FF000000"/>
      <name val="Aptos"/>
      <family val="2"/>
    </font>
    <font>
      <b/>
      <sz val="12"/>
      <color rgb="FFFFFFFF"/>
      <name val="Aptos"/>
      <family val="2"/>
    </font>
    <font>
      <b/>
      <sz val="12"/>
      <color rgb="FF000000"/>
      <name val="Aptos"/>
      <family val="2"/>
    </font>
    <font>
      <b/>
      <sz val="12"/>
      <color rgb="FF1B2A4A"/>
      <name val="Aptos"/>
      <family val="2"/>
    </font>
    <font>
      <i/>
      <sz val="12"/>
      <color rgb="FF000000"/>
      <name val="Aptos"/>
      <family val="2"/>
    </font>
    <font>
      <i/>
      <sz val="12"/>
      <color rgb="FF4A5561"/>
      <name val="Aptos"/>
      <family val="2"/>
    </font>
    <font>
      <sz val="11"/>
      <color theme="1"/>
      <name val="Aptos Narrow"/>
      <family val="2"/>
      <scheme val="minor"/>
    </font>
    <font>
      <b/>
      <sz val="14"/>
      <color theme="1"/>
      <name val="Aptos Narrow"/>
      <family val="2"/>
      <scheme val="minor"/>
    </font>
    <font>
      <sz val="11"/>
      <color rgb="FF555555"/>
      <name val="Aptos Narrow"/>
      <family val="2"/>
      <scheme val="minor"/>
    </font>
    <font>
      <b/>
      <sz val="11"/>
      <color theme="1"/>
      <name val="Aptos Narrow"/>
      <family val="2"/>
      <scheme val="minor"/>
    </font>
    <font>
      <b/>
      <sz val="11"/>
      <color rgb="FFFFFFFF"/>
      <name val="Aptos Narrow"/>
      <family val="2"/>
      <scheme val="minor"/>
    </font>
    <font>
      <sz val="11"/>
      <color rgb="FF1F4EAD"/>
      <name val="Aptos Narrow"/>
      <family val="2"/>
      <scheme val="minor"/>
    </font>
    <font>
      <sz val="11"/>
      <color rgb="FF008000"/>
      <name val="Aptos Narrow"/>
      <family val="2"/>
      <scheme val="minor"/>
    </font>
    <font>
      <sz val="11"/>
      <color rgb="FF000000"/>
      <name val="Aptos Narrow"/>
      <family val="2"/>
      <scheme val="minor"/>
    </font>
    <font>
      <b/>
      <i/>
      <sz val="9"/>
      <color rgb="FF555555"/>
      <name val="Aptos Narrow"/>
      <family val="2"/>
      <scheme val="minor"/>
    </font>
    <font>
      <b/>
      <sz val="18"/>
      <color rgb="FF1B2A4A"/>
      <name val="Aptos Narrow"/>
      <family val="2"/>
      <scheme val="minor"/>
    </font>
    <font>
      <i/>
      <sz val="11"/>
      <color rgb="FF555555"/>
      <name val="Aptos Narrow"/>
      <family val="2"/>
      <scheme val="minor"/>
    </font>
    <font>
      <i/>
      <sz val="9"/>
      <color rgb="FF555555"/>
      <name val="Aptos Narrow"/>
      <family val="2"/>
      <scheme val="minor"/>
    </font>
  </fonts>
  <fills count="18">
    <fill>
      <patternFill patternType="none"/>
    </fill>
    <fill>
      <patternFill patternType="gray125"/>
    </fill>
    <fill>
      <patternFill patternType="solid">
        <fgColor rgb="FF1A237E"/>
        <bgColor indexed="64"/>
      </patternFill>
    </fill>
    <fill>
      <patternFill patternType="solid">
        <fgColor rgb="FFECEFF1"/>
        <bgColor indexed="64"/>
      </patternFill>
    </fill>
    <fill>
      <patternFill patternType="solid">
        <fgColor rgb="FFD9E5F7"/>
        <bgColor indexed="64"/>
      </patternFill>
    </fill>
    <fill>
      <patternFill patternType="solid">
        <fgColor rgb="FF132E57"/>
        <bgColor indexed="64"/>
      </patternFill>
    </fill>
    <fill>
      <patternFill patternType="solid">
        <fgColor rgb="FF1B2A4A"/>
        <bgColor indexed="64"/>
      </patternFill>
    </fill>
    <fill>
      <patternFill patternType="solid">
        <fgColor rgb="FF1F4E78"/>
        <bgColor indexed="64"/>
      </patternFill>
    </fill>
    <fill>
      <patternFill patternType="solid">
        <fgColor rgb="FFD9EAF7"/>
        <bgColor indexed="64"/>
      </patternFill>
    </fill>
    <fill>
      <patternFill patternType="solid">
        <fgColor rgb="FFE8F5E9"/>
        <bgColor indexed="64"/>
      </patternFill>
    </fill>
    <fill>
      <patternFill patternType="solid">
        <fgColor rgb="FFFFF8E1"/>
        <bgColor indexed="64"/>
      </patternFill>
    </fill>
    <fill>
      <patternFill patternType="solid">
        <fgColor rgb="FFF4F4F4"/>
        <bgColor indexed="64"/>
      </patternFill>
    </fill>
    <fill>
      <patternFill patternType="solid">
        <fgColor rgb="FFE0F7FA"/>
        <bgColor indexed="64"/>
      </patternFill>
    </fill>
    <fill>
      <patternFill patternType="solid">
        <fgColor rgb="FFF2F4F7"/>
        <bgColor indexed="64"/>
      </patternFill>
    </fill>
    <fill>
      <patternFill patternType="solid">
        <fgColor rgb="FF1F3864"/>
        <bgColor indexed="64"/>
      </patternFill>
    </fill>
    <fill>
      <patternFill patternType="solid">
        <fgColor rgb="FFFFFF00"/>
        <bgColor indexed="64"/>
      </patternFill>
    </fill>
    <fill>
      <patternFill patternType="solid">
        <fgColor rgb="FF2E7D32"/>
        <bgColor indexed="64"/>
      </patternFill>
    </fill>
    <fill>
      <patternFill patternType="solid">
        <fgColor rgb="FFF2F2F2"/>
        <bgColor indexed="64"/>
      </patternFill>
    </fill>
  </fills>
  <borders count="10">
    <border>
      <left/>
      <right/>
      <top/>
      <bottom/>
      <diagonal/>
    </border>
    <border>
      <left/>
      <right/>
      <top style="medium">
        <color rgb="FF1B2A4A"/>
      </top>
      <bottom/>
      <diagonal/>
    </border>
    <border>
      <left/>
      <right/>
      <top/>
      <bottom style="medium">
        <color indexed="64"/>
      </bottom>
      <diagonal/>
    </border>
    <border>
      <left/>
      <right/>
      <top/>
      <bottom style="medium">
        <color rgb="FF1B2A4A"/>
      </bottom>
      <diagonal/>
    </border>
    <border>
      <left/>
      <right/>
      <top/>
      <bottom style="thin">
        <color rgb="FFD9EAF7"/>
      </bottom>
      <diagonal/>
    </border>
    <border>
      <left/>
      <right/>
      <top style="thin">
        <color rgb="FFD9EAF7"/>
      </top>
      <bottom style="thin">
        <color rgb="FFD9EAF7"/>
      </bottom>
      <diagonal/>
    </border>
    <border>
      <left/>
      <right/>
      <top/>
      <bottom style="thin">
        <color auto="1"/>
      </bottom>
      <diagonal/>
    </border>
    <border>
      <left/>
      <right/>
      <top/>
      <bottom style="thin">
        <color rgb="FF1F4E78"/>
      </bottom>
      <diagonal/>
    </border>
    <border>
      <left/>
      <right/>
      <top style="thin">
        <color auto="1"/>
      </top>
      <bottom/>
      <diagonal/>
    </border>
    <border>
      <left/>
      <right/>
      <top style="thin">
        <color rgb="FF1B2A4A"/>
      </top>
      <bottom/>
      <diagonal/>
    </border>
  </borders>
  <cellStyleXfs count="2">
    <xf numFmtId="0" fontId="0" fillId="0" borderId="0"/>
    <xf numFmtId="0" fontId="2" fillId="0" borderId="0" applyNumberFormat="0" applyFill="0" applyBorder="0" applyAlignment="0" applyProtection="0"/>
  </cellStyleXfs>
  <cellXfs count="572">
    <xf numFmtId="0" fontId="0" fillId="0" borderId="0" xfId="0"/>
    <xf numFmtId="0" fontId="0" fillId="0" borderId="0" xfId="0" applyAlignment="1">
      <alignment vertical="center"/>
    </xf>
    <xf numFmtId="0" fontId="3" fillId="0" borderId="0" xfId="0" applyFont="1" applyAlignment="1">
      <alignment vertical="center"/>
    </xf>
    <xf numFmtId="0" fontId="4" fillId="2" borderId="0" xfId="0" applyFont="1" applyFill="1" applyAlignment="1">
      <alignment vertical="center"/>
    </xf>
    <xf numFmtId="0" fontId="5" fillId="0" borderId="0" xfId="0" applyFont="1" applyAlignment="1">
      <alignment vertical="center"/>
    </xf>
    <xf numFmtId="0" fontId="1" fillId="0" borderId="0" xfId="0" applyFont="1" applyAlignment="1">
      <alignment vertical="center"/>
    </xf>
    <xf numFmtId="0" fontId="6" fillId="0" borderId="0" xfId="0" applyFont="1" applyAlignment="1">
      <alignment vertical="center"/>
    </xf>
    <xf numFmtId="0" fontId="9" fillId="0" borderId="0" xfId="0" applyFont="1"/>
    <xf numFmtId="0" fontId="13" fillId="0" borderId="0" xfId="0" applyFont="1" applyAlignment="1">
      <alignment vertical="center"/>
    </xf>
    <xf numFmtId="0" fontId="14" fillId="0" borderId="0" xfId="0" applyFont="1" applyAlignment="1">
      <alignment vertical="center"/>
    </xf>
    <xf numFmtId="0" fontId="16" fillId="0" borderId="0" xfId="0" applyFont="1" applyAlignment="1">
      <alignment vertical="center"/>
    </xf>
    <xf numFmtId="0" fontId="18" fillId="0" borderId="0" xfId="0" applyFont="1" applyAlignment="1">
      <alignment vertical="center"/>
    </xf>
    <xf numFmtId="0" fontId="14" fillId="0" borderId="0" xfId="0" applyFont="1" applyAlignment="1">
      <alignment horizontal="left" vertical="center" wrapText="1"/>
    </xf>
    <xf numFmtId="0" fontId="14" fillId="0" borderId="0" xfId="0" applyFont="1"/>
    <xf numFmtId="0" fontId="20" fillId="0" borderId="0" xfId="0" applyFont="1" applyAlignment="1">
      <alignment horizontal="left" vertical="center" wrapText="1"/>
    </xf>
    <xf numFmtId="0" fontId="20" fillId="0" borderId="0" xfId="0" applyFont="1" applyAlignment="1">
      <alignment vertical="center"/>
    </xf>
    <xf numFmtId="0" fontId="21" fillId="0" borderId="0" xfId="0" applyFont="1"/>
    <xf numFmtId="0" fontId="14" fillId="0" borderId="0" xfId="0" applyFont="1" applyAlignment="1">
      <alignment horizontal="center" vertical="center"/>
    </xf>
    <xf numFmtId="170" fontId="14" fillId="0" borderId="0" xfId="0" applyNumberFormat="1" applyFont="1" applyAlignment="1">
      <alignment vertical="center"/>
    </xf>
    <xf numFmtId="170" fontId="24" fillId="0" borderId="0" xfId="0" applyNumberFormat="1" applyFont="1" applyAlignment="1">
      <alignment vertical="center"/>
    </xf>
    <xf numFmtId="0" fontId="25" fillId="0" borderId="0" xfId="0" applyFont="1" applyAlignment="1">
      <alignment vertical="center"/>
    </xf>
    <xf numFmtId="170" fontId="27" fillId="0" borderId="0" xfId="0" applyNumberFormat="1" applyFont="1" applyAlignment="1">
      <alignment vertical="center"/>
    </xf>
    <xf numFmtId="0" fontId="29" fillId="0" borderId="0" xfId="0" applyFont="1" applyAlignment="1">
      <alignment vertical="center" indent="1"/>
    </xf>
    <xf numFmtId="170" fontId="20" fillId="0" borderId="0" xfId="0" applyNumberFormat="1" applyFont="1" applyAlignment="1">
      <alignment vertical="center"/>
    </xf>
    <xf numFmtId="0" fontId="30" fillId="0" borderId="0" xfId="0" applyFont="1" applyAlignment="1">
      <alignment vertical="center"/>
    </xf>
    <xf numFmtId="0" fontId="31" fillId="0" borderId="0" xfId="1" applyNumberFormat="1" applyFont="1" applyAlignment="1">
      <alignment vertical="center" wrapText="1"/>
    </xf>
    <xf numFmtId="3" fontId="14" fillId="0" borderId="0" xfId="0" applyNumberFormat="1" applyFont="1" applyAlignment="1">
      <alignment vertical="center"/>
    </xf>
    <xf numFmtId="1" fontId="14" fillId="0" borderId="0" xfId="0" applyNumberFormat="1" applyFont="1" applyAlignment="1">
      <alignment vertical="center"/>
    </xf>
    <xf numFmtId="166" fontId="14" fillId="0" borderId="0" xfId="0" applyNumberFormat="1" applyFont="1" applyAlignment="1">
      <alignment vertical="center"/>
    </xf>
    <xf numFmtId="0" fontId="16" fillId="0" borderId="0" xfId="0" applyFont="1" applyAlignment="1">
      <alignment vertical="center" wrapText="1"/>
    </xf>
    <xf numFmtId="0" fontId="29" fillId="0" borderId="0" xfId="0" applyFont="1" applyAlignment="1">
      <alignment vertical="center"/>
    </xf>
    <xf numFmtId="0" fontId="19" fillId="6" borderId="0" xfId="0" applyFont="1" applyFill="1" applyAlignment="1">
      <alignment vertical="center"/>
    </xf>
    <xf numFmtId="3" fontId="35" fillId="0" borderId="0" xfId="0" applyNumberFormat="1" applyFont="1" applyAlignment="1">
      <alignment vertical="center"/>
    </xf>
    <xf numFmtId="9" fontId="35" fillId="0" borderId="0" xfId="0" applyNumberFormat="1" applyFont="1" applyAlignment="1">
      <alignment vertical="center"/>
    </xf>
    <xf numFmtId="0" fontId="23" fillId="6" borderId="0" xfId="0" applyFont="1" applyFill="1" applyAlignment="1">
      <alignment vertical="center"/>
    </xf>
    <xf numFmtId="0" fontId="26" fillId="6" borderId="0" xfId="0" applyFont="1" applyFill="1" applyAlignment="1">
      <alignment vertical="center" wrapText="1"/>
    </xf>
    <xf numFmtId="0" fontId="35" fillId="0" borderId="0" xfId="0" applyFont="1" applyAlignment="1">
      <alignment vertical="center"/>
    </xf>
    <xf numFmtId="0" fontId="26" fillId="6" borderId="0" xfId="0" applyFont="1" applyFill="1" applyAlignment="1">
      <alignment vertical="center"/>
    </xf>
    <xf numFmtId="0" fontId="26" fillId="7" borderId="0" xfId="0" applyFont="1" applyFill="1" applyAlignment="1">
      <alignment vertical="center"/>
    </xf>
    <xf numFmtId="0" fontId="19" fillId="7" borderId="0" xfId="0" applyFont="1" applyFill="1"/>
    <xf numFmtId="0" fontId="23" fillId="7" borderId="0" xfId="0" applyFont="1" applyFill="1" applyAlignment="1">
      <alignment vertical="center"/>
    </xf>
    <xf numFmtId="0" fontId="19" fillId="7" borderId="0" xfId="0" applyFont="1" applyFill="1" applyAlignment="1">
      <alignment vertical="center"/>
    </xf>
    <xf numFmtId="0" fontId="38" fillId="8" borderId="0" xfId="0" applyFont="1" applyFill="1" applyAlignment="1">
      <alignment vertical="center"/>
    </xf>
    <xf numFmtId="170" fontId="38" fillId="8" borderId="0" xfId="0" applyNumberFormat="1" applyFont="1" applyFill="1" applyAlignment="1">
      <alignment vertical="center"/>
    </xf>
    <xf numFmtId="0" fontId="40" fillId="8" borderId="0" xfId="0" applyFont="1" applyFill="1" applyAlignment="1">
      <alignment vertical="center"/>
    </xf>
    <xf numFmtId="170" fontId="40" fillId="8" borderId="0" xfId="0" applyNumberFormat="1" applyFont="1" applyFill="1" applyAlignment="1">
      <alignment vertical="center"/>
    </xf>
    <xf numFmtId="170" fontId="43" fillId="0" borderId="0" xfId="0" applyNumberFormat="1" applyFont="1" applyAlignment="1">
      <alignment vertical="center"/>
    </xf>
    <xf numFmtId="170" fontId="16" fillId="0" borderId="0" xfId="0" applyNumberFormat="1" applyFont="1" applyAlignment="1">
      <alignment vertical="center"/>
    </xf>
    <xf numFmtId="170" fontId="46" fillId="0" borderId="0" xfId="0" applyNumberFormat="1" applyFont="1" applyAlignment="1">
      <alignment vertical="center"/>
    </xf>
    <xf numFmtId="0" fontId="16" fillId="0" borderId="0" xfId="0" applyFont="1" applyAlignment="1">
      <alignment vertical="center" indent="1"/>
    </xf>
    <xf numFmtId="0" fontId="23" fillId="7" borderId="0" xfId="0" applyFont="1" applyFill="1" applyAlignment="1">
      <alignment horizontal="left" vertical="center" wrapText="1"/>
    </xf>
    <xf numFmtId="0" fontId="23" fillId="7" borderId="0" xfId="0" applyFont="1" applyFill="1" applyAlignment="1">
      <alignment horizontal="left" vertical="center" wrapText="1" indent="1"/>
    </xf>
    <xf numFmtId="0" fontId="48" fillId="0" borderId="0" xfId="0" applyFont="1" applyAlignment="1">
      <alignment vertical="center"/>
    </xf>
    <xf numFmtId="0" fontId="50" fillId="6" borderId="0" xfId="0" applyFont="1" applyFill="1" applyAlignment="1">
      <alignment vertical="center"/>
    </xf>
    <xf numFmtId="0" fontId="51" fillId="5" borderId="0" xfId="0" applyFont="1" applyFill="1" applyAlignment="1">
      <alignment vertical="center"/>
    </xf>
    <xf numFmtId="0" fontId="52" fillId="6" borderId="0" xfId="0" applyFont="1" applyFill="1" applyAlignment="1">
      <alignment vertical="center"/>
    </xf>
    <xf numFmtId="0" fontId="52" fillId="0" borderId="0" xfId="0" applyFont="1" applyAlignment="1">
      <alignment vertical="center"/>
    </xf>
    <xf numFmtId="0" fontId="53" fillId="5" borderId="0" xfId="0" applyFont="1" applyFill="1" applyAlignment="1">
      <alignment vertical="center"/>
    </xf>
    <xf numFmtId="0" fontId="0" fillId="6" borderId="0" xfId="0" applyFill="1" applyAlignment="1">
      <alignment vertical="center"/>
    </xf>
    <xf numFmtId="0" fontId="53" fillId="6" borderId="0" xfId="0" applyFont="1" applyFill="1" applyAlignment="1">
      <alignment vertical="center"/>
    </xf>
    <xf numFmtId="0" fontId="4" fillId="6" borderId="0" xfId="0" applyFont="1" applyFill="1" applyAlignment="1">
      <alignment vertical="center"/>
    </xf>
    <xf numFmtId="0" fontId="38" fillId="8" borderId="1" xfId="0" applyFont="1" applyFill="1" applyBorder="1" applyAlignment="1">
      <alignment vertical="center"/>
    </xf>
    <xf numFmtId="170" fontId="38" fillId="8" borderId="1" xfId="0" applyNumberFormat="1" applyFont="1" applyFill="1" applyBorder="1" applyAlignment="1">
      <alignment vertical="center"/>
    </xf>
    <xf numFmtId="3" fontId="38" fillId="8" borderId="0" xfId="0" applyNumberFormat="1" applyFont="1" applyFill="1" applyAlignment="1">
      <alignment vertical="center"/>
    </xf>
    <xf numFmtId="3" fontId="38" fillId="8" borderId="1" xfId="0" applyNumberFormat="1" applyFont="1" applyFill="1" applyBorder="1" applyAlignment="1">
      <alignment vertical="center"/>
    </xf>
    <xf numFmtId="0" fontId="50" fillId="6" borderId="0" xfId="0" applyFont="1" applyFill="1" applyAlignment="1">
      <alignment vertical="center" indent="1"/>
    </xf>
    <xf numFmtId="0" fontId="14" fillId="0" borderId="0" xfId="0" applyFont="1" applyAlignment="1">
      <alignment vertical="center" indent="1"/>
    </xf>
    <xf numFmtId="0" fontId="23" fillId="7" borderId="0" xfId="0" applyFont="1" applyFill="1" applyAlignment="1">
      <alignment vertical="center" indent="1"/>
    </xf>
    <xf numFmtId="170" fontId="18" fillId="0" borderId="0" xfId="0" applyNumberFormat="1" applyFont="1" applyAlignment="1">
      <alignment vertical="center" indent="1"/>
    </xf>
    <xf numFmtId="0" fontId="19" fillId="6" borderId="0" xfId="0" applyFont="1" applyFill="1" applyAlignment="1">
      <alignment vertical="center" indent="1"/>
    </xf>
    <xf numFmtId="0" fontId="20" fillId="0" borderId="0" xfId="0" applyFont="1" applyAlignment="1">
      <alignment vertical="center" indent="1"/>
    </xf>
    <xf numFmtId="167" fontId="23" fillId="6" borderId="0" xfId="0" applyNumberFormat="1" applyFont="1" applyFill="1" applyAlignment="1">
      <alignment horizontal="center" vertical="center" indent="1"/>
    </xf>
    <xf numFmtId="0" fontId="23" fillId="6" borderId="0" xfId="0" applyFont="1" applyFill="1" applyAlignment="1">
      <alignment horizontal="center" vertical="center" indent="1"/>
    </xf>
    <xf numFmtId="0" fontId="19" fillId="7" borderId="0" xfId="0" applyFont="1" applyFill="1" applyAlignment="1">
      <alignment vertical="center" indent="1"/>
    </xf>
    <xf numFmtId="170" fontId="27" fillId="0" borderId="0" xfId="0" applyNumberFormat="1" applyFont="1" applyAlignment="1">
      <alignment vertical="center" indent="1"/>
    </xf>
    <xf numFmtId="170" fontId="16" fillId="0" borderId="0" xfId="0" applyNumberFormat="1" applyFont="1" applyAlignment="1">
      <alignment vertical="center" indent="1"/>
    </xf>
    <xf numFmtId="170" fontId="25" fillId="0" borderId="0" xfId="0" applyNumberFormat="1" applyFont="1" applyAlignment="1">
      <alignment vertical="center" indent="1"/>
    </xf>
    <xf numFmtId="170" fontId="45" fillId="0" borderId="0" xfId="0" applyNumberFormat="1" applyFont="1" applyAlignment="1">
      <alignment vertical="center" indent="1"/>
    </xf>
    <xf numFmtId="170" fontId="20" fillId="0" borderId="0" xfId="0" applyNumberFormat="1" applyFont="1" applyAlignment="1">
      <alignment vertical="center" indent="1"/>
    </xf>
    <xf numFmtId="170" fontId="46" fillId="0" borderId="0" xfId="0" applyNumberFormat="1" applyFont="1" applyAlignment="1">
      <alignment vertical="center" indent="1"/>
    </xf>
    <xf numFmtId="168" fontId="30" fillId="0" borderId="0" xfId="0" applyNumberFormat="1" applyFont="1" applyAlignment="1">
      <alignment vertical="center" indent="1"/>
    </xf>
    <xf numFmtId="169" fontId="20" fillId="0" borderId="0" xfId="0" applyNumberFormat="1" applyFont="1" applyAlignment="1">
      <alignment vertical="center" indent="1"/>
    </xf>
    <xf numFmtId="0" fontId="38" fillId="8" borderId="1" xfId="0" applyFont="1" applyFill="1" applyBorder="1" applyAlignment="1">
      <alignment vertical="center" indent="1"/>
    </xf>
    <xf numFmtId="167" fontId="26" fillId="6" borderId="0" xfId="0" applyNumberFormat="1" applyFont="1" applyFill="1" applyAlignment="1">
      <alignment vertical="center" indent="1"/>
    </xf>
    <xf numFmtId="0" fontId="26" fillId="6" borderId="0" xfId="0" applyFont="1" applyFill="1" applyAlignment="1">
      <alignment vertical="center" indent="1"/>
    </xf>
    <xf numFmtId="0" fontId="55" fillId="0" borderId="0" xfId="0" applyFont="1" applyAlignment="1">
      <alignment vertical="center"/>
    </xf>
    <xf numFmtId="0" fontId="55" fillId="0" borderId="0" xfId="0" applyFont="1" applyAlignment="1">
      <alignment horizontal="left" vertical="center" wrapText="1"/>
    </xf>
    <xf numFmtId="0" fontId="58" fillId="0" borderId="0" xfId="0" applyFont="1" applyAlignment="1">
      <alignment vertical="center"/>
    </xf>
    <xf numFmtId="0" fontId="60" fillId="7" borderId="0" xfId="0" applyFont="1" applyFill="1" applyAlignment="1">
      <alignment vertical="center"/>
    </xf>
    <xf numFmtId="0" fontId="47" fillId="0" borderId="0" xfId="0" applyFont="1" applyAlignment="1">
      <alignment vertical="center"/>
    </xf>
    <xf numFmtId="0" fontId="62" fillId="6" borderId="0" xfId="0" applyFont="1" applyFill="1" applyAlignment="1">
      <alignment vertical="center"/>
    </xf>
    <xf numFmtId="0" fontId="62" fillId="6" borderId="0" xfId="0" applyFont="1" applyFill="1" applyAlignment="1">
      <alignment vertical="center" indent="1"/>
    </xf>
    <xf numFmtId="0" fontId="60" fillId="7" borderId="0" xfId="0" applyFont="1" applyFill="1" applyAlignment="1">
      <alignment vertical="center" indent="1"/>
    </xf>
    <xf numFmtId="0" fontId="61" fillId="8" borderId="0" xfId="0" applyFont="1" applyFill="1" applyAlignment="1">
      <alignment horizontal="center" vertical="center" wrapText="1"/>
    </xf>
    <xf numFmtId="3" fontId="64" fillId="0" borderId="0" xfId="0" applyNumberFormat="1" applyFont="1" applyAlignment="1">
      <alignment vertical="center"/>
    </xf>
    <xf numFmtId="166" fontId="64" fillId="0" borderId="0" xfId="0" applyNumberFormat="1" applyFont="1" applyAlignment="1">
      <alignment vertical="center"/>
    </xf>
    <xf numFmtId="2" fontId="64" fillId="0" borderId="0" xfId="0" applyNumberFormat="1" applyFont="1" applyAlignment="1">
      <alignment vertical="center"/>
    </xf>
    <xf numFmtId="170" fontId="48" fillId="0" borderId="0" xfId="0" applyNumberFormat="1" applyFont="1" applyAlignment="1">
      <alignment vertical="center"/>
    </xf>
    <xf numFmtId="0" fontId="64" fillId="0" borderId="0" xfId="0" applyFont="1" applyAlignment="1">
      <alignment horizontal="center" vertical="center"/>
    </xf>
    <xf numFmtId="0" fontId="65" fillId="8" borderId="0" xfId="0" applyFont="1" applyFill="1" applyAlignment="1">
      <alignment vertical="center"/>
    </xf>
    <xf numFmtId="170" fontId="65" fillId="8" borderId="0" xfId="0" applyNumberFormat="1" applyFont="1" applyFill="1" applyAlignment="1">
      <alignment vertical="center"/>
    </xf>
    <xf numFmtId="0" fontId="47" fillId="0" borderId="0" xfId="0" applyFont="1" applyAlignment="1">
      <alignment horizontal="left" vertical="center"/>
    </xf>
    <xf numFmtId="0" fontId="65" fillId="8" borderId="0" xfId="0" applyFont="1" applyFill="1" applyAlignment="1">
      <alignment horizontal="left" vertical="center"/>
    </xf>
    <xf numFmtId="0" fontId="54" fillId="7" borderId="0" xfId="0" applyFont="1" applyFill="1" applyAlignment="1">
      <alignment vertical="center"/>
    </xf>
    <xf numFmtId="0" fontId="40" fillId="8" borderId="0" xfId="0" applyFont="1" applyFill="1" applyAlignment="1">
      <alignment vertical="center" indent="1"/>
    </xf>
    <xf numFmtId="0" fontId="30" fillId="0" borderId="0" xfId="0" applyFont="1" applyAlignment="1">
      <alignment vertical="center" indent="1"/>
    </xf>
    <xf numFmtId="0" fontId="25" fillId="0" borderId="0" xfId="0" applyFont="1" applyAlignment="1">
      <alignment horizontal="left" vertical="center" indent="1"/>
    </xf>
    <xf numFmtId="0" fontId="34" fillId="0" borderId="0" xfId="0" applyFont="1" applyAlignment="1">
      <alignment vertical="center" indent="1"/>
    </xf>
    <xf numFmtId="0" fontId="20" fillId="0" borderId="0" xfId="0" applyFont="1" applyAlignment="1">
      <alignment horizontal="left" vertical="center" indent="1"/>
    </xf>
    <xf numFmtId="0" fontId="20" fillId="0" borderId="0" xfId="0" applyFont="1" applyAlignment="1">
      <alignment horizontal="left" vertical="center"/>
    </xf>
    <xf numFmtId="0" fontId="23" fillId="6" borderId="0" xfId="0" applyFont="1" applyFill="1" applyAlignment="1">
      <alignment horizontal="left" vertical="center" indent="1"/>
    </xf>
    <xf numFmtId="0" fontId="20" fillId="0" borderId="0" xfId="0" applyFont="1" applyAlignment="1">
      <alignment horizontal="left" vertical="center" indent="2"/>
    </xf>
    <xf numFmtId="0" fontId="9" fillId="0" borderId="0" xfId="0" applyFont="1" applyAlignment="1">
      <alignment vertical="center"/>
    </xf>
    <xf numFmtId="0" fontId="0" fillId="0" borderId="0" xfId="0" applyAlignment="1">
      <alignment vertical="center" wrapText="1"/>
    </xf>
    <xf numFmtId="0" fontId="32" fillId="0" borderId="0" xfId="1" applyFont="1" applyAlignment="1">
      <alignment vertical="center"/>
    </xf>
    <xf numFmtId="0" fontId="26" fillId="6" borderId="0" xfId="0" applyFont="1" applyFill="1" applyAlignment="1">
      <alignment horizontal="center" vertical="center" wrapText="1"/>
    </xf>
    <xf numFmtId="0" fontId="4" fillId="6" borderId="0" xfId="0" applyFont="1" applyFill="1" applyAlignment="1">
      <alignment horizontal="center" vertical="center" wrapText="1"/>
    </xf>
    <xf numFmtId="1" fontId="35" fillId="0" borderId="0" xfId="0" applyNumberFormat="1" applyFont="1" applyAlignment="1">
      <alignment horizontal="center" vertical="center"/>
    </xf>
    <xf numFmtId="1" fontId="38" fillId="8" borderId="1" xfId="0" applyNumberFormat="1" applyFont="1" applyFill="1" applyBorder="1" applyAlignment="1">
      <alignment horizontal="center" vertical="center"/>
    </xf>
    <xf numFmtId="0" fontId="1" fillId="0" borderId="0" xfId="0" applyFont="1" applyAlignment="1">
      <alignment horizontal="center" vertical="center"/>
    </xf>
    <xf numFmtId="0" fontId="68" fillId="0" borderId="0" xfId="0" applyFont="1" applyAlignment="1">
      <alignment vertical="center"/>
    </xf>
    <xf numFmtId="0" fontId="16" fillId="0" borderId="0" xfId="0" applyFont="1" applyAlignment="1">
      <alignment horizontal="right" vertical="center"/>
    </xf>
    <xf numFmtId="170" fontId="0" fillId="0" borderId="0" xfId="0" applyNumberFormat="1" applyAlignment="1">
      <alignment vertical="center"/>
    </xf>
    <xf numFmtId="170" fontId="68" fillId="0" borderId="0" xfId="0" applyNumberFormat="1" applyFont="1" applyAlignment="1">
      <alignment vertical="center"/>
    </xf>
    <xf numFmtId="0" fontId="40" fillId="0" borderId="0" xfId="0" applyFont="1" applyAlignment="1">
      <alignment horizontal="right" vertical="center"/>
    </xf>
    <xf numFmtId="0" fontId="55" fillId="0" borderId="0" xfId="0" applyFont="1" applyAlignment="1">
      <alignment horizontal="left" vertical="center" wrapText="1" indent="1"/>
    </xf>
    <xf numFmtId="0" fontId="1" fillId="3" borderId="0" xfId="0" applyFont="1" applyFill="1" applyAlignment="1">
      <alignment vertical="center"/>
    </xf>
    <xf numFmtId="14" fontId="0" fillId="0" borderId="0" xfId="0" applyNumberFormat="1" applyAlignment="1">
      <alignment vertical="center"/>
    </xf>
    <xf numFmtId="14" fontId="1" fillId="0" borderId="0" xfId="0" applyNumberFormat="1" applyFont="1" applyAlignment="1">
      <alignment vertical="center"/>
    </xf>
    <xf numFmtId="0" fontId="1" fillId="0" borderId="0" xfId="0" applyFont="1" applyAlignment="1">
      <alignment vertical="center" wrapText="1"/>
    </xf>
    <xf numFmtId="0" fontId="23" fillId="7" borderId="0" xfId="0" applyFont="1" applyFill="1" applyAlignment="1">
      <alignment horizontal="left" vertical="center"/>
    </xf>
    <xf numFmtId="0" fontId="26" fillId="6" borderId="0" xfId="0" applyFont="1" applyFill="1" applyAlignment="1">
      <alignment horizontal="center" vertical="center"/>
    </xf>
    <xf numFmtId="174" fontId="26" fillId="6" borderId="0" xfId="0" applyNumberFormat="1" applyFont="1" applyFill="1" applyAlignment="1">
      <alignment horizontal="center" vertical="center" wrapText="1"/>
    </xf>
    <xf numFmtId="165" fontId="16" fillId="0" borderId="0" xfId="0" applyNumberFormat="1" applyFont="1" applyAlignment="1">
      <alignment vertical="center"/>
    </xf>
    <xf numFmtId="165" fontId="16" fillId="0" borderId="0" xfId="0" applyNumberFormat="1" applyFont="1" applyAlignment="1">
      <alignment horizontal="right" vertical="center"/>
    </xf>
    <xf numFmtId="1" fontId="16" fillId="0" borderId="0" xfId="0" applyNumberFormat="1" applyFont="1" applyAlignment="1">
      <alignment horizontal="right" vertical="center"/>
    </xf>
    <xf numFmtId="0" fontId="16" fillId="0" borderId="0" xfId="0" applyFont="1" applyAlignment="1">
      <alignment horizontal="left" vertical="center"/>
    </xf>
    <xf numFmtId="0" fontId="16" fillId="0" borderId="0" xfId="0" applyFont="1" applyAlignment="1">
      <alignment horizontal="center" vertical="center"/>
    </xf>
    <xf numFmtId="0" fontId="67" fillId="8" borderId="0" xfId="0" applyFont="1" applyFill="1" applyAlignment="1">
      <alignment horizontal="left" vertical="center"/>
    </xf>
    <xf numFmtId="0" fontId="16" fillId="0" borderId="0" xfId="0" applyFont="1" applyAlignment="1">
      <alignment horizontal="left" vertical="center" wrapText="1"/>
    </xf>
    <xf numFmtId="0" fontId="40" fillId="8" borderId="0" xfId="0" applyFont="1" applyFill="1" applyAlignment="1">
      <alignment horizontal="right" vertical="center"/>
    </xf>
    <xf numFmtId="165" fontId="40" fillId="8" borderId="0" xfId="0" applyNumberFormat="1" applyFont="1" applyFill="1" applyAlignment="1">
      <alignment vertical="center"/>
    </xf>
    <xf numFmtId="0" fontId="1" fillId="0" borderId="0" xfId="0" applyFont="1" applyAlignment="1">
      <alignment horizontal="right" vertical="center"/>
    </xf>
    <xf numFmtId="0" fontId="27" fillId="0" borderId="0" xfId="0" applyFont="1" applyAlignment="1">
      <alignment horizontal="left" vertical="center" indent="2"/>
    </xf>
    <xf numFmtId="0" fontId="1" fillId="0" borderId="0" xfId="0" applyFont="1" applyAlignment="1">
      <alignment horizontal="left" vertical="center" wrapText="1"/>
    </xf>
    <xf numFmtId="0" fontId="0" fillId="0" borderId="0" xfId="0" applyAlignment="1">
      <alignment horizontal="left" vertical="center" wrapText="1"/>
    </xf>
    <xf numFmtId="0" fontId="7" fillId="7" borderId="0" xfId="0" applyFont="1" applyFill="1" applyAlignment="1">
      <alignment vertical="center"/>
    </xf>
    <xf numFmtId="0" fontId="10" fillId="7" borderId="0" xfId="0" applyFont="1" applyFill="1" applyAlignment="1">
      <alignment vertical="center"/>
    </xf>
    <xf numFmtId="0" fontId="12" fillId="0" borderId="0" xfId="0" applyFont="1" applyAlignment="1">
      <alignment vertical="center"/>
    </xf>
    <xf numFmtId="0" fontId="4" fillId="5" borderId="0" xfId="0" applyFont="1" applyFill="1" applyAlignment="1">
      <alignment vertical="center"/>
    </xf>
    <xf numFmtId="0" fontId="8" fillId="7" borderId="0" xfId="0" applyFont="1" applyFill="1" applyAlignment="1">
      <alignment vertical="center"/>
    </xf>
    <xf numFmtId="0" fontId="39" fillId="8" borderId="1" xfId="0" applyFont="1" applyFill="1" applyBorder="1" applyAlignment="1">
      <alignment vertical="center"/>
    </xf>
    <xf numFmtId="0" fontId="49" fillId="0" borderId="0" xfId="0" applyFont="1" applyAlignment="1">
      <alignment vertical="center"/>
    </xf>
    <xf numFmtId="0" fontId="26" fillId="6" borderId="0" xfId="0" applyFont="1" applyFill="1" applyAlignment="1">
      <alignment horizontal="right" vertical="center"/>
    </xf>
    <xf numFmtId="9" fontId="26" fillId="6" borderId="0" xfId="0" applyNumberFormat="1" applyFont="1" applyFill="1" applyAlignment="1">
      <alignment horizontal="center" vertical="center"/>
    </xf>
    <xf numFmtId="9" fontId="40" fillId="0" borderId="0" xfId="0" applyNumberFormat="1" applyFont="1" applyAlignment="1">
      <alignment horizontal="right" vertical="center"/>
    </xf>
    <xf numFmtId="165" fontId="14" fillId="0" borderId="0" xfId="0" applyNumberFormat="1" applyFont="1" applyAlignment="1">
      <alignment vertical="center"/>
    </xf>
    <xf numFmtId="0" fontId="44" fillId="0" borderId="0" xfId="0" applyFont="1" applyAlignment="1">
      <alignment vertical="center"/>
    </xf>
    <xf numFmtId="0" fontId="69" fillId="0" borderId="0" xfId="0" applyFont="1" applyAlignment="1">
      <alignment vertical="center"/>
    </xf>
    <xf numFmtId="0" fontId="16" fillId="0" borderId="0" xfId="0" applyFont="1"/>
    <xf numFmtId="170" fontId="67" fillId="8" borderId="0" xfId="0" applyNumberFormat="1" applyFont="1" applyFill="1" applyAlignment="1">
      <alignment vertical="center"/>
    </xf>
    <xf numFmtId="1" fontId="38" fillId="8" borderId="0" xfId="0" applyNumberFormat="1" applyFont="1" applyFill="1" applyAlignment="1">
      <alignment horizontal="center" vertical="center"/>
    </xf>
    <xf numFmtId="0" fontId="70" fillId="0" borderId="0" xfId="0" applyFont="1" applyAlignment="1">
      <alignment vertical="center"/>
    </xf>
    <xf numFmtId="170" fontId="70" fillId="0" borderId="0" xfId="0" applyNumberFormat="1" applyFont="1" applyAlignment="1">
      <alignment vertical="center"/>
    </xf>
    <xf numFmtId="1" fontId="70" fillId="0" borderId="0" xfId="0" applyNumberFormat="1" applyFont="1" applyAlignment="1">
      <alignment vertical="center"/>
    </xf>
    <xf numFmtId="166" fontId="70" fillId="0" borderId="0" xfId="0" applyNumberFormat="1" applyFont="1" applyAlignment="1">
      <alignment vertical="center"/>
    </xf>
    <xf numFmtId="1" fontId="16" fillId="0" borderId="0" xfId="0" applyNumberFormat="1" applyFont="1" applyAlignment="1">
      <alignment horizontal="center" vertical="center"/>
    </xf>
    <xf numFmtId="0" fontId="74" fillId="0" borderId="0" xfId="0" applyFont="1"/>
    <xf numFmtId="0" fontId="4" fillId="6" borderId="0" xfId="0" applyFont="1" applyFill="1" applyAlignment="1">
      <alignment horizontal="center" vertical="center"/>
    </xf>
    <xf numFmtId="0" fontId="38" fillId="8" borderId="0" xfId="0" applyFont="1" applyFill="1" applyAlignment="1">
      <alignment horizontal="center" vertical="center"/>
    </xf>
    <xf numFmtId="0" fontId="50" fillId="6" borderId="0" xfId="0" applyFont="1" applyFill="1"/>
    <xf numFmtId="14" fontId="14" fillId="0" borderId="0" xfId="0" applyNumberFormat="1" applyFont="1" applyAlignment="1">
      <alignment vertical="top"/>
    </xf>
    <xf numFmtId="0" fontId="14" fillId="0" borderId="0" xfId="0" applyFont="1" applyAlignment="1">
      <alignment vertical="top" wrapText="1"/>
    </xf>
    <xf numFmtId="1" fontId="71" fillId="9" borderId="0" xfId="0" applyNumberFormat="1" applyFont="1" applyFill="1" applyAlignment="1">
      <alignment horizontal="left" vertical="center"/>
    </xf>
    <xf numFmtId="1" fontId="72" fillId="10" borderId="0" xfId="0" applyNumberFormat="1" applyFont="1" applyFill="1" applyAlignment="1">
      <alignment horizontal="left" vertical="center"/>
    </xf>
    <xf numFmtId="1" fontId="37" fillId="11" borderId="0" xfId="0" applyNumberFormat="1" applyFont="1" applyFill="1" applyAlignment="1">
      <alignment horizontal="left" vertical="center"/>
    </xf>
    <xf numFmtId="1" fontId="73" fillId="12" borderId="0" xfId="0" applyNumberFormat="1" applyFont="1" applyFill="1" applyAlignment="1">
      <alignment horizontal="left" vertical="center"/>
    </xf>
    <xf numFmtId="0" fontId="11" fillId="9" borderId="0" xfId="0" applyFont="1" applyFill="1" applyAlignment="1">
      <alignment horizontal="left" vertical="center"/>
    </xf>
    <xf numFmtId="0" fontId="76" fillId="10" borderId="0" xfId="0" applyFont="1" applyFill="1" applyAlignment="1">
      <alignment horizontal="left" vertical="center"/>
    </xf>
    <xf numFmtId="0" fontId="36" fillId="11" borderId="0" xfId="0" applyFont="1" applyFill="1" applyAlignment="1">
      <alignment horizontal="left" vertical="center"/>
    </xf>
    <xf numFmtId="0" fontId="77" fillId="12" borderId="0" xfId="0" applyFont="1" applyFill="1" applyAlignment="1">
      <alignment horizontal="left" vertical="center"/>
    </xf>
    <xf numFmtId="175" fontId="16" fillId="0" borderId="0" xfId="0" applyNumberFormat="1" applyFont="1" applyAlignment="1">
      <alignment horizontal="center" vertical="center"/>
    </xf>
    <xf numFmtId="175" fontId="16" fillId="0" borderId="2" xfId="0" applyNumberFormat="1" applyFont="1" applyBorder="1" applyAlignment="1">
      <alignment horizontal="center" vertical="center"/>
    </xf>
    <xf numFmtId="0" fontId="26" fillId="7" borderId="0" xfId="0" applyFont="1" applyFill="1" applyAlignment="1">
      <alignment horizontal="center" vertical="center"/>
    </xf>
    <xf numFmtId="49" fontId="14" fillId="0" borderId="0" xfId="0" applyNumberFormat="1" applyFont="1" applyAlignment="1">
      <alignment vertical="center"/>
    </xf>
    <xf numFmtId="0" fontId="18" fillId="8" borderId="0" xfId="0" applyFont="1" applyFill="1" applyAlignment="1">
      <alignment vertical="center"/>
    </xf>
    <xf numFmtId="0" fontId="40" fillId="13" borderId="0" xfId="0" applyFont="1" applyFill="1" applyAlignment="1">
      <alignment vertical="center"/>
    </xf>
    <xf numFmtId="165" fontId="14" fillId="0" borderId="0" xfId="0" applyNumberFormat="1" applyFont="1" applyAlignment="1">
      <alignment horizontal="center" vertical="center"/>
    </xf>
    <xf numFmtId="170" fontId="14" fillId="0" borderId="0" xfId="0" applyNumberFormat="1" applyFont="1" applyAlignment="1">
      <alignment horizontal="center" vertical="center"/>
    </xf>
    <xf numFmtId="0" fontId="14" fillId="0" borderId="0" xfId="0" applyFont="1" applyAlignment="1">
      <alignment horizontal="left" vertical="center"/>
    </xf>
    <xf numFmtId="0" fontId="44" fillId="0" borderId="0" xfId="0" applyFont="1" applyAlignment="1">
      <alignment horizontal="left" vertical="center" wrapText="1"/>
    </xf>
    <xf numFmtId="0" fontId="41" fillId="7" borderId="0" xfId="0" applyFont="1" applyFill="1" applyAlignment="1">
      <alignment horizontal="left" vertical="center" wrapText="1"/>
    </xf>
    <xf numFmtId="0" fontId="42" fillId="0" borderId="0" xfId="0" applyFont="1" applyAlignment="1">
      <alignment vertical="center"/>
    </xf>
    <xf numFmtId="0" fontId="4" fillId="0" borderId="0" xfId="0" applyFont="1" applyAlignment="1">
      <alignment vertical="center"/>
    </xf>
    <xf numFmtId="0" fontId="75" fillId="0" borderId="0" xfId="0" applyFont="1" applyAlignment="1">
      <alignment vertical="center"/>
    </xf>
    <xf numFmtId="0" fontId="58" fillId="0" borderId="0" xfId="0" applyFont="1" applyAlignment="1">
      <alignment vertical="center" wrapText="1"/>
    </xf>
    <xf numFmtId="0" fontId="58" fillId="0" borderId="0" xfId="0" applyFont="1" applyAlignment="1">
      <alignment horizontal="left" vertical="center" wrapText="1"/>
    </xf>
    <xf numFmtId="177" fontId="40" fillId="0" borderId="0" xfId="0" applyNumberFormat="1" applyFont="1" applyAlignment="1">
      <alignment horizontal="right" vertical="center"/>
    </xf>
    <xf numFmtId="0" fontId="40" fillId="8" borderId="0" xfId="0" applyFont="1" applyFill="1" applyAlignment="1">
      <alignment horizontal="center" vertical="center"/>
    </xf>
    <xf numFmtId="0" fontId="40" fillId="8" borderId="0" xfId="0" applyFont="1" applyFill="1" applyAlignment="1">
      <alignment horizontal="left" vertical="center"/>
    </xf>
    <xf numFmtId="3" fontId="14" fillId="0" borderId="0" xfId="0" applyNumberFormat="1" applyFont="1" applyAlignment="1">
      <alignment horizontal="right" vertical="center"/>
    </xf>
    <xf numFmtId="177" fontId="14" fillId="0" borderId="0" xfId="0" applyNumberFormat="1" applyFont="1" applyAlignment="1">
      <alignment horizontal="right" vertical="center"/>
    </xf>
    <xf numFmtId="178" fontId="14" fillId="0" borderId="0" xfId="0" applyNumberFormat="1" applyFont="1" applyAlignment="1">
      <alignment horizontal="right" vertical="center"/>
    </xf>
    <xf numFmtId="3" fontId="40" fillId="8" borderId="0" xfId="0" applyNumberFormat="1" applyFont="1" applyFill="1" applyAlignment="1">
      <alignment horizontal="right" vertical="center"/>
    </xf>
    <xf numFmtId="177" fontId="40" fillId="8" borderId="0" xfId="0" applyNumberFormat="1" applyFont="1" applyFill="1" applyAlignment="1">
      <alignment horizontal="right" vertical="center"/>
    </xf>
    <xf numFmtId="178" fontId="40" fillId="8" borderId="0" xfId="0" applyNumberFormat="1" applyFont="1" applyFill="1" applyAlignment="1">
      <alignment horizontal="right" vertical="center"/>
    </xf>
    <xf numFmtId="169" fontId="44" fillId="0" borderId="0" xfId="0" applyNumberFormat="1" applyFont="1" applyAlignment="1">
      <alignment horizontal="right" vertical="center" wrapText="1"/>
    </xf>
    <xf numFmtId="165" fontId="26" fillId="6" borderId="0" xfId="0" applyNumberFormat="1" applyFont="1" applyFill="1" applyAlignment="1">
      <alignment horizontal="center" vertical="center"/>
    </xf>
    <xf numFmtId="165" fontId="44" fillId="0" borderId="0" xfId="0" applyNumberFormat="1" applyFont="1" applyAlignment="1">
      <alignment horizontal="center" vertical="center"/>
    </xf>
    <xf numFmtId="170" fontId="16" fillId="0" borderId="0" xfId="0" applyNumberFormat="1" applyFont="1" applyAlignment="1">
      <alignment horizontal="right" vertical="center"/>
    </xf>
    <xf numFmtId="165" fontId="44" fillId="0" borderId="0" xfId="0" applyNumberFormat="1" applyFont="1" applyAlignment="1">
      <alignment vertical="center"/>
    </xf>
    <xf numFmtId="0" fontId="52" fillId="6" borderId="0" xfId="0" applyFont="1" applyFill="1" applyAlignment="1">
      <alignment horizontal="right" vertical="center"/>
    </xf>
    <xf numFmtId="0" fontId="19" fillId="0" borderId="0" xfId="0" applyFont="1"/>
    <xf numFmtId="0" fontId="79" fillId="6" borderId="0" xfId="0" applyFont="1" applyFill="1" applyAlignment="1">
      <alignment vertical="center"/>
    </xf>
    <xf numFmtId="0" fontId="80" fillId="6" borderId="0" xfId="0" applyFont="1" applyFill="1" applyAlignment="1">
      <alignment vertical="center"/>
    </xf>
    <xf numFmtId="0" fontId="66" fillId="0" borderId="0" xfId="0" applyFont="1" applyAlignment="1">
      <alignment vertical="center"/>
    </xf>
    <xf numFmtId="165" fontId="14" fillId="0" borderId="0" xfId="0" applyNumberFormat="1" applyFont="1" applyAlignment="1">
      <alignment horizontal="right" vertical="center"/>
    </xf>
    <xf numFmtId="10" fontId="14" fillId="0" borderId="0" xfId="0" applyNumberFormat="1" applyFont="1" applyAlignment="1">
      <alignment horizontal="right" vertical="center"/>
    </xf>
    <xf numFmtId="10" fontId="40" fillId="8" borderId="0" xfId="0" applyNumberFormat="1" applyFont="1" applyFill="1" applyAlignment="1">
      <alignment horizontal="right" vertical="center"/>
    </xf>
    <xf numFmtId="165" fontId="18" fillId="8" borderId="0" xfId="0" applyNumberFormat="1" applyFont="1" applyFill="1" applyAlignment="1">
      <alignment horizontal="right" vertical="center"/>
    </xf>
    <xf numFmtId="180" fontId="14" fillId="0" borderId="0" xfId="0" applyNumberFormat="1" applyFont="1" applyAlignment="1">
      <alignment horizontal="right" vertical="center"/>
    </xf>
    <xf numFmtId="3" fontId="18" fillId="8" borderId="0" xfId="0" applyNumberFormat="1" applyFont="1" applyFill="1" applyAlignment="1">
      <alignment horizontal="right" vertical="center"/>
    </xf>
    <xf numFmtId="165" fontId="21" fillId="0" borderId="0" xfId="0" applyNumberFormat="1" applyFont="1"/>
    <xf numFmtId="0" fontId="43" fillId="0" borderId="0" xfId="0" applyFont="1" applyAlignment="1">
      <alignment vertical="center"/>
    </xf>
    <xf numFmtId="0" fontId="27" fillId="0" borderId="0" xfId="0" applyFont="1" applyAlignment="1">
      <alignment horizontal="left" vertical="center" wrapText="1"/>
    </xf>
    <xf numFmtId="0" fontId="81" fillId="0" borderId="0" xfId="0" applyFont="1" applyAlignment="1">
      <alignment horizontal="left" vertical="center" wrapText="1" indent="1"/>
    </xf>
    <xf numFmtId="0" fontId="14" fillId="0" borderId="0" xfId="0" applyFont="1" applyAlignment="1">
      <alignment vertical="top"/>
    </xf>
    <xf numFmtId="181" fontId="0" fillId="0" borderId="0" xfId="0" applyNumberFormat="1" applyAlignment="1">
      <alignment vertical="center"/>
    </xf>
    <xf numFmtId="10" fontId="14" fillId="0" borderId="0" xfId="0" applyNumberFormat="1" applyFont="1" applyAlignment="1">
      <alignment vertical="center"/>
    </xf>
    <xf numFmtId="10" fontId="38" fillId="8" borderId="1" xfId="0" applyNumberFormat="1" applyFont="1" applyFill="1" applyBorder="1" applyAlignment="1">
      <alignment vertical="center"/>
    </xf>
    <xf numFmtId="0" fontId="0" fillId="0" borderId="0" xfId="0" applyAlignment="1">
      <alignment horizontal="left" vertical="center"/>
    </xf>
    <xf numFmtId="10" fontId="16" fillId="0" borderId="0" xfId="0" applyNumberFormat="1" applyFont="1" applyAlignment="1">
      <alignment horizontal="right" vertical="center"/>
    </xf>
    <xf numFmtId="177" fontId="16" fillId="0" borderId="0" xfId="0" applyNumberFormat="1" applyFont="1" applyAlignment="1">
      <alignment horizontal="right" vertical="center"/>
    </xf>
    <xf numFmtId="178" fontId="16" fillId="0" borderId="0" xfId="0" applyNumberFormat="1" applyFont="1" applyAlignment="1">
      <alignment horizontal="right" vertical="center"/>
    </xf>
    <xf numFmtId="0" fontId="33" fillId="4" borderId="0" xfId="0" applyFont="1" applyFill="1" applyAlignment="1">
      <alignment horizontal="center" vertical="center"/>
    </xf>
    <xf numFmtId="0" fontId="33" fillId="4" borderId="0" xfId="0" applyFont="1" applyFill="1" applyAlignment="1">
      <alignment horizontal="left" vertical="center"/>
    </xf>
    <xf numFmtId="170" fontId="33" fillId="4" borderId="0" xfId="0" applyNumberFormat="1" applyFont="1" applyFill="1" applyAlignment="1">
      <alignment horizontal="right" vertical="center"/>
    </xf>
    <xf numFmtId="10" fontId="33" fillId="4" borderId="0" xfId="0" applyNumberFormat="1" applyFont="1" applyFill="1" applyAlignment="1">
      <alignment horizontal="right" vertical="center"/>
    </xf>
    <xf numFmtId="177" fontId="33" fillId="4" borderId="0" xfId="0" applyNumberFormat="1" applyFont="1" applyFill="1" applyAlignment="1">
      <alignment horizontal="right" vertical="center"/>
    </xf>
    <xf numFmtId="178" fontId="33" fillId="4" borderId="0" xfId="0" applyNumberFormat="1" applyFont="1" applyFill="1" applyAlignment="1">
      <alignment horizontal="right" vertical="center"/>
    </xf>
    <xf numFmtId="170" fontId="17" fillId="0" borderId="0" xfId="0" applyNumberFormat="1" applyFont="1" applyAlignment="1">
      <alignment horizontal="right" vertical="center"/>
    </xf>
    <xf numFmtId="10" fontId="17" fillId="0" borderId="0" xfId="0" applyNumberFormat="1" applyFont="1" applyAlignment="1">
      <alignment horizontal="right" vertical="center"/>
    </xf>
    <xf numFmtId="3" fontId="1" fillId="0" borderId="0" xfId="0" applyNumberFormat="1" applyFont="1" applyAlignment="1">
      <alignment vertical="center"/>
    </xf>
    <xf numFmtId="170" fontId="74" fillId="0" borderId="0" xfId="0" applyNumberFormat="1" applyFont="1" applyAlignment="1">
      <alignment vertical="center"/>
    </xf>
    <xf numFmtId="170" fontId="74" fillId="2" borderId="0" xfId="0" applyNumberFormat="1" applyFont="1" applyFill="1" applyAlignment="1">
      <alignment vertical="center"/>
    </xf>
    <xf numFmtId="3" fontId="74" fillId="0" borderId="0" xfId="0" applyNumberFormat="1" applyFont="1" applyAlignment="1">
      <alignment vertical="center"/>
    </xf>
    <xf numFmtId="170" fontId="74" fillId="3" borderId="0" xfId="0" applyNumberFormat="1" applyFont="1" applyFill="1" applyAlignment="1">
      <alignment vertical="center"/>
    </xf>
    <xf numFmtId="182" fontId="68" fillId="0" borderId="0" xfId="0" applyNumberFormat="1" applyFont="1" applyAlignment="1">
      <alignment vertical="center"/>
    </xf>
    <xf numFmtId="0" fontId="4" fillId="14" borderId="0" xfId="0" applyFont="1" applyFill="1" applyAlignment="1">
      <alignment horizontal="center" vertical="center" wrapText="1"/>
    </xf>
    <xf numFmtId="0" fontId="83" fillId="4" borderId="0" xfId="0" applyFont="1" applyFill="1" applyAlignment="1">
      <alignment vertical="center"/>
    </xf>
    <xf numFmtId="3" fontId="12" fillId="0" borderId="0" xfId="0" applyNumberFormat="1" applyFont="1" applyAlignment="1">
      <alignment vertical="center"/>
    </xf>
    <xf numFmtId="3" fontId="82" fillId="0" borderId="0" xfId="0" applyNumberFormat="1" applyFont="1" applyAlignment="1">
      <alignment vertical="center"/>
    </xf>
    <xf numFmtId="181" fontId="12" fillId="0" borderId="0" xfId="0" applyNumberFormat="1" applyFont="1" applyAlignment="1">
      <alignment vertical="center"/>
    </xf>
    <xf numFmtId="10" fontId="0" fillId="0" borderId="0" xfId="0" applyNumberFormat="1" applyAlignment="1">
      <alignment vertical="center"/>
    </xf>
    <xf numFmtId="10" fontId="12" fillId="0" borderId="0" xfId="0" applyNumberFormat="1" applyFont="1" applyAlignment="1">
      <alignment vertical="center"/>
    </xf>
    <xf numFmtId="2" fontId="0" fillId="0" borderId="0" xfId="0" applyNumberFormat="1" applyAlignment="1">
      <alignment vertical="center"/>
    </xf>
    <xf numFmtId="170" fontId="12" fillId="0" borderId="0" xfId="0" applyNumberFormat="1" applyFont="1" applyAlignment="1">
      <alignment vertical="center"/>
    </xf>
    <xf numFmtId="0" fontId="0" fillId="0" borderId="0" xfId="0" applyAlignment="1">
      <alignment vertical="center" indent="1"/>
    </xf>
    <xf numFmtId="0" fontId="83" fillId="4" borderId="0" xfId="0" applyFont="1" applyFill="1" applyAlignment="1">
      <alignment vertical="center" indent="1"/>
    </xf>
    <xf numFmtId="0" fontId="0" fillId="0" borderId="0" xfId="0" applyAlignment="1">
      <alignment vertical="center" wrapText="1" indent="1"/>
    </xf>
    <xf numFmtId="0" fontId="28" fillId="4" borderId="0" xfId="0" applyFont="1" applyFill="1" applyAlignment="1">
      <alignment vertical="center" wrapText="1"/>
    </xf>
    <xf numFmtId="170" fontId="28" fillId="4" borderId="0" xfId="0" applyNumberFormat="1" applyFont="1" applyFill="1" applyAlignment="1">
      <alignment vertical="center" wrapText="1"/>
    </xf>
    <xf numFmtId="165" fontId="17" fillId="0" borderId="0" xfId="0" applyNumberFormat="1" applyFont="1" applyAlignment="1">
      <alignment horizontal="right" vertical="center"/>
    </xf>
    <xf numFmtId="169" fontId="17" fillId="0" borderId="0" xfId="0" applyNumberFormat="1" applyFont="1" applyAlignment="1">
      <alignment horizontal="right" vertical="center"/>
    </xf>
    <xf numFmtId="1" fontId="17" fillId="0" borderId="0" xfId="0" applyNumberFormat="1" applyFont="1" applyAlignment="1">
      <alignment horizontal="right" vertical="center"/>
    </xf>
    <xf numFmtId="172" fontId="16" fillId="0" borderId="0" xfId="0" applyNumberFormat="1" applyFont="1" applyAlignment="1">
      <alignment horizontal="right" vertical="center"/>
    </xf>
    <xf numFmtId="10" fontId="16" fillId="8" borderId="0" xfId="0" applyNumberFormat="1" applyFont="1" applyFill="1" applyAlignment="1">
      <alignment horizontal="right" vertical="center"/>
    </xf>
    <xf numFmtId="166" fontId="16" fillId="0" borderId="0" xfId="0" applyNumberFormat="1" applyFont="1" applyAlignment="1">
      <alignment horizontal="right" vertical="center"/>
    </xf>
    <xf numFmtId="177" fontId="16" fillId="8" borderId="0" xfId="0" applyNumberFormat="1" applyFont="1" applyFill="1" applyAlignment="1">
      <alignment horizontal="right" vertical="center"/>
    </xf>
    <xf numFmtId="170" fontId="85" fillId="0" borderId="0" xfId="0" applyNumberFormat="1" applyFont="1" applyAlignment="1">
      <alignment vertical="center"/>
    </xf>
    <xf numFmtId="165" fontId="86" fillId="0" borderId="0" xfId="0" applyNumberFormat="1" applyFont="1" applyAlignment="1">
      <alignment horizontal="left" vertical="center"/>
    </xf>
    <xf numFmtId="179" fontId="86" fillId="0" borderId="0" xfId="0" applyNumberFormat="1" applyFont="1" applyAlignment="1">
      <alignment horizontal="left" vertical="center"/>
    </xf>
    <xf numFmtId="173" fontId="74" fillId="0" borderId="0" xfId="0" applyNumberFormat="1" applyFont="1" applyAlignment="1">
      <alignment horizontal="center" vertical="center"/>
    </xf>
    <xf numFmtId="165" fontId="68" fillId="0" borderId="0" xfId="0" applyNumberFormat="1" applyFont="1" applyAlignment="1">
      <alignment vertical="center"/>
    </xf>
    <xf numFmtId="3" fontId="68" fillId="0" borderId="0" xfId="0" applyNumberFormat="1" applyFont="1" applyAlignment="1">
      <alignment vertical="center"/>
    </xf>
    <xf numFmtId="0" fontId="55" fillId="0" borderId="0" xfId="0" applyFont="1" applyAlignment="1">
      <alignment horizontal="left" vertical="center"/>
    </xf>
    <xf numFmtId="165" fontId="16" fillId="15" borderId="0" xfId="0" applyNumberFormat="1" applyFont="1" applyFill="1" applyAlignment="1">
      <alignment horizontal="right" vertical="center"/>
    </xf>
    <xf numFmtId="14" fontId="16" fillId="0" borderId="0" xfId="0" applyNumberFormat="1" applyFont="1" applyAlignment="1">
      <alignment vertical="top"/>
    </xf>
    <xf numFmtId="0" fontId="16" fillId="0" borderId="0" xfId="0" applyFont="1" applyAlignment="1">
      <alignment vertical="top" wrapText="1"/>
    </xf>
    <xf numFmtId="14" fontId="16" fillId="0" borderId="0" xfId="0" applyNumberFormat="1" applyFont="1" applyAlignment="1">
      <alignment vertical="center"/>
    </xf>
    <xf numFmtId="170" fontId="38" fillId="8" borderId="0" xfId="0" applyNumberFormat="1" applyFont="1" applyFill="1" applyAlignment="1">
      <alignment vertical="center" indent="1"/>
    </xf>
    <xf numFmtId="0" fontId="0" fillId="7" borderId="0" xfId="0" applyFill="1" applyAlignment="1">
      <alignment vertical="center"/>
    </xf>
    <xf numFmtId="0" fontId="58" fillId="0" borderId="0" xfId="0" applyFont="1" applyAlignment="1">
      <alignment horizontal="left" vertical="center"/>
    </xf>
    <xf numFmtId="0" fontId="87" fillId="0" borderId="0" xfId="0" applyFont="1" applyAlignment="1">
      <alignment vertical="center"/>
    </xf>
    <xf numFmtId="183" fontId="35" fillId="0" borderId="0" xfId="0" applyNumberFormat="1" applyFont="1" applyAlignment="1">
      <alignment horizontal="center" vertical="center"/>
    </xf>
    <xf numFmtId="184" fontId="16" fillId="0" borderId="0" xfId="0" applyNumberFormat="1" applyFont="1" applyAlignment="1">
      <alignment horizontal="center" vertical="center"/>
    </xf>
    <xf numFmtId="181" fontId="16" fillId="0" borderId="0" xfId="0" applyNumberFormat="1" applyFont="1" applyAlignment="1">
      <alignment horizontal="center" vertical="center"/>
    </xf>
    <xf numFmtId="181" fontId="35" fillId="0" borderId="0" xfId="0" applyNumberFormat="1" applyFont="1" applyAlignment="1">
      <alignment horizontal="center" vertical="center"/>
    </xf>
    <xf numFmtId="183" fontId="16" fillId="0" borderId="0" xfId="0" applyNumberFormat="1" applyFont="1" applyAlignment="1">
      <alignment horizontal="center" vertical="center"/>
    </xf>
    <xf numFmtId="165" fontId="16" fillId="0" borderId="0" xfId="0" applyNumberFormat="1" applyFont="1" applyAlignment="1">
      <alignment horizontal="center" vertical="center"/>
    </xf>
    <xf numFmtId="185" fontId="35" fillId="0" borderId="0" xfId="0" applyNumberFormat="1" applyFont="1" applyAlignment="1">
      <alignment horizontal="center" vertical="center"/>
    </xf>
    <xf numFmtId="186" fontId="16" fillId="0" borderId="0" xfId="0" applyNumberFormat="1" applyFont="1" applyAlignment="1">
      <alignment horizontal="center" vertical="center"/>
    </xf>
    <xf numFmtId="185" fontId="16" fillId="0" borderId="0" xfId="0" applyNumberFormat="1" applyFont="1" applyAlignment="1">
      <alignment horizontal="center" vertical="center"/>
    </xf>
    <xf numFmtId="9" fontId="16" fillId="0" borderId="0" xfId="0" applyNumberFormat="1" applyFont="1" applyAlignment="1">
      <alignment horizontal="center" vertical="center"/>
    </xf>
    <xf numFmtId="0" fontId="89" fillId="0" borderId="0" xfId="0" applyFont="1" applyAlignment="1">
      <alignment horizontal="left" vertical="center"/>
    </xf>
    <xf numFmtId="0" fontId="90" fillId="0" borderId="0" xfId="0" applyFont="1" applyAlignment="1">
      <alignment vertical="center"/>
    </xf>
    <xf numFmtId="0" fontId="90" fillId="0" borderId="0" xfId="0" applyFont="1" applyAlignment="1">
      <alignment horizontal="right" vertical="center"/>
    </xf>
    <xf numFmtId="165" fontId="91" fillId="0" borderId="0" xfId="0" applyNumberFormat="1" applyFont="1" applyAlignment="1">
      <alignment horizontal="right" vertical="center"/>
    </xf>
    <xf numFmtId="165" fontId="90" fillId="0" borderId="0" xfId="0" applyNumberFormat="1" applyFont="1" applyAlignment="1">
      <alignment horizontal="right" vertical="center"/>
    </xf>
    <xf numFmtId="187" fontId="46" fillId="0" borderId="0" xfId="0" applyNumberFormat="1" applyFont="1" applyAlignment="1">
      <alignment vertical="center"/>
    </xf>
    <xf numFmtId="1" fontId="92" fillId="0" borderId="0" xfId="0" applyNumberFormat="1" applyFont="1" applyAlignment="1">
      <alignment horizontal="center" vertical="center"/>
    </xf>
    <xf numFmtId="0" fontId="93" fillId="6" borderId="0" xfId="0" applyFont="1" applyFill="1" applyAlignment="1">
      <alignment vertical="center"/>
    </xf>
    <xf numFmtId="0" fontId="93" fillId="6" borderId="0" xfId="0" applyFont="1" applyFill="1" applyAlignment="1">
      <alignment vertical="center" indent="1"/>
    </xf>
    <xf numFmtId="0" fontId="95" fillId="6" borderId="0" xfId="0" applyFont="1" applyFill="1" applyAlignment="1">
      <alignment vertical="center"/>
    </xf>
    <xf numFmtId="0" fontId="95" fillId="0" borderId="0" xfId="0" applyFont="1"/>
    <xf numFmtId="0" fontId="96" fillId="0" borderId="0" xfId="0" applyFont="1"/>
    <xf numFmtId="0" fontId="97" fillId="0" borderId="0" xfId="0" applyFont="1"/>
    <xf numFmtId="0" fontId="23" fillId="6" borderId="0" xfId="0" applyFont="1" applyFill="1" applyAlignment="1">
      <alignment horizontal="center" vertical="center"/>
    </xf>
    <xf numFmtId="0" fontId="97" fillId="0" borderId="0" xfId="0" applyFont="1" applyAlignment="1">
      <alignment horizontal="center"/>
    </xf>
    <xf numFmtId="0" fontId="65" fillId="8" borderId="1" xfId="0" applyFont="1" applyFill="1" applyBorder="1" applyAlignment="1">
      <alignment vertical="center"/>
    </xf>
    <xf numFmtId="0" fontId="96" fillId="0" borderId="0" xfId="0" applyFont="1" applyAlignment="1">
      <alignment vertical="center"/>
    </xf>
    <xf numFmtId="0" fontId="20" fillId="0" borderId="0" xfId="0" applyFont="1" applyAlignment="1">
      <alignment horizontal="right" vertical="center" indent="1"/>
    </xf>
    <xf numFmtId="0" fontId="96" fillId="0" borderId="0" xfId="0" applyFont="1" applyAlignment="1">
      <alignment horizontal="right" vertical="center"/>
    </xf>
    <xf numFmtId="170" fontId="27" fillId="0" borderId="0" xfId="0" applyNumberFormat="1" applyFont="1" applyAlignment="1">
      <alignment horizontal="right" vertical="center" indent="1"/>
    </xf>
    <xf numFmtId="170" fontId="25" fillId="0" borderId="0" xfId="0" applyNumberFormat="1" applyFont="1" applyAlignment="1">
      <alignment horizontal="right" vertical="center" indent="1"/>
    </xf>
    <xf numFmtId="170" fontId="20" fillId="0" borderId="0" xfId="0" applyNumberFormat="1" applyFont="1" applyAlignment="1">
      <alignment horizontal="right" vertical="center" indent="1"/>
    </xf>
    <xf numFmtId="170" fontId="65" fillId="8" borderId="1" xfId="0" applyNumberFormat="1" applyFont="1" applyFill="1" applyBorder="1" applyAlignment="1">
      <alignment horizontal="right" vertical="center" indent="1"/>
    </xf>
    <xf numFmtId="0" fontId="93" fillId="6" borderId="0" xfId="0" applyFont="1" applyFill="1" applyAlignment="1">
      <alignment horizontal="left" vertical="center"/>
    </xf>
    <xf numFmtId="0" fontId="23" fillId="6" borderId="0" xfId="0" applyFont="1" applyFill="1" applyAlignment="1">
      <alignment horizontal="left" vertical="center"/>
    </xf>
    <xf numFmtId="0" fontId="25" fillId="0" borderId="0" xfId="0" applyFont="1" applyAlignment="1">
      <alignment horizontal="left" vertical="center"/>
    </xf>
    <xf numFmtId="0" fontId="65" fillId="8" borderId="1" xfId="0" applyFont="1" applyFill="1" applyBorder="1" applyAlignment="1">
      <alignment horizontal="left" vertical="center"/>
    </xf>
    <xf numFmtId="0" fontId="80" fillId="5" borderId="0" xfId="0" applyFont="1" applyFill="1" applyAlignment="1">
      <alignment vertical="center"/>
    </xf>
    <xf numFmtId="0" fontId="93" fillId="6" borderId="0" xfId="0" applyFont="1" applyFill="1" applyAlignment="1">
      <alignment horizontal="left" vertical="center" indent="1"/>
    </xf>
    <xf numFmtId="0" fontId="54" fillId="5" borderId="0" xfId="0" applyFont="1" applyFill="1" applyAlignment="1">
      <alignment horizontal="center" vertical="center"/>
    </xf>
    <xf numFmtId="0" fontId="23" fillId="7" borderId="0" xfId="0" applyFont="1" applyFill="1" applyAlignment="1">
      <alignment horizontal="left" vertical="center" indent="1"/>
    </xf>
    <xf numFmtId="0" fontId="97" fillId="0" borderId="0" xfId="0" applyFont="1" applyAlignment="1">
      <alignment vertical="center"/>
    </xf>
    <xf numFmtId="0" fontId="98" fillId="0" borderId="0" xfId="0" applyFont="1" applyAlignment="1">
      <alignment horizontal="left" vertical="center" indent="1"/>
    </xf>
    <xf numFmtId="0" fontId="27" fillId="0" borderId="0" xfId="0" applyFont="1" applyAlignment="1">
      <alignment horizontal="left" vertical="center" indent="3"/>
    </xf>
    <xf numFmtId="0" fontId="27" fillId="0" borderId="0" xfId="0" applyFont="1" applyAlignment="1">
      <alignment vertical="center"/>
    </xf>
    <xf numFmtId="167" fontId="26" fillId="6" borderId="0" xfId="0" applyNumberFormat="1" applyFont="1" applyFill="1" applyAlignment="1">
      <alignment horizontal="center" vertical="center"/>
    </xf>
    <xf numFmtId="0" fontId="14" fillId="0" borderId="0" xfId="0" applyFont="1" applyAlignment="1">
      <alignment horizontal="left" vertical="center" indent="1"/>
    </xf>
    <xf numFmtId="0" fontId="99" fillId="0" borderId="0" xfId="0" applyFont="1" applyAlignment="1">
      <alignment vertical="center"/>
    </xf>
    <xf numFmtId="0" fontId="23" fillId="7" borderId="0" xfId="0" applyFont="1" applyFill="1" applyAlignment="1">
      <alignment vertical="center" wrapText="1"/>
    </xf>
    <xf numFmtId="0" fontId="23" fillId="0" borderId="0" xfId="0" applyFont="1" applyAlignment="1">
      <alignment vertical="center"/>
    </xf>
    <xf numFmtId="0" fontId="26" fillId="0" borderId="0" xfId="0" applyFont="1" applyAlignment="1">
      <alignment vertical="center"/>
    </xf>
    <xf numFmtId="0" fontId="93" fillId="6" borderId="0" xfId="0" applyFont="1" applyFill="1" applyAlignment="1">
      <alignment vertical="center" wrapText="1"/>
    </xf>
    <xf numFmtId="0" fontId="94" fillId="0" borderId="0" xfId="0" applyFont="1" applyAlignment="1">
      <alignment vertical="center"/>
    </xf>
    <xf numFmtId="0" fontId="14" fillId="0" borderId="0" xfId="0" applyFont="1" applyAlignment="1">
      <alignment vertical="center" wrapText="1"/>
    </xf>
    <xf numFmtId="165" fontId="35" fillId="0" borderId="0" xfId="0" applyNumberFormat="1" applyFont="1" applyAlignment="1">
      <alignment vertical="center"/>
    </xf>
    <xf numFmtId="164" fontId="35" fillId="0" borderId="0" xfId="0" applyNumberFormat="1" applyFont="1" applyAlignment="1">
      <alignment vertical="center"/>
    </xf>
    <xf numFmtId="1" fontId="16" fillId="0" borderId="0" xfId="0" applyNumberFormat="1" applyFont="1" applyAlignment="1">
      <alignment vertical="center"/>
    </xf>
    <xf numFmtId="165" fontId="35" fillId="0" borderId="0" xfId="0" applyNumberFormat="1" applyFont="1" applyAlignment="1">
      <alignment horizontal="right" vertical="center"/>
    </xf>
    <xf numFmtId="1" fontId="35" fillId="0" borderId="0" xfId="0" applyNumberFormat="1" applyFont="1" applyAlignment="1">
      <alignment vertical="center"/>
    </xf>
    <xf numFmtId="0" fontId="48" fillId="0" borderId="0" xfId="0" applyFont="1" applyAlignment="1">
      <alignment horizontal="left" vertical="center" wrapText="1"/>
    </xf>
    <xf numFmtId="10" fontId="35" fillId="0" borderId="0" xfId="0" applyNumberFormat="1" applyFont="1" applyAlignment="1">
      <alignment vertical="center"/>
    </xf>
    <xf numFmtId="170" fontId="35" fillId="0" borderId="0" xfId="0" applyNumberFormat="1" applyFont="1" applyAlignment="1">
      <alignment vertical="center"/>
    </xf>
    <xf numFmtId="0" fontId="48" fillId="0" borderId="0" xfId="0" applyFont="1" applyAlignment="1">
      <alignment horizontal="left" vertical="center"/>
    </xf>
    <xf numFmtId="170" fontId="64" fillId="0" borderId="0" xfId="0" applyNumberFormat="1" applyFont="1" applyAlignment="1">
      <alignment horizontal="right" vertical="center"/>
    </xf>
    <xf numFmtId="170" fontId="17" fillId="0" borderId="0" xfId="0" applyNumberFormat="1" applyFont="1" applyAlignment="1">
      <alignment vertical="center"/>
    </xf>
    <xf numFmtId="0" fontId="59" fillId="0" borderId="0" xfId="0" applyFont="1" applyAlignment="1">
      <alignment vertical="center"/>
    </xf>
    <xf numFmtId="0" fontId="22" fillId="0" borderId="0" xfId="0" applyFont="1" applyAlignment="1">
      <alignment vertical="center"/>
    </xf>
    <xf numFmtId="176" fontId="16" fillId="0" borderId="0" xfId="0" applyNumberFormat="1" applyFont="1" applyAlignment="1">
      <alignment vertical="center"/>
    </xf>
    <xf numFmtId="1" fontId="35" fillId="0" borderId="0" xfId="0" applyNumberFormat="1" applyFont="1" applyAlignment="1">
      <alignment vertical="center" wrapText="1"/>
    </xf>
    <xf numFmtId="0" fontId="23" fillId="7" borderId="0" xfId="0" applyFont="1" applyFill="1" applyAlignment="1">
      <alignment horizontal="right" vertical="center" wrapText="1"/>
    </xf>
    <xf numFmtId="0" fontId="18" fillId="0" borderId="0" xfId="0" applyFont="1" applyAlignment="1">
      <alignment horizontal="left" vertical="center" wrapText="1"/>
    </xf>
    <xf numFmtId="0" fontId="18" fillId="0" borderId="0" xfId="0" applyFont="1" applyAlignment="1">
      <alignment horizontal="center" vertical="center" wrapText="1"/>
    </xf>
    <xf numFmtId="166" fontId="35" fillId="0" borderId="0" xfId="0" applyNumberFormat="1" applyFont="1" applyAlignment="1">
      <alignment vertical="center"/>
    </xf>
    <xf numFmtId="9" fontId="35" fillId="0" borderId="0" xfId="0" applyNumberFormat="1" applyFont="1" applyAlignment="1">
      <alignment horizontal="right" vertical="center"/>
    </xf>
    <xf numFmtId="3" fontId="35" fillId="0" borderId="0" xfId="0" applyNumberFormat="1" applyFont="1" applyAlignment="1">
      <alignment horizontal="right" vertical="center"/>
    </xf>
    <xf numFmtId="166" fontId="35" fillId="0" borderId="0" xfId="0" applyNumberFormat="1" applyFont="1" applyAlignment="1">
      <alignment vertical="center" wrapText="1"/>
    </xf>
    <xf numFmtId="10" fontId="35" fillId="0" borderId="0" xfId="0" applyNumberFormat="1" applyFont="1" applyAlignment="1">
      <alignment horizontal="right" vertical="center"/>
    </xf>
    <xf numFmtId="0" fontId="100" fillId="7" borderId="0" xfId="0" applyFont="1" applyFill="1" applyAlignment="1">
      <alignment horizontal="left" vertical="center" wrapText="1"/>
    </xf>
    <xf numFmtId="0" fontId="44" fillId="0" borderId="0" xfId="0" applyFont="1" applyAlignment="1">
      <alignment horizontal="center" vertical="center"/>
    </xf>
    <xf numFmtId="0" fontId="54" fillId="7" borderId="0" xfId="0" applyFont="1" applyFill="1" applyAlignment="1">
      <alignment vertical="center" wrapText="1"/>
    </xf>
    <xf numFmtId="179" fontId="35" fillId="0" borderId="0" xfId="0" applyNumberFormat="1" applyFont="1" applyAlignment="1">
      <alignment vertical="center"/>
    </xf>
    <xf numFmtId="0" fontId="14" fillId="0" borderId="0" xfId="0" applyFont="1" applyAlignment="1">
      <alignment horizontal="left" vertical="center" wrapText="1" indent="1"/>
    </xf>
    <xf numFmtId="1" fontId="88" fillId="0" borderId="0" xfId="0" applyNumberFormat="1" applyFont="1" applyAlignment="1">
      <alignment vertical="center" wrapText="1"/>
    </xf>
    <xf numFmtId="165" fontId="38" fillId="8" borderId="1" xfId="0" applyNumberFormat="1" applyFont="1" applyFill="1" applyBorder="1" applyAlignment="1">
      <alignment vertical="center" indent="1"/>
    </xf>
    <xf numFmtId="0" fontId="38" fillId="8" borderId="3" xfId="0" applyFont="1" applyFill="1" applyBorder="1" applyAlignment="1">
      <alignment vertical="center" indent="1"/>
    </xf>
    <xf numFmtId="1" fontId="38" fillId="8" borderId="3" xfId="0" applyNumberFormat="1" applyFont="1" applyFill="1" applyBorder="1" applyAlignment="1">
      <alignment vertical="center" indent="1"/>
    </xf>
    <xf numFmtId="0" fontId="81" fillId="0" borderId="0" xfId="0" applyFont="1" applyAlignment="1">
      <alignment horizontal="left" vertical="center" indent="1"/>
    </xf>
    <xf numFmtId="165" fontId="81" fillId="0" borderId="0" xfId="0" applyNumberFormat="1" applyFont="1" applyAlignment="1">
      <alignment vertical="center" indent="1"/>
    </xf>
    <xf numFmtId="9" fontId="88" fillId="0" borderId="0" xfId="0" applyNumberFormat="1" applyFont="1" applyAlignment="1">
      <alignment vertical="center" wrapText="1"/>
    </xf>
    <xf numFmtId="165" fontId="26" fillId="6" borderId="0" xfId="0" applyNumberFormat="1" applyFont="1" applyFill="1" applyAlignment="1">
      <alignment horizontal="right" vertical="center"/>
    </xf>
    <xf numFmtId="0" fontId="102" fillId="0" borderId="0" xfId="0" applyFont="1" applyAlignment="1">
      <alignment horizontal="left" vertical="center" wrapText="1"/>
    </xf>
    <xf numFmtId="0" fontId="102" fillId="0" borderId="0" xfId="0" applyFont="1" applyAlignment="1">
      <alignment vertical="center"/>
    </xf>
    <xf numFmtId="0" fontId="101" fillId="0" borderId="0" xfId="0" applyFont="1" applyAlignment="1">
      <alignment vertical="center"/>
    </xf>
    <xf numFmtId="0" fontId="101" fillId="0" borderId="0" xfId="0" applyFont="1" applyAlignment="1">
      <alignment horizontal="center" vertical="center"/>
    </xf>
    <xf numFmtId="165" fontId="103" fillId="0" borderId="0" xfId="0" applyNumberFormat="1" applyFont="1" applyAlignment="1">
      <alignment vertical="center"/>
    </xf>
    <xf numFmtId="170" fontId="103" fillId="0" borderId="0" xfId="0" applyNumberFormat="1" applyFont="1" applyAlignment="1">
      <alignment vertical="center"/>
    </xf>
    <xf numFmtId="0" fontId="104" fillId="0" borderId="0" xfId="0" applyFont="1" applyAlignment="1">
      <alignment vertical="center"/>
    </xf>
    <xf numFmtId="0" fontId="104" fillId="0" borderId="0" xfId="0" applyFont="1" applyAlignment="1">
      <alignment horizontal="center" vertical="center"/>
    </xf>
    <xf numFmtId="0" fontId="107" fillId="0" borderId="0" xfId="0" applyFont="1" applyAlignment="1">
      <alignment horizontal="center" vertical="center"/>
    </xf>
    <xf numFmtId="0" fontId="108" fillId="0" borderId="0" xfId="0" applyFont="1" applyAlignment="1">
      <alignment horizontal="center" vertical="center"/>
    </xf>
    <xf numFmtId="0" fontId="107" fillId="8" borderId="0" xfId="0" applyFont="1" applyFill="1" applyAlignment="1">
      <alignment horizontal="center" vertical="center"/>
    </xf>
    <xf numFmtId="0" fontId="106" fillId="0" borderId="0" xfId="0" applyFont="1" applyAlignment="1">
      <alignment horizontal="center" vertical="center"/>
    </xf>
    <xf numFmtId="170" fontId="109" fillId="0" borderId="0" xfId="0" applyNumberFormat="1" applyFont="1" applyAlignment="1">
      <alignment horizontal="left" vertical="center" wrapText="1" indent="1"/>
    </xf>
    <xf numFmtId="170" fontId="109" fillId="8" borderId="0" xfId="0" applyNumberFormat="1" applyFont="1" applyFill="1" applyAlignment="1">
      <alignment horizontal="left" vertical="center" wrapText="1" indent="1"/>
    </xf>
    <xf numFmtId="0" fontId="26" fillId="16" borderId="0" xfId="0" applyFont="1" applyFill="1" applyAlignment="1">
      <alignment horizontal="center" vertical="center"/>
    </xf>
    <xf numFmtId="0" fontId="59" fillId="0" borderId="4" xfId="0" applyFont="1" applyBorder="1" applyAlignment="1">
      <alignment horizontal="left" vertical="center" wrapText="1"/>
    </xf>
    <xf numFmtId="0" fontId="16" fillId="0" borderId="4" xfId="0" applyFont="1" applyBorder="1" applyAlignment="1">
      <alignment horizontal="left" vertical="center" wrapText="1"/>
    </xf>
    <xf numFmtId="169" fontId="59" fillId="0" borderId="4" xfId="0" applyNumberFormat="1" applyFont="1" applyBorder="1" applyAlignment="1">
      <alignment horizontal="left" vertical="center"/>
    </xf>
    <xf numFmtId="0" fontId="14" fillId="0" borderId="4" xfId="0" applyFont="1" applyBorder="1" applyAlignment="1">
      <alignment vertical="center"/>
    </xf>
    <xf numFmtId="169" fontId="38" fillId="0" borderId="4" xfId="0" applyNumberFormat="1" applyFont="1" applyBorder="1" applyAlignment="1">
      <alignment horizontal="right" vertical="center" wrapText="1"/>
    </xf>
    <xf numFmtId="0" fontId="59" fillId="0" borderId="5" xfId="0" applyFont="1" applyBorder="1" applyAlignment="1">
      <alignment horizontal="left" vertical="center" wrapText="1"/>
    </xf>
    <xf numFmtId="0" fontId="16" fillId="0" borderId="5" xfId="0" applyFont="1" applyBorder="1" applyAlignment="1">
      <alignment horizontal="left" vertical="center" wrapText="1"/>
    </xf>
    <xf numFmtId="0" fontId="14" fillId="0" borderId="5" xfId="0" applyFont="1" applyBorder="1" applyAlignment="1">
      <alignment vertical="center"/>
    </xf>
    <xf numFmtId="171" fontId="59" fillId="0" borderId="5" xfId="0" applyNumberFormat="1" applyFont="1" applyBorder="1" applyAlignment="1">
      <alignment horizontal="left" vertical="center"/>
    </xf>
    <xf numFmtId="165" fontId="40" fillId="0" borderId="5" xfId="0" applyNumberFormat="1" applyFont="1" applyBorder="1" applyAlignment="1">
      <alignment horizontal="right" vertical="center" wrapText="1"/>
    </xf>
    <xf numFmtId="171" fontId="40" fillId="0" borderId="5" xfId="0" applyNumberFormat="1" applyFont="1" applyBorder="1" applyAlignment="1">
      <alignment horizontal="right" vertical="center" wrapText="1"/>
    </xf>
    <xf numFmtId="0" fontId="110" fillId="0" borderId="0" xfId="0" applyFont="1" applyAlignment="1">
      <alignment vertical="center"/>
    </xf>
    <xf numFmtId="9" fontId="44" fillId="0" borderId="0" xfId="0" applyNumberFormat="1" applyFont="1" applyAlignment="1">
      <alignment horizontal="center" vertical="center" wrapText="1"/>
    </xf>
    <xf numFmtId="170" fontId="16" fillId="17" borderId="0" xfId="0" applyNumberFormat="1" applyFont="1" applyFill="1" applyAlignment="1">
      <alignment vertical="center" wrapText="1"/>
    </xf>
    <xf numFmtId="165" fontId="16" fillId="17" borderId="0" xfId="0" applyNumberFormat="1" applyFont="1" applyFill="1" applyAlignment="1">
      <alignment vertical="center" wrapText="1"/>
    </xf>
    <xf numFmtId="165" fontId="44" fillId="17" borderId="0" xfId="0" applyNumberFormat="1" applyFont="1" applyFill="1" applyAlignment="1">
      <alignment vertical="center" wrapText="1"/>
    </xf>
    <xf numFmtId="188" fontId="16" fillId="17" borderId="0" xfId="0" applyNumberFormat="1" applyFont="1" applyFill="1" applyAlignment="1">
      <alignment vertical="center" wrapText="1"/>
    </xf>
    <xf numFmtId="9" fontId="44" fillId="0" borderId="0" xfId="0" applyNumberFormat="1" applyFont="1" applyAlignment="1">
      <alignment horizontal="center" vertical="center"/>
    </xf>
    <xf numFmtId="9" fontId="44" fillId="8" borderId="0" xfId="0" applyNumberFormat="1" applyFont="1" applyFill="1" applyAlignment="1">
      <alignment horizontal="center" vertical="center"/>
    </xf>
    <xf numFmtId="0" fontId="44" fillId="0" borderId="0" xfId="0" applyFont="1" applyAlignment="1">
      <alignment horizontal="right" vertical="center"/>
    </xf>
    <xf numFmtId="170" fontId="16" fillId="17" borderId="0" xfId="0" applyNumberFormat="1" applyFont="1" applyFill="1" applyAlignment="1">
      <alignment vertical="center"/>
    </xf>
    <xf numFmtId="165" fontId="16" fillId="17" borderId="0" xfId="0" applyNumberFormat="1" applyFont="1" applyFill="1" applyAlignment="1">
      <alignment vertical="center"/>
    </xf>
    <xf numFmtId="165" fontId="44" fillId="17" borderId="0" xfId="0" applyNumberFormat="1" applyFont="1" applyFill="1" applyAlignment="1">
      <alignment vertical="center"/>
    </xf>
    <xf numFmtId="188" fontId="16" fillId="17" borderId="0" xfId="0" applyNumberFormat="1" applyFont="1" applyFill="1" applyAlignment="1">
      <alignment vertical="center"/>
    </xf>
    <xf numFmtId="188" fontId="16" fillId="0" borderId="0" xfId="0" applyNumberFormat="1" applyFont="1" applyAlignment="1">
      <alignment vertical="center"/>
    </xf>
    <xf numFmtId="0" fontId="112" fillId="0" borderId="0" xfId="0" applyFont="1" applyAlignment="1">
      <alignment vertical="center"/>
    </xf>
    <xf numFmtId="178" fontId="113" fillId="0" borderId="0" xfId="0" applyNumberFormat="1" applyFont="1" applyAlignment="1">
      <alignment vertical="center"/>
    </xf>
    <xf numFmtId="0" fontId="117" fillId="0" borderId="0" xfId="0" applyFont="1"/>
    <xf numFmtId="170" fontId="117" fillId="0" borderId="0" xfId="0" applyNumberFormat="1" applyFont="1"/>
    <xf numFmtId="170" fontId="118" fillId="7" borderId="0" xfId="0" applyNumberFormat="1" applyFont="1" applyFill="1"/>
    <xf numFmtId="0" fontId="118" fillId="7" borderId="0" xfId="0" applyFont="1" applyFill="1" applyAlignment="1">
      <alignment indent="1"/>
    </xf>
    <xf numFmtId="170" fontId="119" fillId="0" borderId="0" xfId="0" applyNumberFormat="1" applyFont="1"/>
    <xf numFmtId="0" fontId="120" fillId="0" borderId="0" xfId="0" applyFont="1" applyAlignment="1">
      <alignment indent="1"/>
    </xf>
    <xf numFmtId="0" fontId="120" fillId="0" borderId="7" xfId="0" applyFont="1" applyBorder="1" applyAlignment="1">
      <alignment indent="1"/>
    </xf>
    <xf numFmtId="170" fontId="120" fillId="0" borderId="7" xfId="0" applyNumberFormat="1" applyFont="1" applyBorder="1"/>
    <xf numFmtId="0" fontId="117" fillId="0" borderId="0" xfId="0" applyFont="1" applyAlignment="1">
      <alignment indent="3"/>
    </xf>
    <xf numFmtId="0" fontId="119" fillId="0" borderId="0" xfId="0" applyFont="1" applyAlignment="1">
      <alignment indent="2"/>
    </xf>
    <xf numFmtId="0" fontId="119" fillId="0" borderId="9" xfId="0" applyFont="1" applyBorder="1" applyAlignment="1">
      <alignment indent="2"/>
    </xf>
    <xf numFmtId="170" fontId="119" fillId="0" borderId="9" xfId="0" applyNumberFormat="1" applyFont="1" applyBorder="1"/>
    <xf numFmtId="0" fontId="121" fillId="0" borderId="0" xfId="0" applyFont="1" applyAlignment="1">
      <alignment indent="3"/>
    </xf>
    <xf numFmtId="189" fontId="121" fillId="0" borderId="0" xfId="0" applyNumberFormat="1" applyFont="1"/>
    <xf numFmtId="0" fontId="119" fillId="0" borderId="0" xfId="0" applyFont="1" applyAlignment="1">
      <alignment indent="1"/>
    </xf>
    <xf numFmtId="0" fontId="117" fillId="0" borderId="0" xfId="0" applyFont="1" applyAlignment="1">
      <alignment indent="2"/>
    </xf>
    <xf numFmtId="0" fontId="120" fillId="8" borderId="9" xfId="0" applyFont="1" applyFill="1" applyBorder="1" applyAlignment="1">
      <alignment indent="1"/>
    </xf>
    <xf numFmtId="170" fontId="120" fillId="8" borderId="9" xfId="0" applyNumberFormat="1" applyFont="1" applyFill="1" applyBorder="1"/>
    <xf numFmtId="0" fontId="122" fillId="0" borderId="0" xfId="0" applyFont="1" applyAlignment="1">
      <alignment indent="1"/>
    </xf>
    <xf numFmtId="190" fontId="35" fillId="0" borderId="0" xfId="0" applyNumberFormat="1" applyFont="1" applyAlignment="1">
      <alignment horizontal="center" vertical="center"/>
    </xf>
    <xf numFmtId="0" fontId="17" fillId="0" borderId="0" xfId="0" applyFont="1" applyAlignment="1">
      <alignment vertical="center"/>
    </xf>
    <xf numFmtId="191" fontId="113" fillId="0" borderId="0" xfId="0" applyNumberFormat="1" applyFont="1" applyAlignment="1">
      <alignment vertical="center"/>
    </xf>
    <xf numFmtId="178" fontId="35" fillId="0" borderId="0" xfId="0" applyNumberFormat="1" applyFont="1" applyAlignment="1">
      <alignment horizontal="right" vertical="center"/>
    </xf>
    <xf numFmtId="0" fontId="123" fillId="0" borderId="0" xfId="0" applyFont="1"/>
    <xf numFmtId="0" fontId="124" fillId="0" borderId="0" xfId="0" applyFont="1"/>
    <xf numFmtId="0" fontId="125" fillId="0" borderId="0" xfId="0" applyFont="1"/>
    <xf numFmtId="0" fontId="126" fillId="0" borderId="0" xfId="0" applyFont="1"/>
    <xf numFmtId="0" fontId="126" fillId="0" borderId="6" xfId="0" applyFont="1" applyBorder="1"/>
    <xf numFmtId="0" fontId="126" fillId="0" borderId="0" xfId="0" applyFont="1" applyAlignment="1">
      <alignment horizontal="right"/>
    </xf>
    <xf numFmtId="0" fontId="126" fillId="0" borderId="6" xfId="0" applyFont="1" applyBorder="1" applyAlignment="1">
      <alignment horizontal="right"/>
    </xf>
    <xf numFmtId="0" fontId="123" fillId="2" borderId="0" xfId="0" applyFont="1" applyFill="1"/>
    <xf numFmtId="0" fontId="127" fillId="2" borderId="0" xfId="0" applyFont="1" applyFill="1"/>
    <xf numFmtId="2" fontId="128" fillId="0" borderId="0" xfId="0" applyNumberFormat="1" applyFont="1"/>
    <xf numFmtId="2" fontId="123" fillId="0" borderId="0" xfId="0" applyNumberFormat="1" applyFont="1"/>
    <xf numFmtId="2" fontId="127" fillId="2" borderId="0" xfId="0" applyNumberFormat="1" applyFont="1" applyFill="1"/>
    <xf numFmtId="0" fontId="129" fillId="0" borderId="0" xfId="0" applyFont="1"/>
    <xf numFmtId="1" fontId="129" fillId="0" borderId="0" xfId="0" applyNumberFormat="1" applyFont="1"/>
    <xf numFmtId="178" fontId="129" fillId="0" borderId="0" xfId="0" applyNumberFormat="1" applyFont="1"/>
    <xf numFmtId="0" fontId="130" fillId="0" borderId="0" xfId="0" applyFont="1"/>
    <xf numFmtId="192" fontId="123" fillId="0" borderId="0" xfId="0" applyNumberFormat="1" applyFont="1"/>
    <xf numFmtId="189" fontId="123" fillId="0" borderId="0" xfId="0" applyNumberFormat="1" applyFont="1"/>
    <xf numFmtId="170" fontId="123" fillId="0" borderId="0" xfId="0" applyNumberFormat="1" applyFont="1"/>
    <xf numFmtId="0" fontId="126" fillId="0" borderId="8" xfId="0" applyFont="1" applyBorder="1"/>
    <xf numFmtId="170" fontId="126" fillId="0" borderId="8" xfId="0" applyNumberFormat="1" applyFont="1" applyBorder="1"/>
    <xf numFmtId="0" fontId="126" fillId="0" borderId="0" xfId="0" applyFont="1" applyAlignment="1">
      <alignment wrapText="1"/>
    </xf>
    <xf numFmtId="1" fontId="123" fillId="0" borderId="0" xfId="0" applyNumberFormat="1" applyFont="1"/>
    <xf numFmtId="175" fontId="123" fillId="0" borderId="0" xfId="0" applyNumberFormat="1" applyFont="1"/>
    <xf numFmtId="3" fontId="123" fillId="0" borderId="0" xfId="0" applyNumberFormat="1" applyFont="1"/>
    <xf numFmtId="166" fontId="123" fillId="0" borderId="0" xfId="0" applyNumberFormat="1" applyFont="1"/>
    <xf numFmtId="10" fontId="123" fillId="0" borderId="0" xfId="0" applyNumberFormat="1" applyFont="1"/>
    <xf numFmtId="9" fontId="123" fillId="0" borderId="0" xfId="0" applyNumberFormat="1" applyFont="1"/>
    <xf numFmtId="178" fontId="123" fillId="0" borderId="0" xfId="0" applyNumberFormat="1" applyFont="1"/>
    <xf numFmtId="190" fontId="123" fillId="0" borderId="0" xfId="0" applyNumberFormat="1" applyFont="1"/>
    <xf numFmtId="193" fontId="35" fillId="0" borderId="0" xfId="0" applyNumberFormat="1" applyFont="1" applyAlignment="1">
      <alignment horizontal="center" vertical="center"/>
    </xf>
    <xf numFmtId="9" fontId="35" fillId="0" borderId="0" xfId="0" applyNumberFormat="1" applyFont="1" applyAlignment="1">
      <alignment horizontal="center" vertical="center"/>
    </xf>
    <xf numFmtId="10" fontId="16" fillId="0" borderId="0" xfId="0" applyNumberFormat="1" applyFont="1" applyAlignment="1">
      <alignment horizontal="center" vertical="center"/>
    </xf>
    <xf numFmtId="49" fontId="108" fillId="0" borderId="0" xfId="0" applyNumberFormat="1" applyFont="1" applyAlignment="1">
      <alignment horizontal="center" vertical="center"/>
    </xf>
    <xf numFmtId="10" fontId="16" fillId="0" borderId="0" xfId="0" applyNumberFormat="1" applyFont="1" applyAlignment="1">
      <alignment vertical="center"/>
    </xf>
    <xf numFmtId="9" fontId="35" fillId="15" borderId="0" xfId="0" applyNumberFormat="1" applyFont="1" applyFill="1" applyAlignment="1">
      <alignment horizontal="center" vertical="center"/>
    </xf>
    <xf numFmtId="193" fontId="35" fillId="15" borderId="0" xfId="0" applyNumberFormat="1" applyFont="1" applyFill="1" applyAlignment="1">
      <alignment horizontal="center" vertical="center"/>
    </xf>
    <xf numFmtId="0" fontId="17" fillId="0" borderId="0" xfId="0" applyFont="1" applyAlignment="1">
      <alignment horizontal="center" vertical="center"/>
    </xf>
    <xf numFmtId="0" fontId="41" fillId="7" borderId="0" xfId="0" applyFont="1" applyFill="1" applyAlignment="1">
      <alignment horizontal="left" vertical="center"/>
    </xf>
    <xf numFmtId="0" fontId="123" fillId="0" borderId="0" xfId="0" applyFont="1" applyAlignment="1">
      <alignment vertical="top" wrapText="1"/>
    </xf>
    <xf numFmtId="165" fontId="129" fillId="0" borderId="0" xfId="0" applyNumberFormat="1" applyFont="1" applyAlignment="1">
      <alignment horizontal="left"/>
    </xf>
    <xf numFmtId="0" fontId="126" fillId="0" borderId="0" xfId="0" applyFont="1" applyAlignment="1">
      <alignment vertical="top" wrapText="1"/>
    </xf>
    <xf numFmtId="178" fontId="38" fillId="0" borderId="4" xfId="0" applyNumberFormat="1" applyFont="1" applyBorder="1" applyAlignment="1">
      <alignment horizontal="right" vertical="center" wrapText="1"/>
    </xf>
    <xf numFmtId="49" fontId="38" fillId="0" borderId="4" xfId="0" applyNumberFormat="1" applyFont="1" applyBorder="1" applyAlignment="1">
      <alignment horizontal="right" vertical="center" wrapText="1"/>
    </xf>
    <xf numFmtId="178" fontId="40" fillId="0" borderId="5" xfId="0" applyNumberFormat="1" applyFont="1" applyBorder="1" applyAlignment="1">
      <alignment horizontal="right" vertical="center" wrapText="1"/>
    </xf>
    <xf numFmtId="9" fontId="40" fillId="0" borderId="5" xfId="0" applyNumberFormat="1" applyFont="1" applyBorder="1" applyAlignment="1">
      <alignment horizontal="right" vertical="center" wrapText="1"/>
    </xf>
    <xf numFmtId="0" fontId="40" fillId="0" borderId="5" xfId="0" applyFont="1" applyBorder="1" applyAlignment="1">
      <alignment horizontal="right" vertical="center" wrapText="1"/>
    </xf>
    <xf numFmtId="10" fontId="40" fillId="0" borderId="5" xfId="0" applyNumberFormat="1" applyFont="1" applyBorder="1" applyAlignment="1">
      <alignment horizontal="right" vertical="center" wrapText="1"/>
    </xf>
    <xf numFmtId="165" fontId="38" fillId="0" borderId="4" xfId="0" applyNumberFormat="1" applyFont="1" applyBorder="1" applyAlignment="1">
      <alignment horizontal="right" vertical="center" wrapText="1"/>
    </xf>
    <xf numFmtId="167" fontId="38" fillId="0" borderId="4" xfId="0" applyNumberFormat="1" applyFont="1" applyBorder="1" applyAlignment="1">
      <alignment horizontal="right" vertical="center" wrapText="1"/>
    </xf>
    <xf numFmtId="1" fontId="38" fillId="0" borderId="4" xfId="0" applyNumberFormat="1" applyFont="1" applyBorder="1" applyAlignment="1">
      <alignment horizontal="right" vertical="center" wrapText="1"/>
    </xf>
    <xf numFmtId="169" fontId="40" fillId="0" borderId="5" xfId="0" applyNumberFormat="1" applyFont="1" applyBorder="1" applyAlignment="1">
      <alignment horizontal="right" vertical="center" wrapText="1"/>
    </xf>
    <xf numFmtId="3" fontId="40" fillId="0" borderId="5" xfId="0" applyNumberFormat="1" applyFont="1" applyBorder="1" applyAlignment="1">
      <alignment horizontal="right" vertical="center" wrapText="1"/>
    </xf>
    <xf numFmtId="0" fontId="132" fillId="0" borderId="0" xfId="0" applyFont="1"/>
    <xf numFmtId="0" fontId="133" fillId="0" borderId="0" xfId="0" applyFont="1"/>
    <xf numFmtId="0" fontId="4" fillId="2" borderId="0" xfId="0" applyFont="1" applyFill="1"/>
    <xf numFmtId="178" fontId="35" fillId="0" borderId="0" xfId="0" applyNumberFormat="1" applyFont="1" applyAlignment="1">
      <alignment vertical="center"/>
    </xf>
    <xf numFmtId="170" fontId="24" fillId="0" borderId="0" xfId="0" applyNumberFormat="1" applyFont="1" applyAlignment="1">
      <alignment vertical="center" indent="1"/>
    </xf>
    <xf numFmtId="0" fontId="126" fillId="0" borderId="6" xfId="0" applyFont="1" applyBorder="1" applyAlignment="1">
      <alignment wrapText="1"/>
    </xf>
    <xf numFmtId="0" fontId="126" fillId="0" borderId="0" xfId="0" applyFont="1" applyAlignment="1">
      <alignment horizontal="center"/>
    </xf>
    <xf numFmtId="0" fontId="134" fillId="0" borderId="0" xfId="0" applyFont="1"/>
    <xf numFmtId="0" fontId="128" fillId="0" borderId="0" xfId="0" applyFont="1" applyAlignment="1">
      <alignment horizontal="left"/>
    </xf>
    <xf numFmtId="0" fontId="129" fillId="0" borderId="0" xfId="0" applyFont="1" applyAlignment="1">
      <alignment horizontal="left"/>
    </xf>
    <xf numFmtId="9" fontId="128" fillId="0" borderId="0" xfId="0" applyNumberFormat="1" applyFont="1" applyAlignment="1">
      <alignment horizontal="left"/>
    </xf>
    <xf numFmtId="1" fontId="128" fillId="0" borderId="0" xfId="0" applyNumberFormat="1" applyFont="1" applyAlignment="1">
      <alignment horizontal="left"/>
    </xf>
    <xf numFmtId="0" fontId="129" fillId="0" borderId="0" xfId="0" applyFont="1" applyAlignment="1">
      <alignment wrapText="1"/>
    </xf>
    <xf numFmtId="3" fontId="129" fillId="0" borderId="0" xfId="0" applyNumberFormat="1" applyFont="1" applyAlignment="1">
      <alignment horizontal="center"/>
    </xf>
    <xf numFmtId="9" fontId="129" fillId="0" borderId="0" xfId="0" applyNumberFormat="1" applyFont="1" applyAlignment="1">
      <alignment horizontal="center"/>
    </xf>
    <xf numFmtId="1" fontId="129" fillId="0" borderId="0" xfId="0" applyNumberFormat="1" applyFont="1" applyAlignment="1">
      <alignment horizontal="center"/>
    </xf>
    <xf numFmtId="178" fontId="129" fillId="0" borderId="0" xfId="0" applyNumberFormat="1" applyFont="1" applyAlignment="1">
      <alignment horizontal="center"/>
    </xf>
    <xf numFmtId="0" fontId="20" fillId="0" borderId="0" xfId="0" applyFont="1" applyAlignment="1">
      <alignment horizontal="left" vertical="center" wrapText="1" indent="1"/>
    </xf>
    <xf numFmtId="0" fontId="106" fillId="0" borderId="0" xfId="0" applyFont="1" applyAlignment="1">
      <alignment horizontal="left" vertical="center" wrapText="1" indent="1"/>
    </xf>
    <xf numFmtId="0" fontId="84" fillId="0" borderId="0" xfId="0" applyFont="1" applyAlignment="1">
      <alignment horizontal="left" vertical="center" wrapText="1" indent="1"/>
    </xf>
    <xf numFmtId="0" fontId="3" fillId="0" borderId="0" xfId="0" applyFont="1" applyAlignment="1">
      <alignment horizontal="left" vertical="center" wrapText="1" indent="1"/>
    </xf>
    <xf numFmtId="170" fontId="15" fillId="0" borderId="0" xfId="0" applyNumberFormat="1" applyFont="1" applyAlignment="1">
      <alignment horizontal="left" vertical="center" wrapText="1" indent="1"/>
    </xf>
    <xf numFmtId="0" fontId="117" fillId="0" borderId="0" xfId="0" applyFont="1" applyAlignment="1">
      <alignment wrapText="1" indent="3"/>
    </xf>
    <xf numFmtId="0" fontId="117" fillId="0" borderId="0" xfId="0" applyFont="1" applyAlignment="1">
      <alignment wrapText="1" indent="2"/>
    </xf>
    <xf numFmtId="0" fontId="20" fillId="0" borderId="0" xfId="0" applyFont="1" applyAlignment="1">
      <alignment vertical="center" wrapText="1" indent="1"/>
    </xf>
    <xf numFmtId="0" fontId="29" fillId="0" borderId="0" xfId="0" applyFont="1" applyAlignment="1">
      <alignment vertical="center" wrapText="1" indent="1"/>
    </xf>
    <xf numFmtId="0" fontId="18" fillId="0" borderId="0" xfId="0" applyFont="1" applyAlignment="1">
      <alignment vertical="center" wrapText="1"/>
    </xf>
    <xf numFmtId="0" fontId="57" fillId="0" borderId="0" xfId="0" applyFont="1" applyAlignment="1">
      <alignment horizontal="left" vertical="center" wrapText="1" indent="1"/>
    </xf>
    <xf numFmtId="0" fontId="114" fillId="0" borderId="0" xfId="0" applyFont="1" applyAlignment="1">
      <alignment horizontal="left" vertical="center" wrapText="1" indent="1"/>
    </xf>
    <xf numFmtId="0" fontId="58" fillId="0" borderId="0" xfId="0" applyFont="1" applyAlignment="1">
      <alignment horizontal="left" vertical="center" wrapText="1"/>
    </xf>
    <xf numFmtId="0" fontId="58" fillId="0" borderId="0" xfId="0" applyFont="1" applyAlignment="1">
      <alignment horizontal="left" vertical="center" wrapText="1" indent="1"/>
    </xf>
    <xf numFmtId="0" fontId="66" fillId="0" borderId="0" xfId="0" applyFont="1" applyAlignment="1">
      <alignment vertical="center" wrapText="1"/>
    </xf>
    <xf numFmtId="0" fontId="55" fillId="0" borderId="0" xfId="0" applyFont="1" applyAlignment="1">
      <alignment vertical="center"/>
    </xf>
    <xf numFmtId="0" fontId="56" fillId="0" borderId="0" xfId="0" applyFont="1" applyAlignment="1">
      <alignment vertical="center" wrapText="1"/>
    </xf>
    <xf numFmtId="0" fontId="27" fillId="0" borderId="0" xfId="0" applyFont="1" applyAlignment="1">
      <alignment horizontal="left" vertical="center" wrapText="1"/>
    </xf>
    <xf numFmtId="0" fontId="14" fillId="0" borderId="0" xfId="0" applyFont="1" applyAlignment="1">
      <alignment horizontal="left" vertical="center" wrapText="1"/>
    </xf>
    <xf numFmtId="0" fontId="16" fillId="0" borderId="0" xfId="0" applyFont="1" applyAlignment="1">
      <alignment horizontal="left" vertical="center" wrapText="1"/>
    </xf>
    <xf numFmtId="0" fontId="131" fillId="0" borderId="0" xfId="0" applyFont="1" applyAlignment="1">
      <alignment vertical="top" wrapText="1"/>
    </xf>
    <xf numFmtId="0" fontId="123" fillId="0" borderId="0" xfId="0" applyFont="1" applyAlignment="1">
      <alignment vertical="top" wrapText="1"/>
    </xf>
    <xf numFmtId="0" fontId="23" fillId="7" borderId="0" xfId="0" applyFont="1" applyFill="1" applyAlignment="1">
      <alignment horizontal="left" vertical="center" wrapText="1" indent="1"/>
    </xf>
    <xf numFmtId="0" fontId="55" fillId="0" borderId="0" xfId="0" applyFont="1" applyAlignment="1">
      <alignment horizontal="left" vertical="center" wrapText="1" indent="1"/>
    </xf>
    <xf numFmtId="0" fontId="20" fillId="0" borderId="0" xfId="0" applyFont="1" applyAlignment="1">
      <alignment horizontal="left" vertical="center" wrapText="1" indent="1"/>
    </xf>
    <xf numFmtId="0" fontId="102" fillId="0" borderId="0" xfId="0" applyFont="1" applyAlignment="1">
      <alignment horizontal="left" vertical="center" wrapText="1"/>
    </xf>
    <xf numFmtId="49" fontId="128" fillId="0" borderId="0" xfId="0" applyNumberFormat="1" applyFont="1" applyAlignment="1">
      <alignment horizontal="left" vertical="top" wrapText="1" indent="1"/>
    </xf>
    <xf numFmtId="0" fontId="0" fillId="0" borderId="0" xfId="0" applyAlignment="1">
      <alignment vertical="top" wrapText="1"/>
    </xf>
    <xf numFmtId="0" fontId="126" fillId="0" borderId="0" xfId="0" applyFont="1" applyAlignment="1">
      <alignment horizontal="left" wrapText="1" indent="1"/>
    </xf>
    <xf numFmtId="0" fontId="98" fillId="0" borderId="0" xfId="0" applyFont="1" applyAlignment="1">
      <alignment horizontal="left" vertical="center" wrapText="1"/>
    </xf>
    <xf numFmtId="0" fontId="81" fillId="0" borderId="0" xfId="0" applyFont="1" applyAlignment="1">
      <alignment horizontal="left" vertical="center" wrapText="1" indent="1"/>
    </xf>
    <xf numFmtId="0" fontId="20" fillId="0" borderId="0" xfId="0" applyFont="1" applyAlignment="1">
      <alignment vertical="center" indent="1"/>
    </xf>
    <xf numFmtId="0" fontId="55" fillId="0" borderId="0" xfId="0" applyFont="1" applyAlignment="1">
      <alignment horizontal="left" vertical="center" wrapText="1"/>
    </xf>
    <xf numFmtId="170" fontId="15" fillId="0" borderId="0" xfId="0" applyNumberFormat="1" applyFont="1" applyAlignment="1">
      <alignment horizontal="left" vertical="center" wrapText="1"/>
    </xf>
    <xf numFmtId="0" fontId="3" fillId="0" borderId="0" xfId="0" applyFont="1" applyAlignment="1">
      <alignment horizontal="left" vertical="center" wrapText="1" indent="1"/>
    </xf>
    <xf numFmtId="170" fontId="15" fillId="0" borderId="0" xfId="0" applyNumberFormat="1" applyFont="1" applyAlignment="1">
      <alignment horizontal="left" vertical="center" wrapText="1" indent="1"/>
    </xf>
    <xf numFmtId="0" fontId="0" fillId="0" borderId="0" xfId="0" applyAlignment="1">
      <alignment horizontal="left" vertical="center" wrapText="1"/>
    </xf>
    <xf numFmtId="0" fontId="26" fillId="6" borderId="0" xfId="0" applyFont="1" applyFill="1" applyAlignment="1">
      <alignment horizontal="left" vertical="center" wrapText="1"/>
    </xf>
    <xf numFmtId="0" fontId="33" fillId="4" borderId="0" xfId="0" applyFont="1" applyFill="1" applyAlignment="1">
      <alignment horizontal="left" vertical="center" wrapText="1"/>
    </xf>
    <xf numFmtId="0" fontId="106" fillId="0" borderId="0" xfId="0" applyFont="1" applyAlignment="1">
      <alignment horizontal="left" vertical="center" wrapText="1" indent="1"/>
    </xf>
    <xf numFmtId="0" fontId="106" fillId="0" borderId="0" xfId="0" applyFont="1" applyAlignment="1">
      <alignment horizontal="left" vertical="center" wrapText="1"/>
    </xf>
    <xf numFmtId="0" fontId="8" fillId="6" borderId="0" xfId="0" applyFont="1" applyFill="1" applyAlignment="1">
      <alignment vertical="center"/>
    </xf>
    <xf numFmtId="0" fontId="0" fillId="0" borderId="0" xfId="0"/>
    <xf numFmtId="0" fontId="84" fillId="0" borderId="0" xfId="0" applyFont="1" applyAlignment="1">
      <alignment horizontal="left" vertical="center" wrapText="1" indent="1"/>
    </xf>
    <xf numFmtId="0" fontId="105" fillId="4" borderId="0" xfId="0" applyFont="1" applyFill="1" applyAlignment="1">
      <alignment horizontal="left" vertical="center"/>
    </xf>
    <xf numFmtId="165" fontId="78" fillId="0" borderId="0" xfId="0" applyNumberFormat="1" applyFont="1" applyAlignment="1">
      <alignment horizontal="left" vertical="center" wrapText="1"/>
    </xf>
    <xf numFmtId="179" fontId="78" fillId="0" borderId="0" xfId="0" applyNumberFormat="1" applyFont="1" applyAlignment="1">
      <alignment horizontal="left" vertical="center" wrapText="1"/>
    </xf>
    <xf numFmtId="0" fontId="111" fillId="0" borderId="0" xfId="0" applyFont="1" applyAlignment="1">
      <alignment horizontal="left" vertical="top" wrapText="1"/>
    </xf>
    <xf numFmtId="0" fontId="111" fillId="0" borderId="0" xfId="0" applyFont="1" applyAlignment="1">
      <alignment vertical="top" wrapText="1"/>
    </xf>
    <xf numFmtId="0" fontId="16" fillId="0" borderId="0" xfId="0" applyFont="1" applyAlignment="1">
      <alignment horizontal="left" vertical="center" wrapText="1" indent="1"/>
    </xf>
    <xf numFmtId="0" fontId="16" fillId="0" borderId="3" xfId="0" applyFont="1" applyBorder="1" applyAlignment="1">
      <alignment horizontal="left" vertical="center" wrapText="1" indent="1"/>
    </xf>
    <xf numFmtId="0" fontId="63" fillId="0" borderId="0" xfId="0" applyFont="1" applyAlignment="1">
      <alignment vertical="center"/>
    </xf>
    <xf numFmtId="0" fontId="63" fillId="0" borderId="0" xfId="0" applyFont="1" applyAlignment="1">
      <alignment vertical="center" wrapText="1"/>
    </xf>
    <xf numFmtId="0" fontId="131" fillId="0" borderId="0" xfId="0" applyFont="1" applyAlignment="1">
      <alignment vertical="top"/>
    </xf>
    <xf numFmtId="0" fontId="4" fillId="5" borderId="0" xfId="0" applyFont="1" applyFill="1" applyAlignment="1">
      <alignment horizontal="center" vertical="center"/>
    </xf>
    <xf numFmtId="0" fontId="126" fillId="0" borderId="0" xfId="0" applyFont="1" applyAlignment="1">
      <alignment horizontal="left" vertical="center" wrapText="1" indent="1"/>
    </xf>
    <xf numFmtId="0" fontId="14" fillId="0" borderId="0" xfId="0" applyFont="1" applyAlignment="1">
      <alignment vertical="top" wrapText="1"/>
    </xf>
    <xf numFmtId="0" fontId="93" fillId="6" borderId="0" xfId="0" applyFont="1" applyFill="1" applyAlignment="1">
      <alignment vertical="top" wrapText="1"/>
    </xf>
    <xf numFmtId="0" fontId="55" fillId="0" borderId="0" xfId="0" applyFont="1" applyAlignment="1">
      <alignment vertical="top" wrapText="1"/>
    </xf>
    <xf numFmtId="0" fontId="26" fillId="5" borderId="0" xfId="0" applyFont="1" applyFill="1" applyAlignment="1">
      <alignment vertical="top" wrapText="1"/>
    </xf>
    <xf numFmtId="0" fontId="26" fillId="7" borderId="0" xfId="0" applyFont="1" applyFill="1" applyAlignment="1">
      <alignment vertical="top" wrapText="1"/>
    </xf>
    <xf numFmtId="0" fontId="18" fillId="0" borderId="0" xfId="0" applyFont="1" applyAlignment="1">
      <alignment vertical="top" wrapText="1"/>
    </xf>
    <xf numFmtId="0" fontId="26" fillId="7" borderId="0" xfId="0" applyFont="1" applyFill="1" applyAlignment="1">
      <alignment vertical="top"/>
    </xf>
  </cellXfs>
  <cellStyles count="2">
    <cellStyle name="Hyperlink" xfId="1" builtinId="8"/>
    <cellStyle name="Normal" xfId="0" builtinId="0"/>
  </cellStyles>
  <dxfs count="39">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numFmt numFmtId="194" formatCode=";;;"/>
    </dxf>
    <dxf>
      <numFmt numFmtId="194" formatCode=";;;"/>
    </dxf>
    <dxf>
      <fill>
        <patternFill patternType="solid">
          <fgColor indexed="64"/>
          <bgColor rgb="FFB2EBF2"/>
        </patternFill>
      </fill>
    </dxf>
    <dxf>
      <fill>
        <patternFill patternType="solid">
          <fgColor indexed="64"/>
          <bgColor rgb="FFF2F2F2"/>
        </patternFill>
      </fill>
    </dxf>
    <dxf>
      <fill>
        <patternFill patternType="solid">
          <fgColor indexed="64"/>
          <bgColor rgb="FFFFF2CC"/>
        </patternFill>
      </fill>
    </dxf>
    <dxf>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F2CC"/>
        </patternFill>
      </fill>
    </dxf>
    <dxf>
      <font>
        <b/>
        <i val="0"/>
        <color rgb="FF1B2A4A"/>
      </font>
      <fill>
        <patternFill patternType="solid">
          <fgColor indexed="64"/>
          <bgColor rgb="FFD9EAF7"/>
        </patternFill>
      </fill>
    </dxf>
    <dxf>
      <font>
        <b/>
        <i val="0"/>
        <color rgb="FF1B2A4A"/>
      </font>
      <fill>
        <patternFill patternType="solid">
          <fgColor indexed="64"/>
          <bgColor rgb="FFD9EAF7"/>
        </patternFill>
      </fill>
    </dxf>
    <dxf>
      <font>
        <b/>
        <i val="0"/>
        <color rgb="FF1B2A4A"/>
      </font>
      <fill>
        <patternFill patternType="solid">
          <fgColor indexed="64"/>
          <bgColor rgb="FFD9EAF7"/>
        </patternFill>
      </fill>
    </dxf>
    <dxf>
      <font>
        <color rgb="FFA6A6A6"/>
      </font>
    </dxf>
    <dxf>
      <font>
        <color rgb="FFA6A6A6"/>
      </font>
    </dxf>
    <dxf>
      <font>
        <color rgb="FF9C0006"/>
      </font>
      <fill>
        <patternFill patternType="solid">
          <fgColor indexed="64"/>
          <bgColor rgb="FFFFC7CE"/>
        </patternFill>
      </fill>
    </dxf>
    <dxf>
      <font>
        <color rgb="FF006100"/>
      </font>
      <fill>
        <patternFill patternType="solid">
          <fgColor indexed="64"/>
          <bgColor rgb="FFC6EFCE"/>
        </patternFill>
      </fill>
    </dxf>
    <dxf>
      <numFmt numFmtId="194" formatCode=";;;"/>
    </dxf>
    <dxf>
      <numFmt numFmtId="194" formatCode=";;;"/>
    </dxf>
    <dxf>
      <numFmt numFmtId="194" formatCode=";;;"/>
    </dxf>
    <dxf>
      <numFmt numFmtId="194" formatCode=";;;"/>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0006"/>
      </font>
      <fill>
        <patternFill patternType="solid">
          <fgColor indexed="64"/>
          <bgColor rgb="FFFFC7CE"/>
        </patternFill>
      </fill>
    </dxf>
  </dxfs>
  <tableStyles count="1" defaultTableStyle="TableStyleMedium2" defaultPivotStyle="PivotStyleLight16">
    <tableStyle name="Invisible" pivot="0" table="0" count="0" xr9:uid="{2DBD5DA8-B745-4287-B6C0-87550A56D19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B2A4A"/>
                </a:solidFill>
                <a:latin typeface="Aptos"/>
                <a:ea typeface="Aptos"/>
                <a:cs typeface="Aptos"/>
              </a:defRPr>
            </a:pPr>
            <a:r>
              <a:rPr lang="en-US"/>
              <a:t>Ending Cash by Year (USD)</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B2A4A"/>
              </a:solidFill>
              <a:latin typeface="Aptos"/>
              <a:ea typeface="Aptos"/>
              <a:cs typeface="Aptos"/>
            </a:defRPr>
          </a:pPr>
          <a:endParaRPr lang="en-US"/>
        </a:p>
      </c:txPr>
    </c:title>
    <c:autoTitleDeleted val="0"/>
    <c:plotArea>
      <c:layout/>
      <c:areaChart>
        <c:grouping val="stacked"/>
        <c:varyColors val="0"/>
        <c:ser>
          <c:idx val="0"/>
          <c:order val="0"/>
          <c:tx>
            <c:strRef>
              <c:f>Dashboard!$B$80</c:f>
              <c:strCache>
                <c:ptCount val="1"/>
                <c:pt idx="0">
                  <c:v>Ending cash (USD)</c:v>
                </c:pt>
              </c:strCache>
            </c:strRef>
          </c:tx>
          <c:spPr>
            <a:solidFill>
              <a:srgbClr val="9DC3E6"/>
            </a:solidFill>
            <a:ln w="25400">
              <a:solidFill>
                <a:srgbClr val="1F4E78"/>
              </a:solidFill>
              <a:prstDash val="solid"/>
            </a:ln>
            <a:effectLst/>
          </c:spPr>
          <c:cat>
            <c:strRef>
              <c:f>Dashboard!$C$79:$F$79</c:f>
              <c:strCache>
                <c:ptCount val="4"/>
                <c:pt idx="0">
                  <c:v>Year 1</c:v>
                </c:pt>
                <c:pt idx="1">
                  <c:v>Year 2</c:v>
                </c:pt>
                <c:pt idx="2">
                  <c:v>Year 3</c:v>
                </c:pt>
                <c:pt idx="3">
                  <c:v>Year 4</c:v>
                </c:pt>
              </c:strCache>
            </c:strRef>
          </c:cat>
          <c:val>
            <c:numRef>
              <c:f>Dashboard!$C$80:$F$80</c:f>
              <c:numCache>
                <c:formatCode>_(#,##0_);\(#,##0\);_("–"_);_(@_)</c:formatCode>
                <c:ptCount val="4"/>
                <c:pt idx="0">
                  <c:v>24326.266830162145</c:v>
                </c:pt>
                <c:pt idx="1">
                  <c:v>19430.893943289804</c:v>
                </c:pt>
                <c:pt idx="2">
                  <c:v>6569.2388796569285</c:v>
                </c:pt>
                <c:pt idx="3">
                  <c:v>-4.220055416226387E-10</c:v>
                </c:pt>
              </c:numCache>
            </c:numRef>
          </c:val>
          <c:extLst>
            <c:ext xmlns:c16="http://schemas.microsoft.com/office/drawing/2014/chart" uri="{C3380CC4-5D6E-409C-BE32-E72D297353CC}">
              <c16:uniqueId val="{00000000-2ECB-433D-8737-F80BD10D2ABD}"/>
            </c:ext>
          </c:extLst>
        </c:ser>
        <c:dLbls>
          <c:showLegendKey val="0"/>
          <c:showVal val="0"/>
          <c:showCatName val="0"/>
          <c:showSerName val="0"/>
          <c:showPercent val="0"/>
          <c:showBubbleSize val="0"/>
        </c:dLbls>
        <c:axId val="458132432"/>
        <c:axId val="458131952"/>
      </c:areaChart>
      <c:catAx>
        <c:axId val="458132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a:ea typeface="Aptos"/>
                <a:cs typeface="Aptos"/>
              </a:defRPr>
            </a:pPr>
            <a:endParaRPr lang="en-US"/>
          </a:p>
        </c:txPr>
        <c:crossAx val="458131952"/>
        <c:crosses val="autoZero"/>
        <c:auto val="1"/>
        <c:lblAlgn val="ctr"/>
        <c:lblOffset val="100"/>
        <c:noMultiLvlLbl val="0"/>
      </c:catAx>
      <c:valAx>
        <c:axId val="458131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a:ea typeface="Aptos"/>
                <a:cs typeface="Aptos"/>
              </a:defRPr>
            </a:pPr>
            <a:endParaRPr lang="en-US"/>
          </a:p>
        </c:txPr>
        <c:crossAx val="458132432"/>
        <c:crosses val="autoZero"/>
        <c:crossBetween val="midCat"/>
      </c:valAx>
      <c:spPr>
        <a:noFill/>
        <a:ln>
          <a:noFill/>
        </a:ln>
        <a:effectLst/>
      </c:spPr>
    </c:plotArea>
    <c:plotVisOnly val="0"/>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latin typeface="Aptos"/>
          <a:ea typeface="Aptos"/>
          <a:cs typeface="Apto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B2A4A"/>
                </a:solidFill>
                <a:latin typeface="Aptos"/>
                <a:ea typeface="Aptos"/>
                <a:cs typeface="Aptos"/>
              </a:defRPr>
            </a:pPr>
            <a:r>
              <a:rPr lang="en-US"/>
              <a:t>Investor Cash Flows (USD)</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B2A4A"/>
              </a:solidFill>
              <a:latin typeface="Aptos"/>
              <a:ea typeface="Aptos"/>
              <a:cs typeface="Aptos"/>
            </a:defRPr>
          </a:pPr>
          <a:endParaRPr lang="en-US"/>
        </a:p>
      </c:txPr>
    </c:title>
    <c:autoTitleDeleted val="0"/>
    <c:plotArea>
      <c:layout/>
      <c:barChart>
        <c:barDir val="col"/>
        <c:grouping val="clustered"/>
        <c:varyColors val="0"/>
        <c:ser>
          <c:idx val="0"/>
          <c:order val="0"/>
          <c:tx>
            <c:strRef>
              <c:f>Dashboard!$B$83</c:f>
              <c:strCache>
                <c:ptCount val="1"/>
                <c:pt idx="0">
                  <c:v>Equity Investor cash flow (USD)</c:v>
                </c:pt>
              </c:strCache>
            </c:strRef>
          </c:tx>
          <c:spPr>
            <a:solidFill>
              <a:srgbClr val="1F4E78"/>
            </a:solidFill>
            <a:ln>
              <a:noFill/>
            </a:ln>
            <a:effectLst/>
          </c:spPr>
          <c:invertIfNegative val="0"/>
          <c:cat>
            <c:strRef>
              <c:f>Dashboard!$C$82:$F$82</c:f>
              <c:strCache>
                <c:ptCount val="4"/>
                <c:pt idx="0">
                  <c:v>Year 1</c:v>
                </c:pt>
                <c:pt idx="1">
                  <c:v>Year 2</c:v>
                </c:pt>
                <c:pt idx="2">
                  <c:v>Year 3</c:v>
                </c:pt>
                <c:pt idx="3">
                  <c:v>Year 4</c:v>
                </c:pt>
              </c:strCache>
            </c:strRef>
          </c:cat>
          <c:val>
            <c:numRef>
              <c:f>Dashboard!$C$83:$F$83</c:f>
              <c:numCache>
                <c:formatCode>_(#,##0_);\(#,##0\);_("–"_);_(@_)</c:formatCode>
                <c:ptCount val="4"/>
                <c:pt idx="0">
                  <c:v>-6630682.265400474</c:v>
                </c:pt>
                <c:pt idx="1">
                  <c:v>-84829.976603549541</c:v>
                </c:pt>
                <c:pt idx="2">
                  <c:v>5057197.17</c:v>
                </c:pt>
                <c:pt idx="3">
                  <c:v>4584989.4315770799</c:v>
                </c:pt>
              </c:numCache>
            </c:numRef>
          </c:val>
          <c:extLst>
            <c:ext xmlns:c16="http://schemas.microsoft.com/office/drawing/2014/chart" uri="{C3380CC4-5D6E-409C-BE32-E72D297353CC}">
              <c16:uniqueId val="{00000000-F422-4FFA-B265-10E2B5CA49DE}"/>
            </c:ext>
          </c:extLst>
        </c:ser>
        <c:dLbls>
          <c:showLegendKey val="0"/>
          <c:showVal val="0"/>
          <c:showCatName val="0"/>
          <c:showSerName val="0"/>
          <c:showPercent val="0"/>
          <c:showBubbleSize val="0"/>
        </c:dLbls>
        <c:gapWidth val="219"/>
        <c:overlap val="-27"/>
        <c:axId val="410241967"/>
        <c:axId val="410240527"/>
      </c:barChart>
      <c:lineChart>
        <c:grouping val="standard"/>
        <c:varyColors val="0"/>
        <c:ser>
          <c:idx val="1"/>
          <c:order val="1"/>
          <c:tx>
            <c:strRef>
              <c:f>Dashboard!$B$84</c:f>
              <c:strCache>
                <c:ptCount val="1"/>
                <c:pt idx="0">
                  <c:v>Cumulative (USD)</c:v>
                </c:pt>
              </c:strCache>
            </c:strRef>
          </c:tx>
          <c:spPr>
            <a:ln w="38100" cap="rnd">
              <a:solidFill>
                <a:srgbClr val="9DC3E6"/>
              </a:solidFill>
              <a:prstDash val="solid"/>
              <a:round/>
            </a:ln>
            <a:effectLst/>
          </c:spPr>
          <c:marker>
            <c:symbol val="none"/>
          </c:marker>
          <c:cat>
            <c:strRef>
              <c:f>Dashboard!$C$82:$F$82</c:f>
              <c:strCache>
                <c:ptCount val="4"/>
                <c:pt idx="0">
                  <c:v>Year 1</c:v>
                </c:pt>
                <c:pt idx="1">
                  <c:v>Year 2</c:v>
                </c:pt>
                <c:pt idx="2">
                  <c:v>Year 3</c:v>
                </c:pt>
                <c:pt idx="3">
                  <c:v>Year 4</c:v>
                </c:pt>
              </c:strCache>
            </c:strRef>
          </c:cat>
          <c:val>
            <c:numRef>
              <c:f>Dashboard!$C$84:$F$84</c:f>
              <c:numCache>
                <c:formatCode>_(#,##0_);\(#,##0\);_("–"_);_(@_)</c:formatCode>
                <c:ptCount val="4"/>
                <c:pt idx="0">
                  <c:v>-6630682.265400474</c:v>
                </c:pt>
                <c:pt idx="1">
                  <c:v>-6715512.2420040239</c:v>
                </c:pt>
                <c:pt idx="2">
                  <c:v>-1658315.0720040239</c:v>
                </c:pt>
                <c:pt idx="3">
                  <c:v>2926674.359573056</c:v>
                </c:pt>
              </c:numCache>
            </c:numRef>
          </c:val>
          <c:smooth val="0"/>
          <c:extLst>
            <c:ext xmlns:c16="http://schemas.microsoft.com/office/drawing/2014/chart" uri="{C3380CC4-5D6E-409C-BE32-E72D297353CC}">
              <c16:uniqueId val="{00000001-F422-4FFA-B265-10E2B5CA49DE}"/>
            </c:ext>
          </c:extLst>
        </c:ser>
        <c:dLbls>
          <c:showLegendKey val="0"/>
          <c:showVal val="0"/>
          <c:showCatName val="0"/>
          <c:showSerName val="0"/>
          <c:showPercent val="0"/>
          <c:showBubbleSize val="0"/>
        </c:dLbls>
        <c:marker val="1"/>
        <c:smooth val="0"/>
        <c:axId val="410241967"/>
        <c:axId val="410240527"/>
      </c:lineChart>
      <c:catAx>
        <c:axId val="41024196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a:ea typeface="Aptos"/>
                <a:cs typeface="Aptos"/>
              </a:defRPr>
            </a:pPr>
            <a:endParaRPr lang="en-US"/>
          </a:p>
        </c:txPr>
        <c:crossAx val="410240527"/>
        <c:crosses val="autoZero"/>
        <c:auto val="1"/>
        <c:lblAlgn val="ctr"/>
        <c:lblOffset val="100"/>
        <c:noMultiLvlLbl val="0"/>
      </c:catAx>
      <c:valAx>
        <c:axId val="410240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a:ea typeface="Aptos"/>
                <a:cs typeface="Aptos"/>
              </a:defRPr>
            </a:pPr>
            <a:endParaRPr lang="en-US"/>
          </a:p>
        </c:txPr>
        <c:crossAx val="410241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latin typeface="Aptos"/>
          <a:ea typeface="Aptos"/>
          <a:cs typeface="Apto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B2A4A"/>
                </a:solidFill>
                <a:latin typeface="Aptos"/>
                <a:ea typeface="Aptos"/>
                <a:cs typeface="Aptos"/>
              </a:defRPr>
            </a:pPr>
            <a:r>
              <a:rPr lang="en-US"/>
              <a:t>All-In Cost vs Exit Value by Property (USD)</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B2A4A"/>
              </a:solidFill>
              <a:latin typeface="Aptos"/>
              <a:ea typeface="Aptos"/>
              <a:cs typeface="Aptos"/>
            </a:defRPr>
          </a:pPr>
          <a:endParaRPr lang="en-US"/>
        </a:p>
      </c:txPr>
    </c:title>
    <c:autoTitleDeleted val="0"/>
    <c:plotArea>
      <c:layout/>
      <c:barChart>
        <c:barDir val="bar"/>
        <c:grouping val="clustered"/>
        <c:varyColors val="0"/>
        <c:ser>
          <c:idx val="0"/>
          <c:order val="0"/>
          <c:tx>
            <c:strRef>
              <c:f>Dashboard!$C$86</c:f>
              <c:strCache>
                <c:ptCount val="1"/>
                <c:pt idx="0">
                  <c:v>All-in cost</c:v>
                </c:pt>
              </c:strCache>
            </c:strRef>
          </c:tx>
          <c:spPr>
            <a:solidFill>
              <a:srgbClr val="1F4E78"/>
            </a:solidFill>
            <a:ln>
              <a:noFill/>
            </a:ln>
            <a:effectLst/>
          </c:spPr>
          <c:invertIfNegative val="0"/>
          <c:cat>
            <c:strRef>
              <c:f>Dashboard!$B$87:$B$94</c:f>
              <c:strCache>
                <c:ptCount val="5"/>
                <c:pt idx="0">
                  <c:v>Aires de Campestre Apto 801 (Penthouse)</c:v>
                </c:pt>
                <c:pt idx="1">
                  <c:v>Fontanar Apto 201 (Penthouse)</c:v>
                </c:pt>
                <c:pt idx="2">
                  <c:v>San Lucas Apto 101</c:v>
                </c:pt>
                <c:pt idx="3">
                  <c:v>Casa Montana Lote 2 (Samuel Gaviria House)</c:v>
                </c:pt>
                <c:pt idx="4">
                  <c:v>Casa Monte Sereno</c:v>
                </c:pt>
              </c:strCache>
            </c:strRef>
          </c:cat>
          <c:val>
            <c:numRef>
              <c:f>Dashboard!$C$87:$C$94</c:f>
              <c:numCache>
                <c:formatCode>_(#,##0_);\(#,##0\);_("–"_);_(@_)</c:formatCode>
                <c:ptCount val="8"/>
                <c:pt idx="0">
                  <c:v>1168770.2265372169</c:v>
                </c:pt>
                <c:pt idx="1">
                  <c:v>1290857.6051779937</c:v>
                </c:pt>
                <c:pt idx="2">
                  <c:v>747370.55016181234</c:v>
                </c:pt>
                <c:pt idx="3">
                  <c:v>1714482.2006472494</c:v>
                </c:pt>
                <c:pt idx="4">
                  <c:v>1650485.4368932038</c:v>
                </c:pt>
                <c:pt idx="5">
                  <c:v>0</c:v>
                </c:pt>
                <c:pt idx="6">
                  <c:v>0</c:v>
                </c:pt>
                <c:pt idx="7">
                  <c:v>0</c:v>
                </c:pt>
              </c:numCache>
            </c:numRef>
          </c:val>
          <c:extLst>
            <c:ext xmlns:c16="http://schemas.microsoft.com/office/drawing/2014/chart" uri="{C3380CC4-5D6E-409C-BE32-E72D297353CC}">
              <c16:uniqueId val="{00000000-C2B3-4E2E-AD08-5810A9C7F5FE}"/>
            </c:ext>
          </c:extLst>
        </c:ser>
        <c:ser>
          <c:idx val="1"/>
          <c:order val="1"/>
          <c:tx>
            <c:strRef>
              <c:f>Dashboard!$D$86</c:f>
              <c:strCache>
                <c:ptCount val="1"/>
                <c:pt idx="0">
                  <c:v>Exit value</c:v>
                </c:pt>
              </c:strCache>
            </c:strRef>
          </c:tx>
          <c:spPr>
            <a:solidFill>
              <a:srgbClr val="9DC3E6"/>
            </a:solidFill>
            <a:ln>
              <a:noFill/>
            </a:ln>
            <a:effectLst/>
          </c:spPr>
          <c:invertIfNegative val="0"/>
          <c:cat>
            <c:strRef>
              <c:f>Dashboard!$B$87:$B$94</c:f>
              <c:strCache>
                <c:ptCount val="5"/>
                <c:pt idx="0">
                  <c:v>Aires de Campestre Apto 801 (Penthouse)</c:v>
                </c:pt>
                <c:pt idx="1">
                  <c:v>Fontanar Apto 201 (Penthouse)</c:v>
                </c:pt>
                <c:pt idx="2">
                  <c:v>San Lucas Apto 101</c:v>
                </c:pt>
                <c:pt idx="3">
                  <c:v>Casa Montana Lote 2 (Samuel Gaviria House)</c:v>
                </c:pt>
                <c:pt idx="4">
                  <c:v>Casa Monte Sereno</c:v>
                </c:pt>
              </c:strCache>
            </c:strRef>
          </c:cat>
          <c:val>
            <c:numRef>
              <c:f>Dashboard!$D$87:$D$94</c:f>
              <c:numCache>
                <c:formatCode>_(#,##0_);\(#,##0\);_("–"_);_(@_)</c:formatCode>
                <c:ptCount val="8"/>
                <c:pt idx="0">
                  <c:v>2019763.3569386934</c:v>
                </c:pt>
                <c:pt idx="1">
                  <c:v>2261281.5704204938</c:v>
                </c:pt>
                <c:pt idx="2">
                  <c:v>1265464.2924150538</c:v>
                </c:pt>
                <c:pt idx="3">
                  <c:v>2995795.1883356264</c:v>
                </c:pt>
                <c:pt idx="4">
                  <c:v>2834606.5805107774</c:v>
                </c:pt>
                <c:pt idx="5">
                  <c:v>0</c:v>
                </c:pt>
                <c:pt idx="6">
                  <c:v>0</c:v>
                </c:pt>
                <c:pt idx="7">
                  <c:v>0</c:v>
                </c:pt>
              </c:numCache>
            </c:numRef>
          </c:val>
          <c:extLst>
            <c:ext xmlns:c16="http://schemas.microsoft.com/office/drawing/2014/chart" uri="{C3380CC4-5D6E-409C-BE32-E72D297353CC}">
              <c16:uniqueId val="{00000001-C2B3-4E2E-AD08-5810A9C7F5FE}"/>
            </c:ext>
          </c:extLst>
        </c:ser>
        <c:dLbls>
          <c:showLegendKey val="0"/>
          <c:showVal val="0"/>
          <c:showCatName val="0"/>
          <c:showSerName val="0"/>
          <c:showPercent val="0"/>
          <c:showBubbleSize val="0"/>
        </c:dLbls>
        <c:gapWidth val="182"/>
        <c:axId val="455484256"/>
        <c:axId val="409056319"/>
      </c:barChart>
      <c:catAx>
        <c:axId val="4554842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a:ea typeface="Aptos"/>
                <a:cs typeface="Aptos"/>
              </a:defRPr>
            </a:pPr>
            <a:endParaRPr lang="en-US"/>
          </a:p>
        </c:txPr>
        <c:crossAx val="409056319"/>
        <c:crosses val="autoZero"/>
        <c:auto val="1"/>
        <c:lblAlgn val="ctr"/>
        <c:lblOffset val="100"/>
        <c:noMultiLvlLbl val="0"/>
      </c:catAx>
      <c:valAx>
        <c:axId val="409056319"/>
        <c:scaling>
          <c:orientation val="minMax"/>
        </c:scaling>
        <c:delete val="0"/>
        <c:axPos val="t"/>
        <c:majorGridlines>
          <c:spPr>
            <a:ln w="9525" cap="flat" cmpd="sng" algn="ctr">
              <a:solidFill>
                <a:schemeClr val="tx1">
                  <a:lumMod val="15000"/>
                  <a:lumOff val="85000"/>
                </a:schemeClr>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a:ea typeface="Aptos"/>
                <a:cs typeface="Aptos"/>
              </a:defRPr>
            </a:pPr>
            <a:endParaRPr lang="en-US"/>
          </a:p>
        </c:txPr>
        <c:crossAx val="455484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latin typeface="Aptos"/>
          <a:ea typeface="Aptos"/>
          <a:cs typeface="Apto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B2A4A"/>
                </a:solidFill>
                <a:latin typeface="Aptos"/>
                <a:ea typeface="Aptos"/>
                <a:cs typeface="Aptos"/>
              </a:defRPr>
            </a:pPr>
            <a:r>
              <a:rPr lang="en-US"/>
              <a:t>Portfolio IRR vs Investor IRR by Entry Discount</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B2A4A"/>
              </a:solidFill>
              <a:latin typeface="Aptos"/>
              <a:ea typeface="Aptos"/>
              <a:cs typeface="Aptos"/>
            </a:defRPr>
          </a:pPr>
          <a:endParaRPr lang="en-US"/>
        </a:p>
      </c:txPr>
    </c:title>
    <c:autoTitleDeleted val="0"/>
    <c:plotArea>
      <c:layout/>
      <c:barChart>
        <c:barDir val="col"/>
        <c:grouping val="clustered"/>
        <c:varyColors val="0"/>
        <c:ser>
          <c:idx val="0"/>
          <c:order val="0"/>
          <c:tx>
            <c:strRef>
              <c:f>Dashboard!$B$77</c:f>
              <c:strCache>
                <c:ptCount val="1"/>
                <c:pt idx="0">
                  <c:v>Portfolio IRR</c:v>
                </c:pt>
              </c:strCache>
            </c:strRef>
          </c:tx>
          <c:spPr>
            <a:solidFill>
              <a:srgbClr val="1B2A4A"/>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2A4A"/>
                    </a:solidFill>
                    <a:latin typeface="Aptos"/>
                    <a:ea typeface="Aptos"/>
                    <a:cs typeface="Apto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Dashboard!$C$76:$G$76</c:f>
              <c:strCache>
                <c:ptCount val="5"/>
                <c:pt idx="0">
                  <c:v>Entry 20%</c:v>
                </c:pt>
                <c:pt idx="1">
                  <c:v>Entry 25%</c:v>
                </c:pt>
                <c:pt idx="2">
                  <c:v>Entry 30%</c:v>
                </c:pt>
                <c:pt idx="3">
                  <c:v>Entry 35%</c:v>
                </c:pt>
                <c:pt idx="4">
                  <c:v>Entry 40%</c:v>
                </c:pt>
              </c:strCache>
            </c:strRef>
          </c:cat>
          <c:val>
            <c:numRef>
              <c:f>Dashboard!$C$77:$G$77</c:f>
              <c:numCache>
                <c:formatCode>0.0%</c:formatCode>
                <c:ptCount val="5"/>
                <c:pt idx="0">
                  <c:v>0.15170478053667255</c:v>
                </c:pt>
                <c:pt idx="1">
                  <c:v>0.17856188139153062</c:v>
                </c:pt>
                <c:pt idx="2">
                  <c:v>0.2081031024456024</c:v>
                </c:pt>
                <c:pt idx="3">
                  <c:v>0.24082010012966509</c:v>
                </c:pt>
                <c:pt idx="4">
                  <c:v>0.27734213023172338</c:v>
                </c:pt>
              </c:numCache>
            </c:numRef>
          </c:val>
          <c:extLst>
            <c:ext xmlns:c16="http://schemas.microsoft.com/office/drawing/2014/chart" uri="{C3380CC4-5D6E-409C-BE32-E72D297353CC}">
              <c16:uniqueId val="{00000000-C37C-4323-9D5F-D044A9419550}"/>
            </c:ext>
          </c:extLst>
        </c:ser>
        <c:ser>
          <c:idx val="1"/>
          <c:order val="1"/>
          <c:tx>
            <c:strRef>
              <c:f>Dashboard!$B$78</c:f>
              <c:strCache>
                <c:ptCount val="1"/>
                <c:pt idx="0">
                  <c:v>Equity Investor IRR</c:v>
                </c:pt>
              </c:strCache>
            </c:strRef>
          </c:tx>
          <c:spPr>
            <a:solidFill>
              <a:srgbClr val="1F4E78"/>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2A4A"/>
                    </a:solidFill>
                    <a:latin typeface="Aptos"/>
                    <a:ea typeface="Aptos"/>
                    <a:cs typeface="Apto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Dashboard!$C$76:$G$76</c:f>
              <c:strCache>
                <c:ptCount val="5"/>
                <c:pt idx="0">
                  <c:v>Entry 20%</c:v>
                </c:pt>
                <c:pt idx="1">
                  <c:v>Entry 25%</c:v>
                </c:pt>
                <c:pt idx="2">
                  <c:v>Entry 30%</c:v>
                </c:pt>
                <c:pt idx="3">
                  <c:v>Entry 35%</c:v>
                </c:pt>
                <c:pt idx="4">
                  <c:v>Entry 40%</c:v>
                </c:pt>
              </c:strCache>
            </c:strRef>
          </c:cat>
          <c:val>
            <c:numRef>
              <c:f>Dashboard!$C$78:$G$78</c:f>
              <c:numCache>
                <c:formatCode>0.0%</c:formatCode>
                <c:ptCount val="5"/>
                <c:pt idx="0">
                  <c:v>0.11461455314211019</c:v>
                </c:pt>
                <c:pt idx="1">
                  <c:v>0.13490537458018628</c:v>
                </c:pt>
                <c:pt idx="2">
                  <c:v>0.15722407698631286</c:v>
                </c:pt>
                <c:pt idx="3">
                  <c:v>0.1819421119516238</c:v>
                </c:pt>
                <c:pt idx="4">
                  <c:v>0.20953488882511337</c:v>
                </c:pt>
              </c:numCache>
            </c:numRef>
          </c:val>
          <c:extLst>
            <c:ext xmlns:c16="http://schemas.microsoft.com/office/drawing/2014/chart" uri="{C3380CC4-5D6E-409C-BE32-E72D297353CC}">
              <c16:uniqueId val="{00000000-CBFA-496C-BB11-7BF05DA05E44}"/>
            </c:ext>
          </c:extLst>
        </c:ser>
        <c:dLbls>
          <c:showLegendKey val="0"/>
          <c:showVal val="0"/>
          <c:showCatName val="0"/>
          <c:showSerName val="0"/>
          <c:showPercent val="0"/>
          <c:showBubbleSize val="0"/>
        </c:dLbls>
        <c:gapWidth val="219"/>
        <c:overlap val="-27"/>
        <c:axId val="1178763584"/>
        <c:axId val="1178765024"/>
      </c:barChart>
      <c:catAx>
        <c:axId val="117876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a:ea typeface="Aptos"/>
                <a:cs typeface="Aptos"/>
              </a:defRPr>
            </a:pPr>
            <a:endParaRPr lang="en-US"/>
          </a:p>
        </c:txPr>
        <c:crossAx val="1178765024"/>
        <c:crosses val="autoZero"/>
        <c:auto val="1"/>
        <c:lblAlgn val="ctr"/>
        <c:lblOffset val="100"/>
        <c:noMultiLvlLbl val="0"/>
      </c:catAx>
      <c:valAx>
        <c:axId val="1178765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a:ea typeface="Aptos"/>
                <a:cs typeface="Aptos"/>
              </a:defRPr>
            </a:pPr>
            <a:endParaRPr lang="en-US"/>
          </a:p>
        </c:txPr>
        <c:crossAx val="1178763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latin typeface="Aptos"/>
          <a:ea typeface="Aptos"/>
          <a:cs typeface="Apto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ptos"/>
                <a:ea typeface="Aptos"/>
                <a:cs typeface="Aptos"/>
              </a:defRPr>
            </a:pPr>
            <a:r>
              <a:rPr lang="en-US"/>
              <a:t>DANE IPVN — National Annual Price Growth (Total vs Apartments)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ptos"/>
              <a:ea typeface="Aptos"/>
              <a:cs typeface="Aptos"/>
            </a:defRPr>
          </a:pPr>
          <a:endParaRPr lang="en-US"/>
        </a:p>
      </c:txPr>
    </c:title>
    <c:autoTitleDeleted val="0"/>
    <c:plotArea>
      <c:layout/>
      <c:lineChart>
        <c:grouping val="standard"/>
        <c:varyColors val="0"/>
        <c:ser>
          <c:idx val="0"/>
          <c:order val="0"/>
          <c:tx>
            <c:strRef>
              <c:f>'Medellín Market Data'!$C$5</c:f>
              <c:strCache>
                <c:ptCount val="1"/>
                <c:pt idx="0">
                  <c:v>Total</c:v>
                </c:pt>
              </c:strCache>
            </c:strRef>
          </c:tx>
          <c:spPr>
            <a:ln w="31750" cap="rnd">
              <a:solidFill>
                <a:srgbClr val="1F4E78"/>
              </a:solidFill>
              <a:prstDash val="solid"/>
              <a:round/>
            </a:ln>
            <a:effectLst/>
          </c:spPr>
          <c:marker>
            <c:symbol val="none"/>
          </c:marker>
          <c:cat>
            <c:strRef>
              <c:f>'Medellín Market Data'!$B$6:$B$23</c:f>
              <c:strCache>
                <c:ptCount val="18"/>
                <c:pt idx="0">
                  <c:v>2022 Q1</c:v>
                </c:pt>
                <c:pt idx="1">
                  <c:v>2022 Q2</c:v>
                </c:pt>
                <c:pt idx="2">
                  <c:v>2022 Q3</c:v>
                </c:pt>
                <c:pt idx="3">
                  <c:v>2022 Q4</c:v>
                </c:pt>
                <c:pt idx="4">
                  <c:v>2023 Q1</c:v>
                </c:pt>
                <c:pt idx="5">
                  <c:v>2023 Q2</c:v>
                </c:pt>
                <c:pt idx="6">
                  <c:v>2023 Q3</c:v>
                </c:pt>
                <c:pt idx="7">
                  <c:v>2023 Q4</c:v>
                </c:pt>
                <c:pt idx="8">
                  <c:v>2024 Q1</c:v>
                </c:pt>
                <c:pt idx="9">
                  <c:v>2024 Q2</c:v>
                </c:pt>
                <c:pt idx="10">
                  <c:v>2024 Q3</c:v>
                </c:pt>
                <c:pt idx="11">
                  <c:v>2024 Q4</c:v>
                </c:pt>
                <c:pt idx="12">
                  <c:v>2025 Q1</c:v>
                </c:pt>
                <c:pt idx="13">
                  <c:v>2025 Q2</c:v>
                </c:pt>
                <c:pt idx="14">
                  <c:v>2025 Q3</c:v>
                </c:pt>
                <c:pt idx="15">
                  <c:v>2025 Q4</c:v>
                </c:pt>
                <c:pt idx="16">
                  <c:v>2026 Q1</c:v>
                </c:pt>
                <c:pt idx="17">
                  <c:v>2026 Q2</c:v>
                </c:pt>
              </c:strCache>
            </c:strRef>
          </c:cat>
          <c:val>
            <c:numRef>
              <c:f>'Medellín Market Data'!$C$6:$C$23</c:f>
              <c:numCache>
                <c:formatCode>0.0%</c:formatCode>
                <c:ptCount val="18"/>
                <c:pt idx="0">
                  <c:v>7.6499999999999999E-2</c:v>
                </c:pt>
                <c:pt idx="1">
                  <c:v>8.5400000000000004E-2</c:v>
                </c:pt>
                <c:pt idx="2">
                  <c:v>8.4599999999999995E-2</c:v>
                </c:pt>
                <c:pt idx="3">
                  <c:v>8.7800000000000003E-2</c:v>
                </c:pt>
                <c:pt idx="4">
                  <c:v>9.3899999999999997E-2</c:v>
                </c:pt>
                <c:pt idx="5">
                  <c:v>0.10100000000000001</c:v>
                </c:pt>
                <c:pt idx="6">
                  <c:v>0.1115</c:v>
                </c:pt>
                <c:pt idx="7">
                  <c:v>0.124</c:v>
                </c:pt>
                <c:pt idx="8">
                  <c:v>0.1203</c:v>
                </c:pt>
                <c:pt idx="9">
                  <c:v>0.1091</c:v>
                </c:pt>
                <c:pt idx="10">
                  <c:v>0.1037</c:v>
                </c:pt>
                <c:pt idx="11">
                  <c:v>9.0700000000000003E-2</c:v>
                </c:pt>
                <c:pt idx="12">
                  <c:v>9.9299999999999999E-2</c:v>
                </c:pt>
                <c:pt idx="13">
                  <c:v>0.1002</c:v>
                </c:pt>
                <c:pt idx="14">
                  <c:v>9.5000000000000001E-2</c:v>
                </c:pt>
                <c:pt idx="15">
                  <c:v>9.1700000000000004E-2</c:v>
                </c:pt>
                <c:pt idx="16">
                  <c:v>8.4699999999999998E-2</c:v>
                </c:pt>
                <c:pt idx="17">
                  <c:v>8.7999999999999995E-2</c:v>
                </c:pt>
              </c:numCache>
            </c:numRef>
          </c:val>
          <c:smooth val="0"/>
          <c:extLst>
            <c:ext xmlns:c16="http://schemas.microsoft.com/office/drawing/2014/chart" uri="{C3380CC4-5D6E-409C-BE32-E72D297353CC}">
              <c16:uniqueId val="{00000000-A2A0-4EEF-92B6-5B7D8E86CECE}"/>
            </c:ext>
          </c:extLst>
        </c:ser>
        <c:ser>
          <c:idx val="1"/>
          <c:order val="1"/>
          <c:tx>
            <c:strRef>
              <c:f>'Medellín Market Data'!$D$5</c:f>
              <c:strCache>
                <c:ptCount val="1"/>
                <c:pt idx="0">
                  <c:v>Apartments</c:v>
                </c:pt>
              </c:strCache>
            </c:strRef>
          </c:tx>
          <c:spPr>
            <a:ln w="31750" cap="rnd">
              <a:solidFill>
                <a:srgbClr val="9DC3E6"/>
              </a:solidFill>
              <a:prstDash val="solid"/>
              <a:round/>
            </a:ln>
            <a:effectLst/>
          </c:spPr>
          <c:marker>
            <c:symbol val="none"/>
          </c:marker>
          <c:cat>
            <c:strRef>
              <c:f>'Medellín Market Data'!$B$6:$B$23</c:f>
              <c:strCache>
                <c:ptCount val="18"/>
                <c:pt idx="0">
                  <c:v>2022 Q1</c:v>
                </c:pt>
                <c:pt idx="1">
                  <c:v>2022 Q2</c:v>
                </c:pt>
                <c:pt idx="2">
                  <c:v>2022 Q3</c:v>
                </c:pt>
                <c:pt idx="3">
                  <c:v>2022 Q4</c:v>
                </c:pt>
                <c:pt idx="4">
                  <c:v>2023 Q1</c:v>
                </c:pt>
                <c:pt idx="5">
                  <c:v>2023 Q2</c:v>
                </c:pt>
                <c:pt idx="6">
                  <c:v>2023 Q3</c:v>
                </c:pt>
                <c:pt idx="7">
                  <c:v>2023 Q4</c:v>
                </c:pt>
                <c:pt idx="8">
                  <c:v>2024 Q1</c:v>
                </c:pt>
                <c:pt idx="9">
                  <c:v>2024 Q2</c:v>
                </c:pt>
                <c:pt idx="10">
                  <c:v>2024 Q3</c:v>
                </c:pt>
                <c:pt idx="11">
                  <c:v>2024 Q4</c:v>
                </c:pt>
                <c:pt idx="12">
                  <c:v>2025 Q1</c:v>
                </c:pt>
                <c:pt idx="13">
                  <c:v>2025 Q2</c:v>
                </c:pt>
                <c:pt idx="14">
                  <c:v>2025 Q3</c:v>
                </c:pt>
                <c:pt idx="15">
                  <c:v>2025 Q4</c:v>
                </c:pt>
                <c:pt idx="16">
                  <c:v>2026 Q1</c:v>
                </c:pt>
                <c:pt idx="17">
                  <c:v>2026 Q2</c:v>
                </c:pt>
              </c:strCache>
            </c:strRef>
          </c:cat>
          <c:val>
            <c:numRef>
              <c:f>'Medellín Market Data'!$D$6:$D$23</c:f>
              <c:numCache>
                <c:formatCode>0.0%</c:formatCode>
                <c:ptCount val="18"/>
                <c:pt idx="0">
                  <c:v>7.6100000000000001E-2</c:v>
                </c:pt>
                <c:pt idx="1">
                  <c:v>8.4199999999999997E-2</c:v>
                </c:pt>
                <c:pt idx="2">
                  <c:v>8.3500000000000005E-2</c:v>
                </c:pt>
                <c:pt idx="3">
                  <c:v>8.5800000000000001E-2</c:v>
                </c:pt>
                <c:pt idx="4">
                  <c:v>9.2799999999999994E-2</c:v>
                </c:pt>
                <c:pt idx="5">
                  <c:v>9.9900000000000003E-2</c:v>
                </c:pt>
                <c:pt idx="6">
                  <c:v>0.1108</c:v>
                </c:pt>
                <c:pt idx="7">
                  <c:v>0.12479999999999999</c:v>
                </c:pt>
                <c:pt idx="8">
                  <c:v>0.12130000000000001</c:v>
                </c:pt>
                <c:pt idx="9">
                  <c:v>0.1114</c:v>
                </c:pt>
                <c:pt idx="10">
                  <c:v>0.106</c:v>
                </c:pt>
                <c:pt idx="11">
                  <c:v>9.3200000000000005E-2</c:v>
                </c:pt>
                <c:pt idx="12">
                  <c:v>0.1009</c:v>
                </c:pt>
                <c:pt idx="13">
                  <c:v>9.9699999999999997E-2</c:v>
                </c:pt>
                <c:pt idx="14">
                  <c:v>9.4700000000000006E-2</c:v>
                </c:pt>
                <c:pt idx="15">
                  <c:v>9.1499999999999998E-2</c:v>
                </c:pt>
                <c:pt idx="16">
                  <c:v>8.5000000000000006E-2</c:v>
                </c:pt>
                <c:pt idx="17">
                  <c:v>8.8800000000000004E-2</c:v>
                </c:pt>
              </c:numCache>
            </c:numRef>
          </c:val>
          <c:smooth val="0"/>
          <c:extLst>
            <c:ext xmlns:c16="http://schemas.microsoft.com/office/drawing/2014/chart" uri="{C3380CC4-5D6E-409C-BE32-E72D297353CC}">
              <c16:uniqueId val="{00000001-A2A0-4EEF-92B6-5B7D8E86CECE}"/>
            </c:ext>
          </c:extLst>
        </c:ser>
        <c:dLbls>
          <c:showLegendKey val="0"/>
          <c:showVal val="0"/>
          <c:showCatName val="0"/>
          <c:showSerName val="0"/>
          <c:showPercent val="0"/>
          <c:showBubbleSize val="0"/>
        </c:dLbls>
        <c:smooth val="0"/>
        <c:axId val="1085104767"/>
        <c:axId val="1085106687"/>
      </c:lineChart>
      <c:catAx>
        <c:axId val="108510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crossAx val="1085106687"/>
        <c:crosses val="autoZero"/>
        <c:auto val="1"/>
        <c:lblAlgn val="ctr"/>
        <c:lblOffset val="100"/>
        <c:noMultiLvlLbl val="0"/>
      </c:catAx>
      <c:valAx>
        <c:axId val="10851066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crossAx val="1085104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latin typeface="Aptos"/>
          <a:ea typeface="Aptos"/>
          <a:cs typeface="Apto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ptos"/>
                <a:ea typeface="Aptos"/>
                <a:cs typeface="Aptos"/>
              </a:defRPr>
            </a:pPr>
            <a:r>
              <a:rPr lang="en-US"/>
              <a:t>Medellín Annual Price Growth by Stratum vs Model Assumption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ptos"/>
              <a:ea typeface="Aptos"/>
              <a:cs typeface="Aptos"/>
            </a:defRPr>
          </a:pPr>
          <a:endParaRPr lang="en-US"/>
        </a:p>
      </c:txPr>
    </c:title>
    <c:autoTitleDeleted val="0"/>
    <c:plotArea>
      <c:layout/>
      <c:barChart>
        <c:barDir val="col"/>
        <c:grouping val="clustered"/>
        <c:varyColors val="0"/>
        <c:ser>
          <c:idx val="0"/>
          <c:order val="0"/>
          <c:tx>
            <c:strRef>
              <c:f>'Medellín Market Data'!$B$61</c:f>
              <c:strCache>
                <c:ptCount val="1"/>
                <c:pt idx="0">
                  <c:v>DANE annual (Q2 2026)</c:v>
                </c:pt>
              </c:strCache>
            </c:strRef>
          </c:tx>
          <c:spPr>
            <a:solidFill>
              <a:srgbClr val="9DC3E6"/>
            </a:solidFill>
            <a:ln>
              <a:noFill/>
            </a:ln>
            <a:effectLst/>
          </c:spPr>
          <c:invertIfNegative val="0"/>
          <c:cat>
            <c:strRef>
              <c:f>'Medellín Market Data'!$C$60:$F$60</c:f>
              <c:strCache>
                <c:ptCount val="4"/>
                <c:pt idx="0">
                  <c:v>Medellín total</c:v>
                </c:pt>
                <c:pt idx="1">
                  <c:v>Estrato bajo</c:v>
                </c:pt>
                <c:pt idx="2">
                  <c:v>Estrato medio</c:v>
                </c:pt>
                <c:pt idx="3">
                  <c:v>Estrato alto (5–6)</c:v>
                </c:pt>
              </c:strCache>
            </c:strRef>
          </c:cat>
          <c:val>
            <c:numRef>
              <c:f>'Medellín Market Data'!$C$61:$F$61</c:f>
              <c:numCache>
                <c:formatCode>0.0%</c:formatCode>
                <c:ptCount val="4"/>
                <c:pt idx="0">
                  <c:v>5.5800000000000002E-2</c:v>
                </c:pt>
                <c:pt idx="1">
                  <c:v>-1.9199999999999998E-2</c:v>
                </c:pt>
                <c:pt idx="2">
                  <c:v>7.4300000000000005E-2</c:v>
                </c:pt>
                <c:pt idx="3">
                  <c:v>6.1800000000000001E-2</c:v>
                </c:pt>
              </c:numCache>
            </c:numRef>
          </c:val>
          <c:extLst>
            <c:ext xmlns:c16="http://schemas.microsoft.com/office/drawing/2014/chart" uri="{C3380CC4-5D6E-409C-BE32-E72D297353CC}">
              <c16:uniqueId val="{00000000-E821-4C37-88E1-39CA1E4D5FF4}"/>
            </c:ext>
          </c:extLst>
        </c:ser>
        <c:ser>
          <c:idx val="1"/>
          <c:order val="1"/>
          <c:tx>
            <c:strRef>
              <c:f>'Medellín Market Data'!$B$62</c:f>
              <c:strCache>
                <c:ptCount val="1"/>
                <c:pt idx="0">
                  <c:v>Model COP appreciation input</c:v>
                </c:pt>
              </c:strCache>
            </c:strRef>
          </c:tx>
          <c:spPr>
            <a:solidFill>
              <a:srgbClr val="1F4E78"/>
            </a:solidFill>
            <a:ln>
              <a:noFill/>
            </a:ln>
            <a:effectLst/>
          </c:spPr>
          <c:invertIfNegative val="0"/>
          <c:cat>
            <c:strRef>
              <c:f>'Medellín Market Data'!$C$60:$F$60</c:f>
              <c:strCache>
                <c:ptCount val="4"/>
                <c:pt idx="0">
                  <c:v>Medellín total</c:v>
                </c:pt>
                <c:pt idx="1">
                  <c:v>Estrato bajo</c:v>
                </c:pt>
                <c:pt idx="2">
                  <c:v>Estrato medio</c:v>
                </c:pt>
                <c:pt idx="3">
                  <c:v>Estrato alto (5–6)</c:v>
                </c:pt>
              </c:strCache>
            </c:strRef>
          </c:cat>
          <c:val>
            <c:numRef>
              <c:f>'Medellín Market Data'!$C$62:$F$62</c:f>
              <c:numCache>
                <c:formatCode>0.0%</c:formatCode>
                <c:ptCount val="4"/>
                <c:pt idx="0">
                  <c:v>7.8087751371115163E-2</c:v>
                </c:pt>
                <c:pt idx="1">
                  <c:v>7.8087751371115163E-2</c:v>
                </c:pt>
                <c:pt idx="2">
                  <c:v>7.8087751371115163E-2</c:v>
                </c:pt>
                <c:pt idx="3">
                  <c:v>7.8087751371115163E-2</c:v>
                </c:pt>
              </c:numCache>
            </c:numRef>
          </c:val>
          <c:extLst>
            <c:ext xmlns:c16="http://schemas.microsoft.com/office/drawing/2014/chart" uri="{C3380CC4-5D6E-409C-BE32-E72D297353CC}">
              <c16:uniqueId val="{00000001-E821-4C37-88E1-39CA1E4D5FF4}"/>
            </c:ext>
          </c:extLst>
        </c:ser>
        <c:dLbls>
          <c:showLegendKey val="0"/>
          <c:showVal val="0"/>
          <c:showCatName val="0"/>
          <c:showSerName val="0"/>
          <c:showPercent val="0"/>
          <c:showBubbleSize val="0"/>
        </c:dLbls>
        <c:gapWidth val="219"/>
        <c:overlap val="-27"/>
        <c:axId val="1163553952"/>
        <c:axId val="1163554432"/>
      </c:barChart>
      <c:catAx>
        <c:axId val="116355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crossAx val="1163554432"/>
        <c:crosses val="autoZero"/>
        <c:auto val="1"/>
        <c:lblAlgn val="ctr"/>
        <c:lblOffset val="100"/>
        <c:noMultiLvlLbl val="0"/>
      </c:catAx>
      <c:valAx>
        <c:axId val="1163554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crossAx val="1163553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a:ea typeface="Aptos"/>
              <a:cs typeface="Apto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latin typeface="Aptos"/>
          <a:ea typeface="Aptos"/>
          <a:cs typeface="Apto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2.tmp"/></Relationships>
</file>

<file path=xl/drawings/drawing1.xml><?xml version="1.0" encoding="utf-8"?>
<xdr:wsDr xmlns:xdr="http://schemas.openxmlformats.org/drawingml/2006/spreadsheetDrawing" xmlns:a="http://schemas.openxmlformats.org/drawingml/2006/main">
  <xdr:twoCellAnchor editAs="oneCell">
    <xdr:from>
      <xdr:col>5</xdr:col>
      <xdr:colOff>560916</xdr:colOff>
      <xdr:row>1</xdr:row>
      <xdr:rowOff>63500</xdr:rowOff>
    </xdr:from>
    <xdr:to>
      <xdr:col>5</xdr:col>
      <xdr:colOff>1285239</xdr:colOff>
      <xdr:row>3</xdr:row>
      <xdr:rowOff>127000</xdr:rowOff>
    </xdr:to>
    <xdr:pic>
      <xdr:nvPicPr>
        <xdr:cNvPr id="2" name="Logo KIT Capital">
          <a:extLst>
            <a:ext uri="{FF2B5EF4-FFF2-40B4-BE49-F238E27FC236}">
              <a16:creationId xmlns:a16="http://schemas.microsoft.com/office/drawing/2014/main" id="{DD72C05E-DF17-5837-4773-94B9A023405F}"/>
            </a:ext>
          </a:extLst>
        </xdr:cNvPr>
        <xdr:cNvPicPr>
          <a:picLocks noChangeAspect="1"/>
        </xdr:cNvPicPr>
      </xdr:nvPicPr>
      <xdr:blipFill>
        <a:blip xmlns:r="http://schemas.openxmlformats.org/officeDocument/2006/relationships" r:embed="rId1"/>
        <a:stretch>
          <a:fillRect/>
        </a:stretch>
      </xdr:blipFill>
      <xdr:spPr>
        <a:xfrm>
          <a:off x="12272856" y="520700"/>
          <a:ext cx="724323" cy="749300"/>
        </a:xfrm>
        <a:prstGeom prst="rect">
          <a:avLst/>
        </a:prstGeom>
      </xdr:spPr>
    </xdr:pic>
    <xdr:clientData/>
  </xdr:twoCellAnchor>
  <xdr:twoCellAnchor editAs="oneCell">
    <xdr:from>
      <xdr:col>4</xdr:col>
      <xdr:colOff>1010496</xdr:colOff>
      <xdr:row>1</xdr:row>
      <xdr:rowOff>63500</xdr:rowOff>
    </xdr:from>
    <xdr:to>
      <xdr:col>5</xdr:col>
      <xdr:colOff>357716</xdr:colOff>
      <xdr:row>3</xdr:row>
      <xdr:rowOff>127000</xdr:rowOff>
    </xdr:to>
    <xdr:pic>
      <xdr:nvPicPr>
        <xdr:cNvPr id="3" name="Logo Lola &amp; Ber">
          <a:extLst>
            <a:ext uri="{FF2B5EF4-FFF2-40B4-BE49-F238E27FC236}">
              <a16:creationId xmlns:a16="http://schemas.microsoft.com/office/drawing/2014/main" id="{8E3188D6-2D67-42E2-4D7C-1DA299C9D905}"/>
            </a:ext>
          </a:extLst>
        </xdr:cNvPr>
        <xdr:cNvPicPr>
          <a:picLocks noChangeAspect="1"/>
        </xdr:cNvPicPr>
      </xdr:nvPicPr>
      <xdr:blipFill>
        <a:blip xmlns:r="http://schemas.openxmlformats.org/officeDocument/2006/relationships" r:embed="rId2"/>
        <a:stretch>
          <a:fillRect/>
        </a:stretch>
      </xdr:blipFill>
      <xdr:spPr>
        <a:xfrm>
          <a:off x="11320356" y="520700"/>
          <a:ext cx="749300" cy="749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1254760</xdr:colOff>
      <xdr:row>63</xdr:row>
      <xdr:rowOff>119380</xdr:rowOff>
    </xdr:from>
    <xdr:to>
      <xdr:col>5</xdr:col>
      <xdr:colOff>1503680</xdr:colOff>
      <xdr:row>69</xdr:row>
      <xdr:rowOff>312420</xdr:rowOff>
    </xdr:to>
    <xdr:graphicFrame macro="">
      <xdr:nvGraphicFramePr>
        <xdr:cNvPr id="3" name="Chart 2">
          <a:extLst>
            <a:ext uri="{FF2B5EF4-FFF2-40B4-BE49-F238E27FC236}">
              <a16:creationId xmlns:a16="http://schemas.microsoft.com/office/drawing/2014/main" id="{29F3D35F-D657-B2E9-905D-6ABF953FC4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1254760</xdr:colOff>
      <xdr:row>50</xdr:row>
      <xdr:rowOff>106680</xdr:rowOff>
    </xdr:from>
    <xdr:to>
      <xdr:col>5</xdr:col>
      <xdr:colOff>1503680</xdr:colOff>
      <xdr:row>57</xdr:row>
      <xdr:rowOff>78740</xdr:rowOff>
    </xdr:to>
    <xdr:graphicFrame macro="">
      <xdr:nvGraphicFramePr>
        <xdr:cNvPr id="4" name="Chart 3">
          <a:extLst>
            <a:ext uri="{FF2B5EF4-FFF2-40B4-BE49-F238E27FC236}">
              <a16:creationId xmlns:a16="http://schemas.microsoft.com/office/drawing/2014/main" id="{EAF003E8-819D-9D90-52BE-C64CB30E4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1254760</xdr:colOff>
      <xdr:row>37</xdr:row>
      <xdr:rowOff>83820</xdr:rowOff>
    </xdr:from>
    <xdr:to>
      <xdr:col>5</xdr:col>
      <xdr:colOff>1503680</xdr:colOff>
      <xdr:row>44</xdr:row>
      <xdr:rowOff>162560</xdr:rowOff>
    </xdr:to>
    <xdr:graphicFrame macro="">
      <xdr:nvGraphicFramePr>
        <xdr:cNvPr id="5" name="Chart 4">
          <a:extLst>
            <a:ext uri="{FF2B5EF4-FFF2-40B4-BE49-F238E27FC236}">
              <a16:creationId xmlns:a16="http://schemas.microsoft.com/office/drawing/2014/main" id="{5316EF10-7C25-09D5-DFA6-2F34CE537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1254760</xdr:colOff>
      <xdr:row>28</xdr:row>
      <xdr:rowOff>256540</xdr:rowOff>
    </xdr:from>
    <xdr:to>
      <xdr:col>5</xdr:col>
      <xdr:colOff>1503680</xdr:colOff>
      <xdr:row>34</xdr:row>
      <xdr:rowOff>251460</xdr:rowOff>
    </xdr:to>
    <xdr:graphicFrame macro="">
      <xdr:nvGraphicFramePr>
        <xdr:cNvPr id="8" name="IRR by Entry Discount">
          <a:extLst>
            <a:ext uri="{FF2B5EF4-FFF2-40B4-BE49-F238E27FC236}">
              <a16:creationId xmlns:a16="http://schemas.microsoft.com/office/drawing/2014/main" id="{2C5F3BF4-03F4-8C5C-A7D4-7E79748688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424180</xdr:colOff>
      <xdr:row>0</xdr:row>
      <xdr:rowOff>127000</xdr:rowOff>
    </xdr:from>
    <xdr:to>
      <xdr:col>23</xdr:col>
      <xdr:colOff>373380</xdr:colOff>
      <xdr:row>14</xdr:row>
      <xdr:rowOff>30480</xdr:rowOff>
    </xdr:to>
    <xdr:graphicFrame macro="">
      <xdr:nvGraphicFramePr>
        <xdr:cNvPr id="2" name="IPVN National Annual">
          <a:extLst>
            <a:ext uri="{FF2B5EF4-FFF2-40B4-BE49-F238E27FC236}">
              <a16:creationId xmlns:a16="http://schemas.microsoft.com/office/drawing/2014/main" id="{9B5404BF-A344-46F9-7DFF-1F1EEA220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424180</xdr:colOff>
      <xdr:row>15</xdr:row>
      <xdr:rowOff>55880</xdr:rowOff>
    </xdr:from>
    <xdr:to>
      <xdr:col>23</xdr:col>
      <xdr:colOff>373380</xdr:colOff>
      <xdr:row>29</xdr:row>
      <xdr:rowOff>5080</xdr:rowOff>
    </xdr:to>
    <xdr:graphicFrame macro="">
      <xdr:nvGraphicFramePr>
        <xdr:cNvPr id="3" name="Medellin Stratum vs Model">
          <a:extLst>
            <a:ext uri="{FF2B5EF4-FFF2-40B4-BE49-F238E27FC236}">
              <a16:creationId xmlns:a16="http://schemas.microsoft.com/office/drawing/2014/main" id="{DD287057-E3ED-FA34-8DB7-4C8672D6E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6362700</xdr:colOff>
      <xdr:row>0</xdr:row>
      <xdr:rowOff>50800</xdr:rowOff>
    </xdr:from>
    <xdr:to>
      <xdr:col>2</xdr:col>
      <xdr:colOff>7007860</xdr:colOff>
      <xdr:row>2</xdr:row>
      <xdr:rowOff>132080</xdr:rowOff>
    </xdr:to>
    <xdr:pic>
      <xdr:nvPicPr>
        <xdr:cNvPr id="2" name="Logo Lola &amp; Ber">
          <a:extLst>
            <a:ext uri="{FF2B5EF4-FFF2-40B4-BE49-F238E27FC236}">
              <a16:creationId xmlns:a16="http://schemas.microsoft.com/office/drawing/2014/main" id="{4B08BFB5-BC9E-15C6-188F-73739205DC09}"/>
            </a:ext>
          </a:extLst>
        </xdr:cNvPr>
        <xdr:cNvPicPr>
          <a:picLocks noChangeAspect="1"/>
        </xdr:cNvPicPr>
      </xdr:nvPicPr>
      <xdr:blipFill>
        <a:blip xmlns:r="http://schemas.openxmlformats.org/officeDocument/2006/relationships" r:embed="rId1"/>
        <a:stretch>
          <a:fillRect/>
        </a:stretch>
      </xdr:blipFill>
      <xdr:spPr>
        <a:xfrm>
          <a:off x="8953500" y="50800"/>
          <a:ext cx="645160" cy="6451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4212D5C-3E52-4E9E-BC27-EEA749D04F31}">
  <we:reference id="wa200009404" version="1.0.0.8" store="en-US" storeType="OMEX"/>
  <we:alternateReferences>
    <we:reference id="WA200009404" version="1.0.0.8" store="" storeType="OMEX"/>
  </we:alternateReferences>
  <we:properties>
    <we:property name="claude.fileId" value="&quot;7cc3304a-ff10-45a1-9dfe-7ddf93487712&quot;"/>
  </we:properties>
  <we:bindings/>
  <we:snapshot xmlns:r="http://schemas.openxmlformats.org/officeDocument/2006/relationships"/>
</we:webextension>
</file>

<file path=xl/webextensions/webextension2.xml><?xml version="1.0" encoding="utf-8"?>
<we:webextension xmlns:we="http://schemas.microsoft.com/office/webextensions/webextension/2010/11" id="{51C9AE5E-99AE-4134-8F93-24A79E89BA5D}">
  <we:reference id="wa200010725" version="1.0.0.1" store="en-US" storeType="OMEX"/>
  <we:alternateReferences>
    <we:reference id="WA200010725" version="1.0.0.1" store="" storeType="OMEX"/>
  </we:alternateReferences>
  <we:properties>
    <we:property name="claude.fileId" value="&quot;44d8dc60-cf78-4770-a18b-4abd44929c2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8" Type="http://schemas.openxmlformats.org/officeDocument/2006/relationships/hyperlink" Target="https://drive.google.com/drive/folders/1t5qxT-8HITSm7nZ4CHsmAiOKvcI5fFke" TargetMode="External"/><Relationship Id="rId13" Type="http://schemas.openxmlformats.org/officeDocument/2006/relationships/comments" Target="../comments2.xml"/><Relationship Id="rId3" Type="http://schemas.openxmlformats.org/officeDocument/2006/relationships/hyperlink" Target="https://share.google/4Iq3K5FqfGfAsYK1y" TargetMode="External"/><Relationship Id="rId7" Type="http://schemas.openxmlformats.org/officeDocument/2006/relationships/hyperlink" Target="https://drive.google.com/drive/folders/1t5qxT-8HITSm7nZ4CHsmAiOKvcI5fFke" TargetMode="External"/><Relationship Id="rId12" Type="http://schemas.openxmlformats.org/officeDocument/2006/relationships/vmlDrawing" Target="../drawings/vmlDrawing2.vml"/><Relationship Id="rId2" Type="http://schemas.openxmlformats.org/officeDocument/2006/relationships/hyperlink" Target="https://share.google/6ObWJB6woSN0suwpS" TargetMode="External"/><Relationship Id="rId1" Type="http://schemas.openxmlformats.org/officeDocument/2006/relationships/hyperlink" Target="https://share.google/s35ukjLejdqT3LUfz" TargetMode="External"/><Relationship Id="rId6" Type="http://schemas.openxmlformats.org/officeDocument/2006/relationships/hyperlink" Target="https://drive.google.com/drive/folders/1t5qxT-8HITSm7nZ4CHsmAiOKvcI5fFke" TargetMode="External"/><Relationship Id="rId11" Type="http://schemas.openxmlformats.org/officeDocument/2006/relationships/printerSettings" Target="../printerSettings/printerSettings10.bin"/><Relationship Id="rId5" Type="http://schemas.openxmlformats.org/officeDocument/2006/relationships/hyperlink" Target="https://share.google/jrmm2UAK0iCF3GT7J" TargetMode="External"/><Relationship Id="rId10" Type="http://schemas.openxmlformats.org/officeDocument/2006/relationships/hyperlink" Target="https://drive.google.com/file/d/1O7c7lJZkvG0cNIoa7NBzS8MQdI-V4WNO/view" TargetMode="External"/><Relationship Id="rId4" Type="http://schemas.openxmlformats.org/officeDocument/2006/relationships/hyperlink" Target="https://www.waze.com/live-map/directions?to=ll.6.089237%2C-75.465581" TargetMode="External"/><Relationship Id="rId9" Type="http://schemas.openxmlformats.org/officeDocument/2006/relationships/hyperlink" Target="https://drive.google.com/drive/folders/10uvJxPF6D0AXliuWfeoqlCaeNzzSryiH"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67775-51BE-43F6-BC45-C3185616CC58}">
  <sheetPr>
    <tabColor rgb="FF132E57"/>
    <pageSetUpPr fitToPage="1"/>
  </sheetPr>
  <dimension ref="A1:J29"/>
  <sheetViews>
    <sheetView showGridLines="0" workbookViewId="0">
      <selection activeCell="F1" sqref="F1"/>
    </sheetView>
  </sheetViews>
  <sheetFormatPr defaultRowHeight="14.4" x14ac:dyDescent="0.3"/>
  <cols>
    <col min="1" max="1" width="4.109375" customWidth="1"/>
    <col min="2" max="2" width="61.109375" customWidth="1"/>
    <col min="3" max="4" width="42.5546875" customWidth="1"/>
    <col min="5" max="5" width="20.44140625" customWidth="1"/>
    <col min="6" max="6" width="20.21875" customWidth="1"/>
  </cols>
  <sheetData>
    <row r="1" spans="1:10" ht="36" customHeight="1" x14ac:dyDescent="0.3">
      <c r="A1" s="59"/>
      <c r="B1" s="59"/>
      <c r="C1" s="59"/>
      <c r="D1" s="59"/>
      <c r="E1" s="60"/>
      <c r="F1" s="211"/>
    </row>
    <row r="2" spans="1:10" ht="36.450000000000003" customHeight="1" x14ac:dyDescent="0.3">
      <c r="A2" s="1"/>
      <c r="B2" s="8" t="s">
        <v>247</v>
      </c>
      <c r="C2" s="9"/>
      <c r="D2" s="9"/>
      <c r="E2" s="9"/>
    </row>
    <row r="3" spans="1:10" ht="18" customHeight="1" x14ac:dyDescent="0.3">
      <c r="A3" s="1"/>
      <c r="B3" s="158" t="s">
        <v>248</v>
      </c>
      <c r="C3" s="9"/>
      <c r="D3" s="9"/>
      <c r="E3" s="9"/>
    </row>
    <row r="4" spans="1:10" ht="19.95" customHeight="1" x14ac:dyDescent="0.3">
      <c r="A4" s="1"/>
      <c r="B4" s="524" t="str">
        <f>TEXT(Input!$C$57,"0")&amp;"-year buy · remodel · rent · sell fund · USD · TRM COP "&amp;TEXT(Input!$C$5,"#,##0")&amp;" per USD (reference) · Model start "&amp;TEXT(Input!$C$7,"mmm yyyy")</f>
        <v>4-year buy · remodel · rent · sell fund · USD · TRM COP 3,090 per USD (reference) · Model start Oct 2026</v>
      </c>
      <c r="C4" s="524"/>
      <c r="D4" s="524"/>
      <c r="E4" s="524"/>
    </row>
    <row r="5" spans="1:10" ht="22.05" customHeight="1" x14ac:dyDescent="0.35">
      <c r="A5" s="41"/>
      <c r="B5" s="41" t="s">
        <v>249</v>
      </c>
      <c r="C5" s="41"/>
      <c r="D5" s="41"/>
      <c r="E5" s="41"/>
      <c r="F5" s="39"/>
      <c r="G5" s="212"/>
      <c r="H5" s="212"/>
      <c r="I5" s="212"/>
      <c r="J5" s="212"/>
    </row>
    <row r="6" spans="1:10" ht="18" customHeight="1" x14ac:dyDescent="0.3">
      <c r="B6" s="159" t="s">
        <v>1524</v>
      </c>
    </row>
    <row r="7" spans="1:10" ht="18" customHeight="1" x14ac:dyDescent="0.3">
      <c r="A7" s="1"/>
      <c r="B7" s="10" t="s">
        <v>815</v>
      </c>
      <c r="D7" s="9"/>
      <c r="E7" s="9"/>
    </row>
    <row r="8" spans="1:10" ht="18" customHeight="1" x14ac:dyDescent="0.3">
      <c r="A8" s="1"/>
      <c r="B8" s="10" t="s">
        <v>814</v>
      </c>
      <c r="D8" s="9"/>
      <c r="E8" s="9"/>
    </row>
    <row r="9" spans="1:10" ht="18" customHeight="1" x14ac:dyDescent="0.3">
      <c r="A9" s="1"/>
      <c r="B9" s="10" t="s">
        <v>443</v>
      </c>
      <c r="D9" s="9"/>
      <c r="E9" s="9"/>
    </row>
    <row r="10" spans="1:10" ht="18" customHeight="1" x14ac:dyDescent="0.3">
      <c r="A10" s="1"/>
      <c r="B10" s="10" t="s">
        <v>444</v>
      </c>
      <c r="D10" s="9"/>
      <c r="E10" s="9"/>
    </row>
    <row r="11" spans="1:10" ht="18" customHeight="1" x14ac:dyDescent="0.3">
      <c r="A11" s="1"/>
      <c r="B11" s="85" t="s">
        <v>250</v>
      </c>
    </row>
    <row r="12" spans="1:10" ht="22.05" customHeight="1" x14ac:dyDescent="0.35">
      <c r="A12" s="41"/>
      <c r="B12" s="41" t="s">
        <v>251</v>
      </c>
      <c r="C12" s="41"/>
      <c r="D12" s="41"/>
      <c r="E12" s="41"/>
      <c r="F12" s="39"/>
      <c r="G12" s="212"/>
      <c r="H12" s="212"/>
      <c r="I12" s="212"/>
      <c r="J12" s="212"/>
    </row>
    <row r="13" spans="1:10" ht="7.95" customHeight="1" x14ac:dyDescent="0.3"/>
    <row r="14" spans="1:10" ht="34.049999999999997" customHeight="1" x14ac:dyDescent="0.3">
      <c r="B14" s="11" t="s">
        <v>1502</v>
      </c>
      <c r="C14" s="527" t="s">
        <v>1503</v>
      </c>
      <c r="D14" s="527"/>
      <c r="E14" s="527"/>
      <c r="F14" s="527"/>
      <c r="G14" s="12"/>
      <c r="H14" s="12"/>
    </row>
    <row r="15" spans="1:10" ht="34.049999999999997" customHeight="1" x14ac:dyDescent="0.3">
      <c r="A15" s="1"/>
      <c r="B15" s="11" t="s">
        <v>816</v>
      </c>
      <c r="C15" s="527" t="s">
        <v>1504</v>
      </c>
      <c r="D15" s="527"/>
      <c r="E15" s="527"/>
      <c r="F15" s="527"/>
      <c r="G15" s="12"/>
      <c r="H15" s="12"/>
    </row>
    <row r="16" spans="1:10" ht="37.049999999999997" customHeight="1" x14ac:dyDescent="0.3">
      <c r="A16" s="1"/>
      <c r="B16" s="11" t="s">
        <v>1505</v>
      </c>
      <c r="C16" s="527" t="s">
        <v>1506</v>
      </c>
      <c r="D16" s="527"/>
      <c r="E16" s="527"/>
      <c r="F16" s="527"/>
      <c r="G16" s="12"/>
      <c r="H16" s="12"/>
    </row>
    <row r="17" spans="1:10" ht="34.049999999999997" customHeight="1" x14ac:dyDescent="0.3">
      <c r="A17" s="1"/>
      <c r="B17" s="157" t="s">
        <v>1014</v>
      </c>
      <c r="C17" s="528" t="s">
        <v>1507</v>
      </c>
      <c r="D17" s="528"/>
      <c r="E17" s="528"/>
      <c r="F17" s="528"/>
      <c r="G17" s="139"/>
      <c r="H17" s="139"/>
      <c r="I17" s="139"/>
      <c r="J17" s="139"/>
    </row>
    <row r="18" spans="1:10" ht="22.5" customHeight="1" x14ac:dyDescent="0.3">
      <c r="A18" s="1"/>
      <c r="B18" s="11" t="s">
        <v>354</v>
      </c>
      <c r="C18" s="527" t="s">
        <v>1508</v>
      </c>
      <c r="D18" s="527"/>
      <c r="E18" s="527"/>
      <c r="F18" s="527"/>
      <c r="G18" s="12"/>
      <c r="H18" s="12"/>
    </row>
    <row r="19" spans="1:10" ht="37.049999999999997" customHeight="1" x14ac:dyDescent="0.3">
      <c r="A19" s="1"/>
      <c r="B19" s="11" t="s">
        <v>324</v>
      </c>
      <c r="C19" s="527" t="s">
        <v>1509</v>
      </c>
      <c r="D19" s="527"/>
      <c r="E19" s="527"/>
      <c r="F19" s="527"/>
      <c r="G19" s="12"/>
      <c r="H19" s="12"/>
    </row>
    <row r="20" spans="1:10" ht="22.5" customHeight="1" x14ac:dyDescent="0.3">
      <c r="A20" s="1"/>
      <c r="B20" s="11" t="s">
        <v>325</v>
      </c>
      <c r="C20" s="527" t="s">
        <v>1510</v>
      </c>
      <c r="D20" s="527"/>
      <c r="E20" s="527"/>
      <c r="F20" s="527"/>
      <c r="G20" s="12"/>
      <c r="H20" s="12"/>
    </row>
    <row r="21" spans="1:10" ht="37.049999999999997" customHeight="1" x14ac:dyDescent="0.3">
      <c r="A21" s="1"/>
      <c r="B21" s="11" t="s">
        <v>1511</v>
      </c>
      <c r="C21" s="527" t="s">
        <v>1512</v>
      </c>
      <c r="D21" s="527"/>
      <c r="E21" s="527"/>
      <c r="F21" s="527"/>
      <c r="G21" s="12"/>
      <c r="H21" s="12"/>
    </row>
    <row r="22" spans="1:10" ht="22.5" customHeight="1" x14ac:dyDescent="0.3">
      <c r="A22" s="1"/>
      <c r="B22" s="11" t="s">
        <v>1513</v>
      </c>
      <c r="C22" s="527" t="s">
        <v>1514</v>
      </c>
      <c r="D22" s="527"/>
      <c r="E22" s="527"/>
      <c r="F22" s="527"/>
      <c r="G22" s="12"/>
      <c r="H22" s="12"/>
    </row>
    <row r="23" spans="1:10" ht="22.5" customHeight="1" x14ac:dyDescent="0.3">
      <c r="A23" s="1"/>
      <c r="B23" s="11" t="s">
        <v>252</v>
      </c>
      <c r="C23" s="527" t="s">
        <v>1515</v>
      </c>
      <c r="D23" s="527"/>
      <c r="E23" s="527"/>
      <c r="F23" s="527"/>
      <c r="G23" s="12"/>
      <c r="H23" s="12"/>
    </row>
    <row r="24" spans="1:10" ht="37.049999999999997" customHeight="1" x14ac:dyDescent="0.3">
      <c r="A24" s="1"/>
      <c r="B24" s="223" t="s">
        <v>678</v>
      </c>
      <c r="C24" s="526" t="s">
        <v>1516</v>
      </c>
      <c r="D24" s="526"/>
      <c r="E24" s="526"/>
      <c r="F24" s="526"/>
      <c r="G24" s="224"/>
      <c r="H24" s="224"/>
    </row>
    <row r="25" spans="1:10" ht="37.049999999999997" customHeight="1" x14ac:dyDescent="0.3">
      <c r="A25" s="1"/>
      <c r="B25" s="223" t="s">
        <v>1517</v>
      </c>
      <c r="C25" s="526" t="s">
        <v>1518</v>
      </c>
      <c r="D25" s="526"/>
      <c r="E25" s="526"/>
      <c r="F25" s="526"/>
      <c r="G25" s="224"/>
      <c r="H25" s="224"/>
    </row>
    <row r="26" spans="1:10" ht="37.049999999999997" customHeight="1" x14ac:dyDescent="0.3">
      <c r="A26" s="1"/>
      <c r="B26" s="223" t="s">
        <v>817</v>
      </c>
      <c r="C26" s="526" t="s">
        <v>1519</v>
      </c>
      <c r="D26" s="526"/>
      <c r="E26" s="526"/>
      <c r="F26" s="526"/>
      <c r="G26" s="224"/>
      <c r="H26" s="224"/>
    </row>
    <row r="27" spans="1:10" ht="22.05" customHeight="1" x14ac:dyDescent="0.35">
      <c r="A27" s="41"/>
      <c r="B27" s="41" t="s">
        <v>253</v>
      </c>
      <c r="C27" s="41"/>
      <c r="D27" s="41"/>
      <c r="E27" s="41"/>
      <c r="F27" s="39"/>
      <c r="G27" s="212"/>
      <c r="H27" s="212"/>
      <c r="I27" s="212"/>
      <c r="J27" s="212"/>
    </row>
    <row r="29" spans="1:10" ht="34.049999999999997" customHeight="1" x14ac:dyDescent="0.3">
      <c r="A29" s="1"/>
      <c r="B29" s="525" t="s">
        <v>254</v>
      </c>
      <c r="C29" s="525"/>
      <c r="D29" s="525"/>
      <c r="E29" s="525"/>
    </row>
  </sheetData>
  <mergeCells count="15">
    <mergeCell ref="B4:E4"/>
    <mergeCell ref="B29:E29"/>
    <mergeCell ref="C24:F24"/>
    <mergeCell ref="C25:F25"/>
    <mergeCell ref="C26:F26"/>
    <mergeCell ref="C19:F19"/>
    <mergeCell ref="C20:F20"/>
    <mergeCell ref="C21:F21"/>
    <mergeCell ref="C22:F22"/>
    <mergeCell ref="C23:F23"/>
    <mergeCell ref="C14:F14"/>
    <mergeCell ref="C15:F15"/>
    <mergeCell ref="C16:F16"/>
    <mergeCell ref="C17:F17"/>
    <mergeCell ref="C18:F18"/>
  </mergeCells>
  <pageMargins left="0.7" right="0.7" top="0.75" bottom="0.75" header="0.3" footer="0.3"/>
  <pageSetup scale="61"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049FC-370A-410C-BAA9-54D48211AE69}">
  <sheetPr>
    <tabColor rgb="FF132E57"/>
    <pageSetUpPr fitToPage="1"/>
  </sheetPr>
  <dimension ref="A1:I96"/>
  <sheetViews>
    <sheetView showGridLines="0" workbookViewId="0">
      <selection activeCell="N46" sqref="N46"/>
    </sheetView>
  </sheetViews>
  <sheetFormatPr defaultRowHeight="14.4" outlineLevelRow="2" x14ac:dyDescent="0.3"/>
  <cols>
    <col min="1" max="1" width="4.109375" customWidth="1"/>
    <col min="2" max="2" width="51.88671875" customWidth="1"/>
    <col min="3" max="3" width="27.77734375" customWidth="1"/>
    <col min="4" max="4" width="22.21875" customWidth="1"/>
    <col min="5" max="5" width="35.21875" customWidth="1"/>
    <col min="6" max="6" width="24.109375" customWidth="1"/>
    <col min="7" max="9" width="20.33203125" customWidth="1"/>
  </cols>
  <sheetData>
    <row r="1" spans="1:9" ht="36" customHeight="1" x14ac:dyDescent="0.3">
      <c r="A1" s="54"/>
      <c r="B1" s="213" t="s">
        <v>319</v>
      </c>
      <c r="C1" s="55"/>
      <c r="D1" s="55"/>
      <c r="E1" s="55"/>
      <c r="F1" s="55"/>
      <c r="G1" s="388" t="str">
        <f>Input!$C$146</f>
        <v>ALL CHECKS PASS</v>
      </c>
      <c r="H1" s="56"/>
    </row>
    <row r="2" spans="1:9" ht="23.55" customHeight="1" x14ac:dyDescent="0.3">
      <c r="A2" s="6"/>
      <c r="B2" s="87" t="str">
        <f>TEXT(Input!$C$57,"0")&amp;"-year program (through final exit) · USD · TRM COP "&amp;TEXT(Input!$C$5,"#,##0")&amp;" per USD · Model start "&amp;TEXT(Input!$C$7,"mmm yyyy")</f>
        <v>4-year program (through final exit) · USD · TRM COP 3,090 per USD · Model start Oct 2026</v>
      </c>
      <c r="C2" s="9"/>
      <c r="D2" s="9"/>
      <c r="F2" s="17"/>
      <c r="G2" s="17"/>
      <c r="H2" s="56"/>
    </row>
    <row r="3" spans="1:9" ht="7.95" customHeight="1" x14ac:dyDescent="0.3">
      <c r="A3" s="6"/>
      <c r="B3" s="9"/>
      <c r="C3" s="9"/>
      <c r="D3" s="9"/>
      <c r="H3" s="56"/>
    </row>
    <row r="4" spans="1:9" ht="22.05" customHeight="1" x14ac:dyDescent="0.3">
      <c r="A4" s="147"/>
      <c r="B4" s="51" t="s">
        <v>1324</v>
      </c>
      <c r="C4" s="50"/>
      <c r="D4" s="50"/>
      <c r="E4" s="50"/>
      <c r="F4" s="50"/>
      <c r="G4" s="50"/>
      <c r="H4" s="9"/>
      <c r="I4" s="13"/>
    </row>
    <row r="5" spans="1:9" ht="25.95" customHeight="1" x14ac:dyDescent="0.3">
      <c r="A5" s="52"/>
      <c r="B5" s="389" t="s">
        <v>1325</v>
      </c>
      <c r="C5" s="487">
        <f>'Investor Return'!$C$22</f>
        <v>0.15722407698631283</v>
      </c>
      <c r="D5" s="390"/>
      <c r="E5" s="391" t="s">
        <v>1326</v>
      </c>
      <c r="F5" s="392"/>
      <c r="G5" s="393">
        <f>'Investor Return'!$C$21</f>
        <v>1.4355299643519444</v>
      </c>
      <c r="H5" s="9"/>
      <c r="I5" s="13"/>
    </row>
    <row r="6" spans="1:9" ht="25.95" customHeight="1" x14ac:dyDescent="0.3">
      <c r="A6" s="52"/>
      <c r="B6" s="389" t="s">
        <v>1327</v>
      </c>
      <c r="C6" s="481">
        <f>'Investor Return'!$C$20</f>
        <v>2926674.3595730551</v>
      </c>
      <c r="D6" s="390"/>
      <c r="E6" s="391" t="s">
        <v>1328</v>
      </c>
      <c r="F6" s="392"/>
      <c r="G6" s="481">
        <f>'Investor Return'!$C$19</f>
        <v>9646474.6009361483</v>
      </c>
      <c r="H6" s="9"/>
      <c r="I6" s="13"/>
    </row>
    <row r="7" spans="1:9" ht="25.95" customHeight="1" x14ac:dyDescent="0.3">
      <c r="A7" s="52"/>
      <c r="B7" s="389" t="s">
        <v>1204</v>
      </c>
      <c r="C7" s="481">
        <f>'Investor Return'!$C$16</f>
        <v>6719800.2413630933</v>
      </c>
      <c r="D7" s="390"/>
      <c r="E7" s="391" t="s">
        <v>124</v>
      </c>
      <c r="F7" s="392"/>
      <c r="G7" s="488">
        <f>'Investor Return'!$C$23</f>
        <v>4</v>
      </c>
      <c r="H7" s="9"/>
      <c r="I7" s="13"/>
    </row>
    <row r="8" spans="1:9" ht="25.95" customHeight="1" x14ac:dyDescent="0.3">
      <c r="A8" s="52"/>
      <c r="B8" s="389" t="s">
        <v>1205</v>
      </c>
      <c r="C8" s="481">
        <f>Input!$C$37</f>
        <v>7000000</v>
      </c>
      <c r="D8" s="390"/>
      <c r="E8" s="391" t="s">
        <v>1188</v>
      </c>
      <c r="F8" s="392"/>
      <c r="G8" s="489">
        <f>Input!$C$57</f>
        <v>4</v>
      </c>
      <c r="H8" s="9"/>
      <c r="I8" s="13"/>
    </row>
    <row r="9" spans="1:9" ht="22.05" customHeight="1" x14ac:dyDescent="0.3">
      <c r="A9" s="147"/>
      <c r="B9" s="51" t="s">
        <v>1381</v>
      </c>
      <c r="C9" s="50"/>
      <c r="D9" s="50"/>
      <c r="E9" s="50"/>
      <c r="F9" s="50"/>
      <c r="G9" s="50"/>
      <c r="H9" s="9"/>
      <c r="I9" s="13"/>
    </row>
    <row r="10" spans="1:9" ht="28.8" customHeight="1" x14ac:dyDescent="0.3">
      <c r="A10" s="52"/>
      <c r="B10" s="389" t="s">
        <v>1386</v>
      </c>
      <c r="C10" s="487">
        <f>Input!$C$50</f>
        <v>0.03</v>
      </c>
      <c r="D10" s="390"/>
      <c r="E10" s="391" t="s">
        <v>1319</v>
      </c>
      <c r="F10" s="392"/>
      <c r="G10" s="487">
        <f>Input!$C$51</f>
        <v>8.9999999999999993E-3</v>
      </c>
      <c r="H10" s="9"/>
      <c r="I10" s="13"/>
    </row>
    <row r="11" spans="1:9" ht="36" customHeight="1" x14ac:dyDescent="0.3">
      <c r="A11" s="52"/>
      <c r="B11" s="389" t="s">
        <v>1392</v>
      </c>
      <c r="C11" s="482" t="s">
        <v>1320</v>
      </c>
      <c r="D11" s="390"/>
      <c r="E11" s="391" t="s">
        <v>1321</v>
      </c>
      <c r="F11" s="392"/>
      <c r="G11" s="482" t="s">
        <v>1322</v>
      </c>
      <c r="H11" s="9"/>
      <c r="I11" s="13"/>
    </row>
    <row r="12" spans="1:9" ht="54" customHeight="1" x14ac:dyDescent="0.3">
      <c r="A12" s="52"/>
      <c r="B12" s="389" t="s">
        <v>1387</v>
      </c>
      <c r="C12" s="482" t="s">
        <v>1374</v>
      </c>
      <c r="D12" s="390"/>
      <c r="E12" s="391" t="s">
        <v>1375</v>
      </c>
      <c r="F12" s="392"/>
      <c r="G12" s="482" t="s">
        <v>1376</v>
      </c>
      <c r="H12" s="9"/>
      <c r="I12" s="13"/>
    </row>
    <row r="13" spans="1:9" ht="22.05" customHeight="1" x14ac:dyDescent="0.3">
      <c r="A13" s="147"/>
      <c r="B13" s="51" t="s">
        <v>1382</v>
      </c>
      <c r="C13" s="50"/>
      <c r="D13" s="50"/>
      <c r="E13" s="50"/>
      <c r="F13" s="50"/>
      <c r="G13" s="50"/>
      <c r="H13" s="9"/>
      <c r="I13" s="13"/>
    </row>
    <row r="14" spans="1:9" ht="22.05" customHeight="1" x14ac:dyDescent="0.3">
      <c r="A14" s="52"/>
      <c r="B14" s="394" t="s">
        <v>1206</v>
      </c>
      <c r="C14" s="483">
        <f>SUMPRODUCT(Properties!$D$6:$D$15,Properties!$P$6:$P$15)</f>
        <v>6571966.0194174759</v>
      </c>
      <c r="D14" s="395"/>
      <c r="E14" s="397" t="s">
        <v>812</v>
      </c>
      <c r="F14" s="396"/>
      <c r="G14" s="398">
        <f>'_IRR Engine'!$Q$17</f>
        <v>0.2081031024456024</v>
      </c>
      <c r="H14" s="9"/>
      <c r="I14" s="13"/>
    </row>
    <row r="15" spans="1:9" ht="22.05" customHeight="1" x14ac:dyDescent="0.3">
      <c r="A15" s="52"/>
      <c r="B15" s="394" t="s">
        <v>269</v>
      </c>
      <c r="C15" s="483">
        <f>SUMPRODUCT(Properties!$D$6:$D$15,Properties!$W$6:$W$15)</f>
        <v>11376910.988620643</v>
      </c>
      <c r="D15" s="395"/>
      <c r="E15" s="397" t="s">
        <v>320</v>
      </c>
      <c r="F15" s="396"/>
      <c r="G15" s="490">
        <f>IFERROR(C15/C14,0)</f>
        <v>1.7311274822490739</v>
      </c>
      <c r="H15" s="9"/>
      <c r="I15" s="13"/>
    </row>
    <row r="16" spans="1:9" ht="22.05" customHeight="1" x14ac:dyDescent="0.3">
      <c r="A16" s="52"/>
      <c r="B16" s="394" t="s">
        <v>270</v>
      </c>
      <c r="C16" s="483">
        <f>SUMPRODUCT(Properties!$D$6:$D$15,Properties!$AC$6:$AC$15)</f>
        <v>4372622.3516355846</v>
      </c>
      <c r="D16" s="395"/>
      <c r="E16" s="397" t="s">
        <v>1207</v>
      </c>
      <c r="F16" s="396"/>
      <c r="G16" s="399">
        <f>SUMPRODUCT(Properties!$D$6:$D$15,Properties!$V$6:$V$15)/SUM(Properties!$D$6:$D$15)</f>
        <v>2.5</v>
      </c>
      <c r="H16" s="9"/>
      <c r="I16" s="13"/>
    </row>
    <row r="17" spans="1:9" ht="22.05" customHeight="1" x14ac:dyDescent="0.3">
      <c r="A17" s="52"/>
      <c r="B17" s="394" t="s">
        <v>1329</v>
      </c>
      <c r="C17" s="483">
        <f>-'Investor Return'!$C$18</f>
        <v>731668.58989326435</v>
      </c>
      <c r="D17" s="395"/>
      <c r="E17" s="397" t="s">
        <v>1208</v>
      </c>
      <c r="F17" s="396"/>
      <c r="G17" s="485" t="str">
        <f>TEXT(SUM(Properties!$D$6:$D$15),"0")&amp;" · "&amp;TEXT(COUNTIF(Properties!$C$6:$C$19,"*Backup*"),"0")</f>
        <v>5 · 4</v>
      </c>
      <c r="H17" s="9"/>
      <c r="I17" s="13"/>
    </row>
    <row r="18" spans="1:9" ht="22.05" customHeight="1" x14ac:dyDescent="0.3">
      <c r="A18" s="147"/>
      <c r="B18" s="51" t="s">
        <v>1383</v>
      </c>
      <c r="C18" s="50"/>
      <c r="D18" s="50"/>
      <c r="E18" s="50"/>
      <c r="F18" s="50"/>
      <c r="G18" s="50"/>
      <c r="H18" s="9"/>
      <c r="I18" s="13"/>
    </row>
    <row r="19" spans="1:9" ht="22.05" customHeight="1" x14ac:dyDescent="0.3">
      <c r="A19" s="52"/>
      <c r="B19" s="394" t="s">
        <v>1193</v>
      </c>
      <c r="C19" s="483">
        <f>SUMPRODUCT(Properties!$D$6:$D$15,Properties!$Y$6:$Y$15)</f>
        <v>307290.90985714283</v>
      </c>
      <c r="D19" s="395"/>
      <c r="E19" s="397" t="s">
        <v>1194</v>
      </c>
      <c r="F19" s="396"/>
      <c r="G19" s="485" t="str">
        <f>TEXT(_xlfn.MINIFS(Input!$J$80:$J$89,Properties!$D$6:$D$15,1),"$#,##0")&amp;"–"&amp;TEXT(_xlfn.MAXIFS(Input!$J$80:$J$89,Properties!$D$6:$D$15,1),"$#,##0")</f>
        <v>$250–$340</v>
      </c>
      <c r="H19" s="9"/>
      <c r="I19" s="13"/>
    </row>
    <row r="20" spans="1:9" ht="22.05" customHeight="1" x14ac:dyDescent="0.3">
      <c r="A20" s="52"/>
      <c r="B20" s="394" t="s">
        <v>1195</v>
      </c>
      <c r="C20" s="483">
        <f>SUM('Income Statement'!$C$7:$L$7)</f>
        <v>643426.98645929841</v>
      </c>
      <c r="D20" s="395"/>
      <c r="E20" s="397" t="s">
        <v>1209</v>
      </c>
      <c r="F20" s="396"/>
      <c r="G20" s="398">
        <f>1-Input!$C$10</f>
        <v>0.6</v>
      </c>
      <c r="H20" s="9"/>
      <c r="I20" s="13"/>
    </row>
    <row r="21" spans="1:9" ht="22.05" customHeight="1" x14ac:dyDescent="0.3">
      <c r="A21" s="52"/>
      <c r="B21" s="394" t="s">
        <v>1196</v>
      </c>
      <c r="C21" s="483">
        <f>SUM('Income Statement'!$C$112:$L$112)</f>
        <v>506698.75183669751</v>
      </c>
      <c r="D21" s="395"/>
      <c r="E21" s="397" t="s">
        <v>1197</v>
      </c>
      <c r="F21" s="396"/>
      <c r="G21" s="398">
        <f>IFERROR(C21/C20,0)</f>
        <v>0.78749999999999998</v>
      </c>
      <c r="H21" s="9"/>
      <c r="I21" s="13"/>
    </row>
    <row r="22" spans="1:9" ht="22.05" customHeight="1" x14ac:dyDescent="0.3">
      <c r="A22" s="52"/>
      <c r="B22" s="394" t="s">
        <v>1198</v>
      </c>
      <c r="C22" s="483">
        <f>SUM('Income Statement'!$C$145:$L$145)</f>
        <v>652369.40741664579</v>
      </c>
      <c r="D22" s="395"/>
      <c r="E22" s="397" t="s">
        <v>1199</v>
      </c>
      <c r="F22" s="396"/>
      <c r="G22" s="485" t="str">
        <f>TEXT(Input!$C$171,"0")&amp;" nights · "&amp;TEXT(Input!$C$170,"$#,##0")</f>
        <v>28 nights · $9,500</v>
      </c>
      <c r="H22" s="9"/>
      <c r="I22" s="13"/>
    </row>
    <row r="23" spans="1:9" ht="22.05" customHeight="1" x14ac:dyDescent="0.3">
      <c r="A23" s="147"/>
      <c r="B23" s="51" t="s">
        <v>1384</v>
      </c>
      <c r="C23" s="50"/>
      <c r="D23" s="50"/>
      <c r="E23" s="50"/>
      <c r="F23" s="50"/>
      <c r="G23" s="50"/>
      <c r="H23" s="9"/>
      <c r="I23" s="13"/>
    </row>
    <row r="24" spans="1:9" ht="22.05" customHeight="1" x14ac:dyDescent="0.3">
      <c r="A24" s="52"/>
      <c r="B24" s="394" t="s">
        <v>1200</v>
      </c>
      <c r="C24" s="483">
        <f>SUM('Income Statement'!$C$152:$L$152)</f>
        <v>568608.74658931501</v>
      </c>
      <c r="D24" s="395"/>
      <c r="E24" s="397" t="s">
        <v>1201</v>
      </c>
      <c r="F24" s="396"/>
      <c r="G24" s="484">
        <f>Input!$C$26</f>
        <v>0.15</v>
      </c>
      <c r="H24" s="9"/>
      <c r="I24" s="13"/>
    </row>
    <row r="25" spans="1:9" ht="22.05" customHeight="1" x14ac:dyDescent="0.3">
      <c r="A25" s="52"/>
      <c r="B25" s="394" t="s">
        <v>1202</v>
      </c>
      <c r="C25" s="483">
        <f>SUMPRODUCT(Properties!$D$6:$D$15,Properties!$AN$6:$AN$15)-SUMPRODUCT(Properties!$D$6:$D$15,Properties!$P$6:$P$15)</f>
        <v>581897.3743734844</v>
      </c>
      <c r="D25" s="395"/>
      <c r="E25" s="397" t="s">
        <v>1203</v>
      </c>
      <c r="F25" s="396"/>
      <c r="G25" s="486">
        <f>Input!$C$28</f>
        <v>3.3500000000000002E-2</v>
      </c>
      <c r="H25" s="9"/>
      <c r="I25" s="13"/>
    </row>
    <row r="26" spans="1:9" ht="22.05" customHeight="1" x14ac:dyDescent="0.3">
      <c r="A26" s="52"/>
      <c r="B26" s="394" t="s">
        <v>1210</v>
      </c>
      <c r="C26" s="483">
        <f>SUM('Income Statement'!$C$106:$L$106)</f>
        <v>8042.8373307412294</v>
      </c>
      <c r="D26" s="395"/>
      <c r="E26" s="397" t="s">
        <v>1211</v>
      </c>
      <c r="F26" s="396"/>
      <c r="G26" s="491">
        <f>Input!$C$5</f>
        <v>3090</v>
      </c>
      <c r="H26" s="9"/>
      <c r="I26" s="13"/>
    </row>
    <row r="27" spans="1:9" ht="10.050000000000001" customHeight="1" x14ac:dyDescent="0.3"/>
    <row r="28" spans="1:9" ht="21" customHeight="1" x14ac:dyDescent="0.3">
      <c r="A28" s="147"/>
      <c r="B28" s="531" t="s">
        <v>1385</v>
      </c>
      <c r="C28" s="531"/>
      <c r="D28" s="531"/>
      <c r="E28" s="531"/>
      <c r="F28" s="531"/>
      <c r="G28" s="531"/>
      <c r="H28" s="531"/>
      <c r="I28" s="531"/>
    </row>
    <row r="29" spans="1:9" ht="24" customHeight="1" x14ac:dyDescent="0.3">
      <c r="A29" s="6"/>
      <c r="D29" s="86"/>
      <c r="E29" s="139"/>
      <c r="F29" s="12"/>
      <c r="G29" s="206"/>
      <c r="H29" s="9"/>
      <c r="I29" s="13"/>
    </row>
    <row r="30" spans="1:9" ht="29.55" customHeight="1" x14ac:dyDescent="0.3">
      <c r="A30" s="6"/>
      <c r="D30" s="9"/>
      <c r="E30" s="9"/>
      <c r="F30" s="9"/>
      <c r="G30" s="9"/>
      <c r="H30" s="9"/>
      <c r="I30" s="13"/>
    </row>
    <row r="31" spans="1:9" ht="29.55" customHeight="1" x14ac:dyDescent="0.3">
      <c r="A31" s="1"/>
      <c r="B31" s="9"/>
      <c r="C31" s="9"/>
      <c r="D31" s="9"/>
      <c r="E31" s="9"/>
      <c r="F31" s="9"/>
      <c r="G31" s="9"/>
      <c r="H31" s="9"/>
      <c r="I31" s="13"/>
    </row>
    <row r="32" spans="1:9" ht="29.55" customHeight="1" x14ac:dyDescent="0.3">
      <c r="A32" s="1"/>
      <c r="B32" s="9"/>
      <c r="C32" s="9"/>
      <c r="D32" s="9"/>
      <c r="E32" s="9"/>
      <c r="F32" s="9"/>
      <c r="G32" s="9"/>
      <c r="H32" s="9"/>
      <c r="I32" s="13"/>
    </row>
    <row r="33" spans="1:9" ht="29.55" customHeight="1" x14ac:dyDescent="0.3">
      <c r="A33" s="1"/>
      <c r="B33" s="9"/>
      <c r="C33" s="9"/>
      <c r="D33" s="9"/>
      <c r="E33" s="9"/>
      <c r="F33" s="9"/>
      <c r="G33" s="9"/>
      <c r="H33" s="9"/>
      <c r="I33" s="13"/>
    </row>
    <row r="34" spans="1:9" ht="29.55" customHeight="1" x14ac:dyDescent="0.3">
      <c r="A34" s="1"/>
      <c r="B34" s="9"/>
      <c r="C34" s="9"/>
      <c r="D34" s="9"/>
      <c r="E34" s="9"/>
      <c r="F34" s="9"/>
      <c r="G34" s="9"/>
      <c r="H34" s="9"/>
      <c r="I34" s="13"/>
    </row>
    <row r="35" spans="1:9" ht="29.55" customHeight="1" x14ac:dyDescent="0.3">
      <c r="A35" s="1"/>
      <c r="B35" s="9"/>
      <c r="C35" s="9"/>
      <c r="D35" s="9"/>
      <c r="E35" s="9"/>
      <c r="F35" s="9"/>
      <c r="G35" s="9"/>
      <c r="H35" s="9"/>
      <c r="I35" s="13"/>
    </row>
    <row r="36" spans="1:9" ht="24" customHeight="1" x14ac:dyDescent="0.3">
      <c r="A36" s="1"/>
      <c r="B36" s="85"/>
      <c r="C36" s="9"/>
      <c r="D36" s="9"/>
      <c r="E36" s="9"/>
      <c r="F36" s="9"/>
      <c r="G36" s="9"/>
      <c r="H36" s="9"/>
      <c r="I36" s="13"/>
    </row>
    <row r="37" spans="1:9" ht="19.95" customHeight="1" x14ac:dyDescent="0.3">
      <c r="A37" s="6"/>
      <c r="B37" s="532" t="str">
        <f>"The "&amp;TEXT(SUM(Properties!$D$6:$D$15),"0")&amp;" active properties carry "&amp;TEXT(SUMPRODUCT(Properties!$D$6:$D$15,Properties!$P$6:$P$15),"$#,##0")&amp;" of all-in cost against "&amp;TEXT(SUMPRODUCT(Properties!$D$6:$D$15,Properties!$W$6:$W$15),"$#,##0")&amp;" of projected exit value — every one exits above cost, at a "&amp;TEXT(SUMPRODUCT(Properties!$D$6:$D$15,Properties!$W$6:$W$15)/SUMPRODUCT(Properties!$D$6:$D$15,Properties!$P$6:$P$15)-1,"0%")&amp;" uplift. "&amp;TEXT(COUNTIF(Properties!$C$6:$C$19,"*Backup*"),"0")&amp;" backup properties stay available as substitutes if a deal does not close."</f>
        <v>The 5 active properties carry $6,571,966 of all-in cost against $11,376,911 of projected exit value — every one exits above cost, at a 73% uplift. 4 backup properties stay available as substitutes if a deal does not close.</v>
      </c>
      <c r="C37" s="532"/>
      <c r="D37" s="532"/>
      <c r="E37" s="532"/>
      <c r="F37" s="532"/>
      <c r="G37" s="532"/>
      <c r="H37" s="532"/>
      <c r="I37" s="532"/>
    </row>
    <row r="38" spans="1:9" ht="29.55" customHeight="1" x14ac:dyDescent="0.3">
      <c r="A38" s="6"/>
      <c r="B38" s="15"/>
      <c r="C38" s="46"/>
      <c r="D38" s="9"/>
      <c r="E38" s="9"/>
      <c r="F38" s="9"/>
      <c r="G38" s="9"/>
      <c r="H38" s="9"/>
      <c r="I38" s="13"/>
    </row>
    <row r="39" spans="1:9" ht="29.55" customHeight="1" x14ac:dyDescent="0.3">
      <c r="A39" s="6"/>
      <c r="B39" s="15"/>
      <c r="C39" s="46"/>
      <c r="D39" s="9"/>
      <c r="E39" s="9"/>
      <c r="F39" s="9"/>
      <c r="G39" s="9"/>
      <c r="H39" s="9"/>
      <c r="I39" s="13"/>
    </row>
    <row r="40" spans="1:9" ht="29.55" customHeight="1" x14ac:dyDescent="0.3">
      <c r="A40" s="6"/>
      <c r="B40" s="15"/>
      <c r="C40" s="46"/>
      <c r="D40" s="9"/>
      <c r="E40" s="9"/>
      <c r="F40" s="9"/>
      <c r="G40" s="9"/>
      <c r="H40" s="9"/>
      <c r="I40" s="13"/>
    </row>
    <row r="41" spans="1:9" ht="29.55" customHeight="1" x14ac:dyDescent="0.3">
      <c r="A41" s="6"/>
      <c r="B41" s="15"/>
      <c r="C41" s="46"/>
      <c r="D41" s="9"/>
      <c r="E41" s="9"/>
      <c r="F41" s="9"/>
      <c r="G41" s="9"/>
      <c r="H41" s="9"/>
      <c r="I41" s="13"/>
    </row>
    <row r="42" spans="1:9" ht="29.55" customHeight="1" x14ac:dyDescent="0.3">
      <c r="A42" s="6"/>
      <c r="B42" s="15"/>
      <c r="C42" s="46"/>
      <c r="D42" s="9"/>
      <c r="E42" s="9"/>
      <c r="F42" s="9"/>
      <c r="G42" s="9"/>
      <c r="H42" s="9"/>
      <c r="I42" s="13"/>
    </row>
    <row r="43" spans="1:9" ht="29.55" customHeight="1" x14ac:dyDescent="0.3">
      <c r="A43" s="6"/>
      <c r="B43" s="15"/>
      <c r="C43" s="46"/>
      <c r="D43" s="9"/>
      <c r="E43" s="9"/>
      <c r="F43" s="9"/>
      <c r="G43" s="9"/>
      <c r="H43" s="9"/>
      <c r="I43" s="13"/>
    </row>
    <row r="44" spans="1:9" ht="29.55" customHeight="1" x14ac:dyDescent="0.3">
      <c r="A44" s="6"/>
      <c r="B44" s="15"/>
      <c r="C44" s="46"/>
      <c r="D44" s="9"/>
      <c r="E44" s="9"/>
      <c r="F44" s="9"/>
      <c r="G44" s="9"/>
      <c r="H44" s="9"/>
      <c r="I44" s="13"/>
    </row>
    <row r="45" spans="1:9" ht="24" customHeight="1" x14ac:dyDescent="0.3">
      <c r="A45" s="6"/>
      <c r="B45" s="15"/>
      <c r="C45" s="46"/>
      <c r="D45" s="9"/>
      <c r="E45" s="9"/>
      <c r="F45" s="9"/>
      <c r="G45" s="9"/>
      <c r="H45" s="9"/>
      <c r="I45" s="13"/>
    </row>
    <row r="46" spans="1:9" ht="34.049999999999997" customHeight="1" x14ac:dyDescent="0.3">
      <c r="A46" s="6"/>
      <c r="B46" s="532" t="str" cm="1">
        <f t="array" ref="B46">"Capital of "&amp;TEXT(Input!$C$37,"$#,##0")&amp;" is called only as acquisitions close, never up front. The first distribution lands in Year "&amp;TEXT(MATCH(TRUE,INDEX('Investor Return'!$C$8:$L$8,0)&gt;0,0),"0")&amp;" as the first properties exit, cumulative investor cash turns positive in Year "&amp;TEXT('Investor Return'!$C$23,"0")&amp;", and the program returns "&amp;TEXT('Investor Return'!$C$19,"$#,##0")&amp;" on "&amp;TEXT(Input!$C$37,"$#,##0")&amp;" invested."</f>
        <v>Capital of $7,000,000 is called only as acquisitions close, never up front. The first distribution lands in Year 3 as the first properties exit, cumulative investor cash turns positive in Year 4, and the program returns $9,646,475 on $7,000,000 invested.</v>
      </c>
      <c r="C46" s="532"/>
      <c r="D46" s="532"/>
      <c r="E46" s="532"/>
      <c r="F46" s="532"/>
      <c r="G46" s="532"/>
      <c r="H46" s="532"/>
      <c r="I46" s="532"/>
    </row>
    <row r="47" spans="1:9" ht="15.6" x14ac:dyDescent="0.3">
      <c r="A47" s="6"/>
      <c r="B47" s="9"/>
      <c r="C47" s="9"/>
      <c r="D47" s="9"/>
      <c r="E47" s="9"/>
      <c r="F47" s="9"/>
      <c r="G47" s="9"/>
      <c r="H47" s="9"/>
      <c r="I47" s="13"/>
    </row>
    <row r="48" spans="1:9" ht="19.95" customHeight="1" x14ac:dyDescent="0.3">
      <c r="A48" s="146"/>
      <c r="B48" s="41" t="s">
        <v>271</v>
      </c>
      <c r="C48" s="38"/>
      <c r="D48" s="38"/>
      <c r="E48" s="38"/>
      <c r="F48" s="38"/>
      <c r="G48" s="38"/>
      <c r="H48" s="9"/>
      <c r="I48" s="13"/>
    </row>
    <row r="49" spans="1:9" ht="21" customHeight="1" x14ac:dyDescent="0.3">
      <c r="A49" s="6"/>
      <c r="B49" s="533" t="str">
        <f>"Property sales of "&amp;TEXT(SUM('Income Statement'!$C$18:$L$18),"$#,##0")&amp;" and rental revenue of "&amp;TEXT(SUM('Income Statement'!$C$7:$L$7),"$#,##0")&amp;" over the life of the fund produce cumulative net income of "&amp;TEXT(SUM('Income Statement'!$C$155:$L$155),"$#,##0;($#,##0)")&amp;" after all Colombian taxes and operating costs."</f>
        <v>Property sales of $11,376,911 and rental revenue of $643,427 over the life of the fund produce cumulative net income of $3,658,343 after all Colombian taxes and operating costs.</v>
      </c>
      <c r="C49" s="533"/>
      <c r="D49" s="533"/>
      <c r="E49" s="533"/>
      <c r="F49" s="533"/>
      <c r="G49" s="533"/>
      <c r="H49" s="533"/>
      <c r="I49" s="533"/>
    </row>
    <row r="50" spans="1:9" ht="37.049999999999997" customHeight="1" x14ac:dyDescent="0.3">
      <c r="A50" s="6"/>
      <c r="B50" s="533" t="str">
        <f>"Equity Investors commit "&amp;TEXT(Input!$C$37,"$#,##0")&amp;", drawn only as acquisitions close, and receive distributions as each property exits — "&amp;TEXT('Investor Return'!$C$19,"$#,##0")&amp;" returned in total after the "&amp;TEXT(Input!$C$46,"0%")&amp;" Carry to the Managing Partner ("&amp;TEXT(-'Investor Return'!$C$18,"$#,##0")&amp;"), a "&amp;TEXT('Investor Return'!$C$21,"0.00")&amp;"x multiple and a "&amp;TEXT('Investor Return'!$C$22,"0.0%")&amp;" IRR, with capital fully recovered by Year "&amp;TEXT('Investor Return'!$C$23,"0")&amp;"."</f>
        <v>Equity Investors commit $7,000,000, drawn only as acquisitions close, and receive distributions as each property exits — $9,646,475 returned in total after the 20% Carry to the Managing Partner ($731,669), a 1.44x multiple and a 15.7% IRR, with capital fully recovered by Year 4.</v>
      </c>
      <c r="C50" s="533"/>
      <c r="D50" s="533"/>
      <c r="E50" s="533"/>
      <c r="F50" s="533"/>
      <c r="G50" s="533"/>
      <c r="H50" s="533"/>
      <c r="I50" s="533"/>
    </row>
    <row r="51" spans="1:9" ht="55.95" customHeight="1" x14ac:dyDescent="0.3">
      <c r="A51" s="6"/>
      <c r="B51" s="14"/>
      <c r="C51" s="14"/>
      <c r="D51" s="14"/>
      <c r="E51" s="14"/>
      <c r="F51" s="14"/>
      <c r="G51" s="14"/>
      <c r="H51" s="9"/>
      <c r="I51" s="13"/>
    </row>
    <row r="52" spans="1:9" ht="29.55" customHeight="1" x14ac:dyDescent="0.3">
      <c r="A52" s="6"/>
      <c r="B52" s="14"/>
      <c r="C52" s="14"/>
      <c r="D52" s="14"/>
      <c r="E52" s="14"/>
      <c r="F52" s="14"/>
      <c r="G52" s="14"/>
      <c r="H52" s="9"/>
      <c r="I52" s="13"/>
    </row>
    <row r="53" spans="1:9" ht="29.55" customHeight="1" x14ac:dyDescent="0.3">
      <c r="A53" s="6"/>
      <c r="B53" s="14"/>
      <c r="C53" s="14"/>
      <c r="D53" s="14"/>
      <c r="E53" s="14"/>
      <c r="F53" s="14"/>
      <c r="G53" s="14"/>
      <c r="H53" s="9"/>
      <c r="I53" s="13"/>
    </row>
    <row r="54" spans="1:9" ht="29.55" customHeight="1" x14ac:dyDescent="0.3">
      <c r="A54" s="6"/>
      <c r="B54" s="14"/>
      <c r="C54" s="14"/>
      <c r="D54" s="14"/>
      <c r="E54" s="14"/>
      <c r="F54" s="14"/>
      <c r="G54" s="14"/>
      <c r="H54" s="9"/>
      <c r="I54" s="13"/>
    </row>
    <row r="55" spans="1:9" ht="29.55" customHeight="1" x14ac:dyDescent="0.3">
      <c r="A55" s="6"/>
      <c r="B55" s="14"/>
      <c r="C55" s="14"/>
      <c r="D55" s="14"/>
      <c r="E55" s="14"/>
      <c r="F55" s="14"/>
      <c r="G55" s="14"/>
      <c r="H55" s="9"/>
      <c r="I55" s="13"/>
    </row>
    <row r="56" spans="1:9" ht="29.55" customHeight="1" x14ac:dyDescent="0.3">
      <c r="A56" s="6"/>
      <c r="B56" s="14"/>
      <c r="C56" s="14"/>
      <c r="D56" s="14"/>
      <c r="E56" s="14"/>
      <c r="F56" s="14"/>
      <c r="G56" s="14"/>
      <c r="H56" s="9"/>
      <c r="I56" s="13"/>
    </row>
    <row r="57" spans="1:9" ht="24" customHeight="1" x14ac:dyDescent="0.3">
      <c r="A57" s="6"/>
      <c r="B57" s="14"/>
      <c r="C57" s="14"/>
      <c r="D57" s="14"/>
      <c r="E57" s="14"/>
      <c r="F57" s="14"/>
      <c r="G57" s="14"/>
      <c r="H57" s="9"/>
      <c r="I57" s="13"/>
    </row>
    <row r="58" spans="1:9" ht="29.55" customHeight="1" x14ac:dyDescent="0.3">
      <c r="A58" s="6"/>
      <c r="B58" s="14"/>
      <c r="C58" s="14"/>
      <c r="D58" s="14"/>
      <c r="E58" s="14"/>
      <c r="F58" s="14"/>
      <c r="G58" s="14"/>
      <c r="H58" s="9"/>
      <c r="I58" s="13"/>
    </row>
    <row r="59" spans="1:9" ht="24" customHeight="1" x14ac:dyDescent="0.3">
      <c r="A59" s="6"/>
      <c r="B59" s="14"/>
      <c r="C59" s="14"/>
      <c r="D59" s="14"/>
      <c r="E59" s="14"/>
      <c r="F59" s="14"/>
      <c r="G59" s="14"/>
      <c r="H59" s="9"/>
      <c r="I59" s="13"/>
    </row>
    <row r="60" spans="1:9" ht="34.049999999999997" customHeight="1" x14ac:dyDescent="0.3">
      <c r="A60" s="6"/>
      <c r="B60" s="532" t="str">
        <f>_xlfn.LET(_xlpm.r,INDEX('Income Statement'!$C$155:$L$155,1,1):INDEX('Income Statement'!$C$155:$L$155,1,Input!$C$57),"Earnings arrive in the exit years, not evenly: Year "&amp;TEXT(MATCH(MAX(_xlpm.r),_xlpm.r,0),"0")&amp;" delivers "&amp;TEXT(MAX(_xlpm.r),"$#,##0")&amp;" and the fund totals "&amp;TEXT(SUM(_xlpm.r),"$#,##0")&amp;" of net income. Holding years carry STR rental contribution against fixed costs while capital is working in renovation and marketing rather than in rent.")</f>
        <v>Earnings arrive in the exit years, not evenly: Year 4 delivers $1,945,121 and the fund totals $3,658,343 of net income. Holding years carry STR rental contribution against fixed costs while capital is working in renovation and marketing rather than in rent.</v>
      </c>
      <c r="C60" s="532"/>
      <c r="D60" s="532"/>
      <c r="E60" s="532"/>
      <c r="F60" s="532"/>
      <c r="G60" s="532"/>
      <c r="H60" s="532"/>
      <c r="I60" s="532"/>
    </row>
    <row r="61" spans="1:9" ht="15.6" x14ac:dyDescent="0.3">
      <c r="A61" s="6"/>
      <c r="B61" s="9"/>
      <c r="C61" s="9"/>
      <c r="D61" s="9"/>
      <c r="E61" s="9"/>
      <c r="F61" s="9"/>
      <c r="G61" s="9"/>
      <c r="H61" s="9"/>
      <c r="I61" s="13"/>
    </row>
    <row r="62" spans="1:9" ht="19.95" customHeight="1" x14ac:dyDescent="0.3">
      <c r="A62" s="146"/>
      <c r="B62" s="41" t="s">
        <v>272</v>
      </c>
      <c r="C62" s="38"/>
      <c r="D62" s="38"/>
      <c r="E62" s="38"/>
      <c r="F62" s="38"/>
      <c r="G62" s="38"/>
      <c r="H62" s="9"/>
      <c r="I62" s="13"/>
    </row>
    <row r="63" spans="1:9" ht="37.049999999999997" customHeight="1" x14ac:dyDescent="0.3">
      <c r="A63" s="6"/>
      <c r="B63" s="533" t="str">
        <f>"Dulcinea carries no debt; properties are held at cost until sold. All operating services are provided by ServCo (an Ashoka unit) at benchmarked arm's-length fees, with executive costs allocated by time served. Every input lives on the Input tab; "&amp;TEXT(COUNTA(Input!$C$99:$C$145),"0")&amp;" automated integrity checks — foot and cross-foot on all three statements, engine reconciliations and reasonableness controls — currently read: "&amp;Input!$C$146&amp;"."</f>
        <v>Dulcinea carries no debt; properties are held at cost until sold. All operating services are provided by ServCo (an Ashoka unit) at benchmarked arm's-length fees, with executive costs allocated by time served. Every input lives on the Input tab; 43 automated integrity checks — foot and cross-foot on all three statements, engine reconciliations and reasonableness controls — currently read: ALL CHECKS PASS.</v>
      </c>
      <c r="C63" s="533"/>
      <c r="D63" s="533"/>
      <c r="E63" s="533"/>
      <c r="F63" s="533"/>
      <c r="G63" s="533"/>
      <c r="H63" s="533"/>
      <c r="I63" s="533"/>
    </row>
    <row r="64" spans="1:9" ht="67.95" customHeight="1" x14ac:dyDescent="0.3">
      <c r="A64" s="6"/>
      <c r="B64" s="14"/>
      <c r="C64" s="14"/>
      <c r="D64" s="14"/>
      <c r="E64" s="14"/>
      <c r="F64" s="14"/>
      <c r="G64" s="14"/>
      <c r="H64" s="9"/>
      <c r="I64" s="13"/>
    </row>
    <row r="65" spans="1:9" ht="29.55" customHeight="1" x14ac:dyDescent="0.3">
      <c r="A65" s="6"/>
      <c r="B65" s="14"/>
      <c r="C65" s="14"/>
      <c r="D65" s="14"/>
      <c r="E65" s="14"/>
      <c r="F65" s="14"/>
      <c r="G65" s="14"/>
      <c r="H65" s="9"/>
      <c r="I65" s="13"/>
    </row>
    <row r="66" spans="1:9" ht="29.55" customHeight="1" x14ac:dyDescent="0.3">
      <c r="A66" s="6"/>
      <c r="B66" s="14"/>
      <c r="C66" s="14"/>
      <c r="D66" s="14"/>
      <c r="E66" s="14"/>
      <c r="F66" s="14"/>
      <c r="G66" s="14"/>
      <c r="H66" s="9"/>
      <c r="I66" s="13"/>
    </row>
    <row r="67" spans="1:9" ht="29.55" customHeight="1" x14ac:dyDescent="0.3">
      <c r="A67" s="6"/>
      <c r="B67" s="14"/>
      <c r="C67" s="14"/>
      <c r="D67" s="14"/>
      <c r="E67" s="14"/>
      <c r="F67" s="14"/>
      <c r="G67" s="14"/>
      <c r="H67" s="9"/>
      <c r="I67" s="13"/>
    </row>
    <row r="68" spans="1:9" ht="29.55" customHeight="1" x14ac:dyDescent="0.3">
      <c r="A68" s="6"/>
      <c r="B68" s="14"/>
      <c r="C68" s="14"/>
      <c r="D68" s="14"/>
      <c r="E68" s="14"/>
      <c r="F68" s="14"/>
      <c r="G68" s="14"/>
      <c r="H68" s="9"/>
      <c r="I68" s="13"/>
    </row>
    <row r="69" spans="1:9" ht="29.55" customHeight="1" x14ac:dyDescent="0.3">
      <c r="A69" s="6"/>
      <c r="B69" s="14"/>
      <c r="C69" s="14"/>
      <c r="D69" s="14"/>
      <c r="E69" s="14"/>
      <c r="F69" s="14"/>
      <c r="G69" s="14"/>
      <c r="H69" s="9"/>
      <c r="I69" s="13"/>
    </row>
    <row r="70" spans="1:9" ht="29.55" customHeight="1" x14ac:dyDescent="0.3">
      <c r="A70" s="6"/>
      <c r="B70" s="14"/>
      <c r="C70" s="14"/>
      <c r="D70" s="14"/>
      <c r="E70" s="14"/>
      <c r="F70" s="14"/>
      <c r="G70" s="14"/>
      <c r="H70" s="9"/>
      <c r="I70" s="13"/>
    </row>
    <row r="71" spans="1:9" ht="29.55" customHeight="1" x14ac:dyDescent="0.3">
      <c r="A71" s="6"/>
      <c r="B71" s="14"/>
      <c r="C71" s="14"/>
      <c r="D71" s="14"/>
      <c r="E71" s="14"/>
      <c r="F71" s="14"/>
      <c r="G71" s="14"/>
      <c r="H71" s="9"/>
      <c r="I71" s="13"/>
    </row>
    <row r="72" spans="1:9" ht="24" customHeight="1" x14ac:dyDescent="0.3">
      <c r="A72" s="6"/>
      <c r="B72" s="14"/>
      <c r="C72" s="14"/>
      <c r="D72" s="14"/>
      <c r="E72" s="14"/>
      <c r="F72" s="14"/>
      <c r="G72" s="14"/>
      <c r="H72" s="9"/>
      <c r="I72" s="13"/>
    </row>
    <row r="73" spans="1:9" ht="34.049999999999997" customHeight="1" x14ac:dyDescent="0.3">
      <c r="A73" s="6"/>
      <c r="B73" s="532" t="str" cm="1">
        <f t="array" ref="B73">"No debt is drawn at any point and cash never goes negative in any year. The working capital reserve peaks at "&amp;TEXT(MAX('Statement of Cash Flows'!$C$54:$L$54),"$#,##0")&amp;" in Year "&amp;TEXT(MATCH(MAX('Statement of Cash Flows'!$C$54:$L$54),'Statement of Cash Flows'!$C$54:$L$54,0),"0")&amp;", runs down as the acquisition program completes, and the program closes at "&amp;TEXT(INDEX('Statement of Cash Flows'!$C$54:$L$54,Input!$C$57),"$#,##0")&amp;" at the final sale in Year "&amp;TEXT(Input!$C$57,"0")&amp;" — every purchase and works package funded from called capital rather than a facility."</f>
        <v>No debt is drawn at any point and cash never goes negative in any year. The working capital reserve peaks at $24,326 in Year 1, runs down as the acquisition program completes, and the program closes at $0 at the final sale in Year 4 — every purchase and works package funded from called capital rather than a facility.</v>
      </c>
      <c r="C73" s="532"/>
      <c r="D73" s="532"/>
      <c r="E73" s="532"/>
      <c r="F73" s="532"/>
      <c r="G73" s="532"/>
      <c r="H73" s="532"/>
      <c r="I73" s="532"/>
    </row>
    <row r="74" spans="1:9" ht="34.950000000000003" customHeight="1" outlineLevel="1" x14ac:dyDescent="0.3">
      <c r="A74" s="1"/>
      <c r="B74" s="534" t="s">
        <v>1330</v>
      </c>
      <c r="C74" s="534"/>
      <c r="D74" s="534"/>
      <c r="E74" s="534"/>
      <c r="F74" s="534"/>
      <c r="G74" s="534"/>
      <c r="H74" s="534"/>
      <c r="I74" s="534"/>
    </row>
    <row r="75" spans="1:9" ht="16.05" customHeight="1" outlineLevel="1" x14ac:dyDescent="0.3">
      <c r="A75" s="1"/>
      <c r="B75" s="375" t="s">
        <v>985</v>
      </c>
      <c r="C75" s="376"/>
      <c r="D75" s="376"/>
      <c r="E75" s="376"/>
      <c r="F75" s="376"/>
      <c r="G75" s="376"/>
      <c r="H75" s="376"/>
      <c r="I75" s="376"/>
    </row>
    <row r="76" spans="1:9" ht="14.55" hidden="1" customHeight="1" outlineLevel="2" x14ac:dyDescent="0.3">
      <c r="A76" s="1"/>
      <c r="B76" s="380" t="s">
        <v>986</v>
      </c>
      <c r="C76" s="381" t="str">
        <f>"Entry "&amp;TEXT('Portfolio Analysis'!$C$178,"0%")</f>
        <v>Entry 20%</v>
      </c>
      <c r="D76" s="381" t="str">
        <f>"Entry "&amp;TEXT('Portfolio Analysis'!$C$179,"0%")</f>
        <v>Entry 25%</v>
      </c>
      <c r="E76" s="381" t="str">
        <f>"Entry "&amp;TEXT('Portfolio Analysis'!$C$180,"0%")</f>
        <v>Entry 30%</v>
      </c>
      <c r="F76" s="381" t="str">
        <f>"Entry "&amp;TEXT('Portfolio Analysis'!$C$181,"0%")</f>
        <v>Entry 35%</v>
      </c>
      <c r="G76" s="381" t="str">
        <f>"Entry "&amp;TEXT('Portfolio Analysis'!$C$182,"0%")</f>
        <v>Entry 40%</v>
      </c>
      <c r="H76" s="377"/>
      <c r="I76" s="377"/>
    </row>
    <row r="77" spans="1:9" ht="14.55" hidden="1" customHeight="1" outlineLevel="2" x14ac:dyDescent="0.3">
      <c r="A77" s="1"/>
      <c r="B77" s="376" t="s">
        <v>940</v>
      </c>
      <c r="C77" s="378">
        <f>'Portfolio Analysis'!$E$178*'_IRR Engine'!$Q$17/'Portfolio Analysis'!$E$180</f>
        <v>0.15170478053667255</v>
      </c>
      <c r="D77" s="378">
        <f>'Portfolio Analysis'!$E$179*'_IRR Engine'!$Q$17/'Portfolio Analysis'!$E$180</f>
        <v>0.17856188139153062</v>
      </c>
      <c r="E77" s="378">
        <f>'Portfolio Analysis'!$E$180*'_IRR Engine'!$Q$17/'Portfolio Analysis'!$E$180</f>
        <v>0.2081031024456024</v>
      </c>
      <c r="F77" s="378">
        <f>'Portfolio Analysis'!$E$181*'_IRR Engine'!$Q$17/'Portfolio Analysis'!$E$180</f>
        <v>0.24082010012966509</v>
      </c>
      <c r="G77" s="378">
        <f>'Portfolio Analysis'!$E$182*'_IRR Engine'!$Q$17/'Portfolio Analysis'!$E$180</f>
        <v>0.27734213023172338</v>
      </c>
      <c r="H77" s="379"/>
      <c r="I77" s="379"/>
    </row>
    <row r="78" spans="1:9" ht="14.55" hidden="1" customHeight="1" outlineLevel="2" x14ac:dyDescent="0.3">
      <c r="A78" s="1"/>
      <c r="B78" s="376" t="s">
        <v>1331</v>
      </c>
      <c r="C78" s="378">
        <f>'Portfolio Analysis'!$E$178*'Investor Return'!$C$22/'Portfolio Analysis'!$E$180</f>
        <v>0.11461455314211019</v>
      </c>
      <c r="D78" s="378">
        <f>'Portfolio Analysis'!$E$179*'Investor Return'!$C$22/'Portfolio Analysis'!$E$180</f>
        <v>0.13490537458018628</v>
      </c>
      <c r="E78" s="378">
        <f>'Portfolio Analysis'!$E$180*'Investor Return'!$C$22/'Portfolio Analysis'!$E$180</f>
        <v>0.15722407698631286</v>
      </c>
      <c r="F78" s="378">
        <f>'Portfolio Analysis'!$E$181*'Investor Return'!$C$22/'Portfolio Analysis'!$E$180</f>
        <v>0.1819421119516238</v>
      </c>
      <c r="G78" s="378">
        <f>'Portfolio Analysis'!$E$182*'Investor Return'!$C$22/'Portfolio Analysis'!$E$180</f>
        <v>0.20953488882511337</v>
      </c>
      <c r="H78" s="376"/>
      <c r="I78" s="376"/>
    </row>
    <row r="79" spans="1:9" ht="14.55" hidden="1" customHeight="1" outlineLevel="2" x14ac:dyDescent="0.3">
      <c r="A79" s="1"/>
      <c r="B79" s="380" t="s">
        <v>65</v>
      </c>
      <c r="C79" s="381" t="str">
        <f>"Year "&amp;TEXT('Income Statement'!C$4,"0")</f>
        <v>Year 1</v>
      </c>
      <c r="D79" s="381" t="str">
        <f>"Year "&amp;TEXT('Income Statement'!D$4,"0")</f>
        <v>Year 2</v>
      </c>
      <c r="E79" s="381" t="str">
        <f>"Year "&amp;TEXT('Income Statement'!E$4,"0")</f>
        <v>Year 3</v>
      </c>
      <c r="F79" s="381" t="str">
        <f>"Year "&amp;TEXT('Income Statement'!F$4,"0")</f>
        <v>Year 4</v>
      </c>
      <c r="G79" s="381" t="str">
        <f>"Year "&amp;TEXT('Income Statement'!G$4,"0")</f>
        <v>Year 5</v>
      </c>
      <c r="H79" s="381" t="str">
        <f>"Year "&amp;TEXT('Income Statement'!H$4,"0")</f>
        <v>Year 6</v>
      </c>
      <c r="I79" s="381" t="str">
        <f>"Year "&amp;TEXT('Income Statement'!I$4,"0")</f>
        <v>Year 7</v>
      </c>
    </row>
    <row r="80" spans="1:9" ht="14.55" hidden="1" customHeight="1" outlineLevel="2" x14ac:dyDescent="0.3">
      <c r="A80" s="1"/>
      <c r="B80" s="376" t="s">
        <v>280</v>
      </c>
      <c r="C80" s="379">
        <f>'Statement of Cash Flows'!C54</f>
        <v>24326.266830162145</v>
      </c>
      <c r="D80" s="379">
        <f>'Statement of Cash Flows'!D54</f>
        <v>19430.893943289804</v>
      </c>
      <c r="E80" s="379">
        <f>'Statement of Cash Flows'!E54</f>
        <v>6569.2388796569285</v>
      </c>
      <c r="F80" s="379">
        <f>'Statement of Cash Flows'!F54</f>
        <v>-4.220055416226387E-10</v>
      </c>
      <c r="G80" s="379">
        <f>'Statement of Cash Flows'!G54</f>
        <v>-4.220055416226387E-10</v>
      </c>
      <c r="H80" s="379">
        <f>'Statement of Cash Flows'!H54</f>
        <v>-4.220055416226387E-10</v>
      </c>
      <c r="I80" s="379">
        <f>'Statement of Cash Flows'!I54</f>
        <v>-4.220055416226387E-10</v>
      </c>
    </row>
    <row r="81" spans="1:9" ht="16.05" hidden="1" customHeight="1" outlineLevel="2" x14ac:dyDescent="0.3">
      <c r="A81" s="1"/>
      <c r="B81" s="376"/>
      <c r="C81" s="376"/>
      <c r="D81" s="376"/>
      <c r="E81" s="376"/>
      <c r="F81" s="376"/>
      <c r="G81" s="376"/>
      <c r="H81" s="376"/>
      <c r="I81" s="376"/>
    </row>
    <row r="82" spans="1:9" ht="14.55" hidden="1" customHeight="1" outlineLevel="2" x14ac:dyDescent="0.3">
      <c r="A82" s="1"/>
      <c r="B82" s="380" t="s">
        <v>65</v>
      </c>
      <c r="C82" s="381" t="str">
        <f>"Year "&amp;TEXT('Income Statement'!C$4,"0")</f>
        <v>Year 1</v>
      </c>
      <c r="D82" s="381" t="str">
        <f>"Year "&amp;TEXT('Income Statement'!D$4,"0")</f>
        <v>Year 2</v>
      </c>
      <c r="E82" s="381" t="str">
        <f>"Year "&amp;TEXT('Income Statement'!E$4,"0")</f>
        <v>Year 3</v>
      </c>
      <c r="F82" s="381" t="str">
        <f>"Year "&amp;TEXT('Income Statement'!F$4,"0")</f>
        <v>Year 4</v>
      </c>
      <c r="G82" s="381" t="str">
        <f>"Year "&amp;TEXT('Income Statement'!G$4,"0")</f>
        <v>Year 5</v>
      </c>
      <c r="H82" s="381" t="str">
        <f>"Year "&amp;TEXT('Income Statement'!H$4,"0")</f>
        <v>Year 6</v>
      </c>
      <c r="I82" s="381" t="str">
        <f>"Year "&amp;TEXT('Income Statement'!I$4,"0")</f>
        <v>Year 7</v>
      </c>
    </row>
    <row r="83" spans="1:9" ht="14.55" hidden="1" customHeight="1" outlineLevel="2" x14ac:dyDescent="0.3">
      <c r="A83" s="1"/>
      <c r="B83" s="376" t="s">
        <v>1332</v>
      </c>
      <c r="C83" s="379">
        <f>'Investor Return'!C12</f>
        <v>-6630682.265400474</v>
      </c>
      <c r="D83" s="379">
        <f>'Investor Return'!D12</f>
        <v>-84829.976603549541</v>
      </c>
      <c r="E83" s="379">
        <f>'Investor Return'!E12</f>
        <v>5057197.17</v>
      </c>
      <c r="F83" s="379">
        <f>'Investor Return'!F12</f>
        <v>4584989.4315770799</v>
      </c>
      <c r="G83" s="379">
        <f>'Investor Return'!G12</f>
        <v>0</v>
      </c>
      <c r="H83" s="379">
        <f>'Investor Return'!H12</f>
        <v>0</v>
      </c>
      <c r="I83" s="379">
        <f>'Investor Return'!I12</f>
        <v>0</v>
      </c>
    </row>
    <row r="84" spans="1:9" ht="14.55" hidden="1" customHeight="1" outlineLevel="2" x14ac:dyDescent="0.3">
      <c r="A84" s="1"/>
      <c r="B84" s="376" t="s">
        <v>281</v>
      </c>
      <c r="C84" s="379">
        <f>'Investor Return'!C13</f>
        <v>-6630682.265400474</v>
      </c>
      <c r="D84" s="379">
        <f>'Investor Return'!D13</f>
        <v>-6715512.2420040239</v>
      </c>
      <c r="E84" s="379">
        <f>'Investor Return'!E13</f>
        <v>-1658315.0720040239</v>
      </c>
      <c r="F84" s="379">
        <f>'Investor Return'!F13</f>
        <v>2926674.359573056</v>
      </c>
      <c r="G84" s="379">
        <f>'Investor Return'!G13</f>
        <v>2926674.359573056</v>
      </c>
      <c r="H84" s="379">
        <f>'Investor Return'!H13</f>
        <v>2926674.359573056</v>
      </c>
      <c r="I84" s="379">
        <f>'Investor Return'!I13</f>
        <v>2926674.359573056</v>
      </c>
    </row>
    <row r="85" spans="1:9" ht="16.05" hidden="1" customHeight="1" outlineLevel="2" x14ac:dyDescent="0.3">
      <c r="A85" s="1"/>
      <c r="B85" s="376"/>
      <c r="C85" s="376"/>
      <c r="D85" s="376"/>
      <c r="E85" s="376"/>
      <c r="F85" s="376"/>
      <c r="G85" s="376"/>
      <c r="H85" s="376"/>
      <c r="I85" s="376"/>
    </row>
    <row r="86" spans="1:9" ht="14.55" hidden="1" customHeight="1" outlineLevel="2" x14ac:dyDescent="0.3">
      <c r="A86" s="1"/>
      <c r="B86" s="380" t="s">
        <v>27</v>
      </c>
      <c r="C86" s="381" t="s">
        <v>282</v>
      </c>
      <c r="D86" s="381" t="s">
        <v>283</v>
      </c>
    </row>
    <row r="87" spans="1:9" ht="14.55" hidden="1" customHeight="1" outlineLevel="2" x14ac:dyDescent="0.3">
      <c r="A87" s="400" cm="1">
        <f t="array" ref="A87:A91">_xlfn._xlws.FILTER(Properties!$A$6:$A$15,Properties!$D$6:$D$15=1)</f>
        <v>1</v>
      </c>
      <c r="B87" s="376" t="str" cm="1">
        <f t="array" ref="B87">IF($A87="","",INDEX(Properties!$E$6:$E$15,$A87))</f>
        <v>Aires de Campestre Apto 801 (Penthouse)</v>
      </c>
      <c r="C87" s="379" cm="1">
        <f t="array" ref="C87">IF($A87="","",INDEX(Properties!$P$6:$P$15,$A87))</f>
        <v>1168770.2265372169</v>
      </c>
      <c r="D87" s="379" cm="1">
        <f t="array" ref="D87">IF($A87="","",INDEX(Properties!$W$6:$W$15,$A87))</f>
        <v>2019763.3569386934</v>
      </c>
    </row>
    <row r="88" spans="1:9" ht="14.55" hidden="1" customHeight="1" outlineLevel="2" x14ac:dyDescent="0.3">
      <c r="A88" s="400">
        <v>2</v>
      </c>
      <c r="B88" s="376" t="str" cm="1">
        <f t="array" ref="B88">IF($A88="","",INDEX(Properties!$E$6:$E$15,$A88))</f>
        <v>Fontanar Apto 201 (Penthouse)</v>
      </c>
      <c r="C88" s="379" cm="1">
        <f t="array" ref="C88">IF($A88="","",INDEX(Properties!$P$6:$P$15,$A88))</f>
        <v>1290857.6051779937</v>
      </c>
      <c r="D88" s="379" cm="1">
        <f t="array" ref="D88">IF($A88="","",INDEX(Properties!$W$6:$W$15,$A88))</f>
        <v>2261281.5704204938</v>
      </c>
    </row>
    <row r="89" spans="1:9" ht="14.55" hidden="1" customHeight="1" outlineLevel="2" x14ac:dyDescent="0.3">
      <c r="A89" s="400">
        <v>3</v>
      </c>
      <c r="B89" s="376" t="str" cm="1">
        <f t="array" ref="B89">IF($A89="","",INDEX(Properties!$E$6:$E$15,$A89))</f>
        <v>San Lucas Apto 101</v>
      </c>
      <c r="C89" s="379" cm="1">
        <f t="array" ref="C89">IF($A89="","",INDEX(Properties!$P$6:$P$15,$A89))</f>
        <v>747370.55016181234</v>
      </c>
      <c r="D89" s="379" cm="1">
        <f t="array" ref="D89">IF($A89="","",INDEX(Properties!$W$6:$W$15,$A89))</f>
        <v>1265464.2924150538</v>
      </c>
    </row>
    <row r="90" spans="1:9" ht="14.55" hidden="1" customHeight="1" outlineLevel="2" x14ac:dyDescent="0.3">
      <c r="A90" s="400">
        <v>4</v>
      </c>
      <c r="B90" s="376" t="str" cm="1">
        <f t="array" ref="B90">IF($A90="","",INDEX(Properties!$E$6:$E$15,$A90))</f>
        <v>Casa Montana Lote 2 (Samuel Gaviria House)</v>
      </c>
      <c r="C90" s="379" cm="1">
        <f t="array" ref="C90">IF($A90="","",INDEX(Properties!$P$6:$P$15,$A90))</f>
        <v>1714482.2006472494</v>
      </c>
      <c r="D90" s="379" cm="1">
        <f t="array" ref="D90">IF($A90="","",INDEX(Properties!$W$6:$W$15,$A90))</f>
        <v>2995795.1883356264</v>
      </c>
    </row>
    <row r="91" spans="1:9" ht="14.55" hidden="1" customHeight="1" outlineLevel="2" x14ac:dyDescent="0.3">
      <c r="A91" s="400">
        <v>5</v>
      </c>
      <c r="B91" s="376" t="str" cm="1">
        <f t="array" ref="B91">IF($A91="","",INDEX(Properties!$E$6:$E$15,$A91))</f>
        <v>Casa Monte Sereno</v>
      </c>
      <c r="C91" s="379" cm="1">
        <f t="array" ref="C91">IF($A91="","",INDEX(Properties!$P$6:$P$15,$A91))</f>
        <v>1650485.4368932038</v>
      </c>
      <c r="D91" s="379" cm="1">
        <f t="array" ref="D91">IF($A91="","",INDEX(Properties!$W$6:$W$15,$A91))</f>
        <v>2834606.5805107774</v>
      </c>
    </row>
    <row r="92" spans="1:9" ht="16.05" hidden="1" customHeight="1" outlineLevel="2" x14ac:dyDescent="0.3">
      <c r="A92" s="400"/>
      <c r="B92" s="376" t="str" cm="1">
        <f t="array" ref="B92">IF($A92="","",INDEX(Properties!$E$6:$E$15,$A92))</f>
        <v/>
      </c>
      <c r="C92" s="379" t="str" cm="1">
        <f t="array" ref="C92">IF($A92="","",INDEX(Properties!$P$6:$P$15,$A92))</f>
        <v/>
      </c>
      <c r="D92" s="379" t="str" cm="1">
        <f t="array" ref="D92">IF($A92="","",INDEX(Properties!$W$6:$W$15,$A92))</f>
        <v/>
      </c>
    </row>
    <row r="93" spans="1:9" ht="16.05" hidden="1" customHeight="1" outlineLevel="2" x14ac:dyDescent="0.3">
      <c r="A93" s="400"/>
      <c r="B93" s="376" t="str" cm="1">
        <f t="array" ref="B93">IF($A93="","",INDEX(Properties!$E$6:$E$15,$A93))</f>
        <v/>
      </c>
      <c r="C93" s="379" t="str" cm="1">
        <f t="array" ref="C93">IF($A93="","",INDEX(Properties!$P$6:$P$15,$A93))</f>
        <v/>
      </c>
      <c r="D93" s="379" t="str" cm="1">
        <f t="array" ref="D93">IF($A93="","",INDEX(Properties!$W$6:$W$15,$A93))</f>
        <v/>
      </c>
    </row>
    <row r="94" spans="1:9" ht="16.05" hidden="1" customHeight="1" outlineLevel="2" x14ac:dyDescent="0.3">
      <c r="A94" s="400"/>
      <c r="B94" s="376" t="str" cm="1">
        <f t="array" ref="B94">IF($A94="","",INDEX(Properties!$E$6:$E$15,$A94))</f>
        <v/>
      </c>
      <c r="C94" s="379" t="str" cm="1">
        <f t="array" ref="C94">IF($A94="","",INDEX(Properties!$P$6:$P$15,$A94))</f>
        <v/>
      </c>
      <c r="D94" s="379" t="str" cm="1">
        <f t="array" ref="D94">IF($A94="","",INDEX(Properties!$W$6:$W$15,$A94))</f>
        <v/>
      </c>
    </row>
    <row r="95" spans="1:9" outlineLevel="1" collapsed="1" x14ac:dyDescent="0.3">
      <c r="A95" s="400"/>
      <c r="B95" s="9" t="str" cm="1">
        <f t="array" ref="B95">IF($A95="","",INDEX(Properties!$E$6:$E$15,$A95))</f>
        <v/>
      </c>
      <c r="C95" s="47" t="str" cm="1">
        <f t="array" ref="C95">IF($A95="","",INDEX(Properties!$P$6:$P$15,$A95))</f>
        <v/>
      </c>
      <c r="D95" s="47" t="str" cm="1">
        <f t="array" ref="D95">IF($A95="","",INDEX(Properties!$W$6:$W$15,$A95))</f>
        <v/>
      </c>
      <c r="E95" s="9"/>
      <c r="F95" s="9"/>
      <c r="G95" s="9"/>
      <c r="H95" s="9"/>
      <c r="I95" s="13"/>
    </row>
    <row r="96" spans="1:9" outlineLevel="1" x14ac:dyDescent="0.3">
      <c r="A96" s="400"/>
      <c r="B96" s="9" t="str" cm="1">
        <f t="array" ref="B96">IF($A96="","",INDEX(Properties!$E$6:$E$15,$A96))</f>
        <v/>
      </c>
      <c r="C96" s="47" t="str" cm="1">
        <f t="array" ref="C96">IF($A96="","",INDEX(Properties!$P$6:$P$15,$A96))</f>
        <v/>
      </c>
      <c r="D96" s="47" t="str" cm="1">
        <f t="array" ref="D96">IF($A96="","",INDEX(Properties!$W$6:$W$15,$A96))</f>
        <v/>
      </c>
      <c r="E96" s="9"/>
      <c r="F96" s="9"/>
      <c r="G96" s="9"/>
      <c r="H96" s="9"/>
      <c r="I96" s="13"/>
    </row>
  </sheetData>
  <mergeCells count="9">
    <mergeCell ref="B74:I74"/>
    <mergeCell ref="B60:I60"/>
    <mergeCell ref="B63:I63"/>
    <mergeCell ref="B73:I73"/>
    <mergeCell ref="B28:I28"/>
    <mergeCell ref="B37:I37"/>
    <mergeCell ref="B46:I46"/>
    <mergeCell ref="B49:I49"/>
    <mergeCell ref="B50:I50"/>
  </mergeCells>
  <pageMargins left="0.7" right="0.7" top="0.75" bottom="0.75" header="0.3" footer="0.3"/>
  <pageSetup scale="66" fitToHeight="0"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C728E-5EE6-4FBD-A71B-DF9B7809F919}">
  <sheetPr>
    <tabColor rgb="FF132E57"/>
    <pageSetUpPr fitToPage="1"/>
  </sheetPr>
  <dimension ref="A1:AL172"/>
  <sheetViews>
    <sheetView topLeftCell="C1" workbookViewId="0">
      <pane ySplit="4" topLeftCell="A15" activePane="bottomLeft" state="frozen"/>
      <selection activeCell="F1" sqref="F1"/>
      <selection pane="bottomLeft" activeCell="N46" sqref="N46"/>
    </sheetView>
  </sheetViews>
  <sheetFormatPr defaultRowHeight="14.4" outlineLevelCol="7" x14ac:dyDescent="0.3"/>
  <cols>
    <col min="1" max="1" width="4.109375" style="1" customWidth="1"/>
    <col min="2" max="2" width="74.109375" style="1" customWidth="1"/>
    <col min="3" max="3" width="17.109375" style="1" customWidth="1"/>
    <col min="4" max="4" width="17.109375" style="113" customWidth="1"/>
    <col min="5" max="10" width="17.109375" style="1" customWidth="1"/>
    <col min="11" max="12" width="48.109375" style="1" customWidth="1"/>
    <col min="13" max="13" width="20.33203125" style="1" customWidth="1"/>
    <col min="14" max="14" width="16.6640625" style="1" customWidth="1"/>
    <col min="15" max="19" width="17.5546875" style="1" customWidth="1"/>
    <col min="20" max="20" width="48.109375" style="1" customWidth="1"/>
    <col min="21" max="21" width="17.5546875" style="1" customWidth="1"/>
    <col min="22" max="36" width="8.88671875" style="1" customWidth="1"/>
    <col min="37" max="38" width="8.88671875" style="1"/>
    <col min="39" max="16384" width="8.88671875" style="1" outlineLevel="7"/>
  </cols>
  <sheetData>
    <row r="1" spans="1:28" ht="34.049999999999997" customHeight="1" x14ac:dyDescent="0.3">
      <c r="A1" s="301"/>
      <c r="B1" s="301" t="s">
        <v>1015</v>
      </c>
      <c r="C1" s="301"/>
      <c r="D1" s="335"/>
      <c r="E1" s="301"/>
      <c r="F1" s="301"/>
      <c r="G1" s="301"/>
      <c r="H1" s="301"/>
      <c r="I1" s="301"/>
      <c r="J1" s="301"/>
      <c r="K1" s="301"/>
      <c r="L1" s="331"/>
      <c r="M1" s="336"/>
      <c r="N1" s="56"/>
      <c r="O1" s="56"/>
      <c r="P1" s="56"/>
      <c r="Q1" s="56"/>
      <c r="R1" s="56"/>
      <c r="S1" s="56"/>
      <c r="T1" s="56"/>
      <c r="U1" s="56"/>
      <c r="V1" s="56"/>
      <c r="W1" s="56"/>
      <c r="X1" s="56"/>
      <c r="Y1" s="56"/>
      <c r="Z1" s="56"/>
      <c r="AA1" s="9"/>
      <c r="AB1" s="9"/>
    </row>
    <row r="2" spans="1:28" s="112" customFormat="1" ht="33" customHeight="1" x14ac:dyDescent="0.3">
      <c r="A2" s="9"/>
      <c r="B2" s="521" t="s">
        <v>1525</v>
      </c>
      <c r="C2" s="521"/>
      <c r="D2" s="521"/>
      <c r="E2" s="521"/>
      <c r="F2" s="521"/>
      <c r="G2" s="521"/>
      <c r="H2" s="521"/>
      <c r="I2" s="521"/>
      <c r="J2" s="521"/>
      <c r="K2" s="521"/>
      <c r="L2" s="9"/>
      <c r="M2" s="1"/>
      <c r="N2" s="9"/>
      <c r="O2" s="9"/>
      <c r="P2" s="9"/>
      <c r="Q2" s="9"/>
      <c r="R2" s="9"/>
      <c r="S2" s="9"/>
      <c r="T2" s="9"/>
      <c r="U2" s="9"/>
      <c r="V2" s="9"/>
      <c r="W2" s="9"/>
      <c r="X2" s="9"/>
      <c r="Y2" s="9"/>
      <c r="Z2" s="9"/>
      <c r="AA2" s="9"/>
      <c r="AB2" s="9"/>
    </row>
    <row r="3" spans="1:28" ht="18" customHeight="1" x14ac:dyDescent="0.3">
      <c r="A3" s="9"/>
      <c r="B3" s="521"/>
      <c r="C3" s="521"/>
      <c r="D3" s="521"/>
      <c r="E3" s="521"/>
      <c r="F3" s="521"/>
      <c r="G3" s="521"/>
      <c r="H3" s="521"/>
      <c r="I3" s="521"/>
      <c r="J3" s="521"/>
      <c r="K3" s="521"/>
      <c r="L3" s="9"/>
      <c r="M3" s="9"/>
      <c r="N3" s="9"/>
      <c r="O3" s="9"/>
      <c r="P3" s="9"/>
      <c r="Q3" s="9"/>
      <c r="R3" s="9"/>
      <c r="S3" s="9"/>
      <c r="T3" s="9"/>
      <c r="U3" s="9"/>
      <c r="V3" s="9"/>
      <c r="W3" s="9"/>
      <c r="X3" s="9"/>
      <c r="Y3" s="9"/>
      <c r="Z3" s="9"/>
      <c r="AA3" s="9"/>
      <c r="AB3" s="9"/>
    </row>
    <row r="4" spans="1:28" ht="19.95" customHeight="1" x14ac:dyDescent="0.3">
      <c r="A4" s="40"/>
      <c r="B4" s="40" t="s">
        <v>0</v>
      </c>
      <c r="C4" s="40"/>
      <c r="D4" s="332" t="s">
        <v>597</v>
      </c>
      <c r="E4" s="40"/>
      <c r="F4" s="40"/>
      <c r="G4" s="40"/>
      <c r="H4" s="40"/>
      <c r="I4" s="40"/>
      <c r="J4" s="40"/>
      <c r="K4" s="40"/>
      <c r="L4" s="20"/>
      <c r="M4" s="20"/>
      <c r="N4" s="9"/>
      <c r="O4" s="9"/>
      <c r="P4" s="9"/>
      <c r="Q4" s="9"/>
      <c r="R4" s="9"/>
      <c r="S4" s="9"/>
      <c r="T4" s="9"/>
      <c r="U4" s="9"/>
      <c r="V4" s="9"/>
      <c r="W4" s="9"/>
      <c r="X4" s="9"/>
      <c r="Y4" s="9"/>
      <c r="Z4" s="9"/>
      <c r="AA4" s="9"/>
      <c r="AB4" s="9"/>
    </row>
    <row r="5" spans="1:28" ht="18" customHeight="1" x14ac:dyDescent="0.3">
      <c r="A5" s="9"/>
      <c r="B5" s="9" t="s">
        <v>1</v>
      </c>
      <c r="C5" s="32">
        <v>3090</v>
      </c>
      <c r="D5" s="522" t="s">
        <v>2</v>
      </c>
      <c r="E5" s="522"/>
      <c r="F5" s="522"/>
      <c r="G5" s="522"/>
      <c r="H5" s="522"/>
      <c r="I5" s="522"/>
      <c r="J5" s="522"/>
      <c r="K5" s="522"/>
      <c r="L5" s="9"/>
      <c r="M5" s="9"/>
      <c r="N5" s="9"/>
      <c r="O5" s="9"/>
      <c r="P5" s="9"/>
      <c r="Q5" s="9"/>
      <c r="R5" s="9"/>
      <c r="S5" s="9"/>
      <c r="T5" s="9"/>
      <c r="U5" s="9"/>
      <c r="V5" s="9"/>
      <c r="W5" s="9"/>
      <c r="X5" s="9"/>
      <c r="Y5" s="9"/>
      <c r="Z5" s="9"/>
      <c r="AA5" s="9"/>
      <c r="AB5" s="9"/>
    </row>
    <row r="6" spans="1:28" ht="31.05" customHeight="1" x14ac:dyDescent="0.3">
      <c r="A6" s="9"/>
      <c r="B6" s="9" t="s">
        <v>605</v>
      </c>
      <c r="C6" s="338">
        <v>0</v>
      </c>
      <c r="D6" s="522" t="s">
        <v>953</v>
      </c>
      <c r="E6" s="522"/>
      <c r="F6" s="522"/>
      <c r="G6" s="522"/>
      <c r="H6" s="522"/>
      <c r="I6" s="522"/>
      <c r="J6" s="522"/>
      <c r="K6" s="522"/>
      <c r="L6" s="9"/>
      <c r="M6" s="9"/>
      <c r="N6" s="9"/>
      <c r="O6" s="9"/>
      <c r="P6" s="9"/>
      <c r="Q6" s="9"/>
      <c r="R6" s="9"/>
      <c r="S6" s="9"/>
      <c r="T6" s="9"/>
      <c r="U6" s="9"/>
      <c r="V6" s="9"/>
      <c r="W6" s="9"/>
      <c r="X6" s="9"/>
      <c r="Y6" s="9"/>
      <c r="Z6" s="9"/>
      <c r="AA6" s="9"/>
      <c r="AB6" s="9"/>
    </row>
    <row r="7" spans="1:28" ht="18" customHeight="1" x14ac:dyDescent="0.3">
      <c r="A7" s="9"/>
      <c r="B7" s="9" t="s">
        <v>1079</v>
      </c>
      <c r="C7" s="339">
        <v>46296</v>
      </c>
      <c r="D7" s="522" t="s">
        <v>1080</v>
      </c>
      <c r="E7" s="522"/>
      <c r="F7" s="522"/>
      <c r="G7" s="522"/>
      <c r="H7" s="522"/>
      <c r="I7" s="522"/>
      <c r="J7" s="522"/>
      <c r="K7" s="522"/>
      <c r="L7" s="9"/>
      <c r="M7" s="9"/>
      <c r="N7" s="9"/>
      <c r="O7" s="9"/>
      <c r="P7" s="9"/>
      <c r="Q7" s="9"/>
      <c r="R7" s="9"/>
      <c r="S7" s="9"/>
      <c r="T7" s="9"/>
      <c r="U7" s="9"/>
      <c r="V7" s="9"/>
      <c r="W7" s="9"/>
      <c r="X7" s="9"/>
      <c r="Y7" s="9"/>
      <c r="Z7" s="9"/>
      <c r="AA7" s="9"/>
      <c r="AB7" s="9"/>
    </row>
    <row r="8" spans="1:28" ht="18" customHeight="1" x14ac:dyDescent="0.3">
      <c r="A8" s="9"/>
      <c r="B8" s="139" t="s">
        <v>519</v>
      </c>
      <c r="C8" s="341">
        <v>0.02</v>
      </c>
      <c r="D8" s="365"/>
      <c r="E8" s="330"/>
      <c r="F8" s="330"/>
      <c r="G8" s="330"/>
      <c r="H8" s="330"/>
      <c r="I8" s="330"/>
      <c r="J8" s="330"/>
      <c r="K8" s="330"/>
      <c r="L8" s="9"/>
      <c r="M8" s="9"/>
      <c r="N8" s="9"/>
      <c r="O8" s="9"/>
      <c r="P8" s="9"/>
      <c r="Q8" s="9"/>
      <c r="R8" s="9"/>
      <c r="S8" s="9"/>
      <c r="T8" s="9"/>
      <c r="U8" s="9"/>
      <c r="V8" s="9"/>
      <c r="W8" s="9"/>
      <c r="X8" s="9"/>
      <c r="Y8" s="9"/>
      <c r="Z8" s="9"/>
      <c r="AA8" s="9"/>
      <c r="AB8" s="9"/>
    </row>
    <row r="9" spans="1:28" ht="19.95" customHeight="1" x14ac:dyDescent="0.3">
      <c r="A9" s="40"/>
      <c r="B9" s="40" t="s">
        <v>3</v>
      </c>
      <c r="C9" s="40"/>
      <c r="D9" s="51"/>
      <c r="E9" s="324"/>
      <c r="F9" s="324"/>
      <c r="G9" s="324"/>
      <c r="H9" s="324"/>
      <c r="I9" s="324"/>
      <c r="J9" s="324"/>
      <c r="K9" s="324"/>
      <c r="L9" s="20"/>
      <c r="M9" s="20"/>
      <c r="N9" s="9"/>
      <c r="O9" s="9"/>
      <c r="P9" s="9"/>
      <c r="Q9" s="9"/>
      <c r="R9" s="9"/>
      <c r="S9" s="9"/>
      <c r="T9" s="9"/>
      <c r="U9" s="9"/>
      <c r="V9" s="9"/>
      <c r="W9" s="9"/>
      <c r="X9" s="9"/>
      <c r="Y9" s="9"/>
      <c r="Z9" s="9"/>
      <c r="AA9" s="9"/>
      <c r="AB9" s="9"/>
    </row>
    <row r="10" spans="1:28" ht="43.95" customHeight="1" x14ac:dyDescent="0.3">
      <c r="A10" s="9"/>
      <c r="B10" s="337" t="s">
        <v>962</v>
      </c>
      <c r="C10" s="133">
        <f>SUMPRODUCT(Properties!$D$6:$D$15,Properties!$I$6:$I$15,$H$80:$H$89)/SUMPRODUCT(Properties!$D$6:$D$15,Properties!$I$6:$I$15)</f>
        <v>0.4</v>
      </c>
      <c r="D10" s="522" t="str">
        <f>"Derived: m²-weighted average of the per-property vacancy inputs across the active portfolio, currently "&amp;TEXT($C$10,"0%")&amp;". Vacancy is set by unit size: the two mid-size El Poblado apartments are held at "&amp;TEXT($H$81,"0%")&amp;", inside the prime professionally-managed band of "&amp;TEXT($C$168,"0%")&amp;"–"&amp;TEXT($D$168,"0%")&amp;", while the "&amp;TEXT(Properties!$I$6,"0")&amp;" m² penthouse is held at "&amp;TEXT($H$80,"0%")&amp;" because the largest units are the slowest to let. The two El Retiro estates stay at "&amp;TEXT($H$83,"0%")&amp;" as no published series covers them. Market-wide Medellín runs "&amp;TEXT($C$167,"0%")&amp;"–"&amp;TEXT($D$167,"0%")&amp;" vacancy. References 14–16."</f>
        <v>Derived: m²-weighted average of the per-property vacancy inputs across the active portfolio, currently 40%. Vacancy is set by unit size: the two mid-size El Poblado apartments are held at 40%, inside the prime professionally-managed band of 35%–50%, while the 489 m² penthouse is held at 40% because the largest units are the slowest to let. The two El Retiro estates stay at 40% as no published series covers them. Market-wide Medellín runs 43%–57% vacancy. References 14–16.</v>
      </c>
      <c r="E10" s="522"/>
      <c r="F10" s="522"/>
      <c r="G10" s="522"/>
      <c r="H10" s="522"/>
      <c r="I10" s="522"/>
      <c r="J10" s="522"/>
      <c r="K10" s="522"/>
      <c r="L10" s="9"/>
      <c r="M10" s="9"/>
      <c r="N10" s="9"/>
      <c r="O10" s="9"/>
      <c r="P10" s="9"/>
      <c r="Q10" s="9"/>
      <c r="R10" s="9"/>
      <c r="S10" s="9"/>
      <c r="T10" s="9"/>
      <c r="U10" s="9"/>
      <c r="V10" s="9"/>
      <c r="W10" s="9"/>
      <c r="X10" s="9"/>
      <c r="Y10" s="9"/>
      <c r="Z10" s="9"/>
      <c r="AA10" s="9"/>
      <c r="AB10" s="9"/>
    </row>
    <row r="11" spans="1:28" ht="18" customHeight="1" x14ac:dyDescent="0.3">
      <c r="A11" s="9"/>
      <c r="B11" s="9" t="s">
        <v>1074</v>
      </c>
      <c r="C11" s="342">
        <v>1</v>
      </c>
      <c r="D11" s="522" t="s">
        <v>5</v>
      </c>
      <c r="E11" s="522"/>
      <c r="F11" s="522"/>
      <c r="G11" s="522"/>
      <c r="H11" s="522"/>
      <c r="I11" s="522"/>
      <c r="J11" s="522"/>
      <c r="K11" s="522"/>
      <c r="L11" s="9"/>
      <c r="M11" s="9"/>
      <c r="N11" s="9"/>
      <c r="O11" s="9"/>
      <c r="P11" s="9"/>
      <c r="Q11" s="9"/>
      <c r="R11" s="9"/>
      <c r="S11" s="9"/>
      <c r="T11" s="9"/>
      <c r="U11" s="9"/>
      <c r="V11" s="9"/>
      <c r="W11" s="9"/>
      <c r="X11" s="9"/>
      <c r="Y11" s="9"/>
      <c r="Z11" s="9"/>
      <c r="AA11" s="9"/>
      <c r="AB11" s="9"/>
    </row>
    <row r="12" spans="1:28" ht="18" customHeight="1" x14ac:dyDescent="0.3">
      <c r="A12" s="9"/>
      <c r="B12" s="343" t="s">
        <v>602</v>
      </c>
      <c r="C12" s="134">
        <f>SUMPRODUCT(Properties!$W$6:$W$15,Properties!$D$6:$D$15)/SUMPRODUCT(Properties!$P$6:$P$15,Properties!$D$6:$D$15)-1</f>
        <v>0.73112748224907387</v>
      </c>
      <c r="D12" s="365"/>
      <c r="E12" s="330"/>
      <c r="F12" s="330"/>
      <c r="G12" s="330"/>
      <c r="H12" s="330"/>
      <c r="I12" s="330"/>
      <c r="J12" s="330"/>
      <c r="K12" s="330"/>
      <c r="L12" s="9"/>
      <c r="M12" s="9"/>
      <c r="N12" s="9"/>
      <c r="O12" s="9"/>
      <c r="P12" s="9"/>
      <c r="Q12" s="9"/>
      <c r="R12" s="9"/>
      <c r="S12" s="9"/>
      <c r="T12" s="9"/>
      <c r="U12" s="9"/>
      <c r="V12" s="9"/>
      <c r="W12" s="9"/>
      <c r="X12" s="9"/>
      <c r="Y12" s="9"/>
      <c r="Z12" s="9"/>
      <c r="AA12" s="9"/>
      <c r="AB12" s="9"/>
    </row>
    <row r="13" spans="1:28" ht="19.95" customHeight="1" x14ac:dyDescent="0.3">
      <c r="A13" s="40"/>
      <c r="B13" s="40" t="s">
        <v>6</v>
      </c>
      <c r="C13" s="40"/>
      <c r="D13" s="51"/>
      <c r="E13" s="324"/>
      <c r="F13" s="324"/>
      <c r="G13" s="324"/>
      <c r="H13" s="324"/>
      <c r="I13" s="324"/>
      <c r="J13" s="324"/>
      <c r="K13" s="324"/>
      <c r="L13" s="20"/>
      <c r="M13" s="20"/>
      <c r="N13" s="9"/>
      <c r="O13" s="9"/>
      <c r="P13" s="9"/>
      <c r="Q13" s="9"/>
      <c r="R13" s="9"/>
      <c r="S13" s="9"/>
      <c r="T13" s="9"/>
      <c r="U13" s="9"/>
      <c r="V13" s="9"/>
      <c r="W13" s="9"/>
      <c r="X13" s="9"/>
      <c r="Y13" s="9"/>
      <c r="Z13" s="9"/>
      <c r="AA13" s="9"/>
      <c r="AB13" s="9"/>
    </row>
    <row r="14" spans="1:28" ht="28.8" customHeight="1" x14ac:dyDescent="0.3">
      <c r="A14" s="9"/>
      <c r="B14" s="337" t="s">
        <v>1167</v>
      </c>
      <c r="C14" s="338">
        <v>2.5000000000000001E-2</v>
      </c>
      <c r="D14" s="522" t="s">
        <v>7</v>
      </c>
      <c r="E14" s="522"/>
      <c r="F14" s="522"/>
      <c r="G14" s="522"/>
      <c r="H14" s="522"/>
      <c r="I14" s="522"/>
      <c r="J14" s="522"/>
      <c r="K14" s="522"/>
      <c r="L14" s="9"/>
      <c r="M14" s="9"/>
      <c r="N14" s="9"/>
      <c r="O14" s="9"/>
      <c r="P14" s="9"/>
      <c r="Q14" s="9"/>
      <c r="R14" s="9"/>
      <c r="S14" s="9"/>
      <c r="T14" s="9"/>
      <c r="U14" s="9"/>
      <c r="V14" s="9"/>
      <c r="W14" s="9"/>
      <c r="X14" s="9"/>
      <c r="Y14" s="9"/>
      <c r="Z14" s="9"/>
      <c r="AA14" s="9"/>
      <c r="AB14" s="9"/>
    </row>
    <row r="15" spans="1:28" ht="18" customHeight="1" x14ac:dyDescent="0.3">
      <c r="A15" s="9"/>
      <c r="B15" s="9" t="s">
        <v>8</v>
      </c>
      <c r="C15" s="338">
        <v>3.7999999999999999E-2</v>
      </c>
      <c r="D15" s="522" t="s">
        <v>9</v>
      </c>
      <c r="E15" s="522"/>
      <c r="F15" s="522"/>
      <c r="G15" s="522"/>
      <c r="H15" s="522"/>
      <c r="I15" s="522"/>
      <c r="J15" s="522"/>
      <c r="K15" s="522"/>
      <c r="L15" s="9"/>
      <c r="M15" s="9"/>
      <c r="N15" s="9"/>
      <c r="O15" s="9"/>
      <c r="P15" s="9"/>
      <c r="Q15" s="9"/>
      <c r="R15" s="9"/>
      <c r="S15" s="9"/>
      <c r="T15" s="9"/>
      <c r="U15" s="9"/>
      <c r="V15" s="9"/>
      <c r="W15" s="9"/>
      <c r="X15" s="9"/>
      <c r="Y15" s="9"/>
      <c r="Z15" s="9"/>
      <c r="AA15" s="9"/>
      <c r="AB15" s="9"/>
    </row>
    <row r="16" spans="1:28" ht="18" customHeight="1" x14ac:dyDescent="0.3">
      <c r="A16" s="9"/>
      <c r="B16" s="9"/>
      <c r="C16" s="9"/>
      <c r="D16" s="365"/>
      <c r="E16" s="330"/>
      <c r="F16" s="330"/>
      <c r="G16" s="330"/>
      <c r="H16" s="330"/>
      <c r="I16" s="330"/>
      <c r="J16" s="330"/>
      <c r="K16" s="330"/>
      <c r="L16" s="9"/>
      <c r="M16" s="9"/>
      <c r="N16" s="9"/>
      <c r="O16" s="9"/>
      <c r="P16" s="9"/>
      <c r="Q16" s="9"/>
      <c r="R16" s="9"/>
      <c r="S16" s="9"/>
      <c r="T16" s="9"/>
      <c r="U16" s="9"/>
      <c r="V16" s="9"/>
      <c r="W16" s="9"/>
      <c r="X16" s="9"/>
      <c r="Y16" s="9"/>
      <c r="Z16" s="9"/>
      <c r="AA16" s="9"/>
      <c r="AB16" s="9"/>
    </row>
    <row r="17" spans="1:28" ht="19.95" customHeight="1" x14ac:dyDescent="0.3">
      <c r="A17" s="40"/>
      <c r="B17" s="40" t="s">
        <v>143</v>
      </c>
      <c r="C17" s="40"/>
      <c r="D17" s="51"/>
      <c r="E17" s="324"/>
      <c r="F17" s="324"/>
      <c r="G17" s="324"/>
      <c r="H17" s="324"/>
      <c r="I17" s="324"/>
      <c r="J17" s="324"/>
      <c r="K17" s="324"/>
      <c r="L17" s="20"/>
      <c r="M17" s="20"/>
      <c r="N17" s="9"/>
      <c r="O17" s="9"/>
      <c r="P17" s="9"/>
      <c r="Q17" s="9"/>
      <c r="R17" s="9"/>
      <c r="S17" s="9"/>
      <c r="T17" s="9"/>
      <c r="U17" s="9"/>
      <c r="V17" s="9"/>
      <c r="W17" s="9"/>
      <c r="X17" s="9"/>
      <c r="Y17" s="9"/>
      <c r="Z17" s="9"/>
      <c r="AA17" s="9"/>
      <c r="AB17" s="9"/>
    </row>
    <row r="18" spans="1:28" ht="18" customHeight="1" x14ac:dyDescent="0.3">
      <c r="A18" s="9"/>
      <c r="B18" s="9" t="s">
        <v>144</v>
      </c>
      <c r="C18" s="344">
        <v>1.5E-3</v>
      </c>
      <c r="D18" s="522" t="s">
        <v>1534</v>
      </c>
      <c r="E18" s="522"/>
      <c r="F18" s="522"/>
      <c r="G18" s="522"/>
      <c r="H18" s="522"/>
      <c r="I18" s="522"/>
      <c r="J18" s="522"/>
      <c r="K18" s="522"/>
      <c r="L18" s="9"/>
      <c r="M18" s="9"/>
      <c r="N18" s="9"/>
      <c r="O18" s="9"/>
      <c r="P18" s="9"/>
      <c r="Q18" s="9"/>
      <c r="R18" s="9"/>
      <c r="S18" s="9"/>
      <c r="T18" s="9"/>
      <c r="U18" s="9"/>
      <c r="V18" s="9"/>
      <c r="W18" s="9"/>
      <c r="X18" s="9"/>
      <c r="Y18" s="9"/>
      <c r="Z18" s="9"/>
      <c r="AA18" s="9"/>
      <c r="AB18" s="9"/>
    </row>
    <row r="19" spans="1:28" ht="18" customHeight="1" x14ac:dyDescent="0.3">
      <c r="A19" s="9"/>
      <c r="B19" s="9" t="s">
        <v>145</v>
      </c>
      <c r="C19" s="344">
        <v>5.0000000000000001E-3</v>
      </c>
      <c r="D19" s="522" t="s">
        <v>146</v>
      </c>
      <c r="E19" s="522"/>
      <c r="F19" s="522"/>
      <c r="G19" s="522"/>
      <c r="H19" s="522"/>
      <c r="I19" s="522"/>
      <c r="J19" s="522"/>
      <c r="K19" s="522"/>
      <c r="L19" s="9"/>
      <c r="M19" s="9"/>
      <c r="N19" s="9"/>
      <c r="O19" s="9"/>
      <c r="P19" s="9"/>
      <c r="Q19" s="9"/>
      <c r="R19" s="9"/>
      <c r="S19" s="9"/>
      <c r="T19" s="9"/>
      <c r="U19" s="9"/>
      <c r="V19" s="9"/>
      <c r="W19" s="9"/>
      <c r="X19" s="9"/>
      <c r="Y19" s="9"/>
      <c r="Z19" s="9"/>
      <c r="AA19" s="9"/>
      <c r="AB19" s="9"/>
    </row>
    <row r="20" spans="1:28" ht="18" customHeight="1" x14ac:dyDescent="0.3">
      <c r="A20" s="9"/>
      <c r="B20" s="337" t="s">
        <v>1538</v>
      </c>
      <c r="C20" s="338">
        <v>0</v>
      </c>
      <c r="D20" s="522" t="s">
        <v>1539</v>
      </c>
      <c r="E20" s="522"/>
      <c r="F20" s="522"/>
      <c r="G20" s="522"/>
      <c r="H20" s="522"/>
      <c r="I20" s="522"/>
      <c r="J20" s="522"/>
      <c r="K20" s="522"/>
      <c r="L20" s="9"/>
      <c r="M20" s="9"/>
      <c r="N20" s="9"/>
      <c r="O20" s="9"/>
      <c r="P20" s="9"/>
      <c r="Q20" s="9"/>
      <c r="R20" s="9"/>
      <c r="S20" s="9"/>
      <c r="T20" s="9"/>
      <c r="U20" s="9"/>
      <c r="V20" s="9"/>
      <c r="W20" s="9"/>
      <c r="X20" s="9"/>
      <c r="Y20" s="9"/>
      <c r="Z20" s="9"/>
      <c r="AA20" s="9"/>
      <c r="AB20" s="9"/>
    </row>
    <row r="21" spans="1:28" x14ac:dyDescent="0.3">
      <c r="A21" s="9"/>
      <c r="B21" s="9" t="s">
        <v>1168</v>
      </c>
      <c r="C21" s="473">
        <f>IFERROR(SUMPRODUCT(Properties!$D$6:$D$15,Properties!$Y$6:$Y$15,Input!$U$80:$U$89)/SUMPRODUCT(Properties!$D$6:$D$15,Properties!$Y$6:$Y$15),0)</f>
        <v>1.2500000000000002E-2</v>
      </c>
      <c r="D21" s="522" t="s">
        <v>1142</v>
      </c>
      <c r="E21" s="522"/>
      <c r="F21" s="522"/>
      <c r="G21" s="522"/>
      <c r="H21" s="522"/>
      <c r="I21" s="522"/>
      <c r="J21" s="522"/>
      <c r="K21" s="522"/>
      <c r="L21" s="9"/>
      <c r="M21" s="9"/>
      <c r="N21" s="9"/>
      <c r="O21" s="9"/>
      <c r="P21" s="9"/>
      <c r="Q21" s="9"/>
      <c r="R21" s="9"/>
      <c r="S21" s="9"/>
      <c r="T21" s="9"/>
      <c r="U21" s="9"/>
      <c r="V21" s="9"/>
      <c r="W21" s="9"/>
      <c r="X21" s="9"/>
      <c r="Y21" s="9"/>
      <c r="Z21" s="9"/>
      <c r="AA21" s="9"/>
      <c r="AB21" s="9"/>
    </row>
    <row r="22" spans="1:28" ht="34.049999999999997" customHeight="1" x14ac:dyDescent="0.3">
      <c r="A22" s="9"/>
      <c r="B22" s="337" t="s">
        <v>1169</v>
      </c>
      <c r="C22" s="338">
        <v>4.0000000000000001E-3</v>
      </c>
      <c r="D22" s="522" t="s">
        <v>10</v>
      </c>
      <c r="E22" s="522"/>
      <c r="F22" s="522"/>
      <c r="G22" s="522"/>
      <c r="H22" s="522"/>
      <c r="I22" s="522"/>
      <c r="J22" s="522"/>
      <c r="K22" s="522"/>
      <c r="L22" s="9"/>
      <c r="M22" s="9"/>
      <c r="N22" s="9"/>
      <c r="O22" s="9"/>
      <c r="P22" s="9"/>
      <c r="Q22" s="9"/>
      <c r="R22" s="9"/>
      <c r="S22" s="9"/>
      <c r="T22" s="9"/>
      <c r="U22" s="9"/>
      <c r="V22" s="9"/>
      <c r="W22" s="9"/>
      <c r="X22" s="9"/>
      <c r="Y22" s="9"/>
      <c r="Z22" s="9"/>
      <c r="AA22" s="9"/>
      <c r="AB22" s="9"/>
    </row>
    <row r="23" spans="1:28" ht="18" customHeight="1" x14ac:dyDescent="0.3">
      <c r="A23" s="9"/>
      <c r="B23" s="9"/>
      <c r="C23" s="344"/>
      <c r="D23" s="125"/>
      <c r="E23" s="330"/>
      <c r="F23" s="330"/>
      <c r="G23" s="330"/>
      <c r="H23" s="330"/>
      <c r="I23" s="330"/>
      <c r="J23" s="330"/>
      <c r="K23" s="330"/>
      <c r="L23" s="9"/>
      <c r="M23" s="9"/>
      <c r="N23" s="9"/>
      <c r="O23" s="9"/>
      <c r="P23" s="9"/>
      <c r="Q23" s="9"/>
      <c r="R23" s="9"/>
      <c r="S23" s="9"/>
      <c r="T23" s="9"/>
      <c r="U23" s="9"/>
      <c r="V23" s="9"/>
      <c r="W23" s="9"/>
      <c r="X23" s="9"/>
      <c r="Y23" s="9"/>
      <c r="Z23" s="9"/>
      <c r="AA23" s="9"/>
      <c r="AB23" s="9"/>
    </row>
    <row r="24" spans="1:28" ht="19.95" customHeight="1" x14ac:dyDescent="0.3">
      <c r="A24" s="40"/>
      <c r="B24" s="40" t="s">
        <v>11</v>
      </c>
      <c r="C24" s="40"/>
      <c r="D24" s="51"/>
      <c r="E24" s="324"/>
      <c r="F24" s="324"/>
      <c r="G24" s="324"/>
      <c r="H24" s="324"/>
      <c r="I24" s="324"/>
      <c r="J24" s="324"/>
      <c r="K24" s="324"/>
      <c r="L24" s="20"/>
      <c r="M24" s="20"/>
      <c r="N24" s="9"/>
      <c r="O24" s="9"/>
      <c r="P24" s="9"/>
      <c r="Q24" s="9"/>
      <c r="R24" s="9"/>
      <c r="S24" s="9"/>
      <c r="T24" s="9"/>
      <c r="U24" s="9"/>
      <c r="V24" s="9"/>
      <c r="W24" s="9"/>
      <c r="X24" s="9"/>
      <c r="Y24" s="9"/>
      <c r="Z24" s="9"/>
      <c r="AA24" s="9"/>
      <c r="AB24" s="9"/>
    </row>
    <row r="25" spans="1:28" ht="18" customHeight="1" x14ac:dyDescent="0.3">
      <c r="A25" s="9"/>
      <c r="B25" s="9" t="s">
        <v>1554</v>
      </c>
      <c r="C25" s="33">
        <v>0.15</v>
      </c>
      <c r="D25" s="522" t="s">
        <v>1555</v>
      </c>
      <c r="E25" s="522"/>
      <c r="F25" s="522"/>
      <c r="G25" s="522"/>
      <c r="H25" s="522"/>
      <c r="I25" s="522"/>
      <c r="J25" s="522"/>
      <c r="K25" s="522"/>
      <c r="L25" s="9"/>
      <c r="M25" s="9"/>
      <c r="N25" s="9"/>
      <c r="O25" s="9"/>
      <c r="P25" s="9"/>
      <c r="Q25" s="9"/>
      <c r="R25" s="9"/>
      <c r="S25" s="9"/>
      <c r="T25" s="9"/>
      <c r="U25" s="9"/>
      <c r="V25" s="9"/>
      <c r="W25" s="9"/>
      <c r="X25" s="9"/>
      <c r="Y25" s="9"/>
      <c r="Z25" s="9"/>
      <c r="AA25" s="9"/>
      <c r="AB25" s="9"/>
    </row>
    <row r="26" spans="1:28" ht="34.049999999999997" customHeight="1" x14ac:dyDescent="0.3">
      <c r="A26" s="9"/>
      <c r="B26" s="337" t="s">
        <v>1185</v>
      </c>
      <c r="C26" s="33">
        <v>0.15</v>
      </c>
      <c r="D26" s="522" t="s">
        <v>1556</v>
      </c>
      <c r="E26" s="522"/>
      <c r="F26" s="522"/>
      <c r="G26" s="522"/>
      <c r="H26" s="522"/>
      <c r="I26" s="522"/>
      <c r="J26" s="522"/>
      <c r="K26" s="522"/>
      <c r="L26" s="9"/>
      <c r="M26" s="9"/>
      <c r="N26" s="9"/>
      <c r="O26" s="9"/>
      <c r="P26" s="9"/>
      <c r="Q26" s="9"/>
      <c r="R26" s="9"/>
      <c r="S26" s="9"/>
      <c r="T26" s="9"/>
      <c r="U26" s="9"/>
      <c r="V26" s="9"/>
      <c r="W26" s="9"/>
      <c r="X26" s="9"/>
      <c r="Y26" s="9"/>
      <c r="Z26" s="9"/>
      <c r="AA26" s="9"/>
      <c r="AB26" s="9"/>
    </row>
    <row r="27" spans="1:28" ht="34.049999999999997" customHeight="1" x14ac:dyDescent="0.3">
      <c r="A27" s="9"/>
      <c r="B27" s="337" t="s">
        <v>1170</v>
      </c>
      <c r="C27" s="33">
        <v>0.19</v>
      </c>
      <c r="D27" s="522" t="s">
        <v>1143</v>
      </c>
      <c r="E27" s="522"/>
      <c r="F27" s="522"/>
      <c r="G27" s="522"/>
      <c r="H27" s="522"/>
      <c r="I27" s="522"/>
      <c r="J27" s="522"/>
      <c r="K27" s="522"/>
      <c r="L27" s="9"/>
      <c r="M27" s="9"/>
      <c r="N27" s="9"/>
      <c r="O27" s="9"/>
      <c r="P27" s="9"/>
      <c r="Q27" s="9"/>
      <c r="R27" s="9"/>
      <c r="S27" s="9"/>
      <c r="T27" s="9"/>
      <c r="U27" s="9"/>
      <c r="V27" s="9"/>
      <c r="W27" s="9"/>
      <c r="X27" s="9"/>
      <c r="Y27" s="9"/>
      <c r="Z27" s="9"/>
      <c r="AA27" s="9"/>
      <c r="AB27" s="9"/>
    </row>
    <row r="28" spans="1:28" ht="34.049999999999997" customHeight="1" x14ac:dyDescent="0.3">
      <c r="A28" s="9"/>
      <c r="B28" s="337" t="s">
        <v>1190</v>
      </c>
      <c r="C28" s="344">
        <v>3.3500000000000002E-2</v>
      </c>
      <c r="D28" s="522" t="s">
        <v>1192</v>
      </c>
      <c r="E28" s="522"/>
      <c r="F28" s="522"/>
      <c r="G28" s="522"/>
      <c r="H28" s="522"/>
      <c r="I28" s="522"/>
      <c r="J28" s="522"/>
      <c r="K28" s="522"/>
      <c r="L28" s="9"/>
      <c r="M28" s="9"/>
      <c r="N28" s="9"/>
      <c r="O28" s="9"/>
      <c r="P28" s="9"/>
      <c r="Q28" s="9"/>
      <c r="R28" s="9"/>
      <c r="S28" s="9"/>
      <c r="T28" s="9"/>
      <c r="U28" s="9"/>
      <c r="V28" s="9"/>
      <c r="W28" s="9"/>
      <c r="X28" s="9"/>
      <c r="Y28" s="9"/>
      <c r="Z28" s="9"/>
      <c r="AA28" s="9"/>
      <c r="AB28" s="9"/>
    </row>
    <row r="29" spans="1:28" ht="19.95" customHeight="1" x14ac:dyDescent="0.3">
      <c r="A29" s="40"/>
      <c r="B29" s="40" t="s">
        <v>12</v>
      </c>
      <c r="C29" s="40"/>
      <c r="D29" s="51"/>
      <c r="E29" s="324"/>
      <c r="F29" s="324"/>
      <c r="G29" s="324"/>
      <c r="H29" s="324"/>
      <c r="I29" s="324"/>
      <c r="J29" s="324"/>
      <c r="K29" s="324"/>
      <c r="L29" s="20"/>
      <c r="M29" s="20"/>
      <c r="N29" s="9"/>
      <c r="O29" s="9"/>
      <c r="P29" s="9"/>
      <c r="Q29" s="9"/>
      <c r="R29" s="9"/>
      <c r="S29" s="9"/>
      <c r="T29" s="9"/>
      <c r="U29" s="9"/>
      <c r="V29" s="9"/>
      <c r="W29" s="9"/>
      <c r="X29" s="9"/>
      <c r="Y29" s="9"/>
      <c r="Z29" s="9"/>
      <c r="AA29" s="9"/>
      <c r="AB29" s="9"/>
    </row>
    <row r="30" spans="1:28" ht="18" customHeight="1" x14ac:dyDescent="0.3">
      <c r="A30" s="9"/>
      <c r="B30" s="9" t="s">
        <v>13</v>
      </c>
      <c r="C30" s="338">
        <v>0.01</v>
      </c>
      <c r="D30" s="365"/>
      <c r="E30" s="330"/>
      <c r="F30" s="330"/>
      <c r="G30" s="330"/>
      <c r="H30" s="330"/>
      <c r="I30" s="330"/>
      <c r="J30" s="330"/>
      <c r="K30" s="330"/>
      <c r="L30" s="9"/>
      <c r="M30" s="9"/>
      <c r="N30" s="9"/>
      <c r="O30" s="9"/>
      <c r="P30" s="9"/>
      <c r="Q30" s="9"/>
      <c r="R30" s="9"/>
      <c r="S30" s="9"/>
      <c r="T30" s="9"/>
      <c r="U30" s="9"/>
      <c r="V30" s="9"/>
      <c r="W30" s="9"/>
      <c r="X30" s="9"/>
      <c r="Y30" s="9"/>
      <c r="Z30" s="9"/>
      <c r="AA30" s="9"/>
      <c r="AB30" s="9"/>
    </row>
    <row r="31" spans="1:28" ht="18" customHeight="1" x14ac:dyDescent="0.3">
      <c r="A31" s="9"/>
      <c r="B31" s="9" t="s">
        <v>1540</v>
      </c>
      <c r="C31" s="338">
        <v>0.2</v>
      </c>
      <c r="D31" s="365" t="s">
        <v>1541</v>
      </c>
      <c r="E31" s="330"/>
      <c r="F31" s="330"/>
      <c r="G31" s="330"/>
      <c r="H31" s="330"/>
      <c r="I31" s="330"/>
      <c r="J31" s="330"/>
      <c r="K31" s="330"/>
      <c r="L31" s="9"/>
      <c r="M31" s="9"/>
      <c r="N31" s="9"/>
      <c r="O31" s="9"/>
      <c r="P31" s="9"/>
      <c r="Q31" s="9"/>
      <c r="R31" s="9"/>
      <c r="S31" s="9"/>
      <c r="T31" s="9"/>
      <c r="U31" s="9"/>
      <c r="V31" s="9"/>
      <c r="W31" s="9"/>
      <c r="X31" s="9"/>
      <c r="Y31" s="9"/>
      <c r="Z31" s="9"/>
      <c r="AA31" s="9"/>
      <c r="AB31" s="9"/>
    </row>
    <row r="32" spans="1:28" ht="43.95" customHeight="1" x14ac:dyDescent="0.3">
      <c r="A32" s="9"/>
      <c r="B32" s="337" t="s">
        <v>972</v>
      </c>
      <c r="C32" s="345">
        <v>0</v>
      </c>
      <c r="D32" s="522" t="s">
        <v>1559</v>
      </c>
      <c r="E32" s="522"/>
      <c r="F32" s="522"/>
      <c r="G32" s="522"/>
      <c r="H32" s="522"/>
      <c r="I32" s="522"/>
      <c r="J32" s="522"/>
      <c r="K32" s="522"/>
      <c r="L32" s="9"/>
      <c r="M32" s="9"/>
      <c r="N32" s="9"/>
      <c r="O32" s="9"/>
      <c r="P32" s="9"/>
      <c r="Q32" s="9"/>
      <c r="R32" s="9"/>
      <c r="S32" s="9"/>
      <c r="T32" s="9"/>
      <c r="U32" s="9"/>
      <c r="V32" s="9"/>
      <c r="W32" s="9"/>
      <c r="X32" s="9"/>
      <c r="Y32" s="9"/>
      <c r="Z32" s="9"/>
      <c r="AA32" s="9"/>
      <c r="AB32" s="9"/>
    </row>
    <row r="33" spans="1:28" ht="18" customHeight="1" x14ac:dyDescent="0.3">
      <c r="A33" s="9"/>
      <c r="B33" s="9"/>
      <c r="C33" s="9"/>
      <c r="D33" s="337"/>
      <c r="E33" s="9"/>
      <c r="F33" s="9"/>
      <c r="G33" s="9"/>
      <c r="H33" s="9"/>
      <c r="I33" s="9"/>
      <c r="J33" s="9"/>
      <c r="K33" s="9"/>
      <c r="L33" s="9"/>
      <c r="M33" s="9"/>
      <c r="N33" s="9"/>
      <c r="O33" s="9"/>
      <c r="P33" s="9"/>
      <c r="Q33" s="9"/>
      <c r="R33" s="9"/>
      <c r="S33" s="9"/>
      <c r="T33" s="9"/>
      <c r="U33" s="9"/>
      <c r="V33" s="9"/>
      <c r="W33" s="9"/>
      <c r="X33" s="9"/>
      <c r="Y33" s="9"/>
      <c r="Z33" s="9"/>
      <c r="AA33" s="9"/>
      <c r="AB33" s="9"/>
    </row>
    <row r="34" spans="1:28" ht="19.95" customHeight="1" x14ac:dyDescent="0.3">
      <c r="A34" s="40"/>
      <c r="B34" s="40" t="s">
        <v>14</v>
      </c>
      <c r="C34" s="40"/>
      <c r="D34" s="332"/>
      <c r="E34" s="40"/>
      <c r="F34" s="40"/>
      <c r="G34" s="40"/>
      <c r="H34" s="40"/>
      <c r="I34" s="40"/>
      <c r="J34" s="40"/>
      <c r="K34" s="40"/>
      <c r="L34" s="20"/>
      <c r="M34" s="20"/>
      <c r="N34" s="9"/>
      <c r="O34" s="9"/>
      <c r="P34" s="9"/>
      <c r="Q34" s="9"/>
      <c r="R34" s="9"/>
      <c r="S34" s="9"/>
      <c r="T34" s="9"/>
      <c r="U34" s="9"/>
      <c r="V34" s="9"/>
      <c r="W34" s="9"/>
      <c r="X34" s="9"/>
      <c r="Y34" s="9"/>
      <c r="Z34" s="9"/>
      <c r="AA34" s="9"/>
      <c r="AB34" s="9"/>
    </row>
    <row r="35" spans="1:28" ht="18" customHeight="1" x14ac:dyDescent="0.3">
      <c r="A35" s="9"/>
      <c r="B35" s="346" t="s">
        <v>15</v>
      </c>
      <c r="C35" s="347">
        <v>30000</v>
      </c>
      <c r="D35" s="337"/>
      <c r="E35" s="9"/>
      <c r="F35" s="9"/>
      <c r="G35" s="9"/>
      <c r="H35" s="9"/>
      <c r="I35" s="9"/>
      <c r="J35" s="9"/>
      <c r="K35" s="9"/>
      <c r="L35" s="9"/>
      <c r="M35" s="9"/>
      <c r="N35" s="9"/>
      <c r="O35" s="9"/>
      <c r="P35" s="9"/>
      <c r="Q35" s="9"/>
      <c r="R35" s="9"/>
      <c r="S35" s="9"/>
      <c r="T35" s="9"/>
      <c r="U35" s="9"/>
      <c r="V35" s="9"/>
      <c r="W35" s="9"/>
      <c r="X35" s="9"/>
      <c r="Y35" s="9"/>
      <c r="Z35" s="9"/>
      <c r="AA35" s="9"/>
      <c r="AB35" s="9"/>
    </row>
    <row r="36" spans="1:28" ht="19.95" customHeight="1" x14ac:dyDescent="0.3">
      <c r="A36" s="40"/>
      <c r="B36" s="40" t="s">
        <v>16</v>
      </c>
      <c r="C36" s="40"/>
      <c r="D36" s="332"/>
      <c r="E36" s="40"/>
      <c r="F36" s="40"/>
      <c r="G36" s="40"/>
      <c r="H36" s="40"/>
      <c r="I36" s="40"/>
      <c r="J36" s="40"/>
      <c r="K36" s="40"/>
      <c r="L36" s="20"/>
      <c r="M36" s="20"/>
      <c r="N36" s="9"/>
      <c r="O36" s="9"/>
      <c r="P36" s="9"/>
      <c r="Q36" s="9"/>
      <c r="R36" s="9"/>
      <c r="S36" s="9"/>
      <c r="T36" s="9"/>
      <c r="U36" s="9"/>
      <c r="V36" s="9"/>
      <c r="W36" s="9"/>
      <c r="X36" s="9"/>
      <c r="Y36" s="9"/>
      <c r="Z36" s="9"/>
      <c r="AA36" s="9"/>
      <c r="AB36" s="9"/>
    </row>
    <row r="37" spans="1:28" ht="18" customHeight="1" x14ac:dyDescent="0.3">
      <c r="A37" s="9"/>
      <c r="B37" s="9" t="s">
        <v>17</v>
      </c>
      <c r="C37" s="345">
        <v>7000000</v>
      </c>
      <c r="D37" s="522" t="s">
        <v>134</v>
      </c>
      <c r="E37" s="522"/>
      <c r="F37" s="522"/>
      <c r="G37" s="522"/>
      <c r="H37" s="522"/>
      <c r="I37" s="522"/>
      <c r="J37" s="522"/>
      <c r="K37" s="522"/>
      <c r="L37" s="9"/>
      <c r="M37" s="9"/>
      <c r="N37" s="9"/>
      <c r="O37" s="9"/>
      <c r="P37" s="9"/>
      <c r="Q37" s="9"/>
      <c r="R37" s="9"/>
      <c r="S37" s="9"/>
      <c r="T37" s="9"/>
      <c r="U37" s="9"/>
      <c r="V37" s="9"/>
      <c r="W37" s="9"/>
      <c r="X37" s="9"/>
      <c r="Y37" s="9"/>
      <c r="Z37" s="9"/>
      <c r="AA37" s="9"/>
      <c r="AB37" s="9"/>
    </row>
    <row r="38" spans="1:28" ht="18" customHeight="1" x14ac:dyDescent="0.3">
      <c r="A38" s="9"/>
      <c r="B38" s="337" t="s">
        <v>918</v>
      </c>
      <c r="C38" s="348">
        <f>'Sources &amp; Uses'!$C$8</f>
        <v>6806601.5757834287</v>
      </c>
      <c r="D38" s="522" t="str">
        <f>"First "&amp;TEXT($C$37/1000000,"$0.0")&amp;"M of the raise is allocated to Dulcinea for property acquisition and improvements"</f>
        <v>First $7.0M of the raise is allocated to Dulcinea for property acquisition and improvements</v>
      </c>
      <c r="E38" s="522"/>
      <c r="F38" s="522"/>
      <c r="G38" s="522"/>
      <c r="H38" s="522"/>
      <c r="I38" s="522"/>
      <c r="J38" s="522"/>
      <c r="K38" s="522"/>
      <c r="L38" s="9"/>
      <c r="M38" s="9"/>
      <c r="N38" s="9"/>
      <c r="O38" s="9"/>
      <c r="P38" s="9"/>
      <c r="Q38" s="9"/>
      <c r="R38" s="9"/>
      <c r="S38" s="9"/>
      <c r="T38" s="9"/>
      <c r="U38" s="9"/>
      <c r="V38" s="9"/>
      <c r="W38" s="9"/>
      <c r="X38" s="9"/>
      <c r="Y38" s="9"/>
      <c r="Z38" s="9"/>
      <c r="AA38" s="9"/>
      <c r="AB38" s="9"/>
    </row>
    <row r="39" spans="1:28" ht="18" customHeight="1" x14ac:dyDescent="0.3">
      <c r="A39" s="9"/>
      <c r="B39" s="337" t="s">
        <v>924</v>
      </c>
      <c r="C39" s="342">
        <v>3</v>
      </c>
      <c r="D39" s="365"/>
      <c r="E39" s="330"/>
      <c r="F39" s="330"/>
      <c r="G39" s="330"/>
      <c r="H39" s="330"/>
      <c r="I39" s="330"/>
      <c r="J39" s="330"/>
      <c r="K39" s="330"/>
      <c r="L39" s="9"/>
      <c r="M39" s="9"/>
      <c r="N39" s="9"/>
      <c r="O39" s="9"/>
      <c r="P39" s="9"/>
      <c r="Q39" s="9"/>
      <c r="R39" s="9"/>
      <c r="S39" s="9"/>
      <c r="T39" s="9"/>
      <c r="U39" s="9"/>
      <c r="V39" s="9"/>
      <c r="W39" s="9"/>
      <c r="X39" s="9"/>
      <c r="Y39" s="9"/>
      <c r="Z39" s="9"/>
      <c r="AA39" s="9"/>
      <c r="AB39" s="9"/>
    </row>
    <row r="40" spans="1:28" ht="18" customHeight="1" x14ac:dyDescent="0.3">
      <c r="A40" s="9"/>
      <c r="B40" s="337" t="s">
        <v>870</v>
      </c>
      <c r="C40" s="345">
        <v>10000</v>
      </c>
      <c r="D40" s="522" t="s">
        <v>871</v>
      </c>
      <c r="E40" s="522"/>
      <c r="F40" s="522"/>
      <c r="G40" s="522"/>
      <c r="H40" s="522"/>
      <c r="I40" s="522"/>
      <c r="J40" s="522"/>
      <c r="K40" s="522"/>
      <c r="L40" s="9"/>
      <c r="M40" s="9"/>
      <c r="N40" s="9"/>
      <c r="O40" s="9"/>
      <c r="P40" s="9"/>
      <c r="Q40" s="9"/>
      <c r="R40" s="9"/>
      <c r="S40" s="9"/>
      <c r="T40" s="9"/>
      <c r="U40" s="9"/>
      <c r="V40" s="9"/>
      <c r="W40" s="9"/>
      <c r="X40" s="9"/>
      <c r="Y40" s="9"/>
      <c r="Z40" s="9"/>
      <c r="AA40" s="9"/>
      <c r="AB40" s="9"/>
    </row>
    <row r="41" spans="1:28" ht="18" customHeight="1" x14ac:dyDescent="0.3">
      <c r="A41" s="9"/>
      <c r="B41" s="9" t="s">
        <v>872</v>
      </c>
      <c r="C41" s="345">
        <v>210</v>
      </c>
      <c r="D41" s="522" t="s">
        <v>873</v>
      </c>
      <c r="E41" s="522"/>
      <c r="F41" s="522"/>
      <c r="G41" s="522"/>
      <c r="H41" s="522"/>
      <c r="I41" s="522"/>
      <c r="J41" s="522"/>
      <c r="K41" s="522"/>
      <c r="L41" s="9"/>
      <c r="M41" s="9"/>
      <c r="N41" s="9"/>
      <c r="O41" s="9"/>
      <c r="P41" s="9"/>
      <c r="Q41" s="9"/>
      <c r="R41" s="9"/>
      <c r="S41" s="9"/>
      <c r="T41" s="9"/>
      <c r="U41" s="9"/>
      <c r="V41" s="9"/>
      <c r="W41" s="9"/>
      <c r="X41" s="9"/>
      <c r="Y41" s="9"/>
      <c r="Z41" s="9"/>
      <c r="AA41" s="9"/>
      <c r="AB41" s="9"/>
    </row>
    <row r="42" spans="1:28" ht="18" customHeight="1" x14ac:dyDescent="0.3">
      <c r="A42" s="9"/>
      <c r="B42" s="9" t="s">
        <v>874</v>
      </c>
      <c r="C42" s="47">
        <f>C40*C41</f>
        <v>2100000</v>
      </c>
      <c r="D42" s="522" t="s">
        <v>1333</v>
      </c>
      <c r="E42" s="522"/>
      <c r="F42" s="522"/>
      <c r="G42" s="522"/>
      <c r="H42" s="522"/>
      <c r="I42" s="522"/>
      <c r="J42" s="522"/>
      <c r="K42" s="522"/>
      <c r="L42" s="9"/>
      <c r="M42" s="9"/>
      <c r="N42" s="9"/>
      <c r="O42" s="9"/>
      <c r="P42" s="9"/>
      <c r="Q42" s="9"/>
      <c r="R42" s="9"/>
      <c r="S42" s="9"/>
      <c r="T42" s="9"/>
      <c r="U42" s="9"/>
      <c r="V42" s="9"/>
      <c r="W42" s="9"/>
      <c r="X42" s="9"/>
      <c r="Y42" s="9"/>
      <c r="Z42" s="9"/>
      <c r="AA42" s="9"/>
      <c r="AB42" s="9"/>
    </row>
    <row r="43" spans="1:28" ht="18" customHeight="1" x14ac:dyDescent="0.3">
      <c r="A43" s="9"/>
      <c r="B43" s="9" t="s">
        <v>875</v>
      </c>
      <c r="C43" s="47">
        <f>C37</f>
        <v>7000000</v>
      </c>
      <c r="D43" s="522" t="s">
        <v>876</v>
      </c>
      <c r="E43" s="522"/>
      <c r="F43" s="522"/>
      <c r="G43" s="522"/>
      <c r="H43" s="522"/>
      <c r="I43" s="522"/>
      <c r="J43" s="522"/>
      <c r="K43" s="522"/>
      <c r="L43" s="9"/>
      <c r="M43" s="9"/>
      <c r="N43" s="9"/>
      <c r="O43" s="9"/>
      <c r="P43" s="9"/>
      <c r="Q43" s="9"/>
      <c r="R43" s="9"/>
      <c r="S43" s="9"/>
      <c r="T43" s="9"/>
      <c r="U43" s="9"/>
      <c r="V43" s="9"/>
      <c r="W43" s="9"/>
      <c r="X43" s="9"/>
      <c r="Y43" s="9"/>
      <c r="Z43" s="9"/>
      <c r="AA43" s="9"/>
      <c r="AB43" s="9"/>
    </row>
    <row r="44" spans="1:28" ht="28.8" customHeight="1" x14ac:dyDescent="0.3">
      <c r="A44" s="9"/>
      <c r="B44" s="337" t="s">
        <v>1334</v>
      </c>
      <c r="C44" s="33">
        <v>0.8</v>
      </c>
      <c r="D44" s="522" t="s">
        <v>877</v>
      </c>
      <c r="E44" s="522"/>
      <c r="F44" s="522"/>
      <c r="G44" s="522"/>
      <c r="H44" s="522"/>
      <c r="I44" s="522"/>
      <c r="J44" s="522"/>
      <c r="K44" s="522"/>
      <c r="L44" s="9"/>
      <c r="M44" s="9"/>
      <c r="N44" s="9"/>
      <c r="O44" s="9"/>
      <c r="P44" s="9"/>
      <c r="Q44" s="9"/>
      <c r="R44" s="9"/>
      <c r="S44" s="9"/>
      <c r="T44" s="9"/>
      <c r="U44" s="9"/>
      <c r="V44" s="9"/>
      <c r="W44" s="9"/>
      <c r="X44" s="9"/>
      <c r="Y44" s="9"/>
      <c r="Z44" s="9"/>
      <c r="AA44" s="9"/>
      <c r="AB44" s="9"/>
    </row>
    <row r="45" spans="1:28" ht="18" customHeight="1" x14ac:dyDescent="0.3">
      <c r="A45" s="9"/>
      <c r="B45" s="337" t="s">
        <v>878</v>
      </c>
      <c r="C45" s="47">
        <f>C43-C42</f>
        <v>4900000</v>
      </c>
      <c r="D45" s="522" t="s">
        <v>1335</v>
      </c>
      <c r="E45" s="522"/>
      <c r="F45" s="522"/>
      <c r="G45" s="522"/>
      <c r="H45" s="522"/>
      <c r="I45" s="522"/>
      <c r="J45" s="522"/>
      <c r="K45" s="522"/>
      <c r="L45" s="9"/>
      <c r="M45" s="9"/>
      <c r="N45" s="9"/>
      <c r="O45" s="9"/>
      <c r="P45" s="9"/>
      <c r="Q45" s="9"/>
      <c r="R45" s="9"/>
      <c r="S45" s="9"/>
      <c r="T45" s="9"/>
      <c r="U45" s="9"/>
      <c r="V45" s="9"/>
      <c r="W45" s="9"/>
      <c r="X45" s="9"/>
      <c r="Y45" s="9"/>
      <c r="Z45" s="9"/>
      <c r="AA45" s="9"/>
      <c r="AB45" s="9"/>
    </row>
    <row r="46" spans="1:28" ht="31.05" customHeight="1" x14ac:dyDescent="0.3">
      <c r="A46" s="9"/>
      <c r="B46" s="337" t="s">
        <v>1336</v>
      </c>
      <c r="C46" s="33">
        <v>0.2</v>
      </c>
      <c r="D46" s="522" t="s">
        <v>1337</v>
      </c>
      <c r="E46" s="522"/>
      <c r="F46" s="522"/>
      <c r="G46" s="522"/>
      <c r="H46" s="522"/>
      <c r="I46" s="522"/>
      <c r="J46" s="522"/>
      <c r="K46" s="522"/>
      <c r="L46" s="9"/>
      <c r="M46" s="9"/>
      <c r="N46" s="9"/>
      <c r="O46" s="9"/>
      <c r="P46" s="9"/>
      <c r="Q46" s="9"/>
      <c r="R46" s="9"/>
      <c r="S46" s="9"/>
      <c r="T46" s="9"/>
      <c r="U46" s="9"/>
      <c r="V46" s="9"/>
      <c r="W46" s="9"/>
      <c r="X46" s="9"/>
      <c r="Y46" s="9"/>
      <c r="Z46" s="9"/>
      <c r="AA46" s="9"/>
      <c r="AB46" s="9"/>
    </row>
    <row r="47" spans="1:28" ht="31.05" customHeight="1" x14ac:dyDescent="0.3">
      <c r="A47" s="9"/>
      <c r="B47" s="337" t="s">
        <v>1034</v>
      </c>
      <c r="C47" s="342">
        <v>2</v>
      </c>
      <c r="D47" s="522" t="s">
        <v>1338</v>
      </c>
      <c r="E47" s="522"/>
      <c r="F47" s="522"/>
      <c r="G47" s="522"/>
      <c r="H47" s="522"/>
      <c r="I47" s="522"/>
      <c r="J47" s="522"/>
      <c r="K47" s="522"/>
      <c r="L47" s="9"/>
      <c r="M47" s="9"/>
      <c r="N47" s="9"/>
      <c r="O47" s="9"/>
      <c r="P47" s="9"/>
      <c r="Q47" s="9"/>
      <c r="R47" s="9"/>
      <c r="S47" s="9"/>
      <c r="T47" s="9"/>
      <c r="U47" s="9"/>
      <c r="V47" s="9"/>
      <c r="W47" s="9"/>
      <c r="X47" s="9"/>
      <c r="Y47" s="9"/>
      <c r="Z47" s="9"/>
      <c r="AA47" s="9"/>
      <c r="AB47" s="9"/>
    </row>
    <row r="48" spans="1:28" ht="31.05" customHeight="1" x14ac:dyDescent="0.3">
      <c r="A48" s="9"/>
      <c r="B48" s="337" t="s">
        <v>1307</v>
      </c>
      <c r="C48" s="338">
        <v>0.03</v>
      </c>
      <c r="D48" s="522" t="s">
        <v>1308</v>
      </c>
      <c r="E48" s="522"/>
      <c r="F48" s="522"/>
      <c r="G48" s="522"/>
      <c r="H48" s="522"/>
      <c r="I48" s="522"/>
      <c r="J48" s="522"/>
      <c r="K48" s="522"/>
      <c r="L48" s="9"/>
      <c r="M48" s="9"/>
      <c r="N48" s="9"/>
      <c r="O48" s="9"/>
      <c r="P48" s="9"/>
      <c r="Q48" s="9"/>
      <c r="R48" s="9"/>
      <c r="S48" s="9"/>
      <c r="T48" s="9"/>
      <c r="U48" s="9"/>
      <c r="V48" s="9"/>
      <c r="W48" s="9"/>
      <c r="X48" s="9"/>
      <c r="Y48" s="9"/>
      <c r="Z48" s="9"/>
      <c r="AA48" s="9"/>
      <c r="AB48" s="9"/>
    </row>
    <row r="49" spans="1:28" ht="18" customHeight="1" x14ac:dyDescent="0.3">
      <c r="A49" s="9"/>
      <c r="B49" s="337" t="s">
        <v>1309</v>
      </c>
      <c r="C49" s="33">
        <v>1</v>
      </c>
      <c r="D49" s="522" t="s">
        <v>1310</v>
      </c>
      <c r="E49" s="522"/>
      <c r="F49" s="522"/>
      <c r="G49" s="522"/>
      <c r="H49" s="522"/>
      <c r="I49" s="522"/>
      <c r="J49" s="522"/>
      <c r="K49" s="522"/>
      <c r="L49" s="9"/>
      <c r="M49" s="9"/>
      <c r="N49" s="9"/>
      <c r="O49" s="9"/>
      <c r="P49" s="9"/>
      <c r="Q49" s="9"/>
      <c r="R49" s="9"/>
      <c r="S49" s="9"/>
      <c r="T49" s="9"/>
      <c r="U49" s="9"/>
      <c r="V49" s="9"/>
      <c r="W49" s="9"/>
      <c r="X49" s="9"/>
      <c r="Y49" s="9"/>
      <c r="Z49" s="9"/>
      <c r="AA49" s="9"/>
      <c r="AB49" s="9"/>
    </row>
    <row r="50" spans="1:28" ht="18" customHeight="1" x14ac:dyDescent="0.3">
      <c r="A50" s="9"/>
      <c r="B50" s="337" t="s">
        <v>1311</v>
      </c>
      <c r="C50" s="473">
        <f>C48*MIN(1,C49)</f>
        <v>0.03</v>
      </c>
      <c r="D50" s="522" t="s">
        <v>1312</v>
      </c>
      <c r="E50" s="522"/>
      <c r="F50" s="522"/>
      <c r="G50" s="522"/>
      <c r="H50" s="522"/>
      <c r="I50" s="522"/>
      <c r="J50" s="522"/>
      <c r="K50" s="522"/>
      <c r="L50" s="9"/>
      <c r="M50" s="9"/>
      <c r="N50" s="9"/>
      <c r="O50" s="9"/>
      <c r="P50" s="9"/>
      <c r="Q50" s="9"/>
      <c r="R50" s="9"/>
      <c r="S50" s="9"/>
      <c r="T50" s="9"/>
      <c r="U50" s="9"/>
      <c r="V50" s="9"/>
      <c r="W50" s="9"/>
      <c r="X50" s="9"/>
      <c r="Y50" s="9"/>
      <c r="Z50" s="9"/>
      <c r="AA50" s="9"/>
      <c r="AB50" s="9"/>
    </row>
    <row r="51" spans="1:28" ht="18" customHeight="1" x14ac:dyDescent="0.3">
      <c r="A51" s="9"/>
      <c r="B51" s="337" t="s">
        <v>1313</v>
      </c>
      <c r="C51" s="473">
        <f>C48*MIN(1,C42/C43)</f>
        <v>8.9999999999999993E-3</v>
      </c>
      <c r="D51" s="522" t="s">
        <v>1314</v>
      </c>
      <c r="E51" s="522"/>
      <c r="F51" s="522"/>
      <c r="G51" s="522"/>
      <c r="H51" s="522"/>
      <c r="I51" s="522"/>
      <c r="J51" s="522"/>
      <c r="K51" s="522"/>
      <c r="L51" s="9"/>
      <c r="M51" s="9"/>
      <c r="N51" s="9"/>
      <c r="O51" s="9"/>
      <c r="P51" s="9"/>
      <c r="Q51" s="9"/>
      <c r="R51" s="9"/>
      <c r="S51" s="9"/>
      <c r="T51" s="9"/>
      <c r="U51" s="9"/>
      <c r="V51" s="9"/>
      <c r="W51" s="9"/>
      <c r="X51" s="9"/>
      <c r="Y51" s="9"/>
      <c r="Z51" s="9"/>
      <c r="AA51" s="9"/>
      <c r="AB51" s="9"/>
    </row>
    <row r="52" spans="1:28" ht="31.05" customHeight="1" x14ac:dyDescent="0.3">
      <c r="A52" s="9"/>
      <c r="B52" s="337" t="s">
        <v>1315</v>
      </c>
      <c r="C52" s="495">
        <v>0</v>
      </c>
      <c r="D52" s="522" t="s">
        <v>1316</v>
      </c>
      <c r="E52" s="522"/>
      <c r="F52" s="522"/>
      <c r="G52" s="522"/>
      <c r="H52" s="522"/>
      <c r="I52" s="522"/>
      <c r="J52" s="522"/>
      <c r="K52" s="522"/>
      <c r="L52" s="9"/>
      <c r="M52" s="9"/>
      <c r="N52" s="9"/>
      <c r="O52" s="9"/>
      <c r="P52" s="9"/>
      <c r="Q52" s="9"/>
      <c r="R52" s="9"/>
      <c r="S52" s="9"/>
      <c r="T52" s="9"/>
      <c r="U52" s="9"/>
      <c r="V52" s="9"/>
      <c r="W52" s="9"/>
      <c r="X52" s="9"/>
      <c r="Y52" s="9"/>
      <c r="Z52" s="9"/>
      <c r="AA52" s="9"/>
      <c r="AB52" s="9"/>
    </row>
    <row r="53" spans="1:28" ht="19.95" customHeight="1" x14ac:dyDescent="0.3">
      <c r="A53" s="40"/>
      <c r="B53" s="40" t="s">
        <v>948</v>
      </c>
      <c r="C53" s="40"/>
      <c r="D53" s="332"/>
      <c r="E53" s="40"/>
      <c r="F53" s="40"/>
      <c r="G53" s="40"/>
      <c r="H53" s="40"/>
      <c r="I53" s="40"/>
      <c r="J53" s="40"/>
      <c r="K53" s="40"/>
      <c r="L53" s="9"/>
      <c r="M53" s="9"/>
      <c r="N53" s="9"/>
      <c r="O53" s="9"/>
      <c r="P53" s="9"/>
      <c r="Q53" s="9"/>
      <c r="R53" s="9"/>
      <c r="S53" s="9"/>
      <c r="T53" s="9"/>
      <c r="U53" s="9"/>
      <c r="V53" s="9"/>
      <c r="W53" s="9"/>
      <c r="X53" s="9"/>
      <c r="Y53" s="9"/>
      <c r="Z53" s="9"/>
      <c r="AA53" s="9"/>
      <c r="AB53" s="9"/>
    </row>
    <row r="54" spans="1:28" ht="43.95" customHeight="1" x14ac:dyDescent="0.3">
      <c r="A54" s="9"/>
      <c r="B54" s="337" t="s">
        <v>931</v>
      </c>
      <c r="C54" s="133">
        <f>SUMPRODUCT(Properties!$D$6:$D$15,Properties!$P$6:$P$15,$F$80:$F$89)/SUMPRODUCT(Properties!$D$6:$D$15,Properties!$P$6:$P$15)</f>
        <v>7.8087751371115163E-2</v>
      </c>
      <c r="D54" s="522" t="str">
        <f>"Derived: basis-weighted average of the per-property COP inputs in column F. Seeded "&amp;TEXT($F$80,"0.00%")&amp;" for El Poblado apartments and "&amp;TEXT($F$83,"0.00%")&amp;" for El Retiro houses, anchored to the DANE IPVN national-by-type print for 2026 Q1. Reviewed and held at that anchor (Sep 2026): the 2026 Q2 print reads "&amp;TEXT('Medellín Market Data'!$D$23,"0.00%")&amp;" for apartments and "&amp;TEXT('Medellín Market Data'!$E$23,"0.00%")&amp;" for houses, and the Medellín estrato alto (5–6) annual print reads "&amp;TEXT('Medellín Market Data'!$F$29,"0.00%")&amp;"; the multi-year record supports the seeds in use. Set each property in F74:F83. Reference 10."</f>
        <v>Derived: basis-weighted average of the per-property COP inputs in column F. Seeded 8.50% for El Poblado apartments and 7.15% for El Retiro houses, anchored to the DANE IPVN national-by-type print for 2026 Q1. Reviewed and held at that anchor (Sep 2026): the 2026 Q2 print reads 8.88% for apartments and 6.67% for houses, and the Medellín estrato alto (5–6) annual print reads 6.18%; the multi-year record supports the seeds in use. Set each property in F74:F83. Reference 10.</v>
      </c>
      <c r="E54" s="522"/>
      <c r="F54" s="522"/>
      <c r="G54" s="522"/>
      <c r="H54" s="522"/>
      <c r="I54" s="522"/>
      <c r="J54" s="522"/>
      <c r="K54" s="522"/>
      <c r="L54" s="9"/>
      <c r="M54" s="9"/>
      <c r="N54" s="9"/>
      <c r="O54" s="9"/>
      <c r="P54" s="9"/>
      <c r="Q54" s="9"/>
      <c r="R54" s="9"/>
      <c r="S54" s="9"/>
      <c r="T54" s="9"/>
      <c r="U54" s="9"/>
      <c r="V54" s="9"/>
      <c r="W54" s="9"/>
      <c r="X54" s="9"/>
      <c r="Y54" s="9"/>
      <c r="Z54" s="9"/>
      <c r="AA54" s="9"/>
      <c r="AB54" s="9"/>
    </row>
    <row r="55" spans="1:28" ht="31.05" customHeight="1" x14ac:dyDescent="0.3">
      <c r="A55" s="9"/>
      <c r="B55" s="139" t="s">
        <v>606</v>
      </c>
      <c r="C55" s="134">
        <f>(1+C54)/(1+C6)-1</f>
        <v>7.8087751371115122E-2</v>
      </c>
      <c r="D55" s="522" t="str">
        <f>"Derived: (1 + COP appreciation) ÷ (1 + peso depreciation) − 1. Reads identical to the COP rate above while peso depreciation is "&amp;TEXT($C$6,"0.0%")&amp;" — the two separate as soon as that input moves. Each property carries its own rate in column G, and that is what exit values and the return grids read."</f>
        <v>Derived: (1 + COP appreciation) ÷ (1 + peso depreciation) − 1. Reads identical to the COP rate above while peso depreciation is 0.0% — the two separate as soon as that input moves. Each property carries its own rate in column G, and that is what exit values and the return grids read.</v>
      </c>
      <c r="E55" s="522"/>
      <c r="F55" s="522"/>
      <c r="G55" s="522"/>
      <c r="H55" s="522"/>
      <c r="I55" s="522"/>
      <c r="J55" s="522"/>
      <c r="K55" s="522"/>
      <c r="L55" s="9"/>
      <c r="M55" s="9"/>
      <c r="N55" s="9"/>
      <c r="O55" s="9"/>
      <c r="P55" s="9"/>
      <c r="Q55" s="9"/>
      <c r="R55" s="9"/>
      <c r="S55" s="9"/>
      <c r="T55" s="9"/>
      <c r="U55" s="9"/>
      <c r="V55" s="9"/>
      <c r="W55" s="9"/>
      <c r="X55" s="9"/>
      <c r="Y55" s="9"/>
      <c r="Z55" s="9"/>
      <c r="AA55" s="9"/>
      <c r="AB55" s="9"/>
    </row>
    <row r="56" spans="1:28" ht="18" customHeight="1" x14ac:dyDescent="0.3">
      <c r="A56" s="9"/>
      <c r="B56" s="29" t="s">
        <v>1075</v>
      </c>
      <c r="C56" s="135" cm="1">
        <f t="array" ref="C56">MAX(Properties!$U$6:$U$15*Properties!$D$6:$D$15)</f>
        <v>43</v>
      </c>
      <c r="D56" s="337"/>
      <c r="E56" s="9"/>
      <c r="F56" s="9"/>
      <c r="G56" s="9"/>
      <c r="H56" s="9"/>
      <c r="I56" s="9"/>
      <c r="J56" s="9"/>
      <c r="K56" s="9"/>
      <c r="L56" s="9"/>
      <c r="M56" s="9"/>
      <c r="N56" s="9"/>
      <c r="O56" s="9"/>
      <c r="P56" s="9"/>
      <c r="Q56" s="9"/>
      <c r="R56" s="9"/>
      <c r="S56" s="9"/>
      <c r="T56" s="9"/>
      <c r="U56" s="9"/>
      <c r="V56" s="9"/>
      <c r="W56" s="9"/>
      <c r="X56" s="9"/>
      <c r="Y56" s="9"/>
      <c r="Z56" s="9"/>
      <c r="AA56" s="9"/>
      <c r="AB56" s="9"/>
    </row>
    <row r="57" spans="1:28" ht="18" customHeight="1" x14ac:dyDescent="0.3">
      <c r="A57" s="9"/>
      <c r="B57" s="337" t="s">
        <v>382</v>
      </c>
      <c r="C57" s="340">
        <f>ROUNDUP(C56/'_IRR Engine'!$Q$7,0)</f>
        <v>4</v>
      </c>
      <c r="D57" s="337"/>
      <c r="E57" s="9"/>
      <c r="F57" s="9"/>
      <c r="G57" s="9"/>
      <c r="H57" s="9"/>
      <c r="I57" s="9"/>
      <c r="J57" s="9"/>
      <c r="K57" s="9"/>
      <c r="L57" s="9"/>
      <c r="M57" s="9"/>
      <c r="N57" s="9"/>
      <c r="O57" s="9"/>
      <c r="P57" s="9"/>
      <c r="Q57" s="9"/>
      <c r="R57" s="9"/>
      <c r="S57" s="9"/>
      <c r="T57" s="9"/>
      <c r="U57" s="9"/>
      <c r="V57" s="9"/>
      <c r="W57" s="9"/>
      <c r="X57" s="9"/>
      <c r="Y57" s="9"/>
      <c r="Z57" s="9"/>
      <c r="AA57" s="9"/>
      <c r="AB57" s="9"/>
    </row>
    <row r="58" spans="1:28" ht="18" customHeight="1" x14ac:dyDescent="0.3">
      <c r="A58" s="9"/>
      <c r="B58" s="9"/>
      <c r="C58" s="9"/>
      <c r="D58" s="337"/>
      <c r="E58" s="9"/>
      <c r="F58" s="9"/>
      <c r="G58" s="9"/>
      <c r="H58" s="9"/>
      <c r="I58" s="9"/>
      <c r="J58" s="9"/>
      <c r="K58" s="9"/>
      <c r="L58" s="9"/>
      <c r="M58" s="9"/>
      <c r="N58" s="9"/>
      <c r="O58" s="9"/>
      <c r="P58" s="9"/>
      <c r="Q58" s="9"/>
      <c r="R58" s="9"/>
      <c r="S58" s="9"/>
      <c r="T58" s="9"/>
      <c r="U58" s="9"/>
      <c r="V58" s="9"/>
      <c r="W58" s="9"/>
      <c r="X58" s="9"/>
      <c r="Y58" s="9"/>
      <c r="Z58" s="9"/>
      <c r="AA58" s="9"/>
      <c r="AB58" s="9"/>
    </row>
    <row r="59" spans="1:28" ht="19.95" customHeight="1" x14ac:dyDescent="0.3">
      <c r="A59" s="40"/>
      <c r="B59" s="40" t="s">
        <v>18</v>
      </c>
      <c r="C59" s="40"/>
      <c r="D59" s="332"/>
      <c r="E59" s="40"/>
      <c r="F59" s="40"/>
      <c r="G59" s="40"/>
      <c r="H59" s="40"/>
      <c r="I59" s="40"/>
      <c r="J59" s="40"/>
      <c r="K59" s="40"/>
      <c r="L59" s="20"/>
      <c r="M59" s="20"/>
      <c r="N59" s="9"/>
      <c r="O59" s="9"/>
      <c r="P59" s="9"/>
      <c r="Q59" s="9"/>
      <c r="R59" s="9"/>
      <c r="S59" s="9"/>
      <c r="T59" s="9"/>
      <c r="U59" s="9"/>
      <c r="V59" s="9"/>
      <c r="W59" s="9"/>
      <c r="X59" s="9"/>
      <c r="Y59" s="9"/>
      <c r="Z59" s="9"/>
      <c r="AA59" s="9"/>
      <c r="AB59" s="9"/>
    </row>
    <row r="60" spans="1:28" ht="18" customHeight="1" x14ac:dyDescent="0.3">
      <c r="A60" s="9"/>
      <c r="B60" s="349" t="s">
        <v>19</v>
      </c>
      <c r="C60" s="9"/>
      <c r="D60" s="337"/>
      <c r="E60" s="9"/>
      <c r="F60" s="9"/>
      <c r="G60" s="9"/>
      <c r="H60" s="9"/>
      <c r="I60" s="9"/>
      <c r="J60" s="9"/>
      <c r="K60" s="9"/>
      <c r="L60" s="9"/>
      <c r="M60" s="9"/>
      <c r="N60" s="9"/>
      <c r="O60" s="9"/>
      <c r="P60" s="9"/>
      <c r="Q60" s="9"/>
      <c r="R60" s="9"/>
      <c r="S60" s="9"/>
      <c r="T60" s="9"/>
      <c r="U60" s="9"/>
      <c r="V60" s="9"/>
      <c r="W60" s="9"/>
      <c r="X60" s="9"/>
      <c r="Y60" s="9"/>
      <c r="Z60" s="9"/>
      <c r="AA60" s="9"/>
      <c r="AB60" s="9"/>
    </row>
    <row r="61" spans="1:28" ht="18" customHeight="1" x14ac:dyDescent="0.3">
      <c r="A61" s="9"/>
      <c r="B61" s="349" t="s">
        <v>20</v>
      </c>
      <c r="C61" s="9"/>
      <c r="D61" s="337"/>
      <c r="E61" s="9"/>
      <c r="F61" s="9"/>
      <c r="G61" s="9"/>
      <c r="H61" s="9"/>
      <c r="I61" s="9"/>
      <c r="J61" s="9"/>
      <c r="K61" s="9"/>
      <c r="L61" s="9"/>
      <c r="M61" s="9"/>
      <c r="N61" s="9"/>
      <c r="O61" s="9"/>
      <c r="P61" s="9"/>
      <c r="Q61" s="9"/>
      <c r="R61" s="9"/>
      <c r="S61" s="9"/>
      <c r="T61" s="9"/>
      <c r="U61" s="9"/>
      <c r="V61" s="9"/>
      <c r="W61" s="9"/>
      <c r="X61" s="9"/>
      <c r="Y61" s="9"/>
      <c r="Z61" s="9"/>
      <c r="AA61" s="9"/>
      <c r="AB61" s="9"/>
    </row>
    <row r="62" spans="1:28" ht="18" customHeight="1" x14ac:dyDescent="0.3">
      <c r="A62" s="9"/>
      <c r="B62" s="349" t="s">
        <v>21</v>
      </c>
      <c r="C62" s="9"/>
      <c r="D62" s="337"/>
      <c r="E62" s="9"/>
      <c r="F62" s="9"/>
      <c r="G62" s="9"/>
      <c r="H62" s="9"/>
      <c r="I62" s="9"/>
      <c r="J62" s="9"/>
      <c r="K62" s="9"/>
      <c r="L62" s="9"/>
      <c r="M62" s="9"/>
      <c r="N62" s="9"/>
      <c r="O62" s="9"/>
      <c r="P62" s="9"/>
      <c r="Q62" s="9"/>
      <c r="R62" s="9"/>
      <c r="S62" s="9"/>
      <c r="T62" s="9"/>
      <c r="U62" s="9"/>
      <c r="V62" s="9"/>
      <c r="W62" s="9"/>
      <c r="X62" s="9"/>
      <c r="Y62" s="9"/>
      <c r="Z62" s="9"/>
      <c r="AA62" s="9"/>
      <c r="AB62" s="9"/>
    </row>
    <row r="63" spans="1:28" ht="18" customHeight="1" x14ac:dyDescent="0.3">
      <c r="A63" s="9"/>
      <c r="B63" s="349" t="s">
        <v>22</v>
      </c>
      <c r="C63" s="9"/>
      <c r="D63" s="337"/>
      <c r="E63" s="9"/>
      <c r="F63" s="9"/>
      <c r="G63" s="9"/>
      <c r="H63" s="9"/>
      <c r="I63" s="9"/>
      <c r="J63" s="9"/>
      <c r="K63" s="9"/>
      <c r="L63" s="9"/>
      <c r="M63" s="9"/>
      <c r="N63" s="9"/>
      <c r="O63" s="9"/>
      <c r="P63" s="9"/>
      <c r="Q63" s="9"/>
      <c r="R63" s="9"/>
      <c r="S63" s="9"/>
      <c r="T63" s="9"/>
      <c r="U63" s="9"/>
      <c r="V63" s="9"/>
      <c r="W63" s="9"/>
      <c r="X63" s="9"/>
      <c r="Y63" s="9"/>
      <c r="Z63" s="9"/>
      <c r="AA63" s="9"/>
      <c r="AB63" s="9"/>
    </row>
    <row r="64" spans="1:28" ht="18" customHeight="1" x14ac:dyDescent="0.3">
      <c r="A64" s="9"/>
      <c r="B64" s="349" t="s">
        <v>23</v>
      </c>
      <c r="C64" s="9"/>
      <c r="D64" s="337"/>
      <c r="E64" s="9"/>
      <c r="F64" s="9"/>
      <c r="G64" s="9"/>
      <c r="H64" s="9"/>
      <c r="I64" s="9"/>
      <c r="J64" s="9"/>
      <c r="K64" s="9"/>
      <c r="L64" s="9"/>
      <c r="M64" s="9"/>
      <c r="N64" s="9"/>
      <c r="O64" s="9"/>
      <c r="P64" s="9"/>
      <c r="Q64" s="9"/>
      <c r="R64" s="9"/>
      <c r="S64" s="9"/>
      <c r="T64" s="9"/>
      <c r="U64" s="9"/>
      <c r="V64" s="9"/>
      <c r="W64" s="9"/>
      <c r="X64" s="9"/>
      <c r="Y64" s="9"/>
      <c r="Z64" s="9"/>
      <c r="AA64" s="9"/>
      <c r="AB64" s="9"/>
    </row>
    <row r="65" spans="1:28" ht="18" customHeight="1" x14ac:dyDescent="0.3">
      <c r="A65" s="9"/>
      <c r="B65" s="349" t="s">
        <v>24</v>
      </c>
      <c r="C65" s="9"/>
      <c r="D65" s="337"/>
      <c r="E65" s="9"/>
      <c r="F65" s="9"/>
      <c r="G65" s="9"/>
      <c r="H65" s="9"/>
      <c r="I65" s="9"/>
      <c r="J65" s="9"/>
      <c r="K65" s="9"/>
      <c r="L65" s="9"/>
      <c r="M65" s="9"/>
      <c r="N65" s="9"/>
      <c r="O65" s="9"/>
      <c r="P65" s="9"/>
      <c r="Q65" s="9"/>
      <c r="R65" s="9"/>
      <c r="S65" s="9"/>
      <c r="T65" s="9"/>
      <c r="U65" s="9"/>
      <c r="V65" s="9"/>
      <c r="W65" s="9"/>
      <c r="X65" s="9"/>
      <c r="Y65" s="9"/>
      <c r="Z65" s="9"/>
      <c r="AA65" s="9"/>
      <c r="AB65" s="9"/>
    </row>
    <row r="66" spans="1:28" ht="18" customHeight="1" x14ac:dyDescent="0.3">
      <c r="A66" s="9"/>
      <c r="B66" s="350" t="s">
        <v>164</v>
      </c>
      <c r="C66" s="9"/>
      <c r="D66" s="337"/>
      <c r="E66" s="9"/>
      <c r="F66" s="9"/>
      <c r="G66" s="9"/>
      <c r="H66" s="9"/>
      <c r="I66" s="9"/>
      <c r="J66" s="9"/>
      <c r="K66" s="9"/>
      <c r="L66" s="9"/>
      <c r="M66" s="9"/>
      <c r="N66" s="9"/>
      <c r="O66" s="9"/>
      <c r="P66" s="9"/>
      <c r="Q66" s="9"/>
      <c r="R66" s="9"/>
      <c r="S66" s="9"/>
      <c r="T66" s="9"/>
      <c r="U66" s="9"/>
      <c r="V66" s="9"/>
      <c r="W66" s="9"/>
      <c r="X66" s="9"/>
      <c r="Y66" s="9"/>
      <c r="Z66" s="9"/>
      <c r="AA66" s="9"/>
      <c r="AB66" s="9"/>
    </row>
    <row r="67" spans="1:28" ht="18" customHeight="1" x14ac:dyDescent="0.3">
      <c r="A67" s="9"/>
      <c r="B67" s="350" t="s">
        <v>165</v>
      </c>
      <c r="C67" s="9"/>
      <c r="D67" s="337"/>
      <c r="E67" s="9"/>
      <c r="F67" s="9"/>
      <c r="G67" s="9"/>
      <c r="H67" s="9"/>
      <c r="I67" s="9"/>
      <c r="J67" s="9"/>
      <c r="K67" s="9"/>
      <c r="L67" s="9"/>
      <c r="M67" s="9"/>
      <c r="N67" s="9"/>
      <c r="O67" s="9"/>
      <c r="P67" s="9"/>
      <c r="Q67" s="9"/>
      <c r="R67" s="9"/>
      <c r="S67" s="9"/>
      <c r="T67" s="9"/>
      <c r="U67" s="9"/>
      <c r="V67" s="9"/>
      <c r="W67" s="9"/>
      <c r="X67" s="9"/>
      <c r="Y67" s="9"/>
      <c r="Z67" s="9"/>
      <c r="AA67" s="9"/>
      <c r="AB67" s="9"/>
    </row>
    <row r="68" spans="1:28" ht="18" customHeight="1" x14ac:dyDescent="0.3">
      <c r="A68" s="9"/>
      <c r="B68" s="350" t="s">
        <v>951</v>
      </c>
      <c r="C68" s="9"/>
      <c r="D68" s="337"/>
      <c r="E68" s="9"/>
      <c r="F68" s="9"/>
      <c r="G68" s="9"/>
      <c r="H68" s="9"/>
      <c r="I68" s="9"/>
      <c r="J68" s="9"/>
      <c r="K68" s="9"/>
      <c r="L68" s="9"/>
      <c r="M68" s="9"/>
      <c r="N68" s="9"/>
      <c r="O68" s="9"/>
      <c r="P68" s="9"/>
      <c r="Q68" s="9"/>
      <c r="R68" s="9"/>
      <c r="S68" s="9"/>
      <c r="T68" s="9"/>
      <c r="U68" s="9"/>
      <c r="V68" s="9"/>
      <c r="W68" s="9"/>
      <c r="X68" s="9"/>
      <c r="Y68" s="9"/>
      <c r="Z68" s="9"/>
      <c r="AA68" s="9"/>
      <c r="AB68" s="9"/>
    </row>
    <row r="69" spans="1:28" ht="255.45" customHeight="1" x14ac:dyDescent="0.3">
      <c r="A69" s="9"/>
      <c r="B69" s="350" t="s">
        <v>1016</v>
      </c>
      <c r="C69" s="9"/>
      <c r="D69" s="337"/>
      <c r="E69" s="9"/>
      <c r="F69" s="9"/>
      <c r="G69" s="9"/>
      <c r="H69" s="9"/>
      <c r="I69" s="9"/>
      <c r="J69" s="9"/>
      <c r="K69" s="9"/>
      <c r="L69" s="9"/>
      <c r="M69" s="9"/>
      <c r="N69" s="9"/>
      <c r="O69" s="9"/>
      <c r="P69" s="9"/>
      <c r="Q69" s="9"/>
      <c r="R69" s="9"/>
      <c r="S69" s="9"/>
      <c r="T69" s="9"/>
      <c r="U69" s="9"/>
      <c r="V69" s="9"/>
      <c r="W69" s="9"/>
      <c r="X69" s="9"/>
      <c r="Y69" s="9"/>
      <c r="Z69" s="9"/>
      <c r="AA69" s="9"/>
      <c r="AB69" s="9"/>
    </row>
    <row r="70" spans="1:28" ht="18" customHeight="1" x14ac:dyDescent="0.3">
      <c r="A70" s="9"/>
      <c r="B70" s="350" t="s">
        <v>1017</v>
      </c>
      <c r="C70" s="9"/>
      <c r="D70" s="337"/>
      <c r="E70" s="9"/>
      <c r="F70" s="9"/>
      <c r="G70" s="9"/>
      <c r="H70" s="9"/>
      <c r="I70" s="9"/>
      <c r="J70" s="9"/>
      <c r="K70" s="9"/>
      <c r="L70" s="9"/>
      <c r="M70" s="9"/>
      <c r="N70" s="9"/>
      <c r="O70" s="9"/>
      <c r="P70" s="9"/>
      <c r="Q70" s="9"/>
      <c r="R70" s="9"/>
      <c r="S70" s="9"/>
      <c r="T70" s="9"/>
      <c r="U70" s="9"/>
      <c r="V70" s="9"/>
      <c r="W70" s="9"/>
      <c r="X70" s="9"/>
      <c r="Y70" s="9"/>
      <c r="Z70" s="9"/>
      <c r="AA70" s="9"/>
      <c r="AB70" s="9"/>
    </row>
    <row r="71" spans="1:28" ht="18" customHeight="1" x14ac:dyDescent="0.3">
      <c r="A71" s="9"/>
      <c r="B71" s="350" t="s">
        <v>1339</v>
      </c>
      <c r="C71" s="9"/>
      <c r="D71" s="337"/>
      <c r="E71" s="9"/>
      <c r="F71" s="9"/>
      <c r="G71" s="9"/>
      <c r="H71" s="9"/>
      <c r="I71" s="9"/>
      <c r="J71" s="9"/>
      <c r="K71" s="9"/>
      <c r="L71" s="9"/>
      <c r="M71" s="9"/>
      <c r="N71" s="9"/>
      <c r="O71" s="9"/>
      <c r="P71" s="9"/>
      <c r="Q71" s="9"/>
      <c r="R71" s="9"/>
      <c r="S71" s="9"/>
      <c r="T71" s="9"/>
      <c r="U71" s="9"/>
      <c r="V71" s="9"/>
      <c r="W71" s="9"/>
      <c r="X71" s="9"/>
      <c r="Y71" s="9"/>
      <c r="Z71" s="9"/>
      <c r="AA71" s="9"/>
      <c r="AB71" s="9"/>
    </row>
    <row r="72" spans="1:28" ht="18" customHeight="1" x14ac:dyDescent="0.3">
      <c r="A72" s="9"/>
      <c r="B72" s="350" t="s">
        <v>952</v>
      </c>
      <c r="C72" s="9"/>
      <c r="D72" s="337"/>
      <c r="E72" s="9"/>
      <c r="F72" s="9"/>
      <c r="G72" s="9"/>
      <c r="H72" s="9"/>
      <c r="I72" s="9"/>
      <c r="J72" s="9"/>
      <c r="K72" s="9"/>
      <c r="L72" s="9"/>
      <c r="M72" s="9"/>
      <c r="N72" s="9"/>
      <c r="O72" s="9"/>
      <c r="P72" s="9"/>
      <c r="Q72" s="9"/>
      <c r="R72" s="9"/>
      <c r="S72" s="9"/>
      <c r="T72" s="9"/>
      <c r="U72" s="9"/>
      <c r="V72" s="9"/>
      <c r="W72" s="9"/>
      <c r="X72" s="9"/>
      <c r="Y72" s="9"/>
      <c r="Z72" s="9"/>
      <c r="AA72" s="9"/>
      <c r="AB72" s="9"/>
    </row>
    <row r="73" spans="1:28" ht="18" customHeight="1" x14ac:dyDescent="0.3">
      <c r="A73" s="9"/>
      <c r="B73" s="350" t="s">
        <v>967</v>
      </c>
      <c r="C73" s="9"/>
      <c r="D73" s="337"/>
      <c r="E73" s="9"/>
      <c r="F73" s="9"/>
      <c r="G73" s="9"/>
      <c r="H73" s="9"/>
      <c r="I73" s="9"/>
      <c r="J73" s="9"/>
      <c r="K73" s="9"/>
      <c r="L73" s="9"/>
      <c r="M73" s="9"/>
      <c r="N73" s="9"/>
      <c r="O73" s="9"/>
      <c r="P73" s="9"/>
      <c r="Q73" s="9"/>
      <c r="R73" s="9"/>
      <c r="S73" s="9"/>
      <c r="T73" s="9"/>
      <c r="U73" s="9"/>
      <c r="V73" s="9"/>
      <c r="W73" s="9"/>
      <c r="X73" s="9"/>
      <c r="Y73" s="9"/>
      <c r="Z73" s="9"/>
      <c r="AA73" s="9"/>
      <c r="AB73" s="9"/>
    </row>
    <row r="74" spans="1:28" ht="18" customHeight="1" x14ac:dyDescent="0.3">
      <c r="A74" s="9"/>
      <c r="B74" s="350" t="s">
        <v>968</v>
      </c>
      <c r="C74" s="9"/>
      <c r="D74" s="337"/>
      <c r="E74" s="9"/>
      <c r="F74" s="9"/>
      <c r="G74" s="9"/>
      <c r="H74" s="9"/>
      <c r="I74" s="9"/>
      <c r="J74" s="9"/>
      <c r="K74" s="9"/>
      <c r="L74" s="9"/>
      <c r="M74" s="9"/>
      <c r="N74" s="9"/>
      <c r="O74" s="9"/>
      <c r="P74" s="9"/>
      <c r="Q74" s="9"/>
      <c r="R74" s="9"/>
      <c r="S74" s="9"/>
      <c r="T74" s="9"/>
      <c r="U74" s="9"/>
      <c r="V74" s="9"/>
      <c r="W74" s="9"/>
      <c r="X74" s="9"/>
      <c r="Y74" s="9"/>
      <c r="Z74" s="9"/>
      <c r="AA74" s="9"/>
      <c r="AB74" s="9"/>
    </row>
    <row r="75" spans="1:28" ht="18" customHeight="1" x14ac:dyDescent="0.3">
      <c r="A75" s="9"/>
      <c r="B75" s="350" t="s">
        <v>969</v>
      </c>
      <c r="C75" s="9"/>
      <c r="D75" s="337"/>
      <c r="E75" s="9"/>
      <c r="F75" s="9"/>
      <c r="G75" s="9"/>
      <c r="H75" s="9"/>
      <c r="I75" s="9"/>
      <c r="J75" s="9"/>
      <c r="K75" s="9"/>
      <c r="L75" s="9"/>
      <c r="M75" s="9"/>
      <c r="N75" s="9"/>
      <c r="O75" s="9"/>
      <c r="P75" s="9"/>
      <c r="Q75" s="9"/>
      <c r="R75" s="9"/>
      <c r="S75" s="9"/>
      <c r="T75" s="9"/>
      <c r="U75" s="9"/>
      <c r="V75" s="9"/>
      <c r="W75" s="9"/>
      <c r="X75" s="9"/>
      <c r="Y75" s="9"/>
      <c r="Z75" s="9"/>
      <c r="AA75" s="9"/>
      <c r="AB75" s="9"/>
    </row>
    <row r="76" spans="1:28" ht="18" customHeight="1" x14ac:dyDescent="0.3">
      <c r="A76" s="9"/>
      <c r="B76" s="9"/>
      <c r="C76" s="351"/>
      <c r="D76" s="337"/>
      <c r="E76" s="9"/>
      <c r="F76" s="9"/>
      <c r="G76" s="9"/>
      <c r="H76" s="9"/>
      <c r="I76" s="9"/>
      <c r="J76" s="9"/>
      <c r="K76" s="9"/>
      <c r="L76" s="9"/>
      <c r="M76" s="9"/>
      <c r="N76" s="9"/>
      <c r="O76" s="9"/>
      <c r="P76" s="9"/>
      <c r="Q76" s="9"/>
      <c r="R76" s="9"/>
      <c r="S76" s="9"/>
      <c r="T76" s="9"/>
      <c r="U76" s="9"/>
      <c r="V76" s="9"/>
      <c r="W76" s="9"/>
      <c r="X76" s="9"/>
      <c r="Y76" s="9"/>
      <c r="Z76" s="9"/>
      <c r="AA76" s="9"/>
      <c r="AB76" s="9"/>
    </row>
    <row r="77" spans="1:28" ht="18" customHeight="1" x14ac:dyDescent="0.3">
      <c r="A77" s="334"/>
      <c r="B77" s="9"/>
      <c r="C77" s="342"/>
      <c r="D77" s="352"/>
      <c r="E77" s="334"/>
      <c r="F77" s="334"/>
      <c r="G77" s="334"/>
      <c r="H77" s="334"/>
      <c r="I77" s="334"/>
      <c r="J77" s="334"/>
      <c r="K77" s="334"/>
      <c r="L77" s="9"/>
      <c r="M77" s="9"/>
      <c r="N77" s="9"/>
      <c r="O77" s="9"/>
      <c r="P77" s="9"/>
      <c r="Q77" s="9"/>
      <c r="R77" s="9"/>
      <c r="S77" s="9"/>
      <c r="T77" s="9"/>
      <c r="U77" s="9"/>
      <c r="V77" s="9"/>
      <c r="W77" s="9"/>
      <c r="X77" s="9"/>
      <c r="Y77" s="9"/>
      <c r="Z77" s="9"/>
      <c r="AA77" s="9"/>
      <c r="AB77" s="9"/>
    </row>
    <row r="78" spans="1:28" ht="140.55000000000001" customHeight="1" x14ac:dyDescent="0.3">
      <c r="A78" s="40"/>
      <c r="B78" s="50" t="s">
        <v>147</v>
      </c>
      <c r="C78" s="353" t="s">
        <v>1171</v>
      </c>
      <c r="D78" s="353" t="s">
        <v>149</v>
      </c>
      <c r="E78" s="353" t="s">
        <v>150</v>
      </c>
      <c r="F78" s="353" t="s">
        <v>930</v>
      </c>
      <c r="G78" s="353" t="s">
        <v>943</v>
      </c>
      <c r="H78" s="353" t="s">
        <v>1096</v>
      </c>
      <c r="I78" s="353" t="s">
        <v>369</v>
      </c>
      <c r="J78" s="353" t="s">
        <v>1097</v>
      </c>
      <c r="K78" s="50" t="s">
        <v>1549</v>
      </c>
      <c r="L78" s="50" t="s">
        <v>966</v>
      </c>
      <c r="M78" s="353" t="s">
        <v>1058</v>
      </c>
      <c r="N78" s="353" t="s">
        <v>1172</v>
      </c>
      <c r="O78" s="353" t="s">
        <v>1173</v>
      </c>
      <c r="P78" s="353" t="s">
        <v>1174</v>
      </c>
      <c r="Q78" s="353" t="s">
        <v>1175</v>
      </c>
      <c r="R78" s="353" t="s">
        <v>1176</v>
      </c>
      <c r="S78" s="353" t="s">
        <v>1177</v>
      </c>
      <c r="T78" s="353" t="s">
        <v>1139</v>
      </c>
      <c r="U78" s="353" t="s">
        <v>1178</v>
      </c>
      <c r="V78" s="9"/>
      <c r="W78" s="9"/>
      <c r="X78" s="9"/>
      <c r="Y78" s="9"/>
      <c r="Z78" s="9"/>
      <c r="AA78" s="9"/>
      <c r="AB78" s="9"/>
    </row>
    <row r="79" spans="1:28" ht="18" customHeight="1" x14ac:dyDescent="0.3">
      <c r="A79" s="9"/>
      <c r="B79" s="354" t="s">
        <v>27</v>
      </c>
      <c r="C79" s="355"/>
      <c r="D79" s="355"/>
      <c r="E79" s="356"/>
      <c r="H79" s="357"/>
      <c r="I79" s="357"/>
      <c r="J79" s="358"/>
      <c r="K79" s="86"/>
      <c r="L79" s="9"/>
      <c r="M79" s="358"/>
      <c r="N79" s="358"/>
      <c r="O79" s="358"/>
      <c r="P79" s="358"/>
      <c r="Q79" s="358"/>
      <c r="R79" s="358"/>
      <c r="S79" s="358"/>
      <c r="T79" s="358"/>
      <c r="U79" s="358"/>
      <c r="V79" s="9"/>
      <c r="W79" s="9"/>
      <c r="X79" s="9"/>
      <c r="Y79" s="9"/>
      <c r="Z79" s="9"/>
      <c r="AA79" s="9"/>
      <c r="AB79" s="9"/>
    </row>
    <row r="80" spans="1:28" ht="18" customHeight="1" x14ac:dyDescent="0.3">
      <c r="A80" s="9"/>
      <c r="B80" s="136" t="str">
        <f>Properties!E6</f>
        <v>Aires de Campestre Apto 801 (Penthouse)</v>
      </c>
      <c r="C80" s="473">
        <f>IFERROR(IF(N($O80)=0,0,$O80/1000*$P80*INDEX(Properties!$M$6:$M$15,MATCH($B80,Properties!$E$6:$E$15,0))/INDEX(Properties!$P$6:$P$15,MATCH($B80,Properties!$E$6:$E$15,0))),0)</f>
        <v>5.1336009968157266E-3</v>
      </c>
      <c r="D80" s="359">
        <v>2.5</v>
      </c>
      <c r="E80" s="356">
        <v>1.2</v>
      </c>
      <c r="F80" s="360">
        <v>8.5000000000000006E-2</v>
      </c>
      <c r="G80" s="231">
        <f>IF($B80="","",(1+$F80)/(1+Input!$C$6)-1)</f>
        <v>8.4999999999999964E-2</v>
      </c>
      <c r="H80" s="357">
        <v>0.4</v>
      </c>
      <c r="I80" s="357">
        <v>0.3</v>
      </c>
      <c r="J80" s="438">
        <v>270</v>
      </c>
      <c r="K80" s="125" t="str">
        <f t="shared" ref="K80:K89" si="0">IF($B80="","","$"&amp;TEXT($J80,"0")&amp;"/night · 4-week stay $"&amp;TEXT(MIN($C$171*$J80,$C$170),"#,##0")&amp;IF($C$171*$J80&gt;$C$170," · at cap"," · below cap"))</f>
        <v>$270/night · 4-week stay $7,560 · below cap</v>
      </c>
      <c r="L80" s="30" t="str">
        <f>IF($B80="","",TEXT($H80,"0%")&amp;" vacancy · "&amp;IF(ISNUMBER(SEARCH("Retiro",INDEX(Properties!$F$6:$F$15,MATCH($B80,Properties!$E$6:$E$15,0)))),"El Retiro — no published series","Poblado prime "&amp;TEXT($C$168,"0%")&amp;"–"&amp;TEXT($D$168,"0%")&amp;" · "&amp;IF($H80&gt;$D$168,"above band (conservative)",IF($H80&lt;$C$168,"below band","within band"))))</f>
        <v>40% vacancy · Poblado prime 35%–50% · within band</v>
      </c>
      <c r="M80" s="435">
        <v>6</v>
      </c>
      <c r="N80" s="476" t="str">
        <f>IF($B80="","",IFERROR(IF(ISNUMBER(SEARCH("Medellín",INDEX(Properties!$F$6:$F$15,MATCH($B80,Properties!$E$6:$E$15,0)))),"Medellín",TRIM(LEFT(INDEX(Properties!$F$6:$F$15,MATCH($B80,Properties!$E$6:$E$15,0)),FIND(",",INDEX(Properties!$F$6:$F$15,MATCH($B80,Properties!$E$6:$E$15,0))&amp;",")-1))),""))</f>
        <v>Medellín</v>
      </c>
      <c r="O80" s="469">
        <v>15</v>
      </c>
      <c r="P80" s="474">
        <v>0.6</v>
      </c>
      <c r="Q80" s="469">
        <v>10</v>
      </c>
      <c r="R80" s="470">
        <v>0</v>
      </c>
      <c r="S80" s="469">
        <v>2.5</v>
      </c>
      <c r="T80" s="472" t="s">
        <v>1140</v>
      </c>
      <c r="U80" s="471">
        <f t="shared" ref="U80:U89" si="1">IF(N($Q80)=0,0,$Q80/1000*(1+N($R80))+N($S80)/1000)</f>
        <v>1.2500000000000001E-2</v>
      </c>
      <c r="V80" s="9"/>
      <c r="W80" s="9"/>
      <c r="X80" s="9"/>
      <c r="Y80" s="9"/>
      <c r="Z80" s="9"/>
      <c r="AA80" s="9"/>
      <c r="AB80" s="9"/>
    </row>
    <row r="81" spans="1:28" ht="18" customHeight="1" x14ac:dyDescent="0.3">
      <c r="A81" s="9"/>
      <c r="B81" s="136" t="str">
        <f>Properties!E7</f>
        <v>Fontanar Apto 201 (Penthouse)</v>
      </c>
      <c r="C81" s="473">
        <f>IFERROR(IF(N($O81)=0,0,$O81/1000*$P81*INDEX(Properties!$M$6:$M$15,MATCH($B81,Properties!$E$6:$E$15,0))/INDEX(Properties!$P$6:$P$15,MATCH($B81,Properties!$E$6:$E$15,0))),0)</f>
        <v>7.1074898151049807E-3</v>
      </c>
      <c r="D81" s="359">
        <v>2.2000000000000002</v>
      </c>
      <c r="E81" s="356">
        <v>1</v>
      </c>
      <c r="F81" s="360">
        <v>8.5000000000000006E-2</v>
      </c>
      <c r="G81" s="231">
        <f>IF($B81="","",(1+$F81)/(1+Input!$C$6)-1)</f>
        <v>8.4999999999999964E-2</v>
      </c>
      <c r="H81" s="357">
        <v>0.4</v>
      </c>
      <c r="I81" s="357">
        <v>0.3</v>
      </c>
      <c r="J81" s="438">
        <v>270</v>
      </c>
      <c r="K81" s="125" t="str">
        <f t="shared" si="0"/>
        <v>$270/night · 4-week stay $7,560 · below cap</v>
      </c>
      <c r="L81" s="30" t="str">
        <f>IF($B81="","",TEXT($H81,"0%")&amp;" vacancy · "&amp;IF(ISNUMBER(SEARCH("Retiro",INDEX(Properties!$F$6:$F$15,MATCH($B81,Properties!$E$6:$E$15,0)))),"El Retiro — no published series","Poblado prime "&amp;TEXT($C$168,"0%")&amp;"–"&amp;TEXT($D$168,"0%")&amp;" · "&amp;IF($H81&gt;$D$168,"above band (conservative)",IF($H81&lt;$C$168,"below band","within band"))))</f>
        <v>40% vacancy · Poblado prime 35%–50% · within band</v>
      </c>
      <c r="M81" s="435">
        <v>6</v>
      </c>
      <c r="N81" s="476" t="str">
        <f>IF($B81="","",IFERROR(IF(ISNUMBER(SEARCH("Medellín",INDEX(Properties!$F$6:$F$15,MATCH($B81,Properties!$E$6:$E$15,0)))),"Medellín",TRIM(LEFT(INDEX(Properties!$F$6:$F$15,MATCH($B81,Properties!$E$6:$E$15,0)),FIND(",",INDEX(Properties!$F$6:$F$15,MATCH($B81,Properties!$E$6:$E$15,0))&amp;",")-1))),""))</f>
        <v>Medellín</v>
      </c>
      <c r="O81" s="469">
        <v>15</v>
      </c>
      <c r="P81" s="474">
        <v>0.6</v>
      </c>
      <c r="Q81" s="469">
        <v>10</v>
      </c>
      <c r="R81" s="470">
        <v>0</v>
      </c>
      <c r="S81" s="469">
        <v>2.5</v>
      </c>
      <c r="T81" s="472" t="s">
        <v>1140</v>
      </c>
      <c r="U81" s="471">
        <f t="shared" si="1"/>
        <v>1.2500000000000001E-2</v>
      </c>
      <c r="V81" s="9"/>
      <c r="W81" s="9"/>
      <c r="X81" s="9"/>
      <c r="Y81" s="9"/>
      <c r="Z81" s="9"/>
      <c r="AA81" s="9"/>
      <c r="AB81" s="9"/>
    </row>
    <row r="82" spans="1:28" ht="18" customHeight="1" x14ac:dyDescent="0.3">
      <c r="A82" s="9"/>
      <c r="B82" s="136" t="str">
        <f>Properties!E8</f>
        <v>San Lucas Apto 101</v>
      </c>
      <c r="C82" s="473">
        <f>IFERROR(IF(N($O82)=0,0,$O82/1000*$P82*INDEX(Properties!$M$6:$M$15,MATCH($B82,Properties!$E$6:$E$15,0))/INDEX(Properties!$P$6:$P$15,MATCH($B82,Properties!$E$6:$E$15,0))),0)</f>
        <v>5.0013531799729359E-3</v>
      </c>
      <c r="D82" s="359">
        <v>1.8</v>
      </c>
      <c r="E82" s="356">
        <v>0.9</v>
      </c>
      <c r="F82" s="360">
        <v>8.5000000000000006E-2</v>
      </c>
      <c r="G82" s="231">
        <f>IF($B82="","",(1+$F82)/(1+Input!$C$6)-1)</f>
        <v>8.4999999999999964E-2</v>
      </c>
      <c r="H82" s="357">
        <v>0.4</v>
      </c>
      <c r="I82" s="357">
        <v>0.3</v>
      </c>
      <c r="J82" s="438">
        <v>250</v>
      </c>
      <c r="K82" s="125" t="str">
        <f t="shared" si="0"/>
        <v>$250/night · 4-week stay $7,000 · below cap</v>
      </c>
      <c r="L82" s="30" t="str">
        <f>IF($B82="","",TEXT($H82,"0%")&amp;" vacancy · "&amp;IF(ISNUMBER(SEARCH("Retiro",INDEX(Properties!$F$6:$F$15,MATCH($B82,Properties!$E$6:$E$15,0)))),"El Retiro — no published series","Poblado prime "&amp;TEXT($C$168,"0%")&amp;"–"&amp;TEXT($D$168,"0%")&amp;" · "&amp;IF($H82&gt;$D$168,"above band (conservative)",IF($H82&lt;$C$168,"below band","within band"))))</f>
        <v>40% vacancy · Poblado prime 35%–50% · within band</v>
      </c>
      <c r="M82" s="435">
        <v>6</v>
      </c>
      <c r="N82" s="476" t="str">
        <f>IF($B82="","",IFERROR(IF(ISNUMBER(SEARCH("Medellín",INDEX(Properties!$F$6:$F$15,MATCH($B82,Properties!$E$6:$E$15,0)))),"Medellín",TRIM(LEFT(INDEX(Properties!$F$6:$F$15,MATCH($B82,Properties!$E$6:$E$15,0)),FIND(",",INDEX(Properties!$F$6:$F$15,MATCH($B82,Properties!$E$6:$E$15,0))&amp;",")-1))),""))</f>
        <v>Medellín</v>
      </c>
      <c r="O82" s="469">
        <v>14</v>
      </c>
      <c r="P82" s="474">
        <v>0.6</v>
      </c>
      <c r="Q82" s="469">
        <v>10</v>
      </c>
      <c r="R82" s="470">
        <v>0</v>
      </c>
      <c r="S82" s="469">
        <v>2.5</v>
      </c>
      <c r="T82" s="472" t="s">
        <v>1140</v>
      </c>
      <c r="U82" s="471">
        <f t="shared" si="1"/>
        <v>1.2500000000000001E-2</v>
      </c>
      <c r="V82" s="9"/>
      <c r="W82" s="9"/>
      <c r="X82" s="9"/>
      <c r="Y82" s="9"/>
      <c r="Z82" s="9"/>
      <c r="AA82" s="9"/>
      <c r="AB82" s="9"/>
    </row>
    <row r="83" spans="1:28" ht="18" customHeight="1" x14ac:dyDescent="0.3">
      <c r="A83" s="9"/>
      <c r="B83" s="136" t="str">
        <f>Properties!E9</f>
        <v>Casa Montana Lote 2 (Samuel Gaviria House)</v>
      </c>
      <c r="C83" s="473">
        <f>IFERROR(IF(N($O83)=0,0,$O83/1000*$P83*INDEX(Properties!$M$6:$M$15,MATCH($B83,Properties!$E$6:$E$15,0))/INDEX(Properties!$P$6:$P$15,MATCH($B83,Properties!$E$6:$E$15,0))),0)</f>
        <v>4.7703270256240857E-3</v>
      </c>
      <c r="D83" s="359">
        <v>2</v>
      </c>
      <c r="E83" s="356">
        <v>1.5</v>
      </c>
      <c r="F83" s="360">
        <v>7.1499999999999994E-2</v>
      </c>
      <c r="G83" s="231">
        <f>IF($B83="","",(1+$F83)/(1+Input!$C$6)-1)</f>
        <v>7.1499999999999897E-2</v>
      </c>
      <c r="H83" s="357">
        <v>0.4</v>
      </c>
      <c r="I83" s="357">
        <v>0.3</v>
      </c>
      <c r="J83" s="438">
        <v>340</v>
      </c>
      <c r="K83" s="125" t="str">
        <f t="shared" si="0"/>
        <v>$340/night · 4-week stay $9,500 · at cap</v>
      </c>
      <c r="L83" s="30" t="str">
        <f>IF($B83="","",TEXT($H83,"0%")&amp;" vacancy · "&amp;IF(ISNUMBER(SEARCH("Retiro",INDEX(Properties!$F$6:$F$15,MATCH($B83,Properties!$E$6:$E$15,0)))),"El Retiro — no published series","Poblado prime "&amp;TEXT($C$168,"0%")&amp;"–"&amp;TEXT($D$168,"0%")&amp;" · "&amp;IF($H83&gt;$D$168,"above band (conservative)",IF($H83&lt;$C$168,"below band","within band"))))</f>
        <v>40% vacancy · El Retiro — no published series</v>
      </c>
      <c r="M83" s="435">
        <v>6</v>
      </c>
      <c r="N83" s="476" t="str">
        <f>IF($B83="","",IFERROR(IF(ISNUMBER(SEARCH("Medellín",INDEX(Properties!$F$6:$F$15,MATCH($B83,Properties!$E$6:$E$15,0)))),"Medellín",TRIM(LEFT(INDEX(Properties!$F$6:$F$15,MATCH($B83,Properties!$E$6:$E$15,0)),FIND(",",INDEX(Properties!$F$6:$F$15,MATCH($B83,Properties!$E$6:$E$15,0))&amp;",")-1))),""))</f>
        <v>El Retiro</v>
      </c>
      <c r="O83" s="475">
        <v>12</v>
      </c>
      <c r="P83" s="474">
        <v>0.6</v>
      </c>
      <c r="Q83" s="475">
        <v>10</v>
      </c>
      <c r="R83" s="470">
        <v>0</v>
      </c>
      <c r="S83" s="469">
        <v>2.5</v>
      </c>
      <c r="T83" s="472" t="s">
        <v>1141</v>
      </c>
      <c r="U83" s="471">
        <f t="shared" si="1"/>
        <v>1.2500000000000001E-2</v>
      </c>
      <c r="V83" s="9"/>
      <c r="W83" s="9"/>
      <c r="X83" s="9"/>
      <c r="Y83" s="9"/>
      <c r="Z83" s="9"/>
      <c r="AA83" s="9"/>
      <c r="AB83" s="9"/>
    </row>
    <row r="84" spans="1:28" ht="18" customHeight="1" x14ac:dyDescent="0.3">
      <c r="A84" s="9"/>
      <c r="B84" s="136" t="str">
        <f>Properties!E10</f>
        <v>Casa Monte Sereno</v>
      </c>
      <c r="C84" s="473">
        <f>IFERROR(IF(N($O84)=0,0,$O84/1000*$P84*INDEX(Properties!$M$6:$M$15,MATCH($B84,Properties!$E$6:$E$15,0))/INDEX(Properties!$P$6:$P$15,MATCH($B84,Properties!$E$6:$E$15,0))),0)</f>
        <v>5.6470588235294113E-3</v>
      </c>
      <c r="D84" s="359">
        <v>2.5</v>
      </c>
      <c r="E84" s="356">
        <v>1.2</v>
      </c>
      <c r="F84" s="360">
        <v>7.1499999999999994E-2</v>
      </c>
      <c r="G84" s="231">
        <f>IF($B84="","",(1+$F84)/(1+Input!$C$6)-1)</f>
        <v>7.1499999999999897E-2</v>
      </c>
      <c r="H84" s="357">
        <v>0.4</v>
      </c>
      <c r="I84" s="357">
        <v>0.3</v>
      </c>
      <c r="J84" s="438">
        <v>270</v>
      </c>
      <c r="K84" s="125" t="str">
        <f t="shared" si="0"/>
        <v>$270/night · 4-week stay $7,560 · below cap</v>
      </c>
      <c r="L84" s="30" t="str">
        <f>IF($B84="","",TEXT($H84,"0%")&amp;" vacancy · "&amp;IF(ISNUMBER(SEARCH("Retiro",INDEX(Properties!$F$6:$F$15,MATCH($B84,Properties!$E$6:$E$15,0)))),"El Retiro — no published series","Poblado prime "&amp;TEXT($C$168,"0%")&amp;"–"&amp;TEXT($D$168,"0%")&amp;" · "&amp;IF($H84&gt;$D$168,"above band (conservative)",IF($H84&lt;$C$168,"below band","within band"))))</f>
        <v>40% vacancy · El Retiro — no published series</v>
      </c>
      <c r="M84" s="435">
        <v>6</v>
      </c>
      <c r="N84" s="476" t="str">
        <f>IF($B84="","",IFERROR(IF(ISNUMBER(SEARCH("Medellín",INDEX(Properties!$F$6:$F$15,MATCH($B84,Properties!$E$6:$E$15,0)))),"Medellín",TRIM(LEFT(INDEX(Properties!$F$6:$F$15,MATCH($B84,Properties!$E$6:$E$15,0)),FIND(",",INDEX(Properties!$F$6:$F$15,MATCH($B84,Properties!$E$6:$E$15,0))&amp;",")-1))),""))</f>
        <v>El Retiro</v>
      </c>
      <c r="O84" s="475">
        <v>12</v>
      </c>
      <c r="P84" s="474">
        <v>0.6</v>
      </c>
      <c r="Q84" s="475">
        <v>10</v>
      </c>
      <c r="R84" s="470">
        <v>0</v>
      </c>
      <c r="S84" s="469">
        <v>2.5</v>
      </c>
      <c r="T84" s="472" t="s">
        <v>1141</v>
      </c>
      <c r="U84" s="471">
        <f t="shared" si="1"/>
        <v>1.2500000000000001E-2</v>
      </c>
      <c r="V84" s="9"/>
      <c r="W84" s="9"/>
      <c r="X84" s="9"/>
      <c r="Y84" s="9"/>
      <c r="Z84" s="9"/>
      <c r="AA84" s="9"/>
      <c r="AB84" s="9"/>
    </row>
    <row r="85" spans="1:28" ht="18" customHeight="1" x14ac:dyDescent="0.3">
      <c r="A85" s="9"/>
      <c r="B85" s="136" t="str">
        <f>IF(Properties!$E11="","",Properties!$E11)</f>
        <v/>
      </c>
      <c r="C85" s="473">
        <f>IFERROR(IF(N($O85)=0,0,$O85/1000*$P85*INDEX(Properties!$M$6:$M$15,MATCH($B85,Properties!$E$6:$E$15,0))/INDEX(Properties!$P$6:$P$15,MATCH($B85,Properties!$E$6:$E$15,0))),0)</f>
        <v>0</v>
      </c>
      <c r="D85" s="359"/>
      <c r="E85" s="356"/>
      <c r="F85" s="360"/>
      <c r="G85" s="231"/>
      <c r="H85" s="357"/>
      <c r="I85" s="357"/>
      <c r="J85" s="438"/>
      <c r="K85" s="125" t="str">
        <f t="shared" si="0"/>
        <v/>
      </c>
      <c r="L85" s="30" t="str">
        <f>IF($B85="","",TEXT($H85,"0%")&amp;" vacancy · "&amp;IF(ISNUMBER(SEARCH("Retiro",INDEX(Properties!$F$6:$F$15,MATCH($B85,Properties!$E$6:$E$15,0)))),"El Retiro — no published series","Poblado prime "&amp;TEXT($C$168,"0%")&amp;"–"&amp;TEXT($D$168,"0%")&amp;" · "&amp;IF($H85&gt;$D$168,"above band (conservative)",IF($H85&lt;$C$168,"below band","within band"))))</f>
        <v/>
      </c>
      <c r="M85" s="435"/>
      <c r="N85" s="476" t="str">
        <f>IF($B85="","",IFERROR(IF(ISNUMBER(SEARCH("Medellín",INDEX(Properties!$F$6:$F$15,MATCH($B85,Properties!$E$6:$E$15,0)))),"Medellín",TRIM(LEFT(INDEX(Properties!$F$6:$F$15,MATCH($B85,Properties!$E$6:$E$15,0)),FIND(",",INDEX(Properties!$F$6:$F$15,MATCH($B85,Properties!$E$6:$E$15,0))&amp;",")-1))),""))</f>
        <v/>
      </c>
      <c r="O85" s="469"/>
      <c r="P85" s="470"/>
      <c r="Q85" s="469"/>
      <c r="R85" s="470"/>
      <c r="S85" s="469"/>
      <c r="T85" s="472" t="s">
        <v>1184</v>
      </c>
      <c r="U85" s="471">
        <f t="shared" si="1"/>
        <v>0</v>
      </c>
      <c r="V85" s="9"/>
      <c r="W85" s="9"/>
      <c r="X85" s="9"/>
      <c r="Y85" s="9"/>
      <c r="Z85" s="9"/>
      <c r="AA85" s="9"/>
      <c r="AB85" s="9"/>
    </row>
    <row r="86" spans="1:28" ht="18" customHeight="1" x14ac:dyDescent="0.3">
      <c r="A86" s="9"/>
      <c r="B86" s="136" t="str">
        <f>IF(Properties!$E12="","",Properties!$E12)</f>
        <v/>
      </c>
      <c r="C86" s="473">
        <f>IFERROR(IF(N($O86)=0,0,$O86/1000*$P86*INDEX(Properties!$M$6:$M$15,MATCH($B86,Properties!$E$6:$E$15,0))/INDEX(Properties!$P$6:$P$15,MATCH($B86,Properties!$E$6:$E$15,0))),0)</f>
        <v>0</v>
      </c>
      <c r="D86" s="359"/>
      <c r="E86" s="356"/>
      <c r="F86" s="360"/>
      <c r="G86" s="231"/>
      <c r="H86" s="357"/>
      <c r="I86" s="357"/>
      <c r="J86" s="438"/>
      <c r="K86" s="125" t="str">
        <f t="shared" si="0"/>
        <v/>
      </c>
      <c r="L86" s="30" t="str">
        <f>IF($B86="","",TEXT($H86,"0%")&amp;" vacancy · "&amp;IF(ISNUMBER(SEARCH("Retiro",INDEX(Properties!$F$6:$F$15,MATCH($B86,Properties!$E$6:$E$15,0)))),"El Retiro — no published series","Poblado prime "&amp;TEXT($C$168,"0%")&amp;"–"&amp;TEXT($D$168,"0%")&amp;" · "&amp;IF($H86&gt;$D$168,"above band (conservative)",IF($H86&lt;$C$168,"below band","within band"))))</f>
        <v/>
      </c>
      <c r="M86" s="435"/>
      <c r="N86" s="476" t="str">
        <f>IF($B86="","",IFERROR(IF(ISNUMBER(SEARCH("Medellín",INDEX(Properties!$F$6:$F$15,MATCH($B86,Properties!$E$6:$E$15,0)))),"Medellín",TRIM(LEFT(INDEX(Properties!$F$6:$F$15,MATCH($B86,Properties!$E$6:$E$15,0)),FIND(",",INDEX(Properties!$F$6:$F$15,MATCH($B86,Properties!$E$6:$E$15,0))&amp;",")-1))),""))</f>
        <v/>
      </c>
      <c r="O86" s="469"/>
      <c r="P86" s="470"/>
      <c r="Q86" s="469"/>
      <c r="R86" s="470"/>
      <c r="S86" s="469"/>
      <c r="T86" s="472" t="s">
        <v>1184</v>
      </c>
      <c r="U86" s="471">
        <f t="shared" si="1"/>
        <v>0</v>
      </c>
      <c r="V86" s="9"/>
      <c r="W86" s="9"/>
      <c r="X86" s="9"/>
      <c r="Y86" s="9"/>
      <c r="Z86" s="9"/>
      <c r="AA86" s="9"/>
      <c r="AB86" s="9"/>
    </row>
    <row r="87" spans="1:28" ht="18" customHeight="1" x14ac:dyDescent="0.3">
      <c r="A87" s="9"/>
      <c r="B87" s="136" t="str">
        <f>IF(Properties!$E13="","",Properties!$E13)</f>
        <v/>
      </c>
      <c r="C87" s="473">
        <f>IFERROR(IF(N($O87)=0,0,$O87/1000*$P87*INDEX(Properties!$M$6:$M$15,MATCH($B87,Properties!$E$6:$E$15,0))/INDEX(Properties!$P$6:$P$15,MATCH($B87,Properties!$E$6:$E$15,0))),0)</f>
        <v>0</v>
      </c>
      <c r="D87" s="359"/>
      <c r="E87" s="356"/>
      <c r="F87" s="360"/>
      <c r="G87" s="231"/>
      <c r="H87" s="357"/>
      <c r="I87" s="357"/>
      <c r="J87" s="438"/>
      <c r="K87" s="125" t="str">
        <f t="shared" si="0"/>
        <v/>
      </c>
      <c r="L87" s="30" t="str">
        <f>IF($B87="","",TEXT($H87,"0%")&amp;" vacancy · "&amp;IF(ISNUMBER(SEARCH("Retiro",INDEX(Properties!$F$6:$F$15,MATCH($B87,Properties!$E$6:$E$15,0)))),"El Retiro — no published series","Poblado prime "&amp;TEXT($C$168,"0%")&amp;"–"&amp;TEXT($D$168,"0%")&amp;" · "&amp;IF($H87&gt;$D$168,"above band (conservative)",IF($H87&lt;$C$168,"below band","within band"))))</f>
        <v/>
      </c>
      <c r="M87" s="435"/>
      <c r="N87" s="476" t="str">
        <f>IF($B87="","",IFERROR(IF(ISNUMBER(SEARCH("Medellín",INDEX(Properties!$F$6:$F$15,MATCH($B87,Properties!$E$6:$E$15,0)))),"Medellín",TRIM(LEFT(INDEX(Properties!$F$6:$F$15,MATCH($B87,Properties!$E$6:$E$15,0)),FIND(",",INDEX(Properties!$F$6:$F$15,MATCH($B87,Properties!$E$6:$E$15,0))&amp;",")-1))),""))</f>
        <v/>
      </c>
      <c r="O87" s="469"/>
      <c r="P87" s="470"/>
      <c r="Q87" s="469"/>
      <c r="R87" s="470"/>
      <c r="S87" s="469"/>
      <c r="T87" s="472" t="s">
        <v>1184</v>
      </c>
      <c r="U87" s="471">
        <f t="shared" si="1"/>
        <v>0</v>
      </c>
      <c r="V87" s="9"/>
      <c r="W87" s="9"/>
      <c r="X87" s="9"/>
      <c r="Y87" s="9"/>
      <c r="Z87" s="9"/>
      <c r="AA87" s="9"/>
      <c r="AB87" s="9"/>
    </row>
    <row r="88" spans="1:28" ht="18" customHeight="1" x14ac:dyDescent="0.3">
      <c r="A88" s="9"/>
      <c r="B88" s="136" t="str">
        <f>IF(Properties!$E14="","",Properties!$E14)</f>
        <v/>
      </c>
      <c r="C88" s="473">
        <f>IFERROR(IF(N($O88)=0,0,$O88/1000*$P88*INDEX(Properties!$M$6:$M$15,MATCH($B88,Properties!$E$6:$E$15,0))/INDEX(Properties!$P$6:$P$15,MATCH($B88,Properties!$E$6:$E$15,0))),0)</f>
        <v>0</v>
      </c>
      <c r="D88" s="359"/>
      <c r="E88" s="356"/>
      <c r="F88" s="360"/>
      <c r="G88" s="231"/>
      <c r="H88" s="357"/>
      <c r="I88" s="357"/>
      <c r="J88" s="438"/>
      <c r="K88" s="125" t="str">
        <f t="shared" si="0"/>
        <v/>
      </c>
      <c r="L88" s="30" t="str">
        <f>IF($B88="","",TEXT($H88,"0%")&amp;" vacancy · "&amp;IF(ISNUMBER(SEARCH("Retiro",INDEX(Properties!$F$6:$F$15,MATCH($B88,Properties!$E$6:$E$15,0)))),"El Retiro — no published series","Poblado prime "&amp;TEXT($C$168,"0%")&amp;"–"&amp;TEXT($D$168,"0%")&amp;" · "&amp;IF($H88&gt;$D$168,"above band (conservative)",IF($H88&lt;$C$168,"below band","within band"))))</f>
        <v/>
      </c>
      <c r="M88" s="435"/>
      <c r="N88" s="476" t="str">
        <f>IF($B88="","",IFERROR(IF(ISNUMBER(SEARCH("Medellín",INDEX(Properties!$F$6:$F$15,MATCH($B88,Properties!$E$6:$E$15,0)))),"Medellín",TRIM(LEFT(INDEX(Properties!$F$6:$F$15,MATCH($B88,Properties!$E$6:$E$15,0)),FIND(",",INDEX(Properties!$F$6:$F$15,MATCH($B88,Properties!$E$6:$E$15,0))&amp;",")-1))),""))</f>
        <v/>
      </c>
      <c r="O88" s="469"/>
      <c r="P88" s="470"/>
      <c r="Q88" s="469"/>
      <c r="R88" s="470"/>
      <c r="S88" s="469"/>
      <c r="T88" s="472" t="s">
        <v>1184</v>
      </c>
      <c r="U88" s="471">
        <f t="shared" si="1"/>
        <v>0</v>
      </c>
      <c r="V88" s="9"/>
      <c r="W88" s="9"/>
      <c r="X88" s="9"/>
      <c r="Y88" s="9"/>
      <c r="Z88" s="9"/>
      <c r="AA88" s="9"/>
      <c r="AB88" s="9"/>
    </row>
    <row r="89" spans="1:28" ht="18" customHeight="1" x14ac:dyDescent="0.3">
      <c r="A89" s="9"/>
      <c r="B89" s="136" t="str">
        <f>IF(Properties!$E15="","",Properties!$E15)</f>
        <v/>
      </c>
      <c r="C89" s="473">
        <f>IFERROR(IF(N($O89)=0,0,$O89/1000*$P89*INDEX(Properties!$M$6:$M$15,MATCH($B89,Properties!$E$6:$E$15,0))/INDEX(Properties!$P$6:$P$15,MATCH($B89,Properties!$E$6:$E$15,0))),0)</f>
        <v>0</v>
      </c>
      <c r="D89" s="359"/>
      <c r="E89" s="356"/>
      <c r="F89" s="360"/>
      <c r="G89" s="231"/>
      <c r="H89" s="357"/>
      <c r="I89" s="357"/>
      <c r="J89" s="438"/>
      <c r="K89" s="125" t="str">
        <f t="shared" si="0"/>
        <v/>
      </c>
      <c r="L89" s="30" t="str">
        <f>IF($B89="","",TEXT($H89,"0%")&amp;" vacancy · "&amp;IF(ISNUMBER(SEARCH("Retiro",INDEX(Properties!$F$6:$F$15,MATCH($B89,Properties!$E$6:$E$15,0)))),"El Retiro — no published series","Poblado prime "&amp;TEXT($C$168,"0%")&amp;"–"&amp;TEXT($D$168,"0%")&amp;" · "&amp;IF($H89&gt;$D$168,"above band (conservative)",IF($H89&lt;$C$168,"below band","within band"))))</f>
        <v/>
      </c>
      <c r="M89" s="435"/>
      <c r="N89" s="476" t="str">
        <f>IF($B89="","",IFERROR(IF(ISNUMBER(SEARCH("Medellín",INDEX(Properties!$F$6:$F$15,MATCH($B89,Properties!$E$6:$E$15,0)))),"Medellín",TRIM(LEFT(INDEX(Properties!$F$6:$F$15,MATCH($B89,Properties!$E$6:$E$15,0)),FIND(",",INDEX(Properties!$F$6:$F$15,MATCH($B89,Properties!$E$6:$E$15,0))&amp;",")-1))),""))</f>
        <v/>
      </c>
      <c r="O89" s="469"/>
      <c r="P89" s="470"/>
      <c r="Q89" s="469"/>
      <c r="R89" s="470"/>
      <c r="S89" s="469"/>
      <c r="T89" s="472" t="s">
        <v>1184</v>
      </c>
      <c r="U89" s="471">
        <f t="shared" si="1"/>
        <v>0</v>
      </c>
      <c r="V89" s="9"/>
      <c r="W89" s="9"/>
      <c r="X89" s="9"/>
      <c r="Y89" s="9"/>
      <c r="Z89" s="9"/>
      <c r="AA89" s="9"/>
      <c r="AB89" s="9"/>
    </row>
    <row r="90" spans="1:28" ht="18" customHeight="1" x14ac:dyDescent="0.3">
      <c r="A90" s="333"/>
      <c r="B90" s="9"/>
      <c r="C90" s="9"/>
      <c r="D90" s="337"/>
      <c r="E90" s="333"/>
      <c r="H90" s="333"/>
      <c r="I90" s="334"/>
      <c r="J90" s="334"/>
      <c r="K90" s="334"/>
      <c r="L90" s="9"/>
      <c r="M90" s="9"/>
      <c r="N90" s="9"/>
      <c r="O90" s="9"/>
      <c r="P90" s="9"/>
      <c r="Q90" s="9"/>
      <c r="R90" s="9"/>
      <c r="S90" s="9"/>
      <c r="T90" s="9"/>
      <c r="U90" s="9"/>
      <c r="V90" s="9"/>
      <c r="W90" s="9"/>
      <c r="X90" s="9"/>
      <c r="Y90" s="9"/>
      <c r="Z90" s="9"/>
      <c r="AA90" s="9"/>
      <c r="AB90" s="9"/>
    </row>
    <row r="91" spans="1:28" ht="19.95" customHeight="1" x14ac:dyDescent="0.3">
      <c r="A91" s="103"/>
      <c r="B91" s="40" t="s">
        <v>346</v>
      </c>
      <c r="C91" s="40"/>
      <c r="D91" s="332"/>
      <c r="E91" s="103"/>
      <c r="F91" s="103"/>
      <c r="G91" s="103"/>
      <c r="H91" s="103"/>
      <c r="I91" s="40"/>
      <c r="J91" s="40"/>
      <c r="K91" s="40"/>
      <c r="L91" s="20"/>
      <c r="M91" s="20"/>
      <c r="N91" s="9"/>
      <c r="O91" s="9"/>
      <c r="P91" s="9"/>
      <c r="Q91" s="9"/>
      <c r="R91" s="9"/>
      <c r="S91" s="9"/>
      <c r="T91" s="9"/>
      <c r="U91" s="9"/>
      <c r="V91" s="9"/>
      <c r="W91" s="9"/>
      <c r="X91" s="9"/>
      <c r="Y91" s="9"/>
      <c r="Z91" s="9"/>
      <c r="AA91" s="9"/>
      <c r="AB91" s="9"/>
    </row>
    <row r="92" spans="1:28" ht="19.95" customHeight="1" x14ac:dyDescent="0.3">
      <c r="A92" s="334"/>
      <c r="B92" s="519" t="s">
        <v>846</v>
      </c>
      <c r="C92" s="519"/>
      <c r="D92" s="519"/>
      <c r="E92" s="519"/>
      <c r="F92" s="519"/>
      <c r="G92" s="519"/>
      <c r="H92" s="519"/>
      <c r="I92" s="519"/>
      <c r="J92" s="519"/>
      <c r="K92" s="519"/>
      <c r="L92" s="9"/>
      <c r="M92" s="9"/>
      <c r="N92" s="9"/>
      <c r="O92" s="9"/>
      <c r="P92" s="9"/>
      <c r="Q92" s="9"/>
      <c r="R92" s="9"/>
      <c r="S92" s="9"/>
      <c r="T92" s="9"/>
      <c r="U92" s="9"/>
      <c r="V92" s="9"/>
      <c r="W92" s="9"/>
      <c r="X92" s="9"/>
      <c r="Y92" s="9"/>
      <c r="Z92" s="9"/>
      <c r="AA92" s="9"/>
      <c r="AB92" s="9"/>
    </row>
    <row r="93" spans="1:28" ht="19.95" customHeight="1" x14ac:dyDescent="0.3">
      <c r="A93" s="40"/>
      <c r="B93" s="332" t="s">
        <v>599</v>
      </c>
      <c r="C93" s="40"/>
      <c r="D93" s="40" t="s">
        <v>597</v>
      </c>
      <c r="E93" s="361"/>
      <c r="F93" s="361"/>
      <c r="G93" s="361"/>
      <c r="H93" s="361"/>
      <c r="I93" s="361"/>
      <c r="J93" s="361"/>
      <c r="K93" s="361"/>
      <c r="L93" s="20"/>
      <c r="M93" s="20"/>
      <c r="N93" s="9"/>
      <c r="O93" s="9"/>
      <c r="P93" s="9"/>
      <c r="Q93" s="9"/>
      <c r="R93" s="9"/>
      <c r="S93" s="9"/>
      <c r="T93" s="9"/>
      <c r="U93" s="9"/>
      <c r="V93" s="9"/>
      <c r="W93" s="9"/>
      <c r="X93" s="9"/>
      <c r="Y93" s="9"/>
      <c r="Z93" s="9"/>
      <c r="AA93" s="9"/>
      <c r="AB93" s="9"/>
    </row>
    <row r="94" spans="1:28" ht="18" customHeight="1" x14ac:dyDescent="0.3">
      <c r="A94" s="9"/>
      <c r="B94" s="9" t="s">
        <v>222</v>
      </c>
      <c r="C94" s="338">
        <v>0.01</v>
      </c>
      <c r="D94" s="521" t="s">
        <v>223</v>
      </c>
      <c r="E94" s="521"/>
      <c r="F94" s="521"/>
      <c r="G94" s="521"/>
      <c r="H94" s="521"/>
      <c r="I94" s="521"/>
      <c r="J94" s="521"/>
      <c r="K94" s="521"/>
      <c r="L94" s="9"/>
      <c r="M94" s="9"/>
      <c r="N94" s="9"/>
      <c r="O94" s="9"/>
      <c r="P94" s="9"/>
      <c r="Q94" s="9"/>
      <c r="R94" s="9"/>
      <c r="S94" s="9"/>
      <c r="T94" s="9"/>
      <c r="U94" s="9"/>
      <c r="V94" s="9"/>
      <c r="W94" s="9"/>
      <c r="X94" s="9"/>
      <c r="Y94" s="9"/>
      <c r="Z94" s="9"/>
      <c r="AA94" s="9"/>
      <c r="AB94" s="9"/>
    </row>
    <row r="95" spans="1:28" ht="18" customHeight="1" x14ac:dyDescent="0.3">
      <c r="A95" s="9"/>
      <c r="B95" s="9" t="s">
        <v>224</v>
      </c>
      <c r="C95" s="338">
        <v>0.05</v>
      </c>
      <c r="D95" s="521" t="s">
        <v>225</v>
      </c>
      <c r="E95" s="521"/>
      <c r="F95" s="521"/>
      <c r="G95" s="521"/>
      <c r="H95" s="521"/>
      <c r="I95" s="521"/>
      <c r="J95" s="521"/>
      <c r="K95" s="521"/>
      <c r="L95" s="9"/>
      <c r="M95" s="9"/>
      <c r="N95" s="9"/>
      <c r="O95" s="9"/>
      <c r="P95" s="9"/>
      <c r="Q95" s="9"/>
      <c r="R95" s="9"/>
      <c r="S95" s="9"/>
      <c r="T95" s="9"/>
      <c r="U95" s="9"/>
      <c r="V95" s="9"/>
      <c r="W95" s="9"/>
      <c r="X95" s="9"/>
      <c r="Y95" s="9"/>
      <c r="Z95" s="9"/>
      <c r="AA95" s="9"/>
      <c r="AB95" s="9"/>
    </row>
    <row r="96" spans="1:28" ht="18" customHeight="1" x14ac:dyDescent="0.3">
      <c r="A96" s="9"/>
      <c r="B96" s="9" t="s">
        <v>226</v>
      </c>
      <c r="C96" s="344">
        <v>5.0000000000000001E-3</v>
      </c>
      <c r="D96" s="521" t="s">
        <v>227</v>
      </c>
      <c r="E96" s="521"/>
      <c r="F96" s="521"/>
      <c r="G96" s="521"/>
      <c r="H96" s="521"/>
      <c r="I96" s="521"/>
      <c r="J96" s="521"/>
      <c r="K96" s="521"/>
      <c r="L96" s="9"/>
      <c r="M96" s="9"/>
      <c r="N96" s="9"/>
      <c r="O96" s="9"/>
      <c r="P96" s="9"/>
      <c r="Q96" s="9"/>
      <c r="R96" s="9"/>
      <c r="S96" s="9"/>
      <c r="T96" s="9"/>
      <c r="U96" s="9"/>
      <c r="V96" s="9"/>
      <c r="W96" s="9"/>
      <c r="X96" s="9"/>
      <c r="Y96" s="9"/>
      <c r="Z96" s="9"/>
      <c r="AA96" s="9"/>
      <c r="AB96" s="9"/>
    </row>
    <row r="97" spans="1:28" ht="18" customHeight="1" x14ac:dyDescent="0.3">
      <c r="A97" s="334"/>
      <c r="B97" s="9"/>
      <c r="C97" s="9"/>
      <c r="D97" s="337"/>
      <c r="E97" s="334"/>
      <c r="F97" s="334"/>
      <c r="G97" s="334"/>
      <c r="H97" s="334"/>
      <c r="I97" s="334"/>
      <c r="J97" s="334"/>
      <c r="K97" s="334"/>
      <c r="L97" s="9"/>
      <c r="M97" s="9"/>
      <c r="N97" s="9"/>
      <c r="O97" s="9"/>
      <c r="P97" s="9"/>
      <c r="Q97" s="9"/>
      <c r="R97" s="9"/>
      <c r="S97" s="9"/>
      <c r="T97" s="9"/>
      <c r="U97" s="9"/>
      <c r="V97" s="9"/>
      <c r="W97" s="9"/>
      <c r="X97" s="9"/>
      <c r="Y97" s="9"/>
      <c r="Z97" s="9"/>
      <c r="AA97" s="9"/>
      <c r="AB97" s="9"/>
    </row>
    <row r="98" spans="1:28" ht="19.95" customHeight="1" x14ac:dyDescent="0.3">
      <c r="A98" s="40"/>
      <c r="B98" s="40" t="s">
        <v>255</v>
      </c>
      <c r="C98" s="40"/>
      <c r="D98" s="332"/>
      <c r="E98" s="40"/>
      <c r="F98" s="40"/>
      <c r="G98" s="40"/>
      <c r="H98" s="40"/>
      <c r="I98" s="40"/>
      <c r="J98" s="40"/>
      <c r="K98" s="40"/>
      <c r="L98" s="20"/>
      <c r="M98" s="20"/>
      <c r="N98" s="9"/>
      <c r="O98" s="9"/>
      <c r="P98" s="9"/>
      <c r="Q98" s="9"/>
      <c r="R98" s="9"/>
      <c r="S98" s="9"/>
      <c r="T98" s="9"/>
      <c r="U98" s="9"/>
      <c r="V98" s="9"/>
      <c r="W98" s="9"/>
      <c r="X98" s="9"/>
      <c r="Y98" s="9"/>
      <c r="Z98" s="9"/>
      <c r="AA98" s="9"/>
      <c r="AB98" s="9"/>
    </row>
    <row r="99" spans="1:28" ht="18" customHeight="1" x14ac:dyDescent="0.3">
      <c r="A99" s="9"/>
      <c r="B99" s="337" t="s">
        <v>256</v>
      </c>
      <c r="C99" s="362" t="str" cm="1">
        <f t="array" ref="C99">IF(SUMPRODUCT(ABS('Balance Sheet'!C22:L22))&lt;1,"OK","CHECK")</f>
        <v>OK</v>
      </c>
      <c r="D99" s="337"/>
      <c r="E99" s="9"/>
      <c r="F99" s="9"/>
      <c r="G99" s="9"/>
      <c r="H99" s="9"/>
      <c r="I99" s="9"/>
      <c r="J99" s="9"/>
      <c r="K99" s="9"/>
      <c r="L99" s="9"/>
      <c r="M99" s="9"/>
      <c r="N99" s="9"/>
      <c r="O99" s="9"/>
      <c r="P99" s="9"/>
      <c r="Q99" s="9"/>
      <c r="R99" s="9"/>
      <c r="S99" s="9"/>
      <c r="T99" s="9"/>
      <c r="U99" s="9"/>
      <c r="V99" s="9"/>
      <c r="W99" s="9"/>
      <c r="X99" s="9"/>
      <c r="Y99" s="9"/>
      <c r="Z99" s="9"/>
      <c r="AA99" s="9"/>
      <c r="AB99" s="9"/>
    </row>
    <row r="100" spans="1:28" ht="18" customHeight="1" x14ac:dyDescent="0.3">
      <c r="A100" s="9"/>
      <c r="B100" s="337" t="s">
        <v>257</v>
      </c>
      <c r="C100" s="362" t="str" cm="1">
        <f t="array" ref="C100">IF(SUMPRODUCT(ABS('Balance Sheet'!C7:L7-'Statement of Cash Flows'!C54:L54))&lt;1,"OK","CHECK")</f>
        <v>OK</v>
      </c>
      <c r="D100" s="337"/>
      <c r="E100" s="9"/>
      <c r="F100" s="9"/>
      <c r="G100" s="9"/>
      <c r="H100" s="9"/>
      <c r="I100" s="9"/>
      <c r="J100" s="9"/>
      <c r="K100" s="9"/>
      <c r="L100" s="9"/>
      <c r="M100" s="9"/>
      <c r="N100" s="9"/>
      <c r="O100" s="9"/>
      <c r="P100" s="9"/>
      <c r="Q100" s="9"/>
      <c r="R100" s="9"/>
      <c r="S100" s="9"/>
      <c r="T100" s="9"/>
      <c r="U100" s="9"/>
      <c r="V100" s="9"/>
      <c r="W100" s="9"/>
      <c r="X100" s="9"/>
      <c r="Y100" s="9"/>
      <c r="Z100" s="9"/>
      <c r="AA100" s="9"/>
      <c r="AB100" s="9"/>
    </row>
    <row r="101" spans="1:28" ht="18" customHeight="1" x14ac:dyDescent="0.3">
      <c r="A101" s="9"/>
      <c r="B101" s="337" t="s">
        <v>353</v>
      </c>
      <c r="C101" s="362" t="str">
        <f>IF(ABS('Balance Sheet'!L18-SUM('Income Statement'!C155:L155))&lt;1,"OK","CHECK")</f>
        <v>OK</v>
      </c>
      <c r="D101" s="337"/>
      <c r="E101" s="9"/>
      <c r="F101" s="9"/>
      <c r="G101" s="9"/>
      <c r="H101" s="9"/>
      <c r="I101" s="9"/>
      <c r="J101" s="9"/>
      <c r="K101" s="9"/>
      <c r="L101" s="9"/>
      <c r="M101" s="9"/>
      <c r="N101" s="9"/>
      <c r="O101" s="9"/>
      <c r="P101" s="9"/>
      <c r="Q101" s="9"/>
      <c r="R101" s="9"/>
      <c r="S101" s="9"/>
      <c r="T101" s="9"/>
      <c r="U101" s="9"/>
      <c r="V101" s="9"/>
      <c r="W101" s="9"/>
      <c r="X101" s="9"/>
      <c r="Y101" s="9"/>
      <c r="Z101" s="9"/>
      <c r="AA101" s="9"/>
      <c r="AB101" s="9"/>
    </row>
    <row r="102" spans="1:28" ht="18" customHeight="1" x14ac:dyDescent="0.3">
      <c r="A102" s="9"/>
      <c r="B102" s="337" t="s">
        <v>355</v>
      </c>
      <c r="C102" s="362" t="str" cm="1">
        <f t="array" ref="C102">IF(SUMPRODUCT(ABS('Property Detail'!C232:L232-'Income Statement'!C7:L7))&lt;1,"OK","CHECK")</f>
        <v>OK</v>
      </c>
      <c r="D102" s="337"/>
      <c r="E102" s="9"/>
      <c r="F102" s="9"/>
      <c r="G102" s="9"/>
      <c r="H102" s="9"/>
      <c r="I102" s="9"/>
      <c r="J102" s="9"/>
      <c r="K102" s="9"/>
      <c r="L102" s="9"/>
      <c r="M102" s="9"/>
      <c r="N102" s="9"/>
      <c r="O102" s="9"/>
      <c r="P102" s="9"/>
      <c r="Q102" s="9"/>
      <c r="R102" s="9"/>
      <c r="S102" s="9"/>
      <c r="T102" s="9"/>
      <c r="U102" s="9"/>
      <c r="V102" s="9"/>
      <c r="W102" s="9"/>
      <c r="X102" s="9"/>
      <c r="Y102" s="9"/>
      <c r="Z102" s="9"/>
      <c r="AA102" s="9"/>
      <c r="AB102" s="9"/>
    </row>
    <row r="103" spans="1:28" ht="18" customHeight="1" x14ac:dyDescent="0.3">
      <c r="A103" s="9"/>
      <c r="B103" s="337" t="s">
        <v>258</v>
      </c>
      <c r="C103" s="362" t="str">
        <f>IF(ABS(SUM('_Month Engine'!$C$83:$DR$83)-SUMPRODUCT(Properties!$P$6:$P$15,Properties!$D$6:$D$15))&lt;1,"OK","CHECK")</f>
        <v>OK</v>
      </c>
      <c r="D103" s="337"/>
      <c r="E103" s="9"/>
      <c r="F103" s="9"/>
      <c r="G103" s="9"/>
      <c r="H103" s="9"/>
      <c r="I103" s="9"/>
      <c r="J103" s="9"/>
      <c r="K103" s="9"/>
      <c r="L103" s="9"/>
      <c r="M103" s="9"/>
      <c r="N103" s="9"/>
      <c r="O103" s="9"/>
      <c r="P103" s="9"/>
      <c r="Q103" s="9"/>
      <c r="R103" s="9"/>
      <c r="S103" s="9"/>
      <c r="T103" s="9"/>
      <c r="U103" s="9"/>
      <c r="V103" s="9"/>
      <c r="W103" s="9"/>
      <c r="X103" s="9"/>
      <c r="Y103" s="9"/>
      <c r="Z103" s="9"/>
      <c r="AA103" s="9"/>
      <c r="AB103" s="9"/>
    </row>
    <row r="104" spans="1:28" ht="18" customHeight="1" x14ac:dyDescent="0.3">
      <c r="A104" s="9"/>
      <c r="B104" s="337" t="s">
        <v>888</v>
      </c>
      <c r="C104" s="362" t="str">
        <f>IF(ABS('Investor Return'!C17+SUM('Statement of Cash Flows'!$C$48:$L$49))&lt;1,"OK","CHECK")</f>
        <v>OK</v>
      </c>
      <c r="D104" s="337"/>
      <c r="E104" s="9"/>
      <c r="F104" s="9"/>
      <c r="G104" s="9"/>
      <c r="H104" s="9"/>
      <c r="I104" s="9"/>
      <c r="J104" s="9"/>
      <c r="K104" s="9"/>
      <c r="L104" s="9"/>
      <c r="M104" s="9"/>
      <c r="N104" s="9"/>
      <c r="O104" s="9"/>
      <c r="P104" s="9"/>
      <c r="Q104" s="9"/>
      <c r="R104" s="9"/>
      <c r="S104" s="9"/>
      <c r="T104" s="9"/>
      <c r="U104" s="9"/>
      <c r="V104" s="9"/>
      <c r="W104" s="9"/>
      <c r="X104" s="9"/>
      <c r="Y104" s="9"/>
      <c r="Z104" s="9"/>
      <c r="AA104" s="9"/>
      <c r="AB104" s="9"/>
    </row>
    <row r="105" spans="1:28" ht="28.8" customHeight="1" x14ac:dyDescent="0.3">
      <c r="A105" s="9"/>
      <c r="B105" s="337" t="s">
        <v>1081</v>
      </c>
      <c r="C105" s="362" t="str" cm="1">
        <f t="array" ref="C105">IF(SUMPRODUCT(Properties!$D$6:$D$19*ABS(Properties!$AD$6:$AD$19-(Properties!$AB$6:$AB$19&gt;Properties!$AN$6:$AN$19)*(Properties!$AB$6:$AB$19-Properties!$AN$6:$AN$19)*$C$26))&lt;1,"OK","CHECK")</f>
        <v>OK</v>
      </c>
      <c r="D105" s="337"/>
      <c r="E105" s="9"/>
      <c r="F105" s="9"/>
      <c r="G105" s="9"/>
      <c r="H105" s="9"/>
      <c r="I105" s="9"/>
      <c r="J105" s="9"/>
      <c r="K105" s="9"/>
      <c r="L105" s="9"/>
      <c r="M105" s="9"/>
      <c r="N105" s="9"/>
      <c r="O105" s="9"/>
      <c r="P105" s="9"/>
      <c r="Q105" s="9"/>
      <c r="R105" s="9"/>
      <c r="S105" s="9"/>
      <c r="T105" s="9"/>
      <c r="U105" s="9"/>
      <c r="V105" s="9"/>
      <c r="W105" s="9"/>
      <c r="X105" s="9"/>
      <c r="Y105" s="9"/>
      <c r="Z105" s="9"/>
      <c r="AA105" s="9"/>
      <c r="AB105" s="9"/>
    </row>
    <row r="106" spans="1:28" ht="18" customHeight="1" x14ac:dyDescent="0.3">
      <c r="A106" s="9"/>
      <c r="B106" s="337" t="s">
        <v>1557</v>
      </c>
      <c r="C106" s="362" t="str">
        <f>IF(MAX(Input!$C$25,Input!$C$26)&lt;=0.15,"OK","CHECK")</f>
        <v>OK</v>
      </c>
      <c r="D106" s="337"/>
      <c r="E106" s="9"/>
      <c r="F106" s="9"/>
      <c r="G106" s="9"/>
      <c r="H106" s="9"/>
      <c r="I106" s="9"/>
      <c r="J106" s="9"/>
      <c r="K106" s="9"/>
      <c r="L106" s="9"/>
      <c r="M106" s="9"/>
      <c r="N106" s="9"/>
      <c r="O106" s="9"/>
      <c r="P106" s="9"/>
      <c r="Q106" s="9"/>
      <c r="R106" s="9"/>
      <c r="S106" s="9"/>
      <c r="T106" s="9"/>
      <c r="U106" s="9"/>
      <c r="V106" s="9"/>
      <c r="W106" s="9"/>
      <c r="X106" s="9"/>
      <c r="Y106" s="9"/>
      <c r="Z106" s="9"/>
      <c r="AA106" s="9"/>
      <c r="AB106" s="9"/>
    </row>
    <row r="107" spans="1:28" ht="18" customHeight="1" x14ac:dyDescent="0.3">
      <c r="B107" s="337" t="s">
        <v>703</v>
      </c>
      <c r="C107" s="362" t="str">
        <f>'_IRR Engine'!$Q$28</f>
        <v>OK</v>
      </c>
      <c r="D107" s="337"/>
    </row>
    <row r="108" spans="1:28" ht="18" customHeight="1" x14ac:dyDescent="0.3">
      <c r="B108" s="337" t="s">
        <v>725</v>
      </c>
      <c r="C108" s="362" t="str">
        <f>IF(AND('_IRR Engine'!$Q$31="OK",'_IRR Engine'!$Q$34="OK",'_IRR Engine'!$Q$37="OK"),"OK","CHECK")</f>
        <v>OK</v>
      </c>
    </row>
    <row r="109" spans="1:28" ht="18" customHeight="1" x14ac:dyDescent="0.3">
      <c r="B109" s="337" t="s">
        <v>1526</v>
      </c>
      <c r="C109" s="362" t="str">
        <f>IF(ABS('Portfolio Analysis'!$E$13-'_IRR Engine'!$Q$16)&lt;0.00001,"OK","CHECK")</f>
        <v>OK</v>
      </c>
    </row>
    <row r="110" spans="1:28" ht="18" customHeight="1" x14ac:dyDescent="0.3">
      <c r="B110" s="113"/>
    </row>
    <row r="111" spans="1:28" ht="19.95" customHeight="1" x14ac:dyDescent="0.3">
      <c r="A111" s="103"/>
      <c r="B111" s="332" t="s">
        <v>727</v>
      </c>
      <c r="C111" s="40"/>
      <c r="D111" s="363"/>
      <c r="E111" s="103"/>
      <c r="F111" s="103"/>
      <c r="G111" s="103"/>
      <c r="H111" s="103"/>
      <c r="I111" s="103"/>
      <c r="J111" s="103"/>
      <c r="K111" s="103"/>
      <c r="L111" s="325"/>
      <c r="M111" s="325"/>
    </row>
    <row r="112" spans="1:28" ht="18" customHeight="1" x14ac:dyDescent="0.3">
      <c r="B112" s="337" t="s">
        <v>728</v>
      </c>
      <c r="C112" s="362" t="str" cm="1">
        <f t="array" ref="C112">IF(SUMPRODUCT(ABS('Income Statement'!$C$29:$L$29-('Income Statement'!$C$7:$L$7+'Income Statement'!$C$18:$L$18)))&lt;1,"OK","CHECK")</f>
        <v>OK</v>
      </c>
    </row>
    <row r="113" spans="2:3" ht="18" customHeight="1" x14ac:dyDescent="0.3">
      <c r="B113" s="337" t="s">
        <v>729</v>
      </c>
      <c r="C113" s="362" t="str" cm="1">
        <f t="array" ref="C113">IF(MAX(ABS(_xlfn.BYCOL('Income Statement'!$C$8:$L$17,_xlfn.LAMBDA(_xlpm.c,SUM(_xlpm.c)))-'Income Statement'!$C$7:$L$7))&lt;1,"OK","CHECK")</f>
        <v>OK</v>
      </c>
    </row>
    <row r="114" spans="2:3" ht="18" customHeight="1" x14ac:dyDescent="0.3">
      <c r="B114" s="337" t="s">
        <v>730</v>
      </c>
      <c r="C114" s="362" t="str" cm="1">
        <f t="array" ref="C114">IF(MAX(ABS(_xlfn.BYCOL('Income Statement'!$C$19:$L$28,_xlfn.LAMBDA(_xlpm.c,SUM(_xlpm.c)))-'Income Statement'!$C$18:$L$18))&lt;1,"OK","CHECK")</f>
        <v>OK</v>
      </c>
    </row>
    <row r="115" spans="2:3" ht="18" customHeight="1" x14ac:dyDescent="0.3">
      <c r="B115" s="337" t="s">
        <v>731</v>
      </c>
      <c r="C115" s="362" t="str" cm="1">
        <f t="array" ref="C115">IF(SUMPRODUCT(ABS('Income Statement'!$C$159:$L$159-('Income Statement'!$C$29:$L$29-'Income Statement'!$C$107:$L$107-'Income Statement'!$C$108:$L$108)))&lt;1,"OK","CHECK")</f>
        <v>OK</v>
      </c>
    </row>
    <row r="116" spans="2:3" ht="18" customHeight="1" x14ac:dyDescent="0.3">
      <c r="B116" s="337" t="s">
        <v>732</v>
      </c>
      <c r="C116" s="362" t="str" cm="1">
        <f t="array" ref="C116">IF(SUMPRODUCT(ABS('Income Statement'!$C$161:$L$161-('Income Statement'!$C$104:$L$104+'Income Statement'!$C$105:$L$105+'Income Statement'!$C$106:$L$106+'Income Statement'!$C$139:$L$139)))&lt;1,"OK","CHECK")</f>
        <v>OK</v>
      </c>
    </row>
    <row r="117" spans="2:3" ht="18" customHeight="1" x14ac:dyDescent="0.3">
      <c r="B117" s="337" t="s">
        <v>733</v>
      </c>
      <c r="C117" s="362" t="str" cm="1">
        <f t="array" ref="C117">IF(SUMPRODUCT(ABS('Income Statement'!$C$163:$L$163-('Income Statement'!$C$161:$L$161+'Income Statement'!$C$144:$L$144)))&lt;1,"OK","CHECK")</f>
        <v>OK</v>
      </c>
    </row>
    <row r="118" spans="2:3" ht="18" customHeight="1" x14ac:dyDescent="0.3">
      <c r="B118" s="337" t="s">
        <v>734</v>
      </c>
      <c r="C118" s="362" t="str" cm="1">
        <f t="array" ref="C118">IF(SUMPRODUCT(ABS('Income Statement'!$C$147:$L$147-('Income Statement'!$C$159:$L$159-'Income Statement'!$C$163:$L$163)))&lt;1,"OK","CHECK")</f>
        <v>OK</v>
      </c>
    </row>
    <row r="119" spans="2:3" ht="18" customHeight="1" x14ac:dyDescent="0.3">
      <c r="B119" s="337" t="s">
        <v>735</v>
      </c>
      <c r="C119" s="362" t="str" cm="1">
        <f t="array" ref="C119">IF(SUMPRODUCT(ABS('Income Statement'!$C$153:$L$153-('Income Statement'!$C$151:$L$151+'Income Statement'!$C$152:$L$152)))&lt;1,"OK","CHECK")</f>
        <v>OK</v>
      </c>
    </row>
    <row r="120" spans="2:3" ht="18" customHeight="1" x14ac:dyDescent="0.3">
      <c r="B120" s="337" t="s">
        <v>736</v>
      </c>
      <c r="C120" s="362" t="str" cm="1">
        <f t="array" ref="C120">IF(SUMPRODUCT(ABS('Income Statement'!$C$155:$L$155-('Income Statement'!$C$147:$L$147-'Income Statement'!$C$153:$L$153)))&lt;1,"OK","CHECK")</f>
        <v>OK</v>
      </c>
    </row>
    <row r="121" spans="2:3" ht="18" customHeight="1" x14ac:dyDescent="0.3">
      <c r="B121" s="337" t="s">
        <v>737</v>
      </c>
      <c r="C121" s="362" t="str" cm="1">
        <f t="array" ref="C121">IF(SUMPRODUCT(ABS('Statement of Cash Flows'!$C$52:$L$52-('Statement of Cash Flows'!$C$19:$L$19+'Statement of Cash Flows'!$C$44:$L$44+'Statement of Cash Flows'!$C$50:$L$50)))&lt;1,"OK","CHECK")</f>
        <v>OK</v>
      </c>
    </row>
    <row r="122" spans="2:3" ht="18" customHeight="1" x14ac:dyDescent="0.3">
      <c r="B122" s="337" t="s">
        <v>738</v>
      </c>
      <c r="C122" s="362" t="str" cm="1">
        <f t="array" ref="C122">IF(SUMPRODUCT(ABS('Statement of Cash Flows'!$C$54:$L$54-('Statement of Cash Flows'!$C$52:$L$52+'Statement of Cash Flows'!$C$53:$L$53)))&lt;1,"OK","CHECK")</f>
        <v>OK</v>
      </c>
    </row>
    <row r="123" spans="2:3" ht="18" customHeight="1" x14ac:dyDescent="0.3">
      <c r="B123" s="337" t="s">
        <v>739</v>
      </c>
      <c r="C123" s="362" t="str" cm="1">
        <f t="array" ref="C123">IF(SUMPRODUCT(ABS('Statement of Cash Flows'!$D$53:$L$53-('Statement of Cash Flows'!$C$54:$K$54)))&lt;1,"OK","CHECK")</f>
        <v>OK</v>
      </c>
    </row>
    <row r="124" spans="2:3" ht="18" customHeight="1" x14ac:dyDescent="0.3">
      <c r="B124" s="337" t="s">
        <v>740</v>
      </c>
      <c r="C124" s="362" t="str" cm="1">
        <f t="array" ref="C124">IF(SUMPRODUCT(ABS('Statement of Cash Flows'!$C$7:$L$7-('Income Statement'!$C$155:$L$155)))&lt;1,"OK","CHECK")</f>
        <v>OK</v>
      </c>
    </row>
    <row r="125" spans="2:3" ht="18" customHeight="1" x14ac:dyDescent="0.3">
      <c r="B125" s="337" t="s">
        <v>741</v>
      </c>
      <c r="C125" s="362" t="str" cm="1">
        <f t="array" ref="C125">IF(SUMPRODUCT(ABS('Statement of Cash Flows'!$C$68:$L$68))&lt;1,"OK","CHECK")</f>
        <v>OK</v>
      </c>
    </row>
    <row r="126" spans="2:3" ht="18" customHeight="1" x14ac:dyDescent="0.3">
      <c r="B126" s="337" t="s">
        <v>742</v>
      </c>
      <c r="C126" s="362" t="str" cm="1">
        <f t="array" ref="C126">IF(SUMPRODUCT(ABS('Balance Sheet'!$C$10:$L$10-('Balance Sheet'!$C$7:$L$7+'Balance Sheet'!$C$8:$L$8)))&lt;1,"OK","CHECK")</f>
        <v>OK</v>
      </c>
    </row>
    <row r="127" spans="2:3" ht="28.8" customHeight="1" x14ac:dyDescent="0.3">
      <c r="B127" s="337" t="s">
        <v>889</v>
      </c>
      <c r="C127" s="362" t="str" cm="1">
        <f t="array" ref="C127">IF(SUMPRODUCT(ABS('Balance Sheet'!$C$20:$L$20-('Balance Sheet'!$C$17:$L$17+'Balance Sheet'!$C$18:$L$18+'Balance Sheet'!$C$19:$L$19)))&lt;1,"OK","CHECK")</f>
        <v>OK</v>
      </c>
    </row>
    <row r="128" spans="2:3" ht="18" customHeight="1" x14ac:dyDescent="0.3">
      <c r="B128" s="337" t="s">
        <v>743</v>
      </c>
      <c r="C128" s="362" t="str" cm="1">
        <f t="array" ref="C128">IF(SUMPRODUCT(ABS('Balance Sheet'!$D$8:$L$8-'Balance Sheet'!$C$8:$K$8-(-'Statement of Cash Flows'!$D$32:$L$32-'Statement of Cash Flows'!$D$43:$L$43-'Income Statement'!$D$107:$L$107)))&lt;1,"OK","CHECK")</f>
        <v>OK</v>
      </c>
    </row>
    <row r="129" spans="1:13" ht="18" customHeight="1" x14ac:dyDescent="0.3">
      <c r="B129" s="337" t="s">
        <v>744</v>
      </c>
      <c r="C129" s="362" t="str" cm="1">
        <f t="array" ref="C129">IF(SUMPRODUCT(ABS('Balance Sheet'!$C$17:$L$17-(_xlfn.SCAN(0,'Statement of Cash Flows'!$C$47:$L$47,_xlfn.LAMBDA(_xlpm.a,_xlpm.b,_xlpm.a+_xlpm.b)))))&lt;1,"OK","CHECK")</f>
        <v>OK</v>
      </c>
    </row>
    <row r="130" spans="1:13" ht="18" customHeight="1" x14ac:dyDescent="0.3">
      <c r="B130" s="337"/>
      <c r="C130" s="362"/>
    </row>
    <row r="131" spans="1:13" ht="19.95" customHeight="1" x14ac:dyDescent="0.3">
      <c r="A131" s="103"/>
      <c r="B131" s="332" t="s">
        <v>745</v>
      </c>
      <c r="C131" s="40"/>
      <c r="D131" s="363"/>
      <c r="E131" s="103"/>
      <c r="F131" s="103"/>
      <c r="G131" s="103"/>
      <c r="H131" s="103"/>
      <c r="I131" s="103"/>
      <c r="J131" s="103"/>
      <c r="K131" s="103"/>
      <c r="L131" s="325"/>
      <c r="M131" s="325"/>
    </row>
    <row r="132" spans="1:13" ht="18" customHeight="1" x14ac:dyDescent="0.3">
      <c r="B132" s="337" t="s">
        <v>746</v>
      </c>
      <c r="C132" s="362" t="str">
        <f>IF(MIN('Statement of Cash Flows'!$C$54:$L$54)&gt;=-0.5,"OK","CHECK")</f>
        <v>OK</v>
      </c>
    </row>
    <row r="133" spans="1:13" ht="18" customHeight="1" x14ac:dyDescent="0.3">
      <c r="B133" s="337" t="s">
        <v>747</v>
      </c>
      <c r="C133" s="362" t="str">
        <f>IF(SUM('Statement of Cash Flows'!$C$47:$L$47)&lt;=Input!$C$37+1,"OK","CHECK")</f>
        <v>OK</v>
      </c>
    </row>
    <row r="134" spans="1:13" ht="18" customHeight="1" x14ac:dyDescent="0.3">
      <c r="B134" s="337" t="s">
        <v>883</v>
      </c>
      <c r="C134" s="362" t="str">
        <f>IF(ABS('Investor Return'!$C$17-('Investor Return'!$C$16+SUM('Income Statement'!$C$155:$L$155)))&lt;1,"OK","CHECK")</f>
        <v>OK</v>
      </c>
    </row>
    <row r="135" spans="1:13" ht="28.8" customHeight="1" x14ac:dyDescent="0.3">
      <c r="B135" s="337" t="s">
        <v>1340</v>
      </c>
      <c r="C135" s="362" t="str">
        <f>IF(AND(ABS('Investor Return'!$C$17-('Investor Return'!$C$19-'Investor Return'!$C$18))&lt;1,ABS(-'Investor Return'!$C$18-$C$46*MAX(0,'Investor Return'!$C$17-'Investor Return'!$C$16))&lt;1),"OK","CHECK")</f>
        <v>OK</v>
      </c>
    </row>
    <row r="136" spans="1:13" ht="18" customHeight="1" x14ac:dyDescent="0.3">
      <c r="B136" s="337" t="s">
        <v>748</v>
      </c>
      <c r="C136" s="362" t="str" cm="1">
        <f t="array" ref="C136">IF(SUMPRODUCT(Properties!$D$6:$D$15*((Properties!$AD$6:$AD$15&lt;-0.5)+(Properties!$AD$6:$AD$15&gt;MAX(Input!$C$25,Input!$C$26)*(Properties!$AC$6:$AC$15&gt;0)*Properties!$AC$6:$AC$15+1)))=0,"OK","CHECK")</f>
        <v>OK</v>
      </c>
    </row>
    <row r="137" spans="1:13" ht="18" customHeight="1" x14ac:dyDescent="0.3">
      <c r="B137" s="337" t="s">
        <v>749</v>
      </c>
      <c r="C137" s="362" t="str" cm="1">
        <f t="array" ref="C137">IF(SUMPRODUCT((ISNUMBER('Income Statement'!$C$7:$L$163))*(NOT(_xlfn.ISFORMULA('Income Statement'!$C$7:$L$163))))=0,"OK","CHECK")</f>
        <v>OK</v>
      </c>
    </row>
    <row r="138" spans="1:13" ht="18" customHeight="1" x14ac:dyDescent="0.3">
      <c r="B138" s="337" t="s">
        <v>750</v>
      </c>
      <c r="C138" s="362" t="str" cm="1">
        <f t="array" ref="C138">IF(SUMPRODUCT((ISNUMBER('Statement of Cash Flows'!$C$7:$L$68))*(NOT(_xlfn.ISFORMULA('Statement of Cash Flows'!$C$7:$L$68))))=0,"OK","CHECK")</f>
        <v>OK</v>
      </c>
    </row>
    <row r="139" spans="1:13" ht="18" customHeight="1" x14ac:dyDescent="0.3">
      <c r="B139" s="337" t="s">
        <v>751</v>
      </c>
      <c r="C139" s="362" t="str" cm="1">
        <f t="array" ref="C139">IF(SUMPRODUCT((ISNUMBER('Balance Sheet'!$C$7:$L$22))*(NOT(_xlfn.ISFORMULA('Balance Sheet'!$C$7:$L$22))))=0,"OK","CHECK")</f>
        <v>OK</v>
      </c>
    </row>
    <row r="140" spans="1:13" ht="18" customHeight="1" x14ac:dyDescent="0.3">
      <c r="B140" s="337" t="s">
        <v>752</v>
      </c>
      <c r="C140" s="362" t="str" cm="1">
        <f t="array" ref="C140">IF(SUMPRODUCT(Properties!$D$6:$D$15*(Properties!$U$6:$U$15&lt;=Properties!$Q$6:$Q$15))=0,"OK","CHECK")</f>
        <v>OK</v>
      </c>
    </row>
    <row r="141" spans="1:13" ht="18" customHeight="1" x14ac:dyDescent="0.3">
      <c r="B141" s="337" t="s">
        <v>1082</v>
      </c>
      <c r="C141" s="362" t="str" cm="1">
        <f t="array" ref="C141">IF(SUMPRODUCT(Properties!$D$6:$D$15*(Properties!$T$6:$T$15&gt;=Properties!$U$6:$U$15))=0,"OK","CHECK")</f>
        <v>OK</v>
      </c>
    </row>
    <row r="142" spans="1:13" ht="18" customHeight="1" x14ac:dyDescent="0.3">
      <c r="B142" s="337" t="s">
        <v>753</v>
      </c>
      <c r="C142" s="362" t="str" cm="1">
        <f t="array" ref="C142">IF(SUMPRODUCT(Properties!$D$6:$D$15*(Properties!$U$6:$U$15&gt;Input!$C$57*'_IRR Engine'!$Q$7))=0,"OK","CHECK")</f>
        <v>OK</v>
      </c>
    </row>
    <row r="143" spans="1:13" ht="28.8" customHeight="1" x14ac:dyDescent="0.3">
      <c r="B143" s="337" t="s">
        <v>959</v>
      </c>
      <c r="C143" s="362" t="str" cm="1">
        <f t="array" ref="C143">TEXT(SUMPRODUCT(Properties!$D$6:$D$19*((Properties!$T$6:$T$19+Input!$C$11)&gt;(Properties!$U$6:$U$19-'_IRR Engine'!$Q$7))),"0")&amp;" of "&amp;TEXT(SUM(Properties!$D$6:$D$19),"0")</f>
        <v>0 of 5</v>
      </c>
    </row>
    <row r="144" spans="1:13" ht="28.8" customHeight="1" x14ac:dyDescent="0.3">
      <c r="B144" s="337" t="s">
        <v>955</v>
      </c>
      <c r="C144" s="362" t="str" cm="1">
        <f t="array" ref="C144">IF(SUMPRODUCT((Properties!$A$6:$A$19&gt;10)*Properties!$D$6:$D$19)=0,"OK","CHECK")</f>
        <v>OK</v>
      </c>
    </row>
    <row r="145" spans="1:13" ht="18" customHeight="1" x14ac:dyDescent="0.3">
      <c r="B145" s="337" t="s">
        <v>981</v>
      </c>
      <c r="C145" s="362" t="str">
        <f>IF(ABS('Portfolio Analysis'!$F$158-Properties!$AH$21)&lt;0.0001,"OK","CHECK")</f>
        <v>OK</v>
      </c>
    </row>
    <row r="146" spans="1:13" ht="18" customHeight="1" x14ac:dyDescent="0.3">
      <c r="B146" s="11" t="s">
        <v>259</v>
      </c>
      <c r="C146" s="362" t="str">
        <f>IF(COUNTIF($C$99:$C$145,"CHECK")=0,"ALL CHECKS PASS","REVIEW")</f>
        <v>ALL CHECKS PASS</v>
      </c>
    </row>
    <row r="147" spans="1:13" ht="18" customHeight="1" x14ac:dyDescent="0.3"/>
    <row r="148" spans="1:13" ht="19.95" customHeight="1" x14ac:dyDescent="0.3">
      <c r="A148" s="103"/>
      <c r="B148" s="40" t="s">
        <v>848</v>
      </c>
      <c r="C148" s="103"/>
      <c r="D148" s="363"/>
      <c r="E148" s="103"/>
      <c r="F148" s="103"/>
      <c r="G148" s="103"/>
      <c r="H148" s="103"/>
      <c r="I148" s="103"/>
      <c r="J148" s="103"/>
      <c r="K148" s="103"/>
      <c r="L148" s="325"/>
      <c r="M148" s="325"/>
    </row>
    <row r="149" spans="1:13" ht="18" customHeight="1" x14ac:dyDescent="0.3">
      <c r="B149" s="9" t="s">
        <v>849</v>
      </c>
      <c r="C149" s="338">
        <v>0.02</v>
      </c>
    </row>
    <row r="150" spans="1:13" ht="18" customHeight="1" x14ac:dyDescent="0.3">
      <c r="B150" s="9" t="s">
        <v>850</v>
      </c>
      <c r="C150" s="338">
        <v>0.05</v>
      </c>
    </row>
    <row r="151" spans="1:13" ht="18" customHeight="1" x14ac:dyDescent="0.3">
      <c r="B151" s="9" t="s">
        <v>851</v>
      </c>
      <c r="C151" s="364">
        <v>2</v>
      </c>
    </row>
    <row r="152" spans="1:13" ht="18" customHeight="1" x14ac:dyDescent="0.3">
      <c r="B152" s="9" t="s">
        <v>852</v>
      </c>
      <c r="C152" s="338">
        <v>0.05</v>
      </c>
    </row>
    <row r="153" spans="1:13" ht="18" customHeight="1" x14ac:dyDescent="0.3">
      <c r="B153" s="9" t="s">
        <v>973</v>
      </c>
      <c r="C153" s="338">
        <v>2.5000000000000001E-2</v>
      </c>
    </row>
    <row r="154" spans="1:13" ht="18" customHeight="1" x14ac:dyDescent="0.3">
      <c r="B154" s="9" t="s">
        <v>853</v>
      </c>
      <c r="C154" s="342">
        <v>18</v>
      </c>
    </row>
    <row r="155" spans="1:13" ht="18" customHeight="1" x14ac:dyDescent="0.3">
      <c r="B155" s="9" t="s">
        <v>854</v>
      </c>
      <c r="C155" s="342">
        <v>24</v>
      </c>
    </row>
    <row r="156" spans="1:13" ht="18" customHeight="1" x14ac:dyDescent="0.3">
      <c r="B156" s="9" t="s">
        <v>855</v>
      </c>
      <c r="C156" s="342">
        <v>36</v>
      </c>
    </row>
    <row r="157" spans="1:13" ht="18" customHeight="1" x14ac:dyDescent="0.3">
      <c r="B157" s="9" t="s">
        <v>856</v>
      </c>
      <c r="C157" s="32">
        <v>20000</v>
      </c>
    </row>
    <row r="158" spans="1:13" ht="18" customHeight="1" x14ac:dyDescent="0.3">
      <c r="B158" s="9" t="s">
        <v>857</v>
      </c>
      <c r="C158" s="32">
        <v>60000</v>
      </c>
    </row>
    <row r="159" spans="1:13" ht="18" customHeight="1" x14ac:dyDescent="0.3">
      <c r="B159" s="29" t="s">
        <v>1542</v>
      </c>
      <c r="C159" s="338">
        <v>0.05</v>
      </c>
      <c r="D159" s="521" t="str">
        <f>"ServCo's own cost to deliver cleaning and turnover: "&amp;TEXT($C$159,"0.0%")&amp;" of gross rent, paid out of the "&amp;TEXT($C$31,"0%")&amp;" Property Management &amp; Housekeeping fee"</f>
        <v>ServCo's own cost to deliver cleaning and turnover: 5.0% of gross rent, paid out of the 20% Property Management &amp; Housekeeping fee</v>
      </c>
      <c r="E159" s="521"/>
      <c r="F159" s="521"/>
      <c r="G159" s="521"/>
      <c r="H159" s="521"/>
      <c r="I159" s="521"/>
      <c r="J159" s="521"/>
      <c r="K159" s="521"/>
    </row>
    <row r="160" spans="1:13" ht="18" customHeight="1" x14ac:dyDescent="0.3">
      <c r="B160" s="10" t="s">
        <v>902</v>
      </c>
      <c r="C160" s="342">
        <v>6</v>
      </c>
    </row>
    <row r="161" spans="1:11" ht="18" customHeight="1" x14ac:dyDescent="0.3">
      <c r="B161" s="10" t="s">
        <v>903</v>
      </c>
      <c r="C161" s="342">
        <v>9</v>
      </c>
    </row>
    <row r="162" spans="1:11" ht="18" customHeight="1" x14ac:dyDescent="0.3">
      <c r="B162" s="10" t="s">
        <v>904</v>
      </c>
      <c r="C162" s="342">
        <v>12</v>
      </c>
    </row>
    <row r="163" spans="1:11" ht="18" customHeight="1" x14ac:dyDescent="0.3"/>
    <row r="164" spans="1:11" ht="19.95" customHeight="1" x14ac:dyDescent="0.3">
      <c r="A164" s="103"/>
      <c r="B164" s="40" t="s">
        <v>945</v>
      </c>
      <c r="C164" s="103"/>
      <c r="D164" s="363"/>
      <c r="E164" s="103"/>
      <c r="F164" s="103"/>
      <c r="G164" s="103"/>
      <c r="H164" s="103"/>
      <c r="I164" s="103"/>
      <c r="J164" s="103"/>
      <c r="K164" s="103"/>
    </row>
    <row r="165" spans="1:11" ht="19.95" customHeight="1" x14ac:dyDescent="0.3">
      <c r="B165" s="9" t="s">
        <v>524</v>
      </c>
      <c r="C165" s="351">
        <v>10.7639</v>
      </c>
      <c r="D165" s="523" t="s">
        <v>946</v>
      </c>
      <c r="E165" s="523"/>
      <c r="F165" s="523"/>
      <c r="G165" s="523"/>
      <c r="H165" s="523"/>
      <c r="I165" s="523"/>
      <c r="J165" s="523"/>
      <c r="K165" s="523"/>
    </row>
    <row r="166" spans="1:11" ht="18" customHeight="1" x14ac:dyDescent="0.3">
      <c r="B166" s="9" t="s">
        <v>525</v>
      </c>
      <c r="C166" s="342">
        <v>18</v>
      </c>
      <c r="D166" s="366">
        <v>28</v>
      </c>
    </row>
    <row r="167" spans="1:11" ht="14.55" customHeight="1" x14ac:dyDescent="0.3">
      <c r="B167" s="1" t="s">
        <v>963</v>
      </c>
      <c r="C167" s="33">
        <v>0.43</v>
      </c>
      <c r="D167" s="372">
        <v>0.56999999999999995</v>
      </c>
    </row>
    <row r="168" spans="1:11" ht="34.049999999999997" customHeight="1" x14ac:dyDescent="0.3">
      <c r="B168" s="113" t="s">
        <v>964</v>
      </c>
      <c r="C168" s="33">
        <v>0.35</v>
      </c>
      <c r="D168" s="372">
        <v>0.5</v>
      </c>
    </row>
    <row r="169" spans="1:11" ht="34.049999999999997" customHeight="1" x14ac:dyDescent="0.3">
      <c r="B169" s="113" t="s">
        <v>965</v>
      </c>
      <c r="C169" s="33">
        <v>0.08</v>
      </c>
    </row>
    <row r="170" spans="1:11" ht="19.95" customHeight="1" x14ac:dyDescent="0.3">
      <c r="B170" s="414" t="s">
        <v>1091</v>
      </c>
      <c r="C170" s="415">
        <v>9500</v>
      </c>
      <c r="D170" s="520" t="s">
        <v>1548</v>
      </c>
      <c r="E170" s="520"/>
      <c r="F170" s="520"/>
      <c r="G170" s="520"/>
      <c r="H170" s="520"/>
      <c r="I170" s="520"/>
      <c r="J170" s="520"/>
      <c r="K170" s="520"/>
    </row>
    <row r="171" spans="1:11" ht="19.95" customHeight="1" x14ac:dyDescent="0.3">
      <c r="B171" s="414" t="s">
        <v>1092</v>
      </c>
      <c r="C171" s="437">
        <v>28</v>
      </c>
      <c r="D171" s="520" t="s">
        <v>1093</v>
      </c>
      <c r="E171" s="520"/>
      <c r="F171" s="520"/>
      <c r="G171" s="520"/>
      <c r="H171" s="520"/>
      <c r="I171" s="520"/>
      <c r="J171" s="520"/>
      <c r="K171" s="520"/>
    </row>
    <row r="172" spans="1:11" ht="19.95" customHeight="1" x14ac:dyDescent="0.3">
      <c r="B172" s="414" t="s">
        <v>1094</v>
      </c>
      <c r="C172" s="437">
        <v>35</v>
      </c>
      <c r="D172" s="520" t="s">
        <v>1095</v>
      </c>
      <c r="E172" s="520"/>
      <c r="F172" s="520"/>
      <c r="G172" s="520"/>
      <c r="H172" s="520"/>
      <c r="I172" s="520"/>
      <c r="J172" s="520"/>
      <c r="K172" s="520"/>
    </row>
  </sheetData>
  <mergeCells count="44">
    <mergeCell ref="D51:K51"/>
    <mergeCell ref="D52:K52"/>
    <mergeCell ref="D165:K165"/>
    <mergeCell ref="D94:K94"/>
    <mergeCell ref="D95:K95"/>
    <mergeCell ref="D96:K96"/>
    <mergeCell ref="D159:K159"/>
    <mergeCell ref="D46:K46"/>
    <mergeCell ref="D47:K47"/>
    <mergeCell ref="D48:K48"/>
    <mergeCell ref="D49:K49"/>
    <mergeCell ref="D50:K50"/>
    <mergeCell ref="D19:K19"/>
    <mergeCell ref="D20:K20"/>
    <mergeCell ref="D55:K55"/>
    <mergeCell ref="D26:K26"/>
    <mergeCell ref="D32:K32"/>
    <mergeCell ref="D37:K37"/>
    <mergeCell ref="D40:K40"/>
    <mergeCell ref="D41:K41"/>
    <mergeCell ref="D38:K38"/>
    <mergeCell ref="D27:K27"/>
    <mergeCell ref="D28:K28"/>
    <mergeCell ref="D42:K42"/>
    <mergeCell ref="D43:K43"/>
    <mergeCell ref="D44:K44"/>
    <mergeCell ref="D54:K54"/>
    <mergeCell ref="D45:K45"/>
    <mergeCell ref="B92:K92"/>
    <mergeCell ref="D170:K170"/>
    <mergeCell ref="D171:K171"/>
    <mergeCell ref="D172:K172"/>
    <mergeCell ref="B2:K3"/>
    <mergeCell ref="D5:K5"/>
    <mergeCell ref="D7:K7"/>
    <mergeCell ref="D10:K10"/>
    <mergeCell ref="D6:K6"/>
    <mergeCell ref="D21:K21"/>
    <mergeCell ref="D22:K22"/>
    <mergeCell ref="D25:K25"/>
    <mergeCell ref="D11:K11"/>
    <mergeCell ref="D14:K14"/>
    <mergeCell ref="D15:K15"/>
    <mergeCell ref="D18:K18"/>
  </mergeCells>
  <conditionalFormatting sqref="C99:C146">
    <cfRule type="containsText" dxfId="38" priority="20" operator="containsText" text="CHECK">
      <formula>NOT(ISERROR(SEARCH("CHECK",C99)))</formula>
    </cfRule>
    <cfRule type="containsText" dxfId="37" priority="21" operator="containsText" text="REVIEW">
      <formula>NOT(ISERROR(SEARCH("REVIEW",C99)))</formula>
    </cfRule>
    <cfRule type="containsText" dxfId="36" priority="22" operator="containsText" text="OK">
      <formula>NOT(ISERROR(SEARCH("OK",C99)))</formula>
    </cfRule>
    <cfRule type="containsText" dxfId="35" priority="23" operator="containsText" text="ALL CHECKS PASS">
      <formula>NOT(ISERROR(SEARCH("ALL CHECKS PASS",C99)))</formula>
    </cfRule>
  </conditionalFormatting>
  <conditionalFormatting sqref="K79:K89">
    <cfRule type="containsText" dxfId="34" priority="17" operator="containsText" text="ABOVE the researched">
      <formula>NOT(ISERROR(SEARCH("ABOVE the researched",K79)))</formula>
    </cfRule>
    <cfRule type="containsText" dxfId="33" priority="18" operator="containsText" text="below range">
      <formula>NOT(ISERROR(SEARCH("below range",K79)))</formula>
    </cfRule>
    <cfRule type="containsText" dxfId="32" priority="19" operator="containsText" text="within range">
      <formula>NOT(ISERROR(SEARCH("within range",K79)))</formula>
    </cfRule>
  </conditionalFormatting>
  <conditionalFormatting sqref="L80:L89">
    <cfRule type="containsText" dxfId="31" priority="24" operator="containsText" text="within band">
      <formula>NOT(ISERROR(SEARCH("within band",L80)))</formula>
    </cfRule>
    <cfRule type="containsText" dxfId="30" priority="25" operator="containsText" text="above band">
      <formula>NOT(ISERROR(SEARCH("above band",L80)))</formula>
    </cfRule>
    <cfRule type="containsText" dxfId="29" priority="26" operator="containsText" text="below band">
      <formula>NOT(ISERROR(SEARCH("below band",L80)))</formula>
    </cfRule>
  </conditionalFormatting>
  <pageMargins left="0.7" right="0.7" top="0.75" bottom="0.75" header="0.3" footer="0.3"/>
  <pageSetup scale="46" fitToHeight="0" orientation="landscape" horizontalDpi="0" verticalDpi="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6DD57-5493-43D9-8630-720070C755B5}">
  <sheetPr>
    <tabColor rgb="FF132E57"/>
  </sheetPr>
  <dimension ref="A1:K72"/>
  <sheetViews>
    <sheetView showGridLines="0" workbookViewId="0">
      <selection activeCell="N46" sqref="N46"/>
    </sheetView>
  </sheetViews>
  <sheetFormatPr defaultRowHeight="14.4" x14ac:dyDescent="0.3"/>
  <cols>
    <col min="1" max="1" width="2.5546875" customWidth="1"/>
    <col min="2" max="2" width="35.21875" customWidth="1"/>
    <col min="3" max="3" width="77.77734375" customWidth="1"/>
    <col min="4" max="4" width="27.77734375" customWidth="1"/>
    <col min="5" max="10" width="15.77734375" customWidth="1"/>
  </cols>
  <sheetData>
    <row r="1" spans="1:11" ht="30" customHeight="1" x14ac:dyDescent="0.45">
      <c r="A1" s="439"/>
      <c r="B1" s="492" t="s">
        <v>1398</v>
      </c>
      <c r="C1" s="439"/>
      <c r="D1" s="439"/>
      <c r="E1" s="439"/>
      <c r="F1" s="439"/>
      <c r="G1" s="439"/>
      <c r="H1" s="439"/>
      <c r="I1" s="439"/>
      <c r="J1" s="439"/>
      <c r="K1" s="439"/>
    </row>
    <row r="2" spans="1:11" ht="14.55" customHeight="1" x14ac:dyDescent="0.3">
      <c r="A2" s="439"/>
      <c r="B2" s="493" t="s">
        <v>1437</v>
      </c>
      <c r="C2" s="439"/>
      <c r="D2" s="439"/>
      <c r="E2" s="439"/>
      <c r="F2" s="439"/>
      <c r="G2" s="439"/>
      <c r="H2" s="439"/>
      <c r="I2" s="439"/>
      <c r="J2" s="439"/>
      <c r="K2" s="439"/>
    </row>
    <row r="3" spans="1:11" x14ac:dyDescent="0.3">
      <c r="A3" s="439"/>
      <c r="B3" s="439"/>
      <c r="C3" s="439"/>
      <c r="D3" s="439"/>
      <c r="E3" s="439"/>
      <c r="F3" s="439"/>
      <c r="G3" s="439"/>
      <c r="H3" s="439"/>
      <c r="I3" s="439"/>
      <c r="J3" s="439"/>
      <c r="K3" s="439"/>
    </row>
    <row r="4" spans="1:11" ht="19.95" customHeight="1" x14ac:dyDescent="0.3">
      <c r="A4" s="439"/>
      <c r="B4" s="447" t="s">
        <v>1399</v>
      </c>
      <c r="C4" s="447"/>
      <c r="D4" s="447"/>
      <c r="E4" s="446"/>
      <c r="F4" s="446"/>
      <c r="G4" s="446"/>
      <c r="H4" s="446"/>
      <c r="I4" s="446"/>
      <c r="J4" s="446"/>
      <c r="K4" s="439"/>
    </row>
    <row r="5" spans="1:11" ht="63" customHeight="1" x14ac:dyDescent="0.3">
      <c r="A5" s="439"/>
      <c r="B5" s="536" t="s">
        <v>1491</v>
      </c>
      <c r="C5" s="536"/>
      <c r="D5" s="536"/>
      <c r="E5" s="439"/>
      <c r="F5" s="439"/>
      <c r="G5" s="439"/>
      <c r="H5" s="439"/>
      <c r="I5" s="439"/>
      <c r="J5" s="439"/>
      <c r="K5" s="439"/>
    </row>
    <row r="6" spans="1:11" x14ac:dyDescent="0.3">
      <c r="A6" s="439"/>
      <c r="B6" s="439"/>
      <c r="C6" s="439"/>
      <c r="D6" s="439"/>
      <c r="E6" s="439"/>
      <c r="F6" s="439"/>
      <c r="G6" s="439"/>
      <c r="H6" s="439"/>
      <c r="I6" s="439"/>
      <c r="J6" s="439"/>
      <c r="K6" s="439"/>
    </row>
    <row r="7" spans="1:11" ht="19.95" customHeight="1" x14ac:dyDescent="0.3">
      <c r="A7" s="439"/>
      <c r="B7" s="447" t="s">
        <v>1400</v>
      </c>
      <c r="C7" s="447"/>
      <c r="D7" s="447"/>
      <c r="E7" s="446"/>
      <c r="F7" s="446"/>
      <c r="G7" s="446"/>
      <c r="H7" s="446"/>
      <c r="I7" s="446"/>
      <c r="J7" s="446"/>
      <c r="K7" s="439"/>
    </row>
    <row r="8" spans="1:11" ht="19.95" customHeight="1" x14ac:dyDescent="0.3">
      <c r="A8" s="439"/>
      <c r="B8" s="443" t="s">
        <v>1401</v>
      </c>
      <c r="C8" s="443" t="s">
        <v>1402</v>
      </c>
      <c r="D8" s="537" t="s">
        <v>1425</v>
      </c>
      <c r="E8" s="537"/>
      <c r="F8" s="537"/>
      <c r="G8" s="537"/>
      <c r="H8" s="537"/>
      <c r="I8" s="537"/>
      <c r="J8" s="537"/>
      <c r="K8" s="439"/>
    </row>
    <row r="9" spans="1:11" ht="34.049999999999997" customHeight="1" x14ac:dyDescent="0.3">
      <c r="A9" s="439"/>
      <c r="B9" s="480" t="s">
        <v>1403</v>
      </c>
      <c r="C9" s="478" t="s">
        <v>1492</v>
      </c>
      <c r="D9" s="535" t="s">
        <v>1426</v>
      </c>
      <c r="E9" s="535"/>
      <c r="F9" s="535"/>
      <c r="G9" s="535"/>
      <c r="H9" s="535"/>
      <c r="I9" s="535"/>
      <c r="J9" s="535"/>
      <c r="K9" s="439"/>
    </row>
    <row r="10" spans="1:11" ht="34.049999999999997" customHeight="1" x14ac:dyDescent="0.3">
      <c r="A10" s="439"/>
      <c r="B10" s="480" t="s">
        <v>1427</v>
      </c>
      <c r="C10" s="478" t="s">
        <v>1493</v>
      </c>
      <c r="D10" s="535" t="s">
        <v>1428</v>
      </c>
      <c r="E10" s="535"/>
      <c r="F10" s="535"/>
      <c r="G10" s="535"/>
      <c r="H10" s="535"/>
      <c r="I10" s="535"/>
      <c r="J10" s="535"/>
      <c r="K10" s="439"/>
    </row>
    <row r="11" spans="1:11" ht="34.049999999999997" customHeight="1" x14ac:dyDescent="0.3">
      <c r="A11" s="439"/>
      <c r="B11" s="480" t="s">
        <v>1429</v>
      </c>
      <c r="C11" s="478" t="s">
        <v>1494</v>
      </c>
      <c r="D11" s="535" t="s">
        <v>1430</v>
      </c>
      <c r="E11" s="535"/>
      <c r="F11" s="535"/>
      <c r="G11" s="535"/>
      <c r="H11" s="535"/>
      <c r="I11" s="535"/>
      <c r="J11" s="535"/>
      <c r="K11" s="439"/>
    </row>
    <row r="12" spans="1:11" ht="34.049999999999997" customHeight="1" x14ac:dyDescent="0.3">
      <c r="A12" s="439"/>
      <c r="B12" s="480" t="s">
        <v>1431</v>
      </c>
      <c r="C12" s="478" t="s">
        <v>1495</v>
      </c>
      <c r="D12" s="535" t="s">
        <v>1432</v>
      </c>
      <c r="E12" s="535"/>
      <c r="F12" s="535"/>
      <c r="G12" s="535"/>
      <c r="H12" s="535"/>
      <c r="I12" s="535"/>
      <c r="J12" s="535"/>
      <c r="K12" s="439"/>
    </row>
    <row r="13" spans="1:11" ht="34.049999999999997" customHeight="1" x14ac:dyDescent="0.3">
      <c r="A13" s="439"/>
      <c r="B13" s="480" t="s">
        <v>1433</v>
      </c>
      <c r="C13" s="478" t="s">
        <v>1496</v>
      </c>
      <c r="D13" s="535" t="s">
        <v>1434</v>
      </c>
      <c r="E13" s="535"/>
      <c r="F13" s="535"/>
      <c r="G13" s="535"/>
      <c r="H13" s="535"/>
      <c r="I13" s="535"/>
      <c r="J13" s="535"/>
      <c r="K13" s="439"/>
    </row>
    <row r="14" spans="1:11" ht="76.95" customHeight="1" x14ac:dyDescent="0.3">
      <c r="A14" s="439"/>
      <c r="B14" s="480" t="s">
        <v>1442</v>
      </c>
      <c r="C14" s="478" t="s">
        <v>1497</v>
      </c>
      <c r="D14" s="535" t="s">
        <v>1443</v>
      </c>
      <c r="E14" s="535"/>
      <c r="F14" s="535"/>
      <c r="G14" s="535"/>
      <c r="H14" s="535"/>
      <c r="I14" s="535"/>
      <c r="J14" s="535"/>
      <c r="K14" s="439"/>
    </row>
    <row r="15" spans="1:11" ht="34.049999999999997" customHeight="1" x14ac:dyDescent="0.3">
      <c r="A15" s="439"/>
      <c r="B15" s="480" t="s">
        <v>1444</v>
      </c>
      <c r="C15" s="478" t="s">
        <v>1498</v>
      </c>
      <c r="D15" s="535" t="s">
        <v>1550</v>
      </c>
      <c r="E15" s="535"/>
      <c r="F15" s="535"/>
      <c r="G15" s="535"/>
      <c r="H15" s="535"/>
      <c r="I15" s="535"/>
      <c r="J15" s="535"/>
      <c r="K15" s="439"/>
    </row>
    <row r="16" spans="1:11" ht="34.049999999999997" customHeight="1" x14ac:dyDescent="0.3">
      <c r="A16" s="439"/>
      <c r="B16" s="480" t="s">
        <v>1445</v>
      </c>
      <c r="C16" s="478" t="s">
        <v>1499</v>
      </c>
      <c r="D16" s="535" t="s">
        <v>1435</v>
      </c>
      <c r="E16" s="535"/>
      <c r="F16" s="535"/>
      <c r="G16" s="535"/>
      <c r="H16" s="535"/>
      <c r="I16" s="535"/>
      <c r="J16" s="535"/>
      <c r="K16" s="439"/>
    </row>
    <row r="17" spans="1:11" ht="19.95" customHeight="1" x14ac:dyDescent="0.3">
      <c r="A17" s="439"/>
      <c r="B17" s="480" t="s">
        <v>1446</v>
      </c>
      <c r="C17" s="478" t="s">
        <v>1500</v>
      </c>
      <c r="D17" s="535" t="s">
        <v>1436</v>
      </c>
      <c r="E17" s="535"/>
      <c r="F17" s="535"/>
      <c r="G17" s="535"/>
      <c r="H17" s="535"/>
      <c r="I17" s="535"/>
      <c r="J17" s="535"/>
      <c r="K17" s="439"/>
    </row>
    <row r="18" spans="1:11" ht="34.049999999999997" customHeight="1" x14ac:dyDescent="0.3">
      <c r="A18" s="439"/>
      <c r="B18" s="480" t="s">
        <v>1447</v>
      </c>
      <c r="C18" s="478" t="s">
        <v>1501</v>
      </c>
      <c r="D18" s="535" t="s">
        <v>1438</v>
      </c>
      <c r="E18" s="535"/>
      <c r="F18" s="535"/>
      <c r="G18" s="535"/>
      <c r="H18" s="535"/>
      <c r="I18" s="535"/>
      <c r="J18" s="535"/>
      <c r="K18" s="439"/>
    </row>
    <row r="19" spans="1:11" x14ac:dyDescent="0.3">
      <c r="A19" s="439"/>
      <c r="B19" s="439"/>
      <c r="C19" s="439"/>
      <c r="D19" s="439"/>
      <c r="E19" s="439"/>
      <c r="F19" s="439"/>
      <c r="G19" s="439"/>
      <c r="H19" s="439"/>
      <c r="I19" s="439"/>
      <c r="J19" s="439"/>
      <c r="K19" s="439"/>
    </row>
    <row r="20" spans="1:11" ht="19.95" customHeight="1" x14ac:dyDescent="0.3">
      <c r="A20" s="439"/>
      <c r="B20" s="447" t="s">
        <v>1404</v>
      </c>
      <c r="C20" s="447"/>
      <c r="D20" s="447"/>
      <c r="E20" s="447"/>
      <c r="F20" s="447"/>
      <c r="G20" s="447"/>
      <c r="H20" s="447"/>
      <c r="I20" s="447"/>
      <c r="J20" s="447"/>
      <c r="K20" s="439"/>
    </row>
    <row r="21" spans="1:11" ht="28.8" customHeight="1" x14ac:dyDescent="0.3">
      <c r="A21" s="439"/>
      <c r="B21" s="497" t="s">
        <v>27</v>
      </c>
      <c r="C21" s="497" t="s">
        <v>28</v>
      </c>
      <c r="D21" s="497" t="s">
        <v>30</v>
      </c>
      <c r="E21" s="497" t="s">
        <v>1405</v>
      </c>
      <c r="F21" s="497" t="s">
        <v>1406</v>
      </c>
      <c r="G21" s="497" t="s">
        <v>1407</v>
      </c>
      <c r="H21" s="497" t="s">
        <v>909</v>
      </c>
      <c r="I21" s="497" t="s">
        <v>1408</v>
      </c>
      <c r="J21" s="497" t="s">
        <v>1409</v>
      </c>
      <c r="K21" s="439"/>
    </row>
    <row r="22" spans="1:11" ht="14.55" customHeight="1" x14ac:dyDescent="0.3">
      <c r="A22" s="439"/>
      <c r="B22" s="504" t="str">
        <f>Properties!$E$6</f>
        <v>Aires de Campestre Apto 801 (Penthouse)</v>
      </c>
      <c r="C22" s="504" t="str">
        <f>Properties!$F$6</f>
        <v>El Poblado, Medellín</v>
      </c>
      <c r="D22" s="505">
        <f>Properties!$I$6</f>
        <v>489</v>
      </c>
      <c r="E22" s="506">
        <f>Input!$I$80</f>
        <v>0.3</v>
      </c>
      <c r="F22" s="507">
        <f>Input!$M$80</f>
        <v>6</v>
      </c>
      <c r="G22" s="508">
        <f>Input!$J$80</f>
        <v>270</v>
      </c>
      <c r="H22" s="507">
        <f>Properties!$S$6</f>
        <v>28</v>
      </c>
      <c r="I22" s="453">
        <f>Properties!$P$6</f>
        <v>1168770.2265372169</v>
      </c>
      <c r="J22" s="498" t="str">
        <f>IF(AND(OR(ISNUMBER(SEARCH("Poblado",C22)),ISNUMBER(SEARCH("Retiro",C22))),E22&gt;=$C$35,H22&lt;=$C$36,I22&gt;0),"Yes","Review")</f>
        <v>Yes</v>
      </c>
      <c r="K22" s="439"/>
    </row>
    <row r="23" spans="1:11" ht="14.55" customHeight="1" x14ac:dyDescent="0.3">
      <c r="A23" s="439"/>
      <c r="B23" s="504" t="str">
        <f>Properties!$E$7</f>
        <v>Fontanar Apto 201 (Penthouse)</v>
      </c>
      <c r="C23" s="504" t="str">
        <f>Properties!$F$7</f>
        <v>El Poblado, Medellín</v>
      </c>
      <c r="D23" s="505">
        <f>Properties!$I$7</f>
        <v>389</v>
      </c>
      <c r="E23" s="506">
        <f>Input!$I$81</f>
        <v>0.3</v>
      </c>
      <c r="F23" s="507">
        <f>Input!$M$81</f>
        <v>6</v>
      </c>
      <c r="G23" s="508">
        <f>Input!$J$81</f>
        <v>270</v>
      </c>
      <c r="H23" s="507">
        <f>Properties!$S$7</f>
        <v>30</v>
      </c>
      <c r="I23" s="453">
        <f>Properties!$P$7</f>
        <v>1290857.6051779937</v>
      </c>
      <c r="J23" s="498" t="str">
        <f>IF(AND(OR(ISNUMBER(SEARCH("Poblado",C23)),ISNUMBER(SEARCH("Retiro",C23))),E23&gt;=$C$35,H23&lt;=$C$36,I23&gt;0),"Yes","Review")</f>
        <v>Yes</v>
      </c>
      <c r="K23" s="439"/>
    </row>
    <row r="24" spans="1:11" ht="14.55" customHeight="1" x14ac:dyDescent="0.3">
      <c r="A24" s="439"/>
      <c r="B24" s="504" t="str">
        <f>Properties!$E$8</f>
        <v>San Lucas Apto 101</v>
      </c>
      <c r="C24" s="504" t="str">
        <f>Properties!$F$8</f>
        <v>El Poblado, Medellín</v>
      </c>
      <c r="D24" s="505">
        <f>Properties!$I$8</f>
        <v>325</v>
      </c>
      <c r="E24" s="506">
        <f>Input!$I$82</f>
        <v>0.3</v>
      </c>
      <c r="F24" s="507">
        <f>Input!$M$82</f>
        <v>6</v>
      </c>
      <c r="G24" s="508">
        <f>Input!$J$82</f>
        <v>250</v>
      </c>
      <c r="H24" s="507">
        <f>Properties!$S$8</f>
        <v>25</v>
      </c>
      <c r="I24" s="453">
        <f>Properties!$P$8</f>
        <v>747370.55016181234</v>
      </c>
      <c r="J24" s="498" t="str">
        <f>IF(AND(OR(ISNUMBER(SEARCH("Poblado",C24)),ISNUMBER(SEARCH("Retiro",C24))),E24&gt;=$C$35,H24&lt;=$C$36,I24&gt;0),"Yes","Review")</f>
        <v>Yes</v>
      </c>
      <c r="K24" s="439"/>
    </row>
    <row r="25" spans="1:11" ht="28.8" customHeight="1" x14ac:dyDescent="0.3">
      <c r="A25" s="439"/>
      <c r="B25" s="504" t="str">
        <f>Properties!$E$9</f>
        <v>Casa Montana Lote 2 (Samuel Gaviria House)</v>
      </c>
      <c r="C25" s="504" t="str">
        <f>Properties!$F$9</f>
        <v>El Retiro, Antioquia</v>
      </c>
      <c r="D25" s="505">
        <f>Properties!$I$9</f>
        <v>591</v>
      </c>
      <c r="E25" s="506">
        <f>Input!$I$83</f>
        <v>0.3</v>
      </c>
      <c r="F25" s="507">
        <f>Input!$M$83</f>
        <v>6</v>
      </c>
      <c r="G25" s="508">
        <f>Input!$J$83</f>
        <v>340</v>
      </c>
      <c r="H25" s="507">
        <f>Properties!$S$9</f>
        <v>35</v>
      </c>
      <c r="I25" s="453">
        <f>Properties!$P$9</f>
        <v>1714482.2006472494</v>
      </c>
      <c r="J25" s="498" t="str">
        <f>IF(AND(OR(ISNUMBER(SEARCH("Poblado",C25)),ISNUMBER(SEARCH("Retiro",C25))),E25&gt;=$C$35,H25&lt;=$C$36,I25&gt;0),"Yes","Review")</f>
        <v>Yes</v>
      </c>
      <c r="K25" s="439"/>
    </row>
    <row r="26" spans="1:11" ht="14.55" customHeight="1" x14ac:dyDescent="0.3">
      <c r="A26" s="439"/>
      <c r="B26" s="504" t="str">
        <f>Properties!$E$10</f>
        <v>Casa Monte Sereno</v>
      </c>
      <c r="C26" s="504" t="str">
        <f>Properties!$F$10</f>
        <v>El Retiro, Antioquia</v>
      </c>
      <c r="D26" s="505">
        <f>Properties!$I$10</f>
        <v>420</v>
      </c>
      <c r="E26" s="506">
        <f>Input!$I$84</f>
        <v>0.3</v>
      </c>
      <c r="F26" s="507">
        <f>Input!$M$84</f>
        <v>6</v>
      </c>
      <c r="G26" s="508">
        <f>Input!$J$84</f>
        <v>270</v>
      </c>
      <c r="H26" s="507">
        <f>Properties!$S$10</f>
        <v>32</v>
      </c>
      <c r="I26" s="453">
        <f>Properties!$P$10</f>
        <v>1650485.4368932038</v>
      </c>
      <c r="J26" s="498" t="str">
        <f>IF(AND(OR(ISNUMBER(SEARCH("Poblado",C26)),ISNUMBER(SEARCH("Retiro",C26))),E26&gt;=$C$35,H26&lt;=$C$36,I26&gt;0),"Yes","Review")</f>
        <v>Yes</v>
      </c>
      <c r="K26" s="439"/>
    </row>
    <row r="27" spans="1:11" ht="14.55" customHeight="1" x14ac:dyDescent="0.3">
      <c r="A27" s="439"/>
      <c r="B27" s="499" t="s">
        <v>1422</v>
      </c>
      <c r="C27" s="439"/>
      <c r="D27" s="439"/>
      <c r="E27" s="439"/>
      <c r="F27" s="439"/>
      <c r="G27" s="439"/>
      <c r="H27" s="439"/>
      <c r="I27" s="439"/>
      <c r="J27" s="439"/>
      <c r="K27" s="439"/>
    </row>
    <row r="28" spans="1:11" ht="34.049999999999997" customHeight="1" x14ac:dyDescent="0.3">
      <c r="A28" s="439"/>
      <c r="B28" s="460" t="s">
        <v>1441</v>
      </c>
      <c r="C28" s="479">
        <f>'_IRR Engine'!$Q$17</f>
        <v>0.2081031024456024</v>
      </c>
      <c r="D28" s="442" t="str">
        <f>IF(C28&gt;=$C$37,"Meets minimum","Below minimum")</f>
        <v>Meets minimum</v>
      </c>
      <c r="E28" s="439"/>
      <c r="F28" s="439"/>
      <c r="G28" s="439"/>
      <c r="H28" s="439"/>
      <c r="I28" s="439"/>
      <c r="J28" s="439"/>
      <c r="K28" s="439"/>
    </row>
    <row r="29" spans="1:11" ht="19.95" customHeight="1" x14ac:dyDescent="0.3">
      <c r="A29" s="439"/>
      <c r="B29" s="447" t="s">
        <v>1410</v>
      </c>
      <c r="C29" s="447"/>
      <c r="D29" s="447"/>
      <c r="E29" s="447"/>
      <c r="F29" s="447"/>
      <c r="G29" s="447"/>
      <c r="H29" s="447"/>
      <c r="I29" s="447"/>
      <c r="J29" s="447"/>
      <c r="K29" s="439"/>
    </row>
    <row r="30" spans="1:11" ht="14.55" customHeight="1" x14ac:dyDescent="0.3">
      <c r="A30" s="439"/>
      <c r="B30" s="442" t="s">
        <v>1411</v>
      </c>
      <c r="C30" s="500" t="s">
        <v>1412</v>
      </c>
      <c r="D30" s="441" t="s">
        <v>1413</v>
      </c>
      <c r="E30" s="439"/>
      <c r="F30" s="439"/>
      <c r="G30" s="439"/>
      <c r="H30" s="439"/>
      <c r="I30" s="439"/>
      <c r="J30" s="439"/>
      <c r="K30" s="439"/>
    </row>
    <row r="31" spans="1:11" ht="14.55" customHeight="1" x14ac:dyDescent="0.3">
      <c r="A31" s="439"/>
      <c r="B31" s="442" t="s">
        <v>1414</v>
      </c>
      <c r="C31" s="500">
        <v>14</v>
      </c>
      <c r="D31" s="441" t="s">
        <v>1415</v>
      </c>
      <c r="E31" s="439"/>
      <c r="F31" s="439"/>
      <c r="G31" s="439"/>
      <c r="H31" s="439"/>
      <c r="I31" s="439"/>
      <c r="J31" s="439"/>
      <c r="K31" s="439"/>
    </row>
    <row r="32" spans="1:11" ht="14.55" customHeight="1" x14ac:dyDescent="0.3">
      <c r="A32" s="439"/>
      <c r="B32" s="442" t="s">
        <v>1416</v>
      </c>
      <c r="C32" s="501">
        <f>SUM(Properties!$D$6:$D$15)</f>
        <v>5</v>
      </c>
      <c r="D32" s="441" t="s">
        <v>1417</v>
      </c>
      <c r="E32" s="439"/>
      <c r="F32" s="439"/>
      <c r="G32" s="439"/>
      <c r="H32" s="439"/>
      <c r="I32" s="439"/>
      <c r="J32" s="439"/>
      <c r="K32" s="439"/>
    </row>
    <row r="33" spans="1:11" x14ac:dyDescent="0.3">
      <c r="A33" s="439"/>
      <c r="B33" s="439"/>
      <c r="C33" s="439"/>
      <c r="D33" s="439"/>
      <c r="E33" s="439"/>
      <c r="F33" s="439"/>
      <c r="G33" s="439"/>
      <c r="H33" s="439"/>
      <c r="I33" s="439"/>
      <c r="J33" s="439"/>
      <c r="K33" s="439"/>
    </row>
    <row r="34" spans="1:11" ht="19.95" customHeight="1" x14ac:dyDescent="0.3">
      <c r="A34" s="439"/>
      <c r="B34" s="447" t="s">
        <v>1418</v>
      </c>
      <c r="C34" s="447"/>
      <c r="D34" s="447"/>
      <c r="E34" s="447"/>
      <c r="F34" s="447"/>
      <c r="G34" s="447"/>
      <c r="H34" s="447"/>
      <c r="I34" s="447"/>
      <c r="J34" s="447"/>
      <c r="K34" s="439"/>
    </row>
    <row r="35" spans="1:11" ht="14.55" customHeight="1" x14ac:dyDescent="0.3">
      <c r="A35" s="439"/>
      <c r="B35" s="442" t="s">
        <v>1424</v>
      </c>
      <c r="C35" s="502">
        <v>0.2</v>
      </c>
      <c r="D35" s="441" t="s">
        <v>1419</v>
      </c>
      <c r="E35" s="439"/>
      <c r="F35" s="439"/>
      <c r="G35" s="439"/>
      <c r="H35" s="439"/>
      <c r="I35" s="439"/>
      <c r="J35" s="439"/>
      <c r="K35" s="439"/>
    </row>
    <row r="36" spans="1:11" ht="14.55" customHeight="1" x14ac:dyDescent="0.3">
      <c r="A36" s="439"/>
      <c r="B36" s="442" t="s">
        <v>1420</v>
      </c>
      <c r="C36" s="503">
        <v>36</v>
      </c>
      <c r="D36" s="441" t="s">
        <v>1421</v>
      </c>
      <c r="E36" s="439"/>
      <c r="F36" s="439"/>
      <c r="G36" s="439"/>
      <c r="H36" s="439"/>
      <c r="I36" s="439"/>
      <c r="J36" s="439"/>
      <c r="K36" s="439"/>
    </row>
    <row r="37" spans="1:11" ht="34.049999999999997" customHeight="1" x14ac:dyDescent="0.3">
      <c r="A37" s="439"/>
      <c r="B37" s="460" t="s">
        <v>1439</v>
      </c>
      <c r="C37" s="502">
        <v>0.2</v>
      </c>
      <c r="D37" s="441" t="s">
        <v>1440</v>
      </c>
      <c r="E37" s="439"/>
      <c r="F37" s="439"/>
      <c r="G37" s="439"/>
      <c r="H37" s="439"/>
      <c r="I37" s="439"/>
      <c r="J37" s="439"/>
      <c r="K37" s="439"/>
    </row>
    <row r="38" spans="1:11" x14ac:dyDescent="0.3">
      <c r="A38" s="439"/>
      <c r="B38" s="439"/>
      <c r="C38" s="439"/>
      <c r="D38" s="439"/>
      <c r="E38" s="439"/>
      <c r="F38" s="439"/>
      <c r="G38" s="439"/>
      <c r="H38" s="439"/>
      <c r="I38" s="439"/>
      <c r="J38" s="439"/>
      <c r="K38" s="439"/>
    </row>
    <row r="39" spans="1:11" x14ac:dyDescent="0.3">
      <c r="A39" s="439"/>
      <c r="B39" s="439"/>
      <c r="C39" s="439"/>
      <c r="D39" s="439"/>
      <c r="E39" s="439"/>
      <c r="F39" s="439"/>
      <c r="G39" s="439"/>
      <c r="H39" s="439"/>
      <c r="I39" s="439"/>
      <c r="J39" s="439"/>
      <c r="K39" s="439"/>
    </row>
    <row r="40" spans="1:11" x14ac:dyDescent="0.3">
      <c r="A40" s="439"/>
      <c r="B40" s="439"/>
      <c r="C40" s="439"/>
      <c r="D40" s="439"/>
      <c r="E40" s="439"/>
      <c r="F40" s="439"/>
      <c r="G40" s="439"/>
      <c r="H40" s="439"/>
      <c r="I40" s="439"/>
      <c r="J40" s="439"/>
      <c r="K40" s="439"/>
    </row>
    <row r="41" spans="1:11" x14ac:dyDescent="0.3">
      <c r="A41" s="439"/>
      <c r="B41" s="439"/>
      <c r="C41" s="439"/>
      <c r="D41" s="439"/>
      <c r="E41" s="439"/>
      <c r="F41" s="439"/>
      <c r="G41" s="439"/>
      <c r="H41" s="439"/>
      <c r="I41" s="439"/>
      <c r="J41" s="439"/>
      <c r="K41" s="439"/>
    </row>
    <row r="42" spans="1:11" x14ac:dyDescent="0.3">
      <c r="A42" s="439"/>
      <c r="B42" s="439"/>
      <c r="C42" s="439"/>
      <c r="D42" s="439"/>
      <c r="E42" s="439"/>
      <c r="F42" s="439"/>
      <c r="G42" s="439"/>
      <c r="H42" s="439"/>
      <c r="I42" s="439"/>
      <c r="J42" s="439"/>
      <c r="K42" s="439"/>
    </row>
    <row r="43" spans="1:11" x14ac:dyDescent="0.3">
      <c r="A43" s="439"/>
      <c r="B43" s="439"/>
      <c r="C43" s="439"/>
      <c r="D43" s="439"/>
      <c r="E43" s="439"/>
      <c r="F43" s="439"/>
      <c r="G43" s="439"/>
      <c r="H43" s="439"/>
      <c r="I43" s="439"/>
      <c r="J43" s="439"/>
      <c r="K43" s="439"/>
    </row>
    <row r="44" spans="1:11" x14ac:dyDescent="0.3">
      <c r="A44" s="439"/>
      <c r="B44" s="439"/>
      <c r="C44" s="439"/>
      <c r="D44" s="439"/>
      <c r="E44" s="439"/>
      <c r="F44" s="439"/>
      <c r="G44" s="439"/>
      <c r="H44" s="439"/>
      <c r="I44" s="439"/>
      <c r="J44" s="439"/>
      <c r="K44" s="439"/>
    </row>
    <row r="45" spans="1:11" x14ac:dyDescent="0.3">
      <c r="A45" s="439"/>
      <c r="B45" s="439"/>
      <c r="C45" s="439"/>
      <c r="D45" s="439"/>
      <c r="E45" s="439"/>
      <c r="F45" s="439"/>
      <c r="G45" s="439"/>
      <c r="H45" s="439"/>
      <c r="I45" s="439"/>
      <c r="J45" s="439"/>
      <c r="K45" s="439"/>
    </row>
    <row r="46" spans="1:11" x14ac:dyDescent="0.3">
      <c r="A46" s="439"/>
      <c r="B46" s="439"/>
      <c r="C46" s="439"/>
      <c r="D46" s="439"/>
      <c r="E46" s="439"/>
      <c r="F46" s="439"/>
      <c r="G46" s="439"/>
      <c r="H46" s="439"/>
      <c r="I46" s="439"/>
      <c r="J46" s="439"/>
      <c r="K46" s="439"/>
    </row>
    <row r="47" spans="1:11" x14ac:dyDescent="0.3">
      <c r="A47" s="439"/>
      <c r="B47" s="439"/>
      <c r="C47" s="439"/>
      <c r="D47" s="439"/>
      <c r="E47" s="439"/>
      <c r="F47" s="439"/>
      <c r="G47" s="439"/>
      <c r="H47" s="439"/>
      <c r="I47" s="439"/>
      <c r="J47" s="439"/>
      <c r="K47" s="439"/>
    </row>
    <row r="48" spans="1:11" x14ac:dyDescent="0.3">
      <c r="A48" s="439"/>
      <c r="B48" s="439"/>
      <c r="C48" s="439"/>
      <c r="D48" s="439"/>
      <c r="E48" s="439"/>
      <c r="F48" s="439"/>
      <c r="G48" s="439"/>
      <c r="H48" s="439"/>
      <c r="I48" s="439"/>
      <c r="J48" s="439"/>
      <c r="K48" s="439"/>
    </row>
    <row r="49" spans="1:11" x14ac:dyDescent="0.3">
      <c r="A49" s="439"/>
      <c r="B49" s="439"/>
      <c r="C49" s="439"/>
      <c r="D49" s="439"/>
      <c r="E49" s="439"/>
      <c r="F49" s="439"/>
      <c r="G49" s="439"/>
      <c r="H49" s="439"/>
      <c r="I49" s="439"/>
      <c r="J49" s="439"/>
      <c r="K49" s="439"/>
    </row>
    <row r="50" spans="1:11" x14ac:dyDescent="0.3">
      <c r="A50" s="439"/>
      <c r="B50" s="439"/>
      <c r="C50" s="439"/>
      <c r="D50" s="439"/>
      <c r="E50" s="439"/>
      <c r="F50" s="439"/>
      <c r="G50" s="439"/>
      <c r="H50" s="439"/>
      <c r="I50" s="439"/>
      <c r="J50" s="439"/>
      <c r="K50" s="439"/>
    </row>
    <row r="51" spans="1:11" x14ac:dyDescent="0.3">
      <c r="A51" s="439"/>
      <c r="B51" s="439"/>
      <c r="C51" s="439"/>
      <c r="D51" s="439"/>
      <c r="E51" s="439"/>
      <c r="F51" s="439"/>
      <c r="G51" s="439"/>
      <c r="H51" s="439"/>
      <c r="I51" s="439"/>
      <c r="J51" s="439"/>
      <c r="K51" s="439"/>
    </row>
    <row r="52" spans="1:11" x14ac:dyDescent="0.3">
      <c r="A52" s="439"/>
      <c r="B52" s="439"/>
      <c r="C52" s="439"/>
      <c r="D52" s="439"/>
      <c r="E52" s="439"/>
      <c r="F52" s="439"/>
      <c r="G52" s="439"/>
      <c r="H52" s="439"/>
      <c r="I52" s="439"/>
      <c r="J52" s="439"/>
      <c r="K52" s="439"/>
    </row>
    <row r="53" spans="1:11" x14ac:dyDescent="0.3">
      <c r="A53" s="439"/>
      <c r="B53" s="439"/>
      <c r="C53" s="439"/>
      <c r="D53" s="439"/>
      <c r="E53" s="439"/>
      <c r="F53" s="439"/>
      <c r="G53" s="439"/>
      <c r="H53" s="439"/>
      <c r="I53" s="439"/>
      <c r="J53" s="439"/>
      <c r="K53" s="439"/>
    </row>
    <row r="54" spans="1:11" x14ac:dyDescent="0.3">
      <c r="A54" s="439"/>
      <c r="B54" s="439"/>
      <c r="C54" s="439"/>
      <c r="D54" s="439"/>
      <c r="E54" s="439"/>
      <c r="F54" s="439"/>
      <c r="G54" s="439"/>
      <c r="H54" s="439"/>
      <c r="I54" s="439"/>
      <c r="J54" s="439"/>
      <c r="K54" s="439"/>
    </row>
    <row r="55" spans="1:11" x14ac:dyDescent="0.3">
      <c r="A55" s="439"/>
      <c r="B55" s="439"/>
      <c r="C55" s="439"/>
      <c r="D55" s="439"/>
      <c r="E55" s="439"/>
      <c r="F55" s="439"/>
      <c r="G55" s="439"/>
      <c r="H55" s="439"/>
      <c r="I55" s="439"/>
      <c r="J55" s="439"/>
      <c r="K55" s="439"/>
    </row>
    <row r="56" spans="1:11" x14ac:dyDescent="0.3">
      <c r="A56" s="439"/>
      <c r="B56" s="439"/>
      <c r="C56" s="439"/>
      <c r="D56" s="439"/>
      <c r="E56" s="439"/>
      <c r="F56" s="439"/>
      <c r="G56" s="439"/>
      <c r="H56" s="439"/>
      <c r="I56" s="439"/>
      <c r="J56" s="439"/>
      <c r="K56" s="439"/>
    </row>
    <row r="57" spans="1:11" x14ac:dyDescent="0.3">
      <c r="A57" s="439"/>
      <c r="B57" s="439"/>
      <c r="C57" s="439"/>
      <c r="D57" s="439"/>
      <c r="E57" s="439"/>
      <c r="F57" s="439"/>
      <c r="G57" s="439"/>
      <c r="H57" s="439"/>
      <c r="I57" s="439"/>
      <c r="J57" s="439"/>
      <c r="K57" s="439"/>
    </row>
    <row r="58" spans="1:11" x14ac:dyDescent="0.3">
      <c r="A58" s="439"/>
      <c r="B58" s="439"/>
      <c r="C58" s="439"/>
      <c r="D58" s="439"/>
      <c r="E58" s="439"/>
      <c r="F58" s="439"/>
      <c r="G58" s="439"/>
      <c r="H58" s="439"/>
      <c r="I58" s="439"/>
      <c r="J58" s="439"/>
      <c r="K58" s="439"/>
    </row>
    <row r="59" spans="1:11" x14ac:dyDescent="0.3">
      <c r="A59" s="439"/>
      <c r="B59" s="439"/>
      <c r="C59" s="439"/>
      <c r="D59" s="439"/>
      <c r="E59" s="439"/>
      <c r="F59" s="439"/>
      <c r="G59" s="439"/>
      <c r="H59" s="439"/>
      <c r="I59" s="439"/>
      <c r="J59" s="439"/>
      <c r="K59" s="439"/>
    </row>
    <row r="60" spans="1:11" x14ac:dyDescent="0.3">
      <c r="A60" s="439"/>
      <c r="B60" s="439"/>
      <c r="C60" s="439"/>
      <c r="D60" s="439"/>
      <c r="E60" s="439"/>
      <c r="F60" s="439"/>
      <c r="G60" s="439"/>
      <c r="H60" s="439"/>
      <c r="I60" s="439"/>
      <c r="J60" s="439"/>
      <c r="K60" s="439"/>
    </row>
    <row r="61" spans="1:11" x14ac:dyDescent="0.3">
      <c r="A61" s="439"/>
      <c r="B61" s="439"/>
      <c r="C61" s="439"/>
      <c r="D61" s="439"/>
      <c r="E61" s="439"/>
      <c r="F61" s="439"/>
      <c r="G61" s="439"/>
      <c r="H61" s="439"/>
      <c r="I61" s="439"/>
      <c r="J61" s="439"/>
      <c r="K61" s="439"/>
    </row>
    <row r="62" spans="1:11" x14ac:dyDescent="0.3">
      <c r="A62" s="439"/>
      <c r="B62" s="439"/>
      <c r="C62" s="439"/>
      <c r="D62" s="439"/>
      <c r="E62" s="439"/>
      <c r="F62" s="439"/>
      <c r="G62" s="439"/>
      <c r="H62" s="439"/>
      <c r="I62" s="439"/>
      <c r="J62" s="439"/>
      <c r="K62" s="439"/>
    </row>
    <row r="63" spans="1:11" x14ac:dyDescent="0.3">
      <c r="A63" s="439"/>
      <c r="B63" s="439"/>
      <c r="C63" s="439"/>
      <c r="D63" s="439"/>
      <c r="E63" s="439"/>
      <c r="F63" s="439"/>
      <c r="G63" s="439"/>
      <c r="H63" s="439"/>
      <c r="I63" s="439"/>
      <c r="J63" s="439"/>
      <c r="K63" s="439"/>
    </row>
    <row r="64" spans="1:11" x14ac:dyDescent="0.3">
      <c r="A64" s="439"/>
      <c r="B64" s="439"/>
      <c r="C64" s="439"/>
      <c r="D64" s="439"/>
      <c r="E64" s="439"/>
      <c r="F64" s="439"/>
      <c r="G64" s="439"/>
      <c r="H64" s="439"/>
      <c r="I64" s="439"/>
      <c r="J64" s="439"/>
      <c r="K64" s="439"/>
    </row>
    <row r="65" spans="1:11" x14ac:dyDescent="0.3">
      <c r="A65" s="439"/>
      <c r="B65" s="439"/>
      <c r="C65" s="439"/>
      <c r="D65" s="439"/>
      <c r="E65" s="439"/>
      <c r="F65" s="439"/>
      <c r="G65" s="439"/>
      <c r="H65" s="439"/>
      <c r="I65" s="439"/>
      <c r="J65" s="439"/>
      <c r="K65" s="439"/>
    </row>
    <row r="66" spans="1:11" x14ac:dyDescent="0.3">
      <c r="A66" s="439"/>
      <c r="B66" s="439"/>
      <c r="C66" s="439"/>
      <c r="D66" s="439"/>
      <c r="E66" s="439"/>
      <c r="F66" s="439"/>
      <c r="G66" s="439"/>
      <c r="H66" s="439"/>
      <c r="I66" s="439"/>
      <c r="J66" s="439"/>
      <c r="K66" s="439"/>
    </row>
    <row r="67" spans="1:11" x14ac:dyDescent="0.3">
      <c r="A67" s="439"/>
      <c r="B67" s="439"/>
      <c r="C67" s="439"/>
      <c r="D67" s="439"/>
      <c r="E67" s="439"/>
      <c r="F67" s="439"/>
      <c r="G67" s="439"/>
      <c r="H67" s="439"/>
      <c r="I67" s="439"/>
      <c r="J67" s="439"/>
      <c r="K67" s="439"/>
    </row>
    <row r="68" spans="1:11" x14ac:dyDescent="0.3">
      <c r="A68" s="439"/>
      <c r="B68" s="439"/>
      <c r="C68" s="439"/>
      <c r="D68" s="439"/>
      <c r="E68" s="439"/>
      <c r="F68" s="439"/>
      <c r="G68" s="439"/>
      <c r="H68" s="439"/>
      <c r="I68" s="439"/>
      <c r="J68" s="439"/>
      <c r="K68" s="439"/>
    </row>
    <row r="69" spans="1:11" x14ac:dyDescent="0.3">
      <c r="A69" s="439"/>
      <c r="B69" s="439"/>
      <c r="C69" s="439"/>
      <c r="D69" s="439"/>
      <c r="E69" s="439"/>
      <c r="F69" s="439"/>
      <c r="G69" s="439"/>
      <c r="H69" s="439"/>
      <c r="I69" s="439"/>
      <c r="J69" s="439"/>
      <c r="K69" s="439"/>
    </row>
    <row r="70" spans="1:11" x14ac:dyDescent="0.3">
      <c r="A70" s="439"/>
      <c r="B70" s="439"/>
      <c r="C70" s="439"/>
      <c r="D70" s="439"/>
      <c r="E70" s="439"/>
      <c r="F70" s="439"/>
      <c r="G70" s="439"/>
      <c r="H70" s="439"/>
      <c r="I70" s="439"/>
      <c r="J70" s="439"/>
      <c r="K70" s="439"/>
    </row>
    <row r="71" spans="1:11" x14ac:dyDescent="0.3">
      <c r="A71" s="439"/>
      <c r="B71" s="439"/>
      <c r="C71" s="439"/>
      <c r="D71" s="439"/>
      <c r="E71" s="439"/>
      <c r="F71" s="439"/>
      <c r="G71" s="439"/>
      <c r="H71" s="439"/>
      <c r="I71" s="439"/>
      <c r="J71" s="439"/>
      <c r="K71" s="439"/>
    </row>
    <row r="72" spans="1:11" x14ac:dyDescent="0.3">
      <c r="A72" s="439"/>
      <c r="B72" s="439"/>
      <c r="C72" s="439"/>
      <c r="D72" s="439"/>
      <c r="E72" s="439"/>
      <c r="F72" s="439"/>
      <c r="G72" s="439"/>
      <c r="H72" s="439"/>
      <c r="I72" s="439"/>
      <c r="J72" s="439"/>
      <c r="K72" s="439"/>
    </row>
  </sheetData>
  <mergeCells count="12">
    <mergeCell ref="B5:D5"/>
    <mergeCell ref="D8:J8"/>
    <mergeCell ref="D9:J9"/>
    <mergeCell ref="D10:J10"/>
    <mergeCell ref="D11:J11"/>
    <mergeCell ref="D17:J17"/>
    <mergeCell ref="D18:J18"/>
    <mergeCell ref="D12:J12"/>
    <mergeCell ref="D13:J13"/>
    <mergeCell ref="D14:J14"/>
    <mergeCell ref="D15:J15"/>
    <mergeCell ref="D16:J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77B69-C857-48C9-8070-E5981F0E835F}">
  <sheetPr>
    <tabColor rgb="FF132E57"/>
    <pageSetUpPr fitToPage="1"/>
  </sheetPr>
  <dimension ref="A1:N163"/>
  <sheetViews>
    <sheetView tabSelected="1" topLeftCell="D1" workbookViewId="0">
      <selection activeCell="N32" sqref="N32"/>
    </sheetView>
  </sheetViews>
  <sheetFormatPr defaultRowHeight="14.4" outlineLevelRow="1" outlineLevelCol="2" x14ac:dyDescent="0.3"/>
  <cols>
    <col min="1" max="1" width="3.6640625" customWidth="1"/>
    <col min="2" max="2" width="83.5546875" customWidth="1"/>
    <col min="3" max="6" width="18.5546875" customWidth="1"/>
    <col min="7" max="7" width="18.5546875" hidden="1" customWidth="1" outlineLevel="1"/>
    <col min="8" max="12" width="18.5546875" hidden="1" customWidth="1" outlineLevel="2"/>
    <col min="13" max="13" width="8.88671875" collapsed="1"/>
    <col min="14" max="14" width="255.6640625" customWidth="1"/>
  </cols>
  <sheetData>
    <row r="1" spans="1:13" ht="34.049999999999997" customHeight="1" x14ac:dyDescent="0.4">
      <c r="A1" s="321"/>
      <c r="B1" s="322" t="str">
        <f>"Dulcinea — Income Statement, Years 1–"&amp;TEXT(Input!$C$57,"0")&amp;" (USD) · through final sale"</f>
        <v>Dulcinea — Income Statement, Years 1–4 (USD) · through final sale</v>
      </c>
      <c r="C1" s="302"/>
      <c r="D1" s="302"/>
      <c r="E1" s="302"/>
      <c r="F1" s="302"/>
      <c r="G1" s="302"/>
      <c r="H1" s="302"/>
      <c r="I1" s="303"/>
      <c r="J1" s="303"/>
      <c r="K1" s="303"/>
      <c r="L1" s="303"/>
      <c r="M1" s="304"/>
    </row>
    <row r="2" spans="1:13" ht="18" customHeight="1" x14ac:dyDescent="0.3">
      <c r="A2" s="1"/>
      <c r="B2" s="326" t="s">
        <v>1601</v>
      </c>
      <c r="C2" s="311"/>
      <c r="D2" s="311"/>
      <c r="E2" s="311"/>
      <c r="F2" s="311"/>
      <c r="G2" s="311"/>
      <c r="H2" s="311"/>
      <c r="I2" s="312"/>
      <c r="J2" s="312"/>
      <c r="K2" s="312"/>
      <c r="L2" s="312"/>
      <c r="M2" s="305"/>
    </row>
    <row r="3" spans="1:13" ht="18" customHeight="1" x14ac:dyDescent="0.3">
      <c r="A3" s="310"/>
      <c r="B3" s="109"/>
      <c r="C3" s="311"/>
      <c r="D3" s="311"/>
      <c r="E3" s="311"/>
      <c r="F3" s="311"/>
      <c r="G3" s="311"/>
      <c r="H3" s="311"/>
      <c r="I3" s="312"/>
      <c r="J3" s="312"/>
      <c r="K3" s="312"/>
      <c r="L3" s="312"/>
      <c r="M3" s="305"/>
    </row>
    <row r="4" spans="1:13" ht="18" customHeight="1" x14ac:dyDescent="0.3">
      <c r="A4" s="323"/>
      <c r="B4" s="110" t="s">
        <v>52</v>
      </c>
      <c r="C4" s="71">
        <f t="shared" ref="C4:L4" si="0">COLUMN()-2</f>
        <v>1</v>
      </c>
      <c r="D4" s="71">
        <f t="shared" si="0"/>
        <v>2</v>
      </c>
      <c r="E4" s="71">
        <f t="shared" si="0"/>
        <v>3</v>
      </c>
      <c r="F4" s="71">
        <f t="shared" si="0"/>
        <v>4</v>
      </c>
      <c r="G4" s="71">
        <f t="shared" si="0"/>
        <v>5</v>
      </c>
      <c r="H4" s="71">
        <f t="shared" si="0"/>
        <v>6</v>
      </c>
      <c r="I4" s="71">
        <f t="shared" si="0"/>
        <v>7</v>
      </c>
      <c r="J4" s="71">
        <f t="shared" si="0"/>
        <v>8</v>
      </c>
      <c r="K4" s="71">
        <f t="shared" si="0"/>
        <v>9</v>
      </c>
      <c r="L4" s="71">
        <f t="shared" si="0"/>
        <v>10</v>
      </c>
      <c r="M4" s="308"/>
    </row>
    <row r="5" spans="1:13" ht="18" customHeight="1" x14ac:dyDescent="0.3">
      <c r="A5" s="323"/>
      <c r="B5" s="110" t="s">
        <v>65</v>
      </c>
      <c r="C5" s="72" t="str">
        <f>TEXT(EDATE(Input!$C$7,(C4-1)*12),"mmm-yy")&amp;" – "&amp;TEXT(EDATE(Input!$C$7,C4*12-1),"mmm-yy")</f>
        <v>Oct-26 – Sep-27</v>
      </c>
      <c r="D5" s="72" t="str">
        <f>TEXT(EDATE(Input!$C$7,(D4-1)*12),"mmm-yy")&amp;" – "&amp;TEXT(EDATE(Input!$C$7,D4*12-1),"mmm-yy")</f>
        <v>Oct-27 – Sep-28</v>
      </c>
      <c r="E5" s="72" t="str">
        <f>TEXT(EDATE(Input!$C$7,(E4-1)*12),"mmm-yy")&amp;" – "&amp;TEXT(EDATE(Input!$C$7,E4*12-1),"mmm-yy")</f>
        <v>Oct-28 – Sep-29</v>
      </c>
      <c r="F5" s="72" t="str">
        <f>TEXT(EDATE(Input!$C$7,(F4-1)*12),"mmm-yy")&amp;" – "&amp;TEXT(EDATE(Input!$C$7,F4*12-1),"mmm-yy")</f>
        <v>Oct-29 – Sep-30</v>
      </c>
      <c r="G5" s="72" t="str">
        <f>TEXT(EDATE(Input!$C$7,(G4-1)*12),"mmm-yy")&amp;" – "&amp;TEXT(EDATE(Input!$C$7,G4*12-1),"mmm-yy")</f>
        <v>Oct-30 – Sep-31</v>
      </c>
      <c r="H5" s="72" t="str">
        <f>TEXT(EDATE(Input!$C$7,(H4-1)*12),"mmm-yy")&amp;" – "&amp;TEXT(EDATE(Input!$C$7,H4*12-1),"mmm-yy")</f>
        <v>Oct-31 – Sep-32</v>
      </c>
      <c r="I5" s="72" t="str">
        <f>TEXT(EDATE(Input!$C$7,(I4-1)*12),"mmm-yy")&amp;" – "&amp;TEXT(EDATE(Input!$C$7,I4*12-1),"mmm-yy")</f>
        <v>Oct-32 – Sep-33</v>
      </c>
      <c r="J5" s="72" t="str">
        <f>TEXT(EDATE(Input!$C$7,(J4-1)*12),"mmm-yy")&amp;" – "&amp;TEXT(EDATE(Input!$C$7,J4*12-1),"mmm-yy")</f>
        <v>Oct-33 – Sep-34</v>
      </c>
      <c r="K5" s="72" t="str">
        <f>TEXT(EDATE(Input!$C$7,(K4-1)*12),"mmm-yy")&amp;" – "&amp;TEXT(EDATE(Input!$C$7,K4*12-1),"mmm-yy")</f>
        <v>Oct-34 – Sep-35</v>
      </c>
      <c r="L5" s="72" t="str">
        <f>TEXT(EDATE(Input!$C$7,(L4-1)*12),"mmm-yy")&amp;" – "&amp;TEXT(EDATE(Input!$C$7,L4*12-1),"mmm-yy")</f>
        <v>Oct-35 – Sep-36</v>
      </c>
      <c r="M5" s="308"/>
    </row>
    <row r="6" spans="1:13" ht="19.95" customHeight="1" x14ac:dyDescent="0.3">
      <c r="A6" s="103"/>
      <c r="B6" s="324" t="s">
        <v>66</v>
      </c>
      <c r="C6" s="67"/>
      <c r="D6" s="67"/>
      <c r="E6" s="67"/>
      <c r="F6" s="67"/>
      <c r="G6" s="67"/>
      <c r="H6" s="67"/>
      <c r="I6" s="67"/>
      <c r="J6" s="67"/>
      <c r="K6" s="67"/>
      <c r="L6" s="67"/>
      <c r="M6" s="306"/>
    </row>
    <row r="7" spans="1:13" ht="18" customHeight="1" x14ac:dyDescent="0.3">
      <c r="A7" s="310"/>
      <c r="B7" s="111" t="s">
        <v>1572</v>
      </c>
      <c r="C7" s="313">
        <f>SUMIF('_Month Engine'!$C$5:$DR$5,C$4,'_Month Engine'!$C$44:$DR$44)</f>
        <v>84225.675000000003</v>
      </c>
      <c r="D7" s="313">
        <f>SUMIF('_Month Engine'!$C$5:$DR$5,D$4,'_Month Engine'!$C$44:$DR$44)</f>
        <v>308211.83925428579</v>
      </c>
      <c r="E7" s="313">
        <f>SUMIF('_Month Engine'!$C$5:$DR$5,E$4,'_Month Engine'!$C$44:$DR$44)</f>
        <v>210510.48349337149</v>
      </c>
      <c r="F7" s="313">
        <f>SUMIF('_Month Engine'!$C$5:$DR$5,F$4,'_Month Engine'!$C$44:$DR$44)</f>
        <v>40478.988711641141</v>
      </c>
      <c r="G7" s="313">
        <f>SUMIF('_Month Engine'!$C$5:$DR$5,G$4,'_Month Engine'!$C$44:$DR$44)</f>
        <v>0</v>
      </c>
      <c r="H7" s="313">
        <f>SUMIF('_Month Engine'!$C$5:$DR$5,H$4,'_Month Engine'!$C$44:$DR$44)</f>
        <v>0</v>
      </c>
      <c r="I7" s="313">
        <f>SUMIF('_Month Engine'!$C$5:$DR$5,I$4,'_Month Engine'!$C$44:$DR$44)</f>
        <v>0</v>
      </c>
      <c r="J7" s="313">
        <f>SUMIF('_Month Engine'!$C$5:$DR$5,J$4,'_Month Engine'!$C$44:$DR$44)</f>
        <v>0</v>
      </c>
      <c r="K7" s="313">
        <f>SUMIF('_Month Engine'!$C$5:$DR$5,K$4,'_Month Engine'!$C$44:$DR$44)</f>
        <v>0</v>
      </c>
      <c r="L7" s="313">
        <f>SUMIF('_Month Engine'!$C$5:$DR$5,L$4,'_Month Engine'!$C$44:$DR$44)</f>
        <v>0</v>
      </c>
      <c r="M7" s="305"/>
    </row>
    <row r="8" spans="1:13" ht="18" customHeight="1" x14ac:dyDescent="0.3">
      <c r="A8" s="310"/>
      <c r="B8" s="327" t="str">
        <f>IF(Properties!$D$6=0,"",Properties!E6)</f>
        <v>Aires de Campestre Apto 801 (Penthouse)</v>
      </c>
      <c r="C8" s="313">
        <f>'Property Detail'!C8</f>
        <v>25517.025000000001</v>
      </c>
      <c r="D8" s="313">
        <f>'Property Detail'!D8</f>
        <v>60811.624800000005</v>
      </c>
      <c r="E8" s="313">
        <f>'Property Detail'!E8</f>
        <v>26681.484563999998</v>
      </c>
      <c r="F8" s="313">
        <f>'Property Detail'!F8</f>
        <v>0</v>
      </c>
      <c r="G8" s="313">
        <f>'Property Detail'!G8</f>
        <v>0</v>
      </c>
      <c r="H8" s="313">
        <f>'Property Detail'!H8</f>
        <v>0</v>
      </c>
      <c r="I8" s="313">
        <f>'Property Detail'!I8</f>
        <v>0</v>
      </c>
      <c r="J8" s="313">
        <f>'Property Detail'!J8</f>
        <v>0</v>
      </c>
      <c r="K8" s="313">
        <f>'Property Detail'!K8</f>
        <v>0</v>
      </c>
      <c r="L8" s="313">
        <f>'Property Detail'!L8</f>
        <v>0</v>
      </c>
      <c r="M8" s="305"/>
    </row>
    <row r="9" spans="1:13" ht="18" customHeight="1" x14ac:dyDescent="0.3">
      <c r="A9" s="310"/>
      <c r="B9" s="327" t="str">
        <f>IF(Properties!$D$7=0,"",Properties!E7)</f>
        <v>Fontanar Apto 201 (Penthouse)</v>
      </c>
      <c r="C9" s="313">
        <f>'Property Detail'!C24</f>
        <v>29441.475000000006</v>
      </c>
      <c r="D9" s="313">
        <f>'Property Detail'!D24</f>
        <v>60811.624800000005</v>
      </c>
      <c r="E9" s="313">
        <f>'Property Detail'!E24</f>
        <v>31396.946705999999</v>
      </c>
      <c r="F9" s="313">
        <f>'Property Detail'!F24</f>
        <v>0</v>
      </c>
      <c r="G9" s="313">
        <f>'Property Detail'!G24</f>
        <v>0</v>
      </c>
      <c r="H9" s="313">
        <f>'Property Detail'!H24</f>
        <v>0</v>
      </c>
      <c r="I9" s="313">
        <f>'Property Detail'!I24</f>
        <v>0</v>
      </c>
      <c r="J9" s="313">
        <f>'Property Detail'!J24</f>
        <v>0</v>
      </c>
      <c r="K9" s="313">
        <f>'Property Detail'!K24</f>
        <v>0</v>
      </c>
      <c r="L9" s="313">
        <f>'Property Detail'!L24</f>
        <v>0</v>
      </c>
      <c r="M9" s="305"/>
    </row>
    <row r="10" spans="1:13" ht="18" customHeight="1" x14ac:dyDescent="0.3">
      <c r="A10" s="310"/>
      <c r="B10" s="327" t="str">
        <f>IF(Properties!$D$8=0,"",Properties!E8)</f>
        <v>San Lucas Apto 101</v>
      </c>
      <c r="C10" s="313">
        <f>'Property Detail'!C40</f>
        <v>20069.625</v>
      </c>
      <c r="D10" s="313">
        <f>'Property Detail'!D40</f>
        <v>56307.060000000019</v>
      </c>
      <c r="E10" s="313">
        <f>'Property Detail'!E40</f>
        <v>14215.505400000002</v>
      </c>
      <c r="F10" s="313">
        <f>'Property Detail'!F40</f>
        <v>0</v>
      </c>
      <c r="G10" s="313">
        <f>'Property Detail'!G40</f>
        <v>0</v>
      </c>
      <c r="H10" s="313">
        <f>'Property Detail'!H40</f>
        <v>0</v>
      </c>
      <c r="I10" s="313">
        <f>'Property Detail'!I40</f>
        <v>0</v>
      </c>
      <c r="J10" s="313">
        <f>'Property Detail'!J40</f>
        <v>0</v>
      </c>
      <c r="K10" s="313">
        <f>'Property Detail'!K40</f>
        <v>0</v>
      </c>
      <c r="L10" s="313">
        <f>'Property Detail'!L40</f>
        <v>0</v>
      </c>
      <c r="M10" s="305"/>
    </row>
    <row r="11" spans="1:13" ht="18" customHeight="1" x14ac:dyDescent="0.3">
      <c r="A11" s="310"/>
      <c r="B11" s="327" t="str">
        <f>IF(Properties!$D$9=0,"",Properties!E9)</f>
        <v>Casa Montana Lote 2 (Samuel Gaviria House)</v>
      </c>
      <c r="C11" s="313">
        <f>'Property Detail'!C56</f>
        <v>0</v>
      </c>
      <c r="D11" s="313">
        <f>'Property Detail'!D56</f>
        <v>69124.140154285706</v>
      </c>
      <c r="E11" s="313">
        <f>'Property Detail'!E56</f>
        <v>75836.009533371442</v>
      </c>
      <c r="F11" s="313">
        <f>'Property Detail'!F56</f>
        <v>40478.988711641141</v>
      </c>
      <c r="G11" s="313">
        <f>'Property Detail'!G56</f>
        <v>0</v>
      </c>
      <c r="H11" s="313">
        <f>'Property Detail'!H56</f>
        <v>0</v>
      </c>
      <c r="I11" s="313">
        <f>'Property Detail'!I56</f>
        <v>0</v>
      </c>
      <c r="J11" s="313">
        <f>'Property Detail'!J56</f>
        <v>0</v>
      </c>
      <c r="K11" s="313">
        <f>'Property Detail'!K56</f>
        <v>0</v>
      </c>
      <c r="L11" s="313">
        <f>'Property Detail'!L56</f>
        <v>0</v>
      </c>
      <c r="M11" s="305"/>
    </row>
    <row r="12" spans="1:13" ht="18" customHeight="1" x14ac:dyDescent="0.3">
      <c r="A12" s="310"/>
      <c r="B12" s="327" t="str">
        <f>IF(Properties!$D$10=0,"",Properties!E10)</f>
        <v>Casa Monte Sereno</v>
      </c>
      <c r="C12" s="313">
        <f>'Property Detail'!C72</f>
        <v>9197.5500000000011</v>
      </c>
      <c r="D12" s="313">
        <f>'Property Detail'!D72</f>
        <v>61157.389499999997</v>
      </c>
      <c r="E12" s="313">
        <f>'Property Detail'!E72</f>
        <v>62380.53729</v>
      </c>
      <c r="F12" s="313">
        <f>'Property Detail'!F72</f>
        <v>0</v>
      </c>
      <c r="G12" s="313">
        <f>'Property Detail'!G72</f>
        <v>0</v>
      </c>
      <c r="H12" s="313">
        <f>'Property Detail'!H72</f>
        <v>0</v>
      </c>
      <c r="I12" s="313">
        <f>'Property Detail'!I72</f>
        <v>0</v>
      </c>
      <c r="J12" s="313">
        <f>'Property Detail'!J72</f>
        <v>0</v>
      </c>
      <c r="K12" s="313">
        <f>'Property Detail'!K72</f>
        <v>0</v>
      </c>
      <c r="L12" s="313">
        <f>'Property Detail'!L72</f>
        <v>0</v>
      </c>
      <c r="M12" s="305"/>
    </row>
    <row r="13" spans="1:13" ht="15.45" hidden="1" customHeight="1" outlineLevel="1" x14ac:dyDescent="0.3">
      <c r="A13" s="310"/>
      <c r="B13" s="327" t="str">
        <f>IF(Properties!$D$11=0,"",Properties!E11)</f>
        <v/>
      </c>
      <c r="C13" s="313">
        <f>'Property Detail'!C88</f>
        <v>0</v>
      </c>
      <c r="D13" s="313">
        <f>'Property Detail'!D88</f>
        <v>0</v>
      </c>
      <c r="E13" s="313">
        <f>'Property Detail'!E88</f>
        <v>0</v>
      </c>
      <c r="F13" s="313">
        <f>'Property Detail'!F88</f>
        <v>0</v>
      </c>
      <c r="G13" s="313">
        <f>'Property Detail'!G88</f>
        <v>0</v>
      </c>
      <c r="H13" s="313">
        <f>'Property Detail'!H88</f>
        <v>0</v>
      </c>
      <c r="I13" s="313">
        <f>'Property Detail'!I88</f>
        <v>0</v>
      </c>
      <c r="J13" s="313">
        <f>'Property Detail'!J88</f>
        <v>0</v>
      </c>
      <c r="K13" s="313">
        <f>'Property Detail'!K88</f>
        <v>0</v>
      </c>
      <c r="L13" s="313">
        <f>'Property Detail'!L88</f>
        <v>0</v>
      </c>
      <c r="M13" s="305"/>
    </row>
    <row r="14" spans="1:13" ht="15.45" hidden="1" customHeight="1" outlineLevel="1" x14ac:dyDescent="0.3">
      <c r="A14" s="310"/>
      <c r="B14" s="327" t="str">
        <f>IF(Properties!$D$12=0,"",Properties!E12)</f>
        <v/>
      </c>
      <c r="C14" s="313">
        <f>'Property Detail'!C104</f>
        <v>0</v>
      </c>
      <c r="D14" s="313">
        <f>'Property Detail'!D104</f>
        <v>0</v>
      </c>
      <c r="E14" s="313">
        <f>'Property Detail'!E104</f>
        <v>0</v>
      </c>
      <c r="F14" s="313">
        <f>'Property Detail'!F104</f>
        <v>0</v>
      </c>
      <c r="G14" s="313">
        <f>'Property Detail'!G104</f>
        <v>0</v>
      </c>
      <c r="H14" s="313">
        <f>'Property Detail'!H104</f>
        <v>0</v>
      </c>
      <c r="I14" s="313">
        <f>'Property Detail'!I104</f>
        <v>0</v>
      </c>
      <c r="J14" s="313">
        <f>'Property Detail'!J104</f>
        <v>0</v>
      </c>
      <c r="K14" s="313">
        <f>'Property Detail'!K104</f>
        <v>0</v>
      </c>
      <c r="L14" s="313">
        <f>'Property Detail'!L104</f>
        <v>0</v>
      </c>
      <c r="M14" s="305"/>
    </row>
    <row r="15" spans="1:13" ht="15.45" hidden="1" customHeight="1" outlineLevel="1" x14ac:dyDescent="0.3">
      <c r="A15" s="310"/>
      <c r="B15" s="327" t="str">
        <f>IF(Properties!$D$13=0,"",Properties!E13)</f>
        <v/>
      </c>
      <c r="C15" s="313">
        <f>'Property Detail'!C120</f>
        <v>0</v>
      </c>
      <c r="D15" s="313">
        <f>'Property Detail'!D120</f>
        <v>0</v>
      </c>
      <c r="E15" s="313">
        <f>'Property Detail'!E120</f>
        <v>0</v>
      </c>
      <c r="F15" s="313">
        <f>'Property Detail'!F120</f>
        <v>0</v>
      </c>
      <c r="G15" s="313">
        <f>'Property Detail'!G120</f>
        <v>0</v>
      </c>
      <c r="H15" s="313">
        <f>'Property Detail'!H120</f>
        <v>0</v>
      </c>
      <c r="I15" s="313">
        <f>'Property Detail'!I120</f>
        <v>0</v>
      </c>
      <c r="J15" s="313">
        <f>'Property Detail'!J120</f>
        <v>0</v>
      </c>
      <c r="K15" s="313">
        <f>'Property Detail'!K120</f>
        <v>0</v>
      </c>
      <c r="L15" s="313">
        <f>'Property Detail'!L120</f>
        <v>0</v>
      </c>
      <c r="M15" s="305"/>
    </row>
    <row r="16" spans="1:13" ht="15.45" hidden="1" customHeight="1" outlineLevel="1" x14ac:dyDescent="0.3">
      <c r="A16" s="310"/>
      <c r="B16" s="327" t="str">
        <f>IF(Properties!$D$14=0,"",Properties!E14)</f>
        <v/>
      </c>
      <c r="C16" s="313">
        <f>'Property Detail'!C136</f>
        <v>0</v>
      </c>
      <c r="D16" s="313">
        <f>'Property Detail'!D136</f>
        <v>0</v>
      </c>
      <c r="E16" s="313">
        <f>'Property Detail'!E136</f>
        <v>0</v>
      </c>
      <c r="F16" s="313">
        <f>'Property Detail'!F136</f>
        <v>0</v>
      </c>
      <c r="G16" s="313">
        <f>'Property Detail'!G136</f>
        <v>0</v>
      </c>
      <c r="H16" s="313">
        <f>'Property Detail'!H136</f>
        <v>0</v>
      </c>
      <c r="I16" s="313">
        <f>'Property Detail'!I136</f>
        <v>0</v>
      </c>
      <c r="J16" s="313">
        <f>'Property Detail'!J136</f>
        <v>0</v>
      </c>
      <c r="K16" s="313">
        <f>'Property Detail'!K136</f>
        <v>0</v>
      </c>
      <c r="L16" s="313">
        <f>'Property Detail'!L136</f>
        <v>0</v>
      </c>
      <c r="M16" s="305"/>
    </row>
    <row r="17" spans="1:13" ht="15.45" hidden="1" customHeight="1" outlineLevel="1" x14ac:dyDescent="0.3">
      <c r="A17" s="310"/>
      <c r="B17" s="327" t="str">
        <f>IF(Properties!$D$15=0,"",Properties!E15)</f>
        <v/>
      </c>
      <c r="C17" s="313">
        <f>'Property Detail'!C152</f>
        <v>0</v>
      </c>
      <c r="D17" s="313">
        <f>'Property Detail'!D152</f>
        <v>0</v>
      </c>
      <c r="E17" s="313">
        <f>'Property Detail'!E152</f>
        <v>0</v>
      </c>
      <c r="F17" s="313">
        <f>'Property Detail'!F152</f>
        <v>0</v>
      </c>
      <c r="G17" s="313">
        <f>'Property Detail'!G152</f>
        <v>0</v>
      </c>
      <c r="H17" s="313">
        <f>'Property Detail'!H152</f>
        <v>0</v>
      </c>
      <c r="I17" s="313">
        <f>'Property Detail'!I152</f>
        <v>0</v>
      </c>
      <c r="J17" s="313">
        <f>'Property Detail'!J152</f>
        <v>0</v>
      </c>
      <c r="K17" s="313">
        <f>'Property Detail'!K152</f>
        <v>0</v>
      </c>
      <c r="L17" s="313">
        <f>'Property Detail'!L152</f>
        <v>0</v>
      </c>
      <c r="M17" s="305"/>
    </row>
    <row r="18" spans="1:13" ht="18" customHeight="1" collapsed="1" x14ac:dyDescent="0.3">
      <c r="A18" s="310"/>
      <c r="B18" s="111" t="s">
        <v>68</v>
      </c>
      <c r="C18" s="313">
        <f>SUMIF('_Month Engine'!$C$5:$DR$5,C$4,'_Month Engine'!$C$71:$DR$71)</f>
        <v>0</v>
      </c>
      <c r="D18" s="313">
        <f>SUMIF('_Month Engine'!$C$5:$DR$5,D$4,'_Month Engine'!$C$71:$DR$71)</f>
        <v>0</v>
      </c>
      <c r="E18" s="313">
        <f>SUMIF('_Month Engine'!$C$5:$DR$5,E$4,'_Month Engine'!$C$71:$DR$71)</f>
        <v>5546509.2197742406</v>
      </c>
      <c r="F18" s="313">
        <f>SUMIF('_Month Engine'!$C$5:$DR$5,F$4,'_Month Engine'!$C$71:$DR$71)</f>
        <v>5830401.7688464038</v>
      </c>
      <c r="G18" s="313">
        <f>SUMIF('_Month Engine'!$C$5:$DR$5,G$4,'_Month Engine'!$C$71:$DR$71)</f>
        <v>0</v>
      </c>
      <c r="H18" s="313">
        <f>SUMIF('_Month Engine'!$C$5:$DR$5,H$4,'_Month Engine'!$C$71:$DR$71)</f>
        <v>0</v>
      </c>
      <c r="I18" s="313">
        <f>SUMIF('_Month Engine'!$C$5:$DR$5,I$4,'_Month Engine'!$C$71:$DR$71)</f>
        <v>0</v>
      </c>
      <c r="J18" s="313">
        <f>SUMIF('_Month Engine'!$C$5:$DR$5,J$4,'_Month Engine'!$C$71:$DR$71)</f>
        <v>0</v>
      </c>
      <c r="K18" s="313">
        <f>SUMIF('_Month Engine'!$C$5:$DR$5,K$4,'_Month Engine'!$C$71:$DR$71)</f>
        <v>0</v>
      </c>
      <c r="L18" s="313">
        <f>SUMIF('_Month Engine'!$C$5:$DR$5,L$4,'_Month Engine'!$C$71:$DR$71)</f>
        <v>0</v>
      </c>
      <c r="M18" s="305"/>
    </row>
    <row r="19" spans="1:13" ht="18" customHeight="1" x14ac:dyDescent="0.3">
      <c r="A19" s="310"/>
      <c r="B19" s="327" t="str">
        <f>IF(Properties!$D$6=0,"",Properties!E6)</f>
        <v>Aires de Campestre Apto 801 (Penthouse)</v>
      </c>
      <c r="C19" s="313">
        <f>IF(ROUNDUP(Properties!$U6/'_IRR Engine'!$Q$7,0)=C$4,Properties!$D6*Properties!$W6,0)</f>
        <v>0</v>
      </c>
      <c r="D19" s="313">
        <f>IF(ROUNDUP(Properties!$U6/'_IRR Engine'!$Q$7,0)=D$4,Properties!$D6*Properties!$W6,0)</f>
        <v>0</v>
      </c>
      <c r="E19" s="313">
        <f>IF(ROUNDUP(Properties!$U6/'_IRR Engine'!$Q$7,0)=E$4,Properties!$D6*Properties!$W6,0)</f>
        <v>2019763.3569386934</v>
      </c>
      <c r="F19" s="313">
        <f>IF(ROUNDUP(Properties!$U6/'_IRR Engine'!$Q$7,0)=F$4,Properties!$D6*Properties!$W6,0)</f>
        <v>0</v>
      </c>
      <c r="G19" s="313">
        <f>IF(ROUNDUP(Properties!$U6/'_IRR Engine'!$Q$7,0)=G$4,Properties!$D6*Properties!$W6,0)</f>
        <v>0</v>
      </c>
      <c r="H19" s="313">
        <f>IF(ROUNDUP(Properties!$U6/'_IRR Engine'!$Q$7,0)=H$4,Properties!$D6*Properties!$W6,0)</f>
        <v>0</v>
      </c>
      <c r="I19" s="313">
        <f>IF(ROUNDUP(Properties!$U6/'_IRR Engine'!$Q$7,0)=I$4,Properties!$D6*Properties!$W6,0)</f>
        <v>0</v>
      </c>
      <c r="J19" s="313">
        <f>IF(ROUNDUP(Properties!$U6/'_IRR Engine'!$Q$7,0)=J$4,Properties!$D6*Properties!$W6,0)</f>
        <v>0</v>
      </c>
      <c r="K19" s="313">
        <f>IF(ROUNDUP(Properties!$U6/'_IRR Engine'!$Q$7,0)=K$4,Properties!$D6*Properties!$W6,0)</f>
        <v>0</v>
      </c>
      <c r="L19" s="313">
        <f>IF(ROUNDUP(Properties!$U6/'_IRR Engine'!$Q$7,0)=L$4,Properties!$D6*Properties!$W6,0)</f>
        <v>0</v>
      </c>
      <c r="M19" s="305"/>
    </row>
    <row r="20" spans="1:13" ht="18" customHeight="1" x14ac:dyDescent="0.3">
      <c r="A20" s="310"/>
      <c r="B20" s="327" t="str">
        <f>IF(Properties!$D$7=0,"",Properties!E7)</f>
        <v>Fontanar Apto 201 (Penthouse)</v>
      </c>
      <c r="C20" s="313">
        <f>IF(ROUNDUP(Properties!$U7/'_IRR Engine'!$Q$7,0)=C$4,Properties!$D7*Properties!$W7,0)</f>
        <v>0</v>
      </c>
      <c r="D20" s="313">
        <f>IF(ROUNDUP(Properties!$U7/'_IRR Engine'!$Q$7,0)=D$4,Properties!$D7*Properties!$W7,0)</f>
        <v>0</v>
      </c>
      <c r="E20" s="313">
        <f>IF(ROUNDUP(Properties!$U7/'_IRR Engine'!$Q$7,0)=E$4,Properties!$D7*Properties!$W7,0)</f>
        <v>2261281.5704204938</v>
      </c>
      <c r="F20" s="313">
        <f>IF(ROUNDUP(Properties!$U7/'_IRR Engine'!$Q$7,0)=F$4,Properties!$D7*Properties!$W7,0)</f>
        <v>0</v>
      </c>
      <c r="G20" s="313">
        <f>IF(ROUNDUP(Properties!$U7/'_IRR Engine'!$Q$7,0)=G$4,Properties!$D7*Properties!$W7,0)</f>
        <v>0</v>
      </c>
      <c r="H20" s="313">
        <f>IF(ROUNDUP(Properties!$U7/'_IRR Engine'!$Q$7,0)=H$4,Properties!$D7*Properties!$W7,0)</f>
        <v>0</v>
      </c>
      <c r="I20" s="313">
        <f>IF(ROUNDUP(Properties!$U7/'_IRR Engine'!$Q$7,0)=I$4,Properties!$D7*Properties!$W7,0)</f>
        <v>0</v>
      </c>
      <c r="J20" s="313">
        <f>IF(ROUNDUP(Properties!$U7/'_IRR Engine'!$Q$7,0)=J$4,Properties!$D7*Properties!$W7,0)</f>
        <v>0</v>
      </c>
      <c r="K20" s="313">
        <f>IF(ROUNDUP(Properties!$U7/'_IRR Engine'!$Q$7,0)=K$4,Properties!$D7*Properties!$W7,0)</f>
        <v>0</v>
      </c>
      <c r="L20" s="313">
        <f>IF(ROUNDUP(Properties!$U7/'_IRR Engine'!$Q$7,0)=L$4,Properties!$D7*Properties!$W7,0)</f>
        <v>0</v>
      </c>
      <c r="M20" s="305"/>
    </row>
    <row r="21" spans="1:13" ht="18" customHeight="1" x14ac:dyDescent="0.3">
      <c r="A21" s="310"/>
      <c r="B21" s="327" t="str">
        <f>IF(Properties!$D$8=0,"",Properties!E8)</f>
        <v>San Lucas Apto 101</v>
      </c>
      <c r="C21" s="313">
        <f>IF(ROUNDUP(Properties!$U8/'_IRR Engine'!$Q$7,0)=C$4,Properties!$D8*Properties!$W8,0)</f>
        <v>0</v>
      </c>
      <c r="D21" s="313">
        <f>IF(ROUNDUP(Properties!$U8/'_IRR Engine'!$Q$7,0)=D$4,Properties!$D8*Properties!$W8,0)</f>
        <v>0</v>
      </c>
      <c r="E21" s="313">
        <f>IF(ROUNDUP(Properties!$U8/'_IRR Engine'!$Q$7,0)=E$4,Properties!$D8*Properties!$W8,0)</f>
        <v>1265464.2924150538</v>
      </c>
      <c r="F21" s="313">
        <f>IF(ROUNDUP(Properties!$U8/'_IRR Engine'!$Q$7,0)=F$4,Properties!$D8*Properties!$W8,0)</f>
        <v>0</v>
      </c>
      <c r="G21" s="313">
        <f>IF(ROUNDUP(Properties!$U8/'_IRR Engine'!$Q$7,0)=G$4,Properties!$D8*Properties!$W8,0)</f>
        <v>0</v>
      </c>
      <c r="H21" s="313">
        <f>IF(ROUNDUP(Properties!$U8/'_IRR Engine'!$Q$7,0)=H$4,Properties!$D8*Properties!$W8,0)</f>
        <v>0</v>
      </c>
      <c r="I21" s="313">
        <f>IF(ROUNDUP(Properties!$U8/'_IRR Engine'!$Q$7,0)=I$4,Properties!$D8*Properties!$W8,0)</f>
        <v>0</v>
      </c>
      <c r="J21" s="313">
        <f>IF(ROUNDUP(Properties!$U8/'_IRR Engine'!$Q$7,0)=J$4,Properties!$D8*Properties!$W8,0)</f>
        <v>0</v>
      </c>
      <c r="K21" s="313">
        <f>IF(ROUNDUP(Properties!$U8/'_IRR Engine'!$Q$7,0)=K$4,Properties!$D8*Properties!$W8,0)</f>
        <v>0</v>
      </c>
      <c r="L21" s="313">
        <f>IF(ROUNDUP(Properties!$U8/'_IRR Engine'!$Q$7,0)=L$4,Properties!$D8*Properties!$W8,0)</f>
        <v>0</v>
      </c>
      <c r="M21" s="305"/>
    </row>
    <row r="22" spans="1:13" ht="18" customHeight="1" x14ac:dyDescent="0.3">
      <c r="A22" s="310"/>
      <c r="B22" s="327" t="str">
        <f>IF(Properties!$D$9=0,"",Properties!E9)</f>
        <v>Casa Montana Lote 2 (Samuel Gaviria House)</v>
      </c>
      <c r="C22" s="313">
        <f>IF(ROUNDUP(Properties!$U9/'_IRR Engine'!$Q$7,0)=C$4,Properties!$D9*Properties!$W9,0)</f>
        <v>0</v>
      </c>
      <c r="D22" s="313">
        <f>IF(ROUNDUP(Properties!$U9/'_IRR Engine'!$Q$7,0)=D$4,Properties!$D9*Properties!$W9,0)</f>
        <v>0</v>
      </c>
      <c r="E22" s="313">
        <f>IF(ROUNDUP(Properties!$U9/'_IRR Engine'!$Q$7,0)=E$4,Properties!$D9*Properties!$W9,0)</f>
        <v>0</v>
      </c>
      <c r="F22" s="313">
        <f>IF(ROUNDUP(Properties!$U9/'_IRR Engine'!$Q$7,0)=F$4,Properties!$D9*Properties!$W9,0)</f>
        <v>2995795.1883356264</v>
      </c>
      <c r="G22" s="313">
        <f>IF(ROUNDUP(Properties!$U9/'_IRR Engine'!$Q$7,0)=G$4,Properties!$D9*Properties!$W9,0)</f>
        <v>0</v>
      </c>
      <c r="H22" s="313">
        <f>IF(ROUNDUP(Properties!$U9/'_IRR Engine'!$Q$7,0)=H$4,Properties!$D9*Properties!$W9,0)</f>
        <v>0</v>
      </c>
      <c r="I22" s="313">
        <f>IF(ROUNDUP(Properties!$U9/'_IRR Engine'!$Q$7,0)=I$4,Properties!$D9*Properties!$W9,0)</f>
        <v>0</v>
      </c>
      <c r="J22" s="313">
        <f>IF(ROUNDUP(Properties!$U9/'_IRR Engine'!$Q$7,0)=J$4,Properties!$D9*Properties!$W9,0)</f>
        <v>0</v>
      </c>
      <c r="K22" s="313">
        <f>IF(ROUNDUP(Properties!$U9/'_IRR Engine'!$Q$7,0)=K$4,Properties!$D9*Properties!$W9,0)</f>
        <v>0</v>
      </c>
      <c r="L22" s="313">
        <f>IF(ROUNDUP(Properties!$U9/'_IRR Engine'!$Q$7,0)=L$4,Properties!$D9*Properties!$W9,0)</f>
        <v>0</v>
      </c>
      <c r="M22" s="305"/>
    </row>
    <row r="23" spans="1:13" ht="18" customHeight="1" x14ac:dyDescent="0.3">
      <c r="A23" s="310"/>
      <c r="B23" s="327" t="str">
        <f>IF(Properties!$D$10=0,"",Properties!E10)</f>
        <v>Casa Monte Sereno</v>
      </c>
      <c r="C23" s="313">
        <f>IF(ROUNDUP(Properties!$U10/'_IRR Engine'!$Q$7,0)=C$4,Properties!$D10*Properties!$W10,0)</f>
        <v>0</v>
      </c>
      <c r="D23" s="313">
        <f>IF(ROUNDUP(Properties!$U10/'_IRR Engine'!$Q$7,0)=D$4,Properties!$D10*Properties!$W10,0)</f>
        <v>0</v>
      </c>
      <c r="E23" s="313">
        <f>IF(ROUNDUP(Properties!$U10/'_IRR Engine'!$Q$7,0)=E$4,Properties!$D10*Properties!$W10,0)</f>
        <v>0</v>
      </c>
      <c r="F23" s="313">
        <f>IF(ROUNDUP(Properties!$U10/'_IRR Engine'!$Q$7,0)=F$4,Properties!$D10*Properties!$W10,0)</f>
        <v>2834606.5805107774</v>
      </c>
      <c r="G23" s="313">
        <f>IF(ROUNDUP(Properties!$U10/'_IRR Engine'!$Q$7,0)=G$4,Properties!$D10*Properties!$W10,0)</f>
        <v>0</v>
      </c>
      <c r="H23" s="313">
        <f>IF(ROUNDUP(Properties!$U10/'_IRR Engine'!$Q$7,0)=H$4,Properties!$D10*Properties!$W10,0)</f>
        <v>0</v>
      </c>
      <c r="I23" s="313">
        <f>IF(ROUNDUP(Properties!$U10/'_IRR Engine'!$Q$7,0)=I$4,Properties!$D10*Properties!$W10,0)</f>
        <v>0</v>
      </c>
      <c r="J23" s="313">
        <f>IF(ROUNDUP(Properties!$U10/'_IRR Engine'!$Q$7,0)=J$4,Properties!$D10*Properties!$W10,0)</f>
        <v>0</v>
      </c>
      <c r="K23" s="313">
        <f>IF(ROUNDUP(Properties!$U10/'_IRR Engine'!$Q$7,0)=K$4,Properties!$D10*Properties!$W10,0)</f>
        <v>0</v>
      </c>
      <c r="L23" s="313">
        <f>IF(ROUNDUP(Properties!$U10/'_IRR Engine'!$Q$7,0)=L$4,Properties!$D10*Properties!$W10,0)</f>
        <v>0</v>
      </c>
      <c r="M23" s="305"/>
    </row>
    <row r="24" spans="1:13" ht="15.45" hidden="1" customHeight="1" outlineLevel="1" x14ac:dyDescent="0.3">
      <c r="A24" s="310"/>
      <c r="B24" s="327" t="str">
        <f>IF(Properties!$D$11=0,"",Properties!E11)</f>
        <v/>
      </c>
      <c r="C24" s="313">
        <f>IF(ROUNDUP(Properties!$U11/'_IRR Engine'!$Q$7,0)=C$4,Properties!$D11*Properties!$W11,0)</f>
        <v>0</v>
      </c>
      <c r="D24" s="313">
        <f>IF(ROUNDUP(Properties!$U11/'_IRR Engine'!$Q$7,0)=D$4,Properties!$D11*Properties!$W11,0)</f>
        <v>0</v>
      </c>
      <c r="E24" s="313">
        <f>IF(ROUNDUP(Properties!$U11/'_IRR Engine'!$Q$7,0)=E$4,Properties!$D11*Properties!$W11,0)</f>
        <v>0</v>
      </c>
      <c r="F24" s="313">
        <f>IF(ROUNDUP(Properties!$U11/'_IRR Engine'!$Q$7,0)=F$4,Properties!$D11*Properties!$W11,0)</f>
        <v>0</v>
      </c>
      <c r="G24" s="313">
        <f>IF(ROUNDUP(Properties!$U11/'_IRR Engine'!$Q$7,0)=G$4,Properties!$D11*Properties!$W11,0)</f>
        <v>0</v>
      </c>
      <c r="H24" s="313">
        <f>IF(ROUNDUP(Properties!$U11/'_IRR Engine'!$Q$7,0)=H$4,Properties!$D11*Properties!$W11,0)</f>
        <v>0</v>
      </c>
      <c r="I24" s="313">
        <f>IF(ROUNDUP(Properties!$U11/'_IRR Engine'!$Q$7,0)=I$4,Properties!$D11*Properties!$W11,0)</f>
        <v>0</v>
      </c>
      <c r="J24" s="313">
        <f>IF(ROUNDUP(Properties!$U11/'_IRR Engine'!$Q$7,0)=J$4,Properties!$D11*Properties!$W11,0)</f>
        <v>0</v>
      </c>
      <c r="K24" s="313">
        <f>IF(ROUNDUP(Properties!$U11/'_IRR Engine'!$Q$7,0)=K$4,Properties!$D11*Properties!$W11,0)</f>
        <v>0</v>
      </c>
      <c r="L24" s="313">
        <f>IF(ROUNDUP(Properties!$U11/'_IRR Engine'!$Q$7,0)=L$4,Properties!$D11*Properties!$W11,0)</f>
        <v>0</v>
      </c>
      <c r="M24" s="305"/>
    </row>
    <row r="25" spans="1:13" ht="15.45" hidden="1" customHeight="1" outlineLevel="1" x14ac:dyDescent="0.3">
      <c r="A25" s="310"/>
      <c r="B25" s="327" t="str">
        <f>IF(Properties!$D$12=0,"",Properties!E12)</f>
        <v/>
      </c>
      <c r="C25" s="313">
        <f>IF(ROUNDUP(Properties!$U12/'_IRR Engine'!$Q$7,0)=C$4,Properties!$D12*Properties!$W12,0)</f>
        <v>0</v>
      </c>
      <c r="D25" s="313">
        <f>IF(ROUNDUP(Properties!$U12/'_IRR Engine'!$Q$7,0)=D$4,Properties!$D12*Properties!$W12,0)</f>
        <v>0</v>
      </c>
      <c r="E25" s="313">
        <f>IF(ROUNDUP(Properties!$U12/'_IRR Engine'!$Q$7,0)=E$4,Properties!$D12*Properties!$W12,0)</f>
        <v>0</v>
      </c>
      <c r="F25" s="313">
        <f>IF(ROUNDUP(Properties!$U12/'_IRR Engine'!$Q$7,0)=F$4,Properties!$D12*Properties!$W12,0)</f>
        <v>0</v>
      </c>
      <c r="G25" s="313">
        <f>IF(ROUNDUP(Properties!$U12/'_IRR Engine'!$Q$7,0)=G$4,Properties!$D12*Properties!$W12,0)</f>
        <v>0</v>
      </c>
      <c r="H25" s="313">
        <f>IF(ROUNDUP(Properties!$U12/'_IRR Engine'!$Q$7,0)=H$4,Properties!$D12*Properties!$W12,0)</f>
        <v>0</v>
      </c>
      <c r="I25" s="313">
        <f>IF(ROUNDUP(Properties!$U12/'_IRR Engine'!$Q$7,0)=I$4,Properties!$D12*Properties!$W12,0)</f>
        <v>0</v>
      </c>
      <c r="J25" s="313">
        <f>IF(ROUNDUP(Properties!$U12/'_IRR Engine'!$Q$7,0)=J$4,Properties!$D12*Properties!$W12,0)</f>
        <v>0</v>
      </c>
      <c r="K25" s="313">
        <f>IF(ROUNDUP(Properties!$U12/'_IRR Engine'!$Q$7,0)=K$4,Properties!$D12*Properties!$W12,0)</f>
        <v>0</v>
      </c>
      <c r="L25" s="313">
        <f>IF(ROUNDUP(Properties!$U12/'_IRR Engine'!$Q$7,0)=L$4,Properties!$D12*Properties!$W12,0)</f>
        <v>0</v>
      </c>
      <c r="M25" s="305"/>
    </row>
    <row r="26" spans="1:13" ht="15.45" hidden="1" customHeight="1" outlineLevel="1" x14ac:dyDescent="0.3">
      <c r="A26" s="310"/>
      <c r="B26" s="327" t="str">
        <f>IF(Properties!$D$13=0,"",Properties!E13)</f>
        <v/>
      </c>
      <c r="C26" s="313">
        <f>IF(ROUNDUP(Properties!$U13/'_IRR Engine'!$Q$7,0)=C$4,Properties!$D13*Properties!$W13,0)</f>
        <v>0</v>
      </c>
      <c r="D26" s="313">
        <f>IF(ROUNDUP(Properties!$U13/'_IRR Engine'!$Q$7,0)=D$4,Properties!$D13*Properties!$W13,0)</f>
        <v>0</v>
      </c>
      <c r="E26" s="313">
        <f>IF(ROUNDUP(Properties!$U13/'_IRR Engine'!$Q$7,0)=E$4,Properties!$D13*Properties!$W13,0)</f>
        <v>0</v>
      </c>
      <c r="F26" s="313">
        <f>IF(ROUNDUP(Properties!$U13/'_IRR Engine'!$Q$7,0)=F$4,Properties!$D13*Properties!$W13,0)</f>
        <v>0</v>
      </c>
      <c r="G26" s="313">
        <f>IF(ROUNDUP(Properties!$U13/'_IRR Engine'!$Q$7,0)=G$4,Properties!$D13*Properties!$W13,0)</f>
        <v>0</v>
      </c>
      <c r="H26" s="313">
        <f>IF(ROUNDUP(Properties!$U13/'_IRR Engine'!$Q$7,0)=H$4,Properties!$D13*Properties!$W13,0)</f>
        <v>0</v>
      </c>
      <c r="I26" s="313">
        <f>IF(ROUNDUP(Properties!$U13/'_IRR Engine'!$Q$7,0)=I$4,Properties!$D13*Properties!$W13,0)</f>
        <v>0</v>
      </c>
      <c r="J26" s="313">
        <f>IF(ROUNDUP(Properties!$U13/'_IRR Engine'!$Q$7,0)=J$4,Properties!$D13*Properties!$W13,0)</f>
        <v>0</v>
      </c>
      <c r="K26" s="313">
        <f>IF(ROUNDUP(Properties!$U13/'_IRR Engine'!$Q$7,0)=K$4,Properties!$D13*Properties!$W13,0)</f>
        <v>0</v>
      </c>
      <c r="L26" s="313">
        <f>IF(ROUNDUP(Properties!$U13/'_IRR Engine'!$Q$7,0)=L$4,Properties!$D13*Properties!$W13,0)</f>
        <v>0</v>
      </c>
      <c r="M26" s="305"/>
    </row>
    <row r="27" spans="1:13" ht="15.45" hidden="1" customHeight="1" outlineLevel="1" x14ac:dyDescent="0.3">
      <c r="A27" s="310"/>
      <c r="B27" s="327" t="str">
        <f>IF(Properties!$D$14=0,"",Properties!E14)</f>
        <v/>
      </c>
      <c r="C27" s="313">
        <f>IF(ROUNDUP(Properties!$U14/'_IRR Engine'!$Q$7,0)=C$4,Properties!$D14*Properties!$W14,0)</f>
        <v>0</v>
      </c>
      <c r="D27" s="313">
        <f>IF(ROUNDUP(Properties!$U14/'_IRR Engine'!$Q$7,0)=D$4,Properties!$D14*Properties!$W14,0)</f>
        <v>0</v>
      </c>
      <c r="E27" s="313">
        <f>IF(ROUNDUP(Properties!$U14/'_IRR Engine'!$Q$7,0)=E$4,Properties!$D14*Properties!$W14,0)</f>
        <v>0</v>
      </c>
      <c r="F27" s="313">
        <f>IF(ROUNDUP(Properties!$U14/'_IRR Engine'!$Q$7,0)=F$4,Properties!$D14*Properties!$W14,0)</f>
        <v>0</v>
      </c>
      <c r="G27" s="313">
        <f>IF(ROUNDUP(Properties!$U14/'_IRR Engine'!$Q$7,0)=G$4,Properties!$D14*Properties!$W14,0)</f>
        <v>0</v>
      </c>
      <c r="H27" s="313">
        <f>IF(ROUNDUP(Properties!$U14/'_IRR Engine'!$Q$7,0)=H$4,Properties!$D14*Properties!$W14,0)</f>
        <v>0</v>
      </c>
      <c r="I27" s="313">
        <f>IF(ROUNDUP(Properties!$U14/'_IRR Engine'!$Q$7,0)=I$4,Properties!$D14*Properties!$W14,0)</f>
        <v>0</v>
      </c>
      <c r="J27" s="313">
        <f>IF(ROUNDUP(Properties!$U14/'_IRR Engine'!$Q$7,0)=J$4,Properties!$D14*Properties!$W14,0)</f>
        <v>0</v>
      </c>
      <c r="K27" s="313">
        <f>IF(ROUNDUP(Properties!$U14/'_IRR Engine'!$Q$7,0)=K$4,Properties!$D14*Properties!$W14,0)</f>
        <v>0</v>
      </c>
      <c r="L27" s="313">
        <f>IF(ROUNDUP(Properties!$U14/'_IRR Engine'!$Q$7,0)=L$4,Properties!$D14*Properties!$W14,0)</f>
        <v>0</v>
      </c>
      <c r="M27" s="305"/>
    </row>
    <row r="28" spans="1:13" ht="15.45" hidden="1" customHeight="1" outlineLevel="1" x14ac:dyDescent="0.3">
      <c r="A28" s="310"/>
      <c r="B28" s="327" t="str">
        <f>IF(Properties!$D$15=0,"",Properties!E15)</f>
        <v/>
      </c>
      <c r="C28" s="313">
        <f>IF(ROUNDUP(Properties!$U15/'_IRR Engine'!$Q$7,0)=C$4,Properties!$D15*Properties!$W15,0)</f>
        <v>0</v>
      </c>
      <c r="D28" s="313">
        <f>IF(ROUNDUP(Properties!$U15/'_IRR Engine'!$Q$7,0)=D$4,Properties!$D15*Properties!$W15,0)</f>
        <v>0</v>
      </c>
      <c r="E28" s="313">
        <f>IF(ROUNDUP(Properties!$U15/'_IRR Engine'!$Q$7,0)=E$4,Properties!$D15*Properties!$W15,0)</f>
        <v>0</v>
      </c>
      <c r="F28" s="313">
        <f>IF(ROUNDUP(Properties!$U15/'_IRR Engine'!$Q$7,0)=F$4,Properties!$D15*Properties!$W15,0)</f>
        <v>0</v>
      </c>
      <c r="G28" s="313">
        <f>IF(ROUNDUP(Properties!$U15/'_IRR Engine'!$Q$7,0)=G$4,Properties!$D15*Properties!$W15,0)</f>
        <v>0</v>
      </c>
      <c r="H28" s="313">
        <f>IF(ROUNDUP(Properties!$U15/'_IRR Engine'!$Q$7,0)=H$4,Properties!$D15*Properties!$W15,0)</f>
        <v>0</v>
      </c>
      <c r="I28" s="313">
        <f>IF(ROUNDUP(Properties!$U15/'_IRR Engine'!$Q$7,0)=I$4,Properties!$D15*Properties!$W15,0)</f>
        <v>0</v>
      </c>
      <c r="J28" s="313">
        <f>IF(ROUNDUP(Properties!$U15/'_IRR Engine'!$Q$7,0)=J$4,Properties!$D15*Properties!$W15,0)</f>
        <v>0</v>
      </c>
      <c r="K28" s="313">
        <f>IF(ROUNDUP(Properties!$U15/'_IRR Engine'!$Q$7,0)=K$4,Properties!$D15*Properties!$W15,0)</f>
        <v>0</v>
      </c>
      <c r="L28" s="313">
        <f>IF(ROUNDUP(Properties!$U15/'_IRR Engine'!$Q$7,0)=L$4,Properties!$D15*Properties!$W15,0)</f>
        <v>0</v>
      </c>
      <c r="M28" s="305"/>
    </row>
    <row r="29" spans="1:13" ht="18" customHeight="1" collapsed="1" x14ac:dyDescent="0.3">
      <c r="A29" s="310"/>
      <c r="B29" s="106" t="s">
        <v>69</v>
      </c>
      <c r="C29" s="314">
        <f t="shared" ref="C29:L29" si="1">C7+C18</f>
        <v>84225.675000000003</v>
      </c>
      <c r="D29" s="314">
        <f t="shared" si="1"/>
        <v>308211.83925428579</v>
      </c>
      <c r="E29" s="314">
        <f t="shared" si="1"/>
        <v>5757019.7032676125</v>
      </c>
      <c r="F29" s="314">
        <f t="shared" si="1"/>
        <v>5870880.757558045</v>
      </c>
      <c r="G29" s="314">
        <f t="shared" si="1"/>
        <v>0</v>
      </c>
      <c r="H29" s="314">
        <f t="shared" si="1"/>
        <v>0</v>
      </c>
      <c r="I29" s="314">
        <f t="shared" si="1"/>
        <v>0</v>
      </c>
      <c r="J29" s="314">
        <f t="shared" si="1"/>
        <v>0</v>
      </c>
      <c r="K29" s="314">
        <f t="shared" si="1"/>
        <v>0</v>
      </c>
      <c r="L29" s="314">
        <f t="shared" si="1"/>
        <v>0</v>
      </c>
      <c r="M29" s="305"/>
    </row>
    <row r="30" spans="1:13" ht="18" customHeight="1" x14ac:dyDescent="0.3">
      <c r="B30" s="416"/>
      <c r="C30" s="417"/>
      <c r="D30" s="417"/>
      <c r="E30" s="417"/>
      <c r="F30" s="417"/>
      <c r="G30" s="417"/>
      <c r="H30" s="417"/>
      <c r="I30" s="417"/>
      <c r="J30" s="417"/>
      <c r="K30" s="417"/>
      <c r="L30" s="417"/>
    </row>
    <row r="31" spans="1:13" ht="15.45" customHeight="1" x14ac:dyDescent="0.3">
      <c r="B31" s="419" t="s">
        <v>1038</v>
      </c>
      <c r="C31" s="418"/>
      <c r="D31" s="418"/>
      <c r="E31" s="418"/>
      <c r="F31" s="418"/>
      <c r="G31" s="418"/>
      <c r="H31" s="418"/>
      <c r="I31" s="418"/>
      <c r="J31" s="418"/>
      <c r="K31" s="418"/>
      <c r="L31" s="418"/>
    </row>
    <row r="32" spans="1:13" ht="15.45" customHeight="1" x14ac:dyDescent="0.3">
      <c r="B32" s="422" t="str">
        <f>$B$8</f>
        <v>Aires de Campestre Apto 801 (Penthouse)</v>
      </c>
      <c r="C32" s="423"/>
      <c r="D32" s="423"/>
      <c r="E32" s="423"/>
      <c r="F32" s="423"/>
      <c r="G32" s="423"/>
      <c r="H32" s="423"/>
      <c r="I32" s="423"/>
      <c r="J32" s="423"/>
      <c r="K32" s="423"/>
      <c r="L32" s="423"/>
    </row>
    <row r="33" spans="2:14" ht="15.45" customHeight="1" x14ac:dyDescent="0.3">
      <c r="B33" s="424" t="s">
        <v>67</v>
      </c>
      <c r="C33" s="417">
        <f t="shared" ref="C33:L33" si="2">C8</f>
        <v>25517.025000000001</v>
      </c>
      <c r="D33" s="417">
        <f t="shared" si="2"/>
        <v>60811.624800000005</v>
      </c>
      <c r="E33" s="417">
        <f t="shared" si="2"/>
        <v>26681.484563999998</v>
      </c>
      <c r="F33" s="417">
        <f t="shared" si="2"/>
        <v>0</v>
      </c>
      <c r="G33" s="417">
        <f t="shared" si="2"/>
        <v>0</v>
      </c>
      <c r="H33" s="417">
        <f t="shared" si="2"/>
        <v>0</v>
      </c>
      <c r="I33" s="417">
        <f t="shared" si="2"/>
        <v>0</v>
      </c>
      <c r="J33" s="417">
        <f t="shared" si="2"/>
        <v>0</v>
      </c>
      <c r="K33" s="417">
        <f t="shared" si="2"/>
        <v>0</v>
      </c>
      <c r="L33" s="417">
        <f t="shared" si="2"/>
        <v>0</v>
      </c>
    </row>
    <row r="34" spans="2:14" ht="15.45" customHeight="1" x14ac:dyDescent="0.3">
      <c r="B34" s="424" t="s">
        <v>1039</v>
      </c>
      <c r="C34" s="417">
        <f t="shared" ref="C34:L34" si="3">C19</f>
        <v>0</v>
      </c>
      <c r="D34" s="417">
        <f t="shared" si="3"/>
        <v>0</v>
      </c>
      <c r="E34" s="417">
        <f t="shared" si="3"/>
        <v>2019763.3569386934</v>
      </c>
      <c r="F34" s="417">
        <f t="shared" si="3"/>
        <v>0</v>
      </c>
      <c r="G34" s="417">
        <f t="shared" si="3"/>
        <v>0</v>
      </c>
      <c r="H34" s="417">
        <f t="shared" si="3"/>
        <v>0</v>
      </c>
      <c r="I34" s="417">
        <f t="shared" si="3"/>
        <v>0</v>
      </c>
      <c r="J34" s="417">
        <f t="shared" si="3"/>
        <v>0</v>
      </c>
      <c r="K34" s="417">
        <f t="shared" si="3"/>
        <v>0</v>
      </c>
      <c r="L34" s="417">
        <f t="shared" si="3"/>
        <v>0</v>
      </c>
    </row>
    <row r="35" spans="2:14" ht="15.45" customHeight="1" x14ac:dyDescent="0.3">
      <c r="B35" s="424" t="s">
        <v>1604</v>
      </c>
      <c r="C35" s="417">
        <f>'Property Detail'!C14</f>
        <v>0</v>
      </c>
      <c r="D35" s="417">
        <f>'Property Detail'!D14</f>
        <v>0</v>
      </c>
      <c r="E35" s="417">
        <f>'Property Detail'!E14</f>
        <v>0</v>
      </c>
      <c r="F35" s="417">
        <f>'Property Detail'!F14</f>
        <v>0</v>
      </c>
      <c r="G35" s="417">
        <f>'Property Detail'!G14</f>
        <v>0</v>
      </c>
      <c r="H35" s="417">
        <f>'Property Detail'!H14</f>
        <v>0</v>
      </c>
      <c r="I35" s="417">
        <f>'Property Detail'!I14</f>
        <v>0</v>
      </c>
      <c r="J35" s="417">
        <f>'Property Detail'!J14</f>
        <v>0</v>
      </c>
      <c r="K35" s="417">
        <f>'Property Detail'!K14</f>
        <v>0</v>
      </c>
      <c r="L35" s="417">
        <f>'Property Detail'!L14</f>
        <v>0</v>
      </c>
    </row>
    <row r="36" spans="2:14" ht="15.45" customHeight="1" x14ac:dyDescent="0.3">
      <c r="B36" s="424" t="s">
        <v>1605</v>
      </c>
      <c r="C36" s="417">
        <f>'Property Detail'!C16</f>
        <v>5103.4050000000007</v>
      </c>
      <c r="D36" s="417">
        <f>'Property Detail'!D16</f>
        <v>12162.324960000002</v>
      </c>
      <c r="E36" s="417">
        <f>'Property Detail'!E16</f>
        <v>5336.2969128000004</v>
      </c>
      <c r="F36" s="417">
        <f>'Property Detail'!F16</f>
        <v>0</v>
      </c>
      <c r="G36" s="417">
        <f>'Property Detail'!G16</f>
        <v>0</v>
      </c>
      <c r="H36" s="417">
        <f>'Property Detail'!H16</f>
        <v>0</v>
      </c>
      <c r="I36" s="417">
        <f>'Property Detail'!I16</f>
        <v>0</v>
      </c>
      <c r="J36" s="417">
        <f>'Property Detail'!J16</f>
        <v>0</v>
      </c>
      <c r="K36" s="417">
        <f>'Property Detail'!K16</f>
        <v>0</v>
      </c>
      <c r="L36" s="417">
        <f>'Property Detail'!L16</f>
        <v>0</v>
      </c>
    </row>
    <row r="37" spans="2:14" ht="15.6" x14ac:dyDescent="0.3">
      <c r="B37" s="424" t="s">
        <v>1606</v>
      </c>
      <c r="C37" s="417">
        <f>'Property Detail'!C15</f>
        <v>318.96281250000004</v>
      </c>
      <c r="D37" s="417">
        <f>'Property Detail'!D15</f>
        <v>760.14531000000011</v>
      </c>
      <c r="E37" s="417">
        <f>'Property Detail'!E15</f>
        <v>333.51855705000003</v>
      </c>
      <c r="F37" s="417">
        <f>'Property Detail'!F15</f>
        <v>0</v>
      </c>
      <c r="G37" s="417">
        <f>'Property Detail'!G15</f>
        <v>0</v>
      </c>
      <c r="H37" s="417">
        <f>'Property Detail'!H15</f>
        <v>0</v>
      </c>
      <c r="I37" s="417">
        <f>'Property Detail'!I15</f>
        <v>0</v>
      </c>
      <c r="J37" s="417">
        <f>'Property Detail'!J15</f>
        <v>0</v>
      </c>
      <c r="K37" s="417">
        <f>'Property Detail'!K15</f>
        <v>0</v>
      </c>
      <c r="L37" s="417">
        <f>'Property Detail'!L15</f>
        <v>0</v>
      </c>
      <c r="N37" s="374"/>
    </row>
    <row r="38" spans="2:14" ht="27.45" customHeight="1" x14ac:dyDescent="0.3">
      <c r="B38" s="424" t="s">
        <v>1040</v>
      </c>
      <c r="C38" s="417">
        <f>SUMIF('_Month Engine'!$C$5:$DR$5,C$4,'_Month Engine'!$C$73:$DR$73)</f>
        <v>0</v>
      </c>
      <c r="D38" s="417">
        <f>SUMIF('_Month Engine'!$C$5:$DR$5,D$4,'_Month Engine'!$C$73:$DR$73)</f>
        <v>0</v>
      </c>
      <c r="E38" s="417">
        <f>SUMIF('_Month Engine'!$C$5:$DR$5,E$4,'_Month Engine'!$C$73:$DR$73)</f>
        <v>1168770.2265372169</v>
      </c>
      <c r="F38" s="417">
        <f>SUMIF('_Month Engine'!$C$5:$DR$5,F$4,'_Month Engine'!$C$73:$DR$73)</f>
        <v>0</v>
      </c>
      <c r="G38" s="417">
        <f>SUMIF('_Month Engine'!$C$5:$DR$5,G$4,'_Month Engine'!$C$73:$DR$73)</f>
        <v>0</v>
      </c>
      <c r="H38" s="417">
        <f>SUMIF('_Month Engine'!$C$5:$DR$5,H$4,'_Month Engine'!$C$73:$DR$73)</f>
        <v>0</v>
      </c>
      <c r="I38" s="417">
        <f>SUMIF('_Month Engine'!$C$5:$DR$5,I$4,'_Month Engine'!$C$73:$DR$73)</f>
        <v>0</v>
      </c>
      <c r="J38" s="417">
        <f>SUMIF('_Month Engine'!$C$5:$DR$5,J$4,'_Month Engine'!$C$73:$DR$73)</f>
        <v>0</v>
      </c>
      <c r="K38" s="417">
        <f>SUMIF('_Month Engine'!$C$5:$DR$5,K$4,'_Month Engine'!$C$73:$DR$73)</f>
        <v>0</v>
      </c>
      <c r="L38" s="417">
        <f>SUMIF('_Month Engine'!$C$5:$DR$5,L$4,'_Month Engine'!$C$73:$DR$73)</f>
        <v>0</v>
      </c>
      <c r="N38" s="374"/>
    </row>
    <row r="39" spans="2:14" ht="15.45" customHeight="1" x14ac:dyDescent="0.3">
      <c r="B39" s="424" t="s">
        <v>1607</v>
      </c>
      <c r="C39" s="417">
        <f>C34*Input!$C$15</f>
        <v>0</v>
      </c>
      <c r="D39" s="417">
        <f>D34*Input!$C$15</f>
        <v>0</v>
      </c>
      <c r="E39" s="417">
        <f>E34*Input!$C$15</f>
        <v>76751.007563670355</v>
      </c>
      <c r="F39" s="417">
        <f>F34*Input!$C$15</f>
        <v>0</v>
      </c>
      <c r="G39" s="417">
        <f>G34*Input!$C$15</f>
        <v>0</v>
      </c>
      <c r="H39" s="417">
        <f>H34*Input!$C$15</f>
        <v>0</v>
      </c>
      <c r="I39" s="417">
        <f>I34*Input!$C$15</f>
        <v>0</v>
      </c>
      <c r="J39" s="417">
        <f>J34*Input!$C$15</f>
        <v>0</v>
      </c>
      <c r="K39" s="417">
        <f>K34*Input!$C$15</f>
        <v>0</v>
      </c>
      <c r="L39" s="417">
        <f>L34*Input!$C$15</f>
        <v>0</v>
      </c>
      <c r="N39" s="374"/>
    </row>
    <row r="40" spans="2:14" ht="27.45" customHeight="1" x14ac:dyDescent="0.3">
      <c r="B40" s="426" t="s">
        <v>1041</v>
      </c>
      <c r="C40" s="427">
        <f t="shared" ref="C40:L40" si="4">C33+C34-SUM(C35:C39)</f>
        <v>20094.657187500001</v>
      </c>
      <c r="D40" s="427">
        <f t="shared" si="4"/>
        <v>47889.15453</v>
      </c>
      <c r="E40" s="427">
        <f t="shared" si="4"/>
        <v>795253.79193195608</v>
      </c>
      <c r="F40" s="427">
        <f t="shared" si="4"/>
        <v>0</v>
      </c>
      <c r="G40" s="427">
        <f t="shared" si="4"/>
        <v>0</v>
      </c>
      <c r="H40" s="427">
        <f t="shared" si="4"/>
        <v>0</v>
      </c>
      <c r="I40" s="427">
        <f t="shared" si="4"/>
        <v>0</v>
      </c>
      <c r="J40" s="427">
        <f t="shared" si="4"/>
        <v>0</v>
      </c>
      <c r="K40" s="427">
        <f t="shared" si="4"/>
        <v>0</v>
      </c>
      <c r="L40" s="427">
        <f t="shared" si="4"/>
        <v>0</v>
      </c>
      <c r="N40" s="374"/>
    </row>
    <row r="41" spans="2:14" ht="27.45" customHeight="1" x14ac:dyDescent="0.3">
      <c r="B41" s="428" t="s">
        <v>1042</v>
      </c>
      <c r="C41" s="429">
        <f t="shared" ref="C41:L41" si="5">IF(C33+C34=0,0,C40/(C33+C34))</f>
        <v>0.78749999999999998</v>
      </c>
      <c r="D41" s="429">
        <f t="shared" si="5"/>
        <v>0.78749999999999998</v>
      </c>
      <c r="E41" s="429">
        <f t="shared" si="5"/>
        <v>0.38860260281826381</v>
      </c>
      <c r="F41" s="429">
        <f t="shared" si="5"/>
        <v>0</v>
      </c>
      <c r="G41" s="429">
        <f t="shared" si="5"/>
        <v>0</v>
      </c>
      <c r="H41" s="429">
        <f t="shared" si="5"/>
        <v>0</v>
      </c>
      <c r="I41" s="429">
        <f t="shared" si="5"/>
        <v>0</v>
      </c>
      <c r="J41" s="429">
        <f t="shared" si="5"/>
        <v>0</v>
      </c>
      <c r="K41" s="429">
        <f t="shared" si="5"/>
        <v>0</v>
      </c>
      <c r="L41" s="429">
        <f t="shared" si="5"/>
        <v>0</v>
      </c>
      <c r="N41" s="374"/>
    </row>
    <row r="42" spans="2:14" ht="15.45" customHeight="1" x14ac:dyDescent="0.3">
      <c r="B42" s="424" t="s">
        <v>1057</v>
      </c>
      <c r="C42" s="417">
        <f>SUM('Property Detail'!C9:C13)+'Property Detail'!C17</f>
        <v>21836.940399136998</v>
      </c>
      <c r="D42" s="417">
        <f>SUM('Property Detail'!D9:D13)+'Property Detail'!D17</f>
        <v>27965.938511326854</v>
      </c>
      <c r="E42" s="417">
        <f>SUM('Property Detail'!E9:E13)+'Property Detail'!E17</f>
        <v>11652.474379719524</v>
      </c>
      <c r="F42" s="417">
        <f>SUM('Property Detail'!F9:F13)+'Property Detail'!F17</f>
        <v>0</v>
      </c>
      <c r="G42" s="417">
        <f>SUM('Property Detail'!G9:G13)+'Property Detail'!G17</f>
        <v>0</v>
      </c>
      <c r="H42" s="417">
        <f>SUM('Property Detail'!H9:H13)+'Property Detail'!H17</f>
        <v>0</v>
      </c>
      <c r="I42" s="417">
        <f>SUM('Property Detail'!I9:I13)+'Property Detail'!I17</f>
        <v>0</v>
      </c>
      <c r="J42" s="417">
        <f>SUM('Property Detail'!J9:J13)+'Property Detail'!J17</f>
        <v>0</v>
      </c>
      <c r="K42" s="417">
        <f>SUM('Property Detail'!K9:K13)+'Property Detail'!K17</f>
        <v>0</v>
      </c>
      <c r="L42" s="417">
        <f>SUM('Property Detail'!L9:L13)+'Property Detail'!L17</f>
        <v>0</v>
      </c>
    </row>
    <row r="43" spans="2:14" ht="15.45" customHeight="1" x14ac:dyDescent="0.3">
      <c r="B43" s="426" t="s">
        <v>1054</v>
      </c>
      <c r="C43" s="427">
        <f t="shared" ref="C43:L43" si="6">C40-C42</f>
        <v>-1742.2832116369973</v>
      </c>
      <c r="D43" s="427">
        <f t="shared" si="6"/>
        <v>19923.216018673145</v>
      </c>
      <c r="E43" s="427">
        <f t="shared" si="6"/>
        <v>783601.31755223661</v>
      </c>
      <c r="F43" s="427">
        <f t="shared" si="6"/>
        <v>0</v>
      </c>
      <c r="G43" s="427">
        <f t="shared" si="6"/>
        <v>0</v>
      </c>
      <c r="H43" s="427">
        <f t="shared" si="6"/>
        <v>0</v>
      </c>
      <c r="I43" s="427">
        <f t="shared" si="6"/>
        <v>0</v>
      </c>
      <c r="J43" s="427">
        <f t="shared" si="6"/>
        <v>0</v>
      </c>
      <c r="K43" s="427">
        <f t="shared" si="6"/>
        <v>0</v>
      </c>
      <c r="L43" s="427">
        <f t="shared" si="6"/>
        <v>0</v>
      </c>
    </row>
    <row r="44" spans="2:14" ht="15.45" customHeight="1" x14ac:dyDescent="0.3">
      <c r="B44" s="428" t="s">
        <v>1055</v>
      </c>
      <c r="C44" s="429">
        <f t="shared" ref="C44:L44" si="7">IF(C33+C34=0,0,C43/(C33+C34))</f>
        <v>-6.8279245391537499E-2</v>
      </c>
      <c r="D44" s="429">
        <f t="shared" si="7"/>
        <v>0.32762183355892083</v>
      </c>
      <c r="E44" s="429">
        <f t="shared" si="7"/>
        <v>0.38290859429020446</v>
      </c>
      <c r="F44" s="429">
        <f t="shared" si="7"/>
        <v>0</v>
      </c>
      <c r="G44" s="429">
        <f t="shared" si="7"/>
        <v>0</v>
      </c>
      <c r="H44" s="429">
        <f t="shared" si="7"/>
        <v>0</v>
      </c>
      <c r="I44" s="429">
        <f t="shared" si="7"/>
        <v>0</v>
      </c>
      <c r="J44" s="429">
        <f t="shared" si="7"/>
        <v>0</v>
      </c>
      <c r="K44" s="429">
        <f t="shared" si="7"/>
        <v>0</v>
      </c>
      <c r="L44" s="429">
        <f t="shared" si="7"/>
        <v>0</v>
      </c>
    </row>
    <row r="45" spans="2:14" ht="27.45" customHeight="1" x14ac:dyDescent="0.3">
      <c r="B45" s="416"/>
      <c r="C45" s="417"/>
      <c r="D45" s="417"/>
      <c r="E45" s="417"/>
      <c r="F45" s="417"/>
      <c r="G45" s="417"/>
      <c r="H45" s="417"/>
      <c r="I45" s="417"/>
      <c r="J45" s="417"/>
      <c r="K45" s="417"/>
      <c r="L45" s="417"/>
      <c r="N45" s="374"/>
    </row>
    <row r="46" spans="2:14" ht="27.45" customHeight="1" x14ac:dyDescent="0.3">
      <c r="B46" s="422" t="str">
        <f>$B$9</f>
        <v>Fontanar Apto 201 (Penthouse)</v>
      </c>
      <c r="C46" s="423"/>
      <c r="D46" s="423"/>
      <c r="E46" s="423"/>
      <c r="F46" s="423"/>
      <c r="G46" s="423"/>
      <c r="H46" s="423"/>
      <c r="I46" s="423"/>
      <c r="J46" s="423"/>
      <c r="K46" s="423"/>
      <c r="L46" s="423"/>
      <c r="N46" s="374"/>
    </row>
    <row r="47" spans="2:14" ht="27.45" customHeight="1" x14ac:dyDescent="0.3">
      <c r="B47" s="424" t="s">
        <v>67</v>
      </c>
      <c r="C47" s="417">
        <f t="shared" ref="C47:L47" si="8">C9</f>
        <v>29441.475000000006</v>
      </c>
      <c r="D47" s="417">
        <f t="shared" si="8"/>
        <v>60811.624800000005</v>
      </c>
      <c r="E47" s="417">
        <f t="shared" si="8"/>
        <v>31396.946705999999</v>
      </c>
      <c r="F47" s="417">
        <f t="shared" si="8"/>
        <v>0</v>
      </c>
      <c r="G47" s="417">
        <f t="shared" si="8"/>
        <v>0</v>
      </c>
      <c r="H47" s="417">
        <f t="shared" si="8"/>
        <v>0</v>
      </c>
      <c r="I47" s="417">
        <f t="shared" si="8"/>
        <v>0</v>
      </c>
      <c r="J47" s="417">
        <f t="shared" si="8"/>
        <v>0</v>
      </c>
      <c r="K47" s="417">
        <f t="shared" si="8"/>
        <v>0</v>
      </c>
      <c r="L47" s="417">
        <f t="shared" si="8"/>
        <v>0</v>
      </c>
      <c r="N47" s="374"/>
    </row>
    <row r="48" spans="2:14" ht="27.45" customHeight="1" x14ac:dyDescent="0.3">
      <c r="B48" s="424" t="s">
        <v>1039</v>
      </c>
      <c r="C48" s="417">
        <f t="shared" ref="C48:L48" si="9">C20</f>
        <v>0</v>
      </c>
      <c r="D48" s="417">
        <f t="shared" si="9"/>
        <v>0</v>
      </c>
      <c r="E48" s="417">
        <f t="shared" si="9"/>
        <v>2261281.5704204938</v>
      </c>
      <c r="F48" s="417">
        <f t="shared" si="9"/>
        <v>0</v>
      </c>
      <c r="G48" s="417">
        <f t="shared" si="9"/>
        <v>0</v>
      </c>
      <c r="H48" s="417">
        <f t="shared" si="9"/>
        <v>0</v>
      </c>
      <c r="I48" s="417">
        <f t="shared" si="9"/>
        <v>0</v>
      </c>
      <c r="J48" s="417">
        <f t="shared" si="9"/>
        <v>0</v>
      </c>
      <c r="K48" s="417">
        <f t="shared" si="9"/>
        <v>0</v>
      </c>
      <c r="L48" s="417">
        <f t="shared" si="9"/>
        <v>0</v>
      </c>
      <c r="N48" s="374"/>
    </row>
    <row r="49" spans="2:14" ht="15.45" customHeight="1" x14ac:dyDescent="0.3">
      <c r="B49" s="424" t="s">
        <v>1604</v>
      </c>
      <c r="C49" s="417">
        <f>'Property Detail'!C30</f>
        <v>0</v>
      </c>
      <c r="D49" s="417">
        <f>'Property Detail'!D30</f>
        <v>0</v>
      </c>
      <c r="E49" s="417">
        <f>'Property Detail'!E30</f>
        <v>0</v>
      </c>
      <c r="F49" s="417">
        <f>'Property Detail'!F30</f>
        <v>0</v>
      </c>
      <c r="G49" s="417">
        <f>'Property Detail'!G30</f>
        <v>0</v>
      </c>
      <c r="H49" s="417">
        <f>'Property Detail'!H30</f>
        <v>0</v>
      </c>
      <c r="I49" s="417">
        <f>'Property Detail'!I30</f>
        <v>0</v>
      </c>
      <c r="J49" s="417">
        <f>'Property Detail'!J30</f>
        <v>0</v>
      </c>
      <c r="K49" s="417">
        <f>'Property Detail'!K30</f>
        <v>0</v>
      </c>
      <c r="L49" s="417">
        <f>'Property Detail'!L30</f>
        <v>0</v>
      </c>
      <c r="N49" s="386"/>
    </row>
    <row r="50" spans="2:14" ht="15.45" customHeight="1" x14ac:dyDescent="0.3">
      <c r="B50" s="424" t="s">
        <v>1605</v>
      </c>
      <c r="C50" s="417">
        <f>'Property Detail'!C32</f>
        <v>5888.2950000000019</v>
      </c>
      <c r="D50" s="417">
        <f>'Property Detail'!D32</f>
        <v>12162.324960000002</v>
      </c>
      <c r="E50" s="417">
        <f>'Property Detail'!E32</f>
        <v>6279.3893411999998</v>
      </c>
      <c r="F50" s="417">
        <f>'Property Detail'!F32</f>
        <v>0</v>
      </c>
      <c r="G50" s="417">
        <f>'Property Detail'!G32</f>
        <v>0</v>
      </c>
      <c r="H50" s="417">
        <f>'Property Detail'!H32</f>
        <v>0</v>
      </c>
      <c r="I50" s="417">
        <f>'Property Detail'!I32</f>
        <v>0</v>
      </c>
      <c r="J50" s="417">
        <f>'Property Detail'!J32</f>
        <v>0</v>
      </c>
      <c r="K50" s="417">
        <f>'Property Detail'!K32</f>
        <v>0</v>
      </c>
      <c r="L50" s="417">
        <f>'Property Detail'!L32</f>
        <v>0</v>
      </c>
      <c r="N50" s="387"/>
    </row>
    <row r="51" spans="2:14" ht="15.6" x14ac:dyDescent="0.3">
      <c r="B51" s="424" t="s">
        <v>1606</v>
      </c>
      <c r="C51" s="417">
        <f>'Property Detail'!C31</f>
        <v>368.01843750000012</v>
      </c>
      <c r="D51" s="417">
        <f>'Property Detail'!D31</f>
        <v>760.14531000000011</v>
      </c>
      <c r="E51" s="417">
        <f>'Property Detail'!E31</f>
        <v>392.46183382499999</v>
      </c>
      <c r="F51" s="417">
        <f>'Property Detail'!F31</f>
        <v>0</v>
      </c>
      <c r="G51" s="417">
        <f>'Property Detail'!G31</f>
        <v>0</v>
      </c>
      <c r="H51" s="417">
        <f>'Property Detail'!H31</f>
        <v>0</v>
      </c>
      <c r="I51" s="417">
        <f>'Property Detail'!I31</f>
        <v>0</v>
      </c>
      <c r="J51" s="417">
        <f>'Property Detail'!J31</f>
        <v>0</v>
      </c>
      <c r="K51" s="417">
        <f>'Property Detail'!K31</f>
        <v>0</v>
      </c>
      <c r="L51" s="417">
        <f>'Property Detail'!L31</f>
        <v>0</v>
      </c>
      <c r="N51" s="374"/>
    </row>
    <row r="52" spans="2:14" ht="27.45" customHeight="1" x14ac:dyDescent="0.3">
      <c r="B52" s="424" t="s">
        <v>1040</v>
      </c>
      <c r="C52" s="417">
        <f>SUMIF('_Month Engine'!$C$5:$DR$5,C$4,'_Month Engine'!$C$74:$DR$74)</f>
        <v>0</v>
      </c>
      <c r="D52" s="417">
        <f>SUMIF('_Month Engine'!$C$5:$DR$5,D$4,'_Month Engine'!$C$74:$DR$74)</f>
        <v>0</v>
      </c>
      <c r="E52" s="417">
        <f>SUMIF('_Month Engine'!$C$5:$DR$5,E$4,'_Month Engine'!$C$74:$DR$74)</f>
        <v>1290857.6051779937</v>
      </c>
      <c r="F52" s="417">
        <f>SUMIF('_Month Engine'!$C$5:$DR$5,F$4,'_Month Engine'!$C$74:$DR$74)</f>
        <v>0</v>
      </c>
      <c r="G52" s="417">
        <f>SUMIF('_Month Engine'!$C$5:$DR$5,G$4,'_Month Engine'!$C$74:$DR$74)</f>
        <v>0</v>
      </c>
      <c r="H52" s="417">
        <f>SUMIF('_Month Engine'!$C$5:$DR$5,H$4,'_Month Engine'!$C$74:$DR$74)</f>
        <v>0</v>
      </c>
      <c r="I52" s="417">
        <f>SUMIF('_Month Engine'!$C$5:$DR$5,I$4,'_Month Engine'!$C$74:$DR$74)</f>
        <v>0</v>
      </c>
      <c r="J52" s="417">
        <f>SUMIF('_Month Engine'!$C$5:$DR$5,J$4,'_Month Engine'!$C$74:$DR$74)</f>
        <v>0</v>
      </c>
      <c r="K52" s="417">
        <f>SUMIF('_Month Engine'!$C$5:$DR$5,K$4,'_Month Engine'!$C$74:$DR$74)</f>
        <v>0</v>
      </c>
      <c r="L52" s="417">
        <f>SUMIF('_Month Engine'!$C$5:$DR$5,L$4,'_Month Engine'!$C$74:$DR$74)</f>
        <v>0</v>
      </c>
      <c r="N52" s="374"/>
    </row>
    <row r="53" spans="2:14" ht="27.45" customHeight="1" x14ac:dyDescent="0.3">
      <c r="B53" s="424" t="s">
        <v>1607</v>
      </c>
      <c r="C53" s="417">
        <f>C48*Input!$C$15</f>
        <v>0</v>
      </c>
      <c r="D53" s="417">
        <f>D48*Input!$C$15</f>
        <v>0</v>
      </c>
      <c r="E53" s="417">
        <f>E48*Input!$C$15</f>
        <v>85928.699675978758</v>
      </c>
      <c r="F53" s="417">
        <f>F48*Input!$C$15</f>
        <v>0</v>
      </c>
      <c r="G53" s="417">
        <f>G48*Input!$C$15</f>
        <v>0</v>
      </c>
      <c r="H53" s="417">
        <f>H48*Input!$C$15</f>
        <v>0</v>
      </c>
      <c r="I53" s="417">
        <f>I48*Input!$C$15</f>
        <v>0</v>
      </c>
      <c r="J53" s="417">
        <f>J48*Input!$C$15</f>
        <v>0</v>
      </c>
      <c r="K53" s="417">
        <f>K48*Input!$C$15</f>
        <v>0</v>
      </c>
      <c r="L53" s="417">
        <f>L48*Input!$C$15</f>
        <v>0</v>
      </c>
      <c r="N53" s="374"/>
    </row>
    <row r="54" spans="2:14" ht="27.45" customHeight="1" x14ac:dyDescent="0.3">
      <c r="B54" s="426" t="s">
        <v>1041</v>
      </c>
      <c r="C54" s="427">
        <f t="shared" ref="C54:L54" si="10">C47+C48-SUM(C49:C53)</f>
        <v>23185.161562500005</v>
      </c>
      <c r="D54" s="427">
        <f t="shared" si="10"/>
        <v>47889.15453</v>
      </c>
      <c r="E54" s="427">
        <f t="shared" si="10"/>
        <v>909220.361097496</v>
      </c>
      <c r="F54" s="427">
        <f t="shared" si="10"/>
        <v>0</v>
      </c>
      <c r="G54" s="427">
        <f t="shared" si="10"/>
        <v>0</v>
      </c>
      <c r="H54" s="427">
        <f t="shared" si="10"/>
        <v>0</v>
      </c>
      <c r="I54" s="427">
        <f t="shared" si="10"/>
        <v>0</v>
      </c>
      <c r="J54" s="427">
        <f t="shared" si="10"/>
        <v>0</v>
      </c>
      <c r="K54" s="427">
        <f t="shared" si="10"/>
        <v>0</v>
      </c>
      <c r="L54" s="427">
        <f t="shared" si="10"/>
        <v>0</v>
      </c>
      <c r="N54" s="374"/>
    </row>
    <row r="55" spans="2:14" ht="15.45" customHeight="1" x14ac:dyDescent="0.3">
      <c r="B55" s="428" t="s">
        <v>1042</v>
      </c>
      <c r="C55" s="429">
        <f t="shared" ref="C55:L55" si="11">IF(C47+C48=0,0,C54/(C47+C48))</f>
        <v>0.78749999999999998</v>
      </c>
      <c r="D55" s="429">
        <f t="shared" si="11"/>
        <v>0.78749999999999998</v>
      </c>
      <c r="E55" s="429">
        <f t="shared" si="11"/>
        <v>0.39657560111701073</v>
      </c>
      <c r="F55" s="429">
        <f t="shared" si="11"/>
        <v>0</v>
      </c>
      <c r="G55" s="429">
        <f t="shared" si="11"/>
        <v>0</v>
      </c>
      <c r="H55" s="429">
        <f t="shared" si="11"/>
        <v>0</v>
      </c>
      <c r="I55" s="429">
        <f t="shared" si="11"/>
        <v>0</v>
      </c>
      <c r="J55" s="429">
        <f t="shared" si="11"/>
        <v>0</v>
      </c>
      <c r="K55" s="429">
        <f t="shared" si="11"/>
        <v>0</v>
      </c>
      <c r="L55" s="429">
        <f t="shared" si="11"/>
        <v>0</v>
      </c>
    </row>
    <row r="56" spans="2:14" ht="15.45" customHeight="1" x14ac:dyDescent="0.3">
      <c r="B56" s="424" t="s">
        <v>1057</v>
      </c>
      <c r="C56" s="417">
        <f>SUM('Property Detail'!C25:C29)+'Property Detail'!C33</f>
        <v>25797.228964401293</v>
      </c>
      <c r="D56" s="417">
        <f>SUM('Property Detail'!D25:D29)+'Property Detail'!D33</f>
        <v>29992.516181229767</v>
      </c>
      <c r="E56" s="417">
        <f>SUM('Property Detail'!E25:E29)+'Property Detail'!E33</f>
        <v>14996.258090614887</v>
      </c>
      <c r="F56" s="417">
        <f>SUM('Property Detail'!F25:F29)+'Property Detail'!F33</f>
        <v>0</v>
      </c>
      <c r="G56" s="417">
        <f>SUM('Property Detail'!G25:G29)+'Property Detail'!G33</f>
        <v>0</v>
      </c>
      <c r="H56" s="417">
        <f>SUM('Property Detail'!H25:H29)+'Property Detail'!H33</f>
        <v>0</v>
      </c>
      <c r="I56" s="417">
        <f>SUM('Property Detail'!I25:I29)+'Property Detail'!I33</f>
        <v>0</v>
      </c>
      <c r="J56" s="417">
        <f>SUM('Property Detail'!J25:J29)+'Property Detail'!J33</f>
        <v>0</v>
      </c>
      <c r="K56" s="417">
        <f>SUM('Property Detail'!K25:K29)+'Property Detail'!K33</f>
        <v>0</v>
      </c>
      <c r="L56" s="417">
        <f>SUM('Property Detail'!L25:L29)+'Property Detail'!L33</f>
        <v>0</v>
      </c>
      <c r="N56" s="387"/>
    </row>
    <row r="57" spans="2:14" ht="15.45" customHeight="1" x14ac:dyDescent="0.3">
      <c r="B57" s="426" t="s">
        <v>1054</v>
      </c>
      <c r="C57" s="427">
        <f t="shared" ref="C57:L57" si="12">C54-C56</f>
        <v>-2612.0674019012877</v>
      </c>
      <c r="D57" s="427">
        <f t="shared" si="12"/>
        <v>17896.638348770233</v>
      </c>
      <c r="E57" s="427">
        <f t="shared" si="12"/>
        <v>894224.10300688108</v>
      </c>
      <c r="F57" s="427">
        <f t="shared" si="12"/>
        <v>0</v>
      </c>
      <c r="G57" s="427">
        <f t="shared" si="12"/>
        <v>0</v>
      </c>
      <c r="H57" s="427">
        <f t="shared" si="12"/>
        <v>0</v>
      </c>
      <c r="I57" s="427">
        <f t="shared" si="12"/>
        <v>0</v>
      </c>
      <c r="J57" s="427">
        <f t="shared" si="12"/>
        <v>0</v>
      </c>
      <c r="K57" s="427">
        <f t="shared" si="12"/>
        <v>0</v>
      </c>
      <c r="L57" s="427">
        <f t="shared" si="12"/>
        <v>0</v>
      </c>
      <c r="N57" s="387"/>
    </row>
    <row r="58" spans="2:14" ht="15.45" customHeight="1" x14ac:dyDescent="0.3">
      <c r="B58" s="428" t="s">
        <v>1055</v>
      </c>
      <c r="C58" s="429">
        <f t="shared" ref="C58:L58" si="13">IF(C47+C48=0,0,C57/(C47+C48))</f>
        <v>-8.872067047935904E-2</v>
      </c>
      <c r="D58" s="429">
        <f t="shared" si="13"/>
        <v>0.29429633573563441</v>
      </c>
      <c r="E58" s="429">
        <f t="shared" si="13"/>
        <v>0.39003466745422649</v>
      </c>
      <c r="F58" s="429">
        <f t="shared" si="13"/>
        <v>0</v>
      </c>
      <c r="G58" s="429">
        <f t="shared" si="13"/>
        <v>0</v>
      </c>
      <c r="H58" s="429">
        <f t="shared" si="13"/>
        <v>0</v>
      </c>
      <c r="I58" s="429">
        <f t="shared" si="13"/>
        <v>0</v>
      </c>
      <c r="J58" s="429">
        <f t="shared" si="13"/>
        <v>0</v>
      </c>
      <c r="K58" s="429">
        <f t="shared" si="13"/>
        <v>0</v>
      </c>
      <c r="L58" s="429">
        <f t="shared" si="13"/>
        <v>0</v>
      </c>
      <c r="N58" s="387"/>
    </row>
    <row r="59" spans="2:14" ht="15.6" customHeight="1" x14ac:dyDescent="0.3">
      <c r="B59" s="416"/>
      <c r="C59" s="417"/>
      <c r="D59" s="417"/>
      <c r="E59" s="417"/>
      <c r="F59" s="417"/>
      <c r="G59" s="417"/>
      <c r="H59" s="417"/>
      <c r="I59" s="417"/>
      <c r="J59" s="417"/>
      <c r="K59" s="417"/>
      <c r="L59" s="417"/>
    </row>
    <row r="60" spans="2:14" ht="15.45" customHeight="1" x14ac:dyDescent="0.3">
      <c r="B60" s="422" t="str">
        <f>$B$10</f>
        <v>San Lucas Apto 101</v>
      </c>
      <c r="C60" s="423"/>
      <c r="D60" s="423"/>
      <c r="E60" s="423"/>
      <c r="F60" s="423"/>
      <c r="G60" s="423"/>
      <c r="H60" s="423"/>
      <c r="I60" s="423"/>
      <c r="J60" s="423"/>
      <c r="K60" s="423"/>
      <c r="L60" s="423"/>
    </row>
    <row r="61" spans="2:14" ht="15.45" customHeight="1" x14ac:dyDescent="0.3">
      <c r="B61" s="424" t="s">
        <v>67</v>
      </c>
      <c r="C61" s="417">
        <f t="shared" ref="C61:L61" si="14">C10</f>
        <v>20069.625</v>
      </c>
      <c r="D61" s="417">
        <f t="shared" si="14"/>
        <v>56307.060000000019</v>
      </c>
      <c r="E61" s="417">
        <f t="shared" si="14"/>
        <v>14215.505400000002</v>
      </c>
      <c r="F61" s="417">
        <f t="shared" si="14"/>
        <v>0</v>
      </c>
      <c r="G61" s="417">
        <f t="shared" si="14"/>
        <v>0</v>
      </c>
      <c r="H61" s="417">
        <f t="shared" si="14"/>
        <v>0</v>
      </c>
      <c r="I61" s="417">
        <f t="shared" si="14"/>
        <v>0</v>
      </c>
      <c r="J61" s="417">
        <f t="shared" si="14"/>
        <v>0</v>
      </c>
      <c r="K61" s="417">
        <f t="shared" si="14"/>
        <v>0</v>
      </c>
      <c r="L61" s="417">
        <f t="shared" si="14"/>
        <v>0</v>
      </c>
    </row>
    <row r="62" spans="2:14" ht="15.45" customHeight="1" x14ac:dyDescent="0.3">
      <c r="B62" s="424" t="s">
        <v>1039</v>
      </c>
      <c r="C62" s="417">
        <f t="shared" ref="C62:L62" si="15">C21</f>
        <v>0</v>
      </c>
      <c r="D62" s="417">
        <f t="shared" si="15"/>
        <v>0</v>
      </c>
      <c r="E62" s="417">
        <f t="shared" si="15"/>
        <v>1265464.2924150538</v>
      </c>
      <c r="F62" s="417">
        <f t="shared" si="15"/>
        <v>0</v>
      </c>
      <c r="G62" s="417">
        <f t="shared" si="15"/>
        <v>0</v>
      </c>
      <c r="H62" s="417">
        <f t="shared" si="15"/>
        <v>0</v>
      </c>
      <c r="I62" s="417">
        <f t="shared" si="15"/>
        <v>0</v>
      </c>
      <c r="J62" s="417">
        <f t="shared" si="15"/>
        <v>0</v>
      </c>
      <c r="K62" s="417">
        <f t="shared" si="15"/>
        <v>0</v>
      </c>
      <c r="L62" s="417">
        <f t="shared" si="15"/>
        <v>0</v>
      </c>
    </row>
    <row r="63" spans="2:14" ht="15.45" customHeight="1" x14ac:dyDescent="0.3">
      <c r="B63" s="424" t="s">
        <v>1604</v>
      </c>
      <c r="C63" s="417">
        <f>'Property Detail'!C46</f>
        <v>0</v>
      </c>
      <c r="D63" s="417">
        <f>'Property Detail'!D46</f>
        <v>0</v>
      </c>
      <c r="E63" s="417">
        <f>'Property Detail'!E46</f>
        <v>0</v>
      </c>
      <c r="F63" s="417">
        <f>'Property Detail'!F46</f>
        <v>0</v>
      </c>
      <c r="G63" s="417">
        <f>'Property Detail'!G46</f>
        <v>0</v>
      </c>
      <c r="H63" s="417">
        <f>'Property Detail'!H46</f>
        <v>0</v>
      </c>
      <c r="I63" s="417">
        <f>'Property Detail'!I46</f>
        <v>0</v>
      </c>
      <c r="J63" s="417">
        <f>'Property Detail'!J46</f>
        <v>0</v>
      </c>
      <c r="K63" s="417">
        <f>'Property Detail'!K46</f>
        <v>0</v>
      </c>
      <c r="L63" s="417">
        <f>'Property Detail'!L46</f>
        <v>0</v>
      </c>
    </row>
    <row r="64" spans="2:14" ht="15.45" customHeight="1" x14ac:dyDescent="0.3">
      <c r="B64" s="424" t="s">
        <v>1605</v>
      </c>
      <c r="C64" s="417">
        <f>'Property Detail'!C48</f>
        <v>4013.9250000000002</v>
      </c>
      <c r="D64" s="417">
        <f>'Property Detail'!D48</f>
        <v>11261.412000000004</v>
      </c>
      <c r="E64" s="417">
        <f>'Property Detail'!E48</f>
        <v>2843.1010800000004</v>
      </c>
      <c r="F64" s="417">
        <f>'Property Detail'!F48</f>
        <v>0</v>
      </c>
      <c r="G64" s="417">
        <f>'Property Detail'!G48</f>
        <v>0</v>
      </c>
      <c r="H64" s="417">
        <f>'Property Detail'!H48</f>
        <v>0</v>
      </c>
      <c r="I64" s="417">
        <f>'Property Detail'!I48</f>
        <v>0</v>
      </c>
      <c r="J64" s="417">
        <f>'Property Detail'!J48</f>
        <v>0</v>
      </c>
      <c r="K64" s="417">
        <f>'Property Detail'!K48</f>
        <v>0</v>
      </c>
      <c r="L64" s="417">
        <f>'Property Detail'!L48</f>
        <v>0</v>
      </c>
    </row>
    <row r="65" spans="2:14" ht="15.6" x14ac:dyDescent="0.3">
      <c r="B65" s="424" t="s">
        <v>1606</v>
      </c>
      <c r="C65" s="417">
        <f>'Property Detail'!C47</f>
        <v>250.87031250000001</v>
      </c>
      <c r="D65" s="417">
        <f>'Property Detail'!D47</f>
        <v>703.83825000000024</v>
      </c>
      <c r="E65" s="417">
        <f>'Property Detail'!E47</f>
        <v>177.69381750000002</v>
      </c>
      <c r="F65" s="417">
        <f>'Property Detail'!F47</f>
        <v>0</v>
      </c>
      <c r="G65" s="417">
        <f>'Property Detail'!G47</f>
        <v>0</v>
      </c>
      <c r="H65" s="417">
        <f>'Property Detail'!H47</f>
        <v>0</v>
      </c>
      <c r="I65" s="417">
        <f>'Property Detail'!I47</f>
        <v>0</v>
      </c>
      <c r="J65" s="417">
        <f>'Property Detail'!J47</f>
        <v>0</v>
      </c>
      <c r="K65" s="417">
        <f>'Property Detail'!K47</f>
        <v>0</v>
      </c>
      <c r="L65" s="417">
        <f>'Property Detail'!L47</f>
        <v>0</v>
      </c>
    </row>
    <row r="66" spans="2:14" ht="15.45" customHeight="1" x14ac:dyDescent="0.3">
      <c r="B66" s="424" t="s">
        <v>1040</v>
      </c>
      <c r="C66" s="417">
        <f>SUMIF('_Month Engine'!$C$5:$DR$5,C$4,'_Month Engine'!$C$75:$DR$75)</f>
        <v>0</v>
      </c>
      <c r="D66" s="417">
        <f>SUMIF('_Month Engine'!$C$5:$DR$5,D$4,'_Month Engine'!$C$75:$DR$75)</f>
        <v>0</v>
      </c>
      <c r="E66" s="417">
        <f>SUMIF('_Month Engine'!$C$5:$DR$5,E$4,'_Month Engine'!$C$75:$DR$75)</f>
        <v>747370.55016181234</v>
      </c>
      <c r="F66" s="417">
        <f>SUMIF('_Month Engine'!$C$5:$DR$5,F$4,'_Month Engine'!$C$75:$DR$75)</f>
        <v>0</v>
      </c>
      <c r="G66" s="417">
        <f>SUMIF('_Month Engine'!$C$5:$DR$5,G$4,'_Month Engine'!$C$75:$DR$75)</f>
        <v>0</v>
      </c>
      <c r="H66" s="417">
        <f>SUMIF('_Month Engine'!$C$5:$DR$5,H$4,'_Month Engine'!$C$75:$DR$75)</f>
        <v>0</v>
      </c>
      <c r="I66" s="417">
        <f>SUMIF('_Month Engine'!$C$5:$DR$5,I$4,'_Month Engine'!$C$75:$DR$75)</f>
        <v>0</v>
      </c>
      <c r="J66" s="417">
        <f>SUMIF('_Month Engine'!$C$5:$DR$5,J$4,'_Month Engine'!$C$75:$DR$75)</f>
        <v>0</v>
      </c>
      <c r="K66" s="417">
        <f>SUMIF('_Month Engine'!$C$5:$DR$5,K$4,'_Month Engine'!$C$75:$DR$75)</f>
        <v>0</v>
      </c>
      <c r="L66" s="417">
        <f>SUMIF('_Month Engine'!$C$5:$DR$5,L$4,'_Month Engine'!$C$75:$DR$75)</f>
        <v>0</v>
      </c>
    </row>
    <row r="67" spans="2:14" ht="15.45" customHeight="1" x14ac:dyDescent="0.3">
      <c r="B67" s="424" t="s">
        <v>1607</v>
      </c>
      <c r="C67" s="417">
        <f>C62*Input!$C$15</f>
        <v>0</v>
      </c>
      <c r="D67" s="417">
        <f>D62*Input!$C$15</f>
        <v>0</v>
      </c>
      <c r="E67" s="417">
        <f>E62*Input!$C$15</f>
        <v>48087.643111772042</v>
      </c>
      <c r="F67" s="417">
        <f>F62*Input!$C$15</f>
        <v>0</v>
      </c>
      <c r="G67" s="417">
        <f>G62*Input!$C$15</f>
        <v>0</v>
      </c>
      <c r="H67" s="417">
        <f>H62*Input!$C$15</f>
        <v>0</v>
      </c>
      <c r="I67" s="417">
        <f>I62*Input!$C$15</f>
        <v>0</v>
      </c>
      <c r="J67" s="417">
        <f>J62*Input!$C$15</f>
        <v>0</v>
      </c>
      <c r="K67" s="417">
        <f>K62*Input!$C$15</f>
        <v>0</v>
      </c>
      <c r="L67" s="417">
        <f>L62*Input!$C$15</f>
        <v>0</v>
      </c>
    </row>
    <row r="68" spans="2:14" ht="15.45" customHeight="1" x14ac:dyDescent="0.3">
      <c r="B68" s="426" t="s">
        <v>1041</v>
      </c>
      <c r="C68" s="427">
        <f t="shared" ref="C68:L68" si="16">C61+C62-SUM(C63:C67)</f>
        <v>15804.8296875</v>
      </c>
      <c r="D68" s="427">
        <f t="shared" si="16"/>
        <v>44341.809750000015</v>
      </c>
      <c r="E68" s="427">
        <f t="shared" si="16"/>
        <v>481200.80964396941</v>
      </c>
      <c r="F68" s="427">
        <f t="shared" si="16"/>
        <v>0</v>
      </c>
      <c r="G68" s="427">
        <f t="shared" si="16"/>
        <v>0</v>
      </c>
      <c r="H68" s="427">
        <f t="shared" si="16"/>
        <v>0</v>
      </c>
      <c r="I68" s="427">
        <f t="shared" si="16"/>
        <v>0</v>
      </c>
      <c r="J68" s="427">
        <f t="shared" si="16"/>
        <v>0</v>
      </c>
      <c r="K68" s="427">
        <f t="shared" si="16"/>
        <v>0</v>
      </c>
      <c r="L68" s="427">
        <f t="shared" si="16"/>
        <v>0</v>
      </c>
    </row>
    <row r="69" spans="2:14" ht="15.45" customHeight="1" outlineLevel="1" x14ac:dyDescent="0.3">
      <c r="B69" s="428" t="s">
        <v>1042</v>
      </c>
      <c r="C69" s="429">
        <f t="shared" ref="C69:L69" si="17">IF(C61+C62=0,0,C68/(C61+C62))</f>
        <v>0.78749999999999998</v>
      </c>
      <c r="D69" s="429">
        <f t="shared" si="17"/>
        <v>0.78749999999999998</v>
      </c>
      <c r="E69" s="429">
        <f t="shared" si="17"/>
        <v>0.37603219998126058</v>
      </c>
      <c r="F69" s="429">
        <f t="shared" si="17"/>
        <v>0</v>
      </c>
      <c r="G69" s="429">
        <f t="shared" si="17"/>
        <v>0</v>
      </c>
      <c r="H69" s="429">
        <f t="shared" si="17"/>
        <v>0</v>
      </c>
      <c r="I69" s="429">
        <f t="shared" si="17"/>
        <v>0</v>
      </c>
      <c r="J69" s="429">
        <f t="shared" si="17"/>
        <v>0</v>
      </c>
      <c r="K69" s="429">
        <f t="shared" si="17"/>
        <v>0</v>
      </c>
      <c r="L69" s="429">
        <f t="shared" si="17"/>
        <v>0</v>
      </c>
    </row>
    <row r="70" spans="2:14" ht="15.45" customHeight="1" x14ac:dyDescent="0.3">
      <c r="B70" s="424" t="s">
        <v>1057</v>
      </c>
      <c r="C70" s="417">
        <f>SUM('Property Detail'!C41:C45)+'Property Detail'!C49</f>
        <v>13472.053667745418</v>
      </c>
      <c r="D70" s="417">
        <f>SUM('Property Detail'!D41:D45)+'Property Detail'!D49</f>
        <v>19081.209546925566</v>
      </c>
      <c r="E70" s="417">
        <f>SUM('Property Detail'!E41:E45)+'Property Detail'!E49</f>
        <v>4770.3023867313914</v>
      </c>
      <c r="F70" s="417">
        <f>SUM('Property Detail'!F41:F45)+'Property Detail'!F49</f>
        <v>0</v>
      </c>
      <c r="G70" s="417">
        <f>SUM('Property Detail'!G41:G45)+'Property Detail'!G49</f>
        <v>0</v>
      </c>
      <c r="H70" s="417">
        <f>SUM('Property Detail'!H41:H45)+'Property Detail'!H49</f>
        <v>0</v>
      </c>
      <c r="I70" s="417">
        <f>SUM('Property Detail'!I41:I45)+'Property Detail'!I49</f>
        <v>0</v>
      </c>
      <c r="J70" s="417">
        <f>SUM('Property Detail'!J41:J45)+'Property Detail'!J49</f>
        <v>0</v>
      </c>
      <c r="K70" s="417">
        <f>SUM('Property Detail'!K41:K45)+'Property Detail'!K49</f>
        <v>0</v>
      </c>
      <c r="L70" s="417">
        <f>SUM('Property Detail'!L41:L45)+'Property Detail'!L49</f>
        <v>0</v>
      </c>
    </row>
    <row r="71" spans="2:14" ht="15.45" customHeight="1" x14ac:dyDescent="0.3">
      <c r="B71" s="426" t="s">
        <v>1054</v>
      </c>
      <c r="C71" s="427">
        <f t="shared" ref="C71:L71" si="18">C68-C70</f>
        <v>2332.7760197545813</v>
      </c>
      <c r="D71" s="427">
        <f t="shared" si="18"/>
        <v>25260.600203074449</v>
      </c>
      <c r="E71" s="427">
        <f t="shared" si="18"/>
        <v>476430.50725723803</v>
      </c>
      <c r="F71" s="427">
        <f t="shared" si="18"/>
        <v>0</v>
      </c>
      <c r="G71" s="427">
        <f t="shared" si="18"/>
        <v>0</v>
      </c>
      <c r="H71" s="427">
        <f t="shared" si="18"/>
        <v>0</v>
      </c>
      <c r="I71" s="427">
        <f t="shared" si="18"/>
        <v>0</v>
      </c>
      <c r="J71" s="427">
        <f t="shared" si="18"/>
        <v>0</v>
      </c>
      <c r="K71" s="427">
        <f t="shared" si="18"/>
        <v>0</v>
      </c>
      <c r="L71" s="427">
        <f t="shared" si="18"/>
        <v>0</v>
      </c>
    </row>
    <row r="72" spans="2:14" ht="15.45" customHeight="1" x14ac:dyDescent="0.3">
      <c r="B72" s="428" t="s">
        <v>1055</v>
      </c>
      <c r="C72" s="429">
        <f t="shared" ref="C72:L72" si="19">IF(C61+C62=0,0,C71/(C61+C62))</f>
        <v>0.11623416081539048</v>
      </c>
      <c r="D72" s="429">
        <f t="shared" si="19"/>
        <v>0.44862225452855187</v>
      </c>
      <c r="E72" s="429">
        <f t="shared" si="19"/>
        <v>0.37230446871999018</v>
      </c>
      <c r="F72" s="429">
        <f t="shared" si="19"/>
        <v>0</v>
      </c>
      <c r="G72" s="429">
        <f t="shared" si="19"/>
        <v>0</v>
      </c>
      <c r="H72" s="429">
        <f t="shared" si="19"/>
        <v>0</v>
      </c>
      <c r="I72" s="429">
        <f t="shared" si="19"/>
        <v>0</v>
      </c>
      <c r="J72" s="429">
        <f t="shared" si="19"/>
        <v>0</v>
      </c>
      <c r="K72" s="429">
        <f t="shared" si="19"/>
        <v>0</v>
      </c>
      <c r="L72" s="429">
        <f t="shared" si="19"/>
        <v>0</v>
      </c>
    </row>
    <row r="73" spans="2:14" ht="15.6" customHeight="1" outlineLevel="1" x14ac:dyDescent="0.3">
      <c r="B73" s="416"/>
      <c r="C73" s="417"/>
      <c r="D73" s="417"/>
      <c r="E73" s="417"/>
      <c r="F73" s="417"/>
      <c r="G73" s="417"/>
      <c r="H73" s="417"/>
      <c r="I73" s="417"/>
      <c r="J73" s="417"/>
      <c r="K73" s="417"/>
      <c r="L73" s="417"/>
    </row>
    <row r="74" spans="2:14" ht="15.45" customHeight="1" outlineLevel="1" x14ac:dyDescent="0.3">
      <c r="B74" s="422" t="str">
        <f>$B$11</f>
        <v>Casa Montana Lote 2 (Samuel Gaviria House)</v>
      </c>
      <c r="C74" s="423"/>
      <c r="D74" s="423"/>
      <c r="E74" s="423"/>
      <c r="F74" s="423"/>
      <c r="G74" s="423"/>
      <c r="H74" s="423"/>
      <c r="I74" s="423"/>
      <c r="J74" s="423"/>
      <c r="K74" s="423"/>
      <c r="L74" s="423"/>
    </row>
    <row r="75" spans="2:14" ht="15.45" customHeight="1" outlineLevel="1" x14ac:dyDescent="0.3">
      <c r="B75" s="424" t="s">
        <v>67</v>
      </c>
      <c r="C75" s="417">
        <f t="shared" ref="C75:L75" si="20">C11</f>
        <v>0</v>
      </c>
      <c r="D75" s="417">
        <f t="shared" si="20"/>
        <v>69124.140154285706</v>
      </c>
      <c r="E75" s="417">
        <f t="shared" si="20"/>
        <v>75836.009533371442</v>
      </c>
      <c r="F75" s="417">
        <f t="shared" si="20"/>
        <v>40478.988711641141</v>
      </c>
      <c r="G75" s="417">
        <f t="shared" si="20"/>
        <v>0</v>
      </c>
      <c r="H75" s="417">
        <f t="shared" si="20"/>
        <v>0</v>
      </c>
      <c r="I75" s="417">
        <f t="shared" si="20"/>
        <v>0</v>
      </c>
      <c r="J75" s="417">
        <f t="shared" si="20"/>
        <v>0</v>
      </c>
      <c r="K75" s="417">
        <f t="shared" si="20"/>
        <v>0</v>
      </c>
      <c r="L75" s="417">
        <f t="shared" si="20"/>
        <v>0</v>
      </c>
    </row>
    <row r="76" spans="2:14" ht="15.45" customHeight="1" outlineLevel="1" x14ac:dyDescent="0.3">
      <c r="B76" s="424" t="s">
        <v>1039</v>
      </c>
      <c r="C76" s="417">
        <f t="shared" ref="C76:L76" si="21">C22</f>
        <v>0</v>
      </c>
      <c r="D76" s="417">
        <f t="shared" si="21"/>
        <v>0</v>
      </c>
      <c r="E76" s="417">
        <f t="shared" si="21"/>
        <v>0</v>
      </c>
      <c r="F76" s="417">
        <f t="shared" si="21"/>
        <v>2995795.1883356264</v>
      </c>
      <c r="G76" s="417">
        <f t="shared" si="21"/>
        <v>0</v>
      </c>
      <c r="H76" s="417">
        <f t="shared" si="21"/>
        <v>0</v>
      </c>
      <c r="I76" s="417">
        <f t="shared" si="21"/>
        <v>0</v>
      </c>
      <c r="J76" s="417">
        <f t="shared" si="21"/>
        <v>0</v>
      </c>
      <c r="K76" s="417">
        <f t="shared" si="21"/>
        <v>0</v>
      </c>
      <c r="L76" s="417">
        <f t="shared" si="21"/>
        <v>0</v>
      </c>
    </row>
    <row r="77" spans="2:14" ht="15.45" customHeight="1" x14ac:dyDescent="0.3">
      <c r="B77" s="424" t="s">
        <v>1604</v>
      </c>
      <c r="C77" s="417">
        <f>'Property Detail'!C62</f>
        <v>0</v>
      </c>
      <c r="D77" s="417">
        <f>'Property Detail'!D62</f>
        <v>0</v>
      </c>
      <c r="E77" s="417">
        <f>'Property Detail'!E62</f>
        <v>0</v>
      </c>
      <c r="F77" s="417">
        <f>'Property Detail'!F62</f>
        <v>0</v>
      </c>
      <c r="G77" s="417">
        <f>'Property Detail'!G62</f>
        <v>0</v>
      </c>
      <c r="H77" s="417">
        <f>'Property Detail'!H62</f>
        <v>0</v>
      </c>
      <c r="I77" s="417">
        <f>'Property Detail'!I62</f>
        <v>0</v>
      </c>
      <c r="J77" s="417">
        <f>'Property Detail'!J62</f>
        <v>0</v>
      </c>
      <c r="K77" s="417">
        <f>'Property Detail'!K62</f>
        <v>0</v>
      </c>
      <c r="L77" s="417">
        <f>'Property Detail'!L62</f>
        <v>0</v>
      </c>
    </row>
    <row r="78" spans="2:14" ht="15.45" customHeight="1" x14ac:dyDescent="0.3">
      <c r="B78" s="424" t="s">
        <v>1605</v>
      </c>
      <c r="C78" s="417">
        <f>'Property Detail'!C64</f>
        <v>0</v>
      </c>
      <c r="D78" s="417">
        <f>'Property Detail'!D64</f>
        <v>13824.828030857141</v>
      </c>
      <c r="E78" s="417">
        <f>'Property Detail'!E64</f>
        <v>15167.201906674289</v>
      </c>
      <c r="F78" s="417">
        <f>'Property Detail'!F64</f>
        <v>8095.7977423282282</v>
      </c>
      <c r="G78" s="417">
        <f>'Property Detail'!G64</f>
        <v>0</v>
      </c>
      <c r="H78" s="417">
        <f>'Property Detail'!H64</f>
        <v>0</v>
      </c>
      <c r="I78" s="417">
        <f>'Property Detail'!I64</f>
        <v>0</v>
      </c>
      <c r="J78" s="417">
        <f>'Property Detail'!J64</f>
        <v>0</v>
      </c>
      <c r="K78" s="417">
        <f>'Property Detail'!K64</f>
        <v>0</v>
      </c>
      <c r="L78" s="417">
        <f>'Property Detail'!L64</f>
        <v>0</v>
      </c>
      <c r="N78" s="195"/>
    </row>
    <row r="79" spans="2:14" ht="15.6" x14ac:dyDescent="0.3">
      <c r="B79" s="424" t="s">
        <v>1606</v>
      </c>
      <c r="C79" s="417">
        <f>'Property Detail'!C63</f>
        <v>0</v>
      </c>
      <c r="D79" s="417">
        <f>'Property Detail'!D63</f>
        <v>864.05175192857132</v>
      </c>
      <c r="E79" s="417">
        <f>'Property Detail'!E63</f>
        <v>947.95011916714304</v>
      </c>
      <c r="F79" s="417">
        <f>'Property Detail'!F63</f>
        <v>505.98735889551426</v>
      </c>
      <c r="G79" s="417">
        <f>'Property Detail'!G63</f>
        <v>0</v>
      </c>
      <c r="H79" s="417">
        <f>'Property Detail'!H63</f>
        <v>0</v>
      </c>
      <c r="I79" s="417">
        <f>'Property Detail'!I63</f>
        <v>0</v>
      </c>
      <c r="J79" s="417">
        <f>'Property Detail'!J63</f>
        <v>0</v>
      </c>
      <c r="K79" s="417">
        <f>'Property Detail'!K63</f>
        <v>0</v>
      </c>
      <c r="L79" s="417">
        <f>'Property Detail'!L63</f>
        <v>0</v>
      </c>
      <c r="N79" s="195"/>
    </row>
    <row r="80" spans="2:14" ht="15.45" customHeight="1" x14ac:dyDescent="0.3">
      <c r="B80" s="424" t="s">
        <v>1040</v>
      </c>
      <c r="C80" s="417">
        <f>SUMIF('_Month Engine'!$C$5:$DR$5,C$4,'_Month Engine'!$C$76:$DR$76)</f>
        <v>0</v>
      </c>
      <c r="D80" s="417">
        <f>SUMIF('_Month Engine'!$C$5:$DR$5,D$4,'_Month Engine'!$C$76:$DR$76)</f>
        <v>0</v>
      </c>
      <c r="E80" s="417">
        <f>SUMIF('_Month Engine'!$C$5:$DR$5,E$4,'_Month Engine'!$C$76:$DR$76)</f>
        <v>0</v>
      </c>
      <c r="F80" s="417">
        <f>SUMIF('_Month Engine'!$C$5:$DR$5,F$4,'_Month Engine'!$C$76:$DR$76)</f>
        <v>1714482.2006472494</v>
      </c>
      <c r="G80" s="417">
        <f>SUMIF('_Month Engine'!$C$5:$DR$5,G$4,'_Month Engine'!$C$76:$DR$76)</f>
        <v>0</v>
      </c>
      <c r="H80" s="417">
        <f>SUMIF('_Month Engine'!$C$5:$DR$5,H$4,'_Month Engine'!$C$76:$DR$76)</f>
        <v>0</v>
      </c>
      <c r="I80" s="417">
        <f>SUMIF('_Month Engine'!$C$5:$DR$5,I$4,'_Month Engine'!$C$76:$DR$76)</f>
        <v>0</v>
      </c>
      <c r="J80" s="417">
        <f>SUMIF('_Month Engine'!$C$5:$DR$5,J$4,'_Month Engine'!$C$76:$DR$76)</f>
        <v>0</v>
      </c>
      <c r="K80" s="417">
        <f>SUMIF('_Month Engine'!$C$5:$DR$5,K$4,'_Month Engine'!$C$76:$DR$76)</f>
        <v>0</v>
      </c>
      <c r="L80" s="417">
        <f>SUMIF('_Month Engine'!$C$5:$DR$5,L$4,'_Month Engine'!$C$76:$DR$76)</f>
        <v>0</v>
      </c>
    </row>
    <row r="81" spans="2:14" ht="15.45" customHeight="1" x14ac:dyDescent="0.3">
      <c r="B81" s="424" t="s">
        <v>1607</v>
      </c>
      <c r="C81" s="417">
        <f>C76*Input!$C$15</f>
        <v>0</v>
      </c>
      <c r="D81" s="417">
        <f>D76*Input!$C$15</f>
        <v>0</v>
      </c>
      <c r="E81" s="417">
        <f>E76*Input!$C$15</f>
        <v>0</v>
      </c>
      <c r="F81" s="417">
        <f>F76*Input!$C$15</f>
        <v>113840.2171567538</v>
      </c>
      <c r="G81" s="417">
        <f>G76*Input!$C$15</f>
        <v>0</v>
      </c>
      <c r="H81" s="417">
        <f>H76*Input!$C$15</f>
        <v>0</v>
      </c>
      <c r="I81" s="417">
        <f>I76*Input!$C$15</f>
        <v>0</v>
      </c>
      <c r="J81" s="417">
        <f>J76*Input!$C$15</f>
        <v>0</v>
      </c>
      <c r="K81" s="417">
        <f>K76*Input!$C$15</f>
        <v>0</v>
      </c>
      <c r="L81" s="417">
        <f>L76*Input!$C$15</f>
        <v>0</v>
      </c>
    </row>
    <row r="82" spans="2:14" ht="15.45" customHeight="1" x14ac:dyDescent="0.3">
      <c r="B82" s="426" t="s">
        <v>1041</v>
      </c>
      <c r="C82" s="427">
        <f t="shared" ref="C82:L82" si="22">C75+C76-SUM(C77:C81)</f>
        <v>0</v>
      </c>
      <c r="D82" s="427">
        <f t="shared" si="22"/>
        <v>54435.260371499993</v>
      </c>
      <c r="E82" s="427">
        <f t="shared" si="22"/>
        <v>59720.85750753001</v>
      </c>
      <c r="F82" s="427">
        <f t="shared" si="22"/>
        <v>1199349.9741420406</v>
      </c>
      <c r="G82" s="427">
        <f t="shared" si="22"/>
        <v>0</v>
      </c>
      <c r="H82" s="427">
        <f t="shared" si="22"/>
        <v>0</v>
      </c>
      <c r="I82" s="427">
        <f t="shared" si="22"/>
        <v>0</v>
      </c>
      <c r="J82" s="427">
        <f t="shared" si="22"/>
        <v>0</v>
      </c>
      <c r="K82" s="427">
        <f t="shared" si="22"/>
        <v>0</v>
      </c>
      <c r="L82" s="427">
        <f t="shared" si="22"/>
        <v>0</v>
      </c>
    </row>
    <row r="83" spans="2:14" ht="15.45" customHeight="1" x14ac:dyDescent="0.3">
      <c r="B83" s="428" t="s">
        <v>1042</v>
      </c>
      <c r="C83" s="429">
        <f t="shared" ref="C83:L83" si="23">IF(C75+C76=0,0,C82/(C75+C76))</f>
        <v>0</v>
      </c>
      <c r="D83" s="429">
        <f t="shared" si="23"/>
        <v>0.78749999999999998</v>
      </c>
      <c r="E83" s="429">
        <f t="shared" si="23"/>
        <v>0.78749999999999998</v>
      </c>
      <c r="F83" s="429">
        <f t="shared" si="23"/>
        <v>0.39500713842265422</v>
      </c>
      <c r="G83" s="429">
        <f t="shared" si="23"/>
        <v>0</v>
      </c>
      <c r="H83" s="429">
        <f t="shared" si="23"/>
        <v>0</v>
      </c>
      <c r="I83" s="429">
        <f t="shared" si="23"/>
        <v>0</v>
      </c>
      <c r="J83" s="429">
        <f t="shared" si="23"/>
        <v>0</v>
      </c>
      <c r="K83" s="429">
        <f t="shared" si="23"/>
        <v>0</v>
      </c>
      <c r="L83" s="429">
        <f t="shared" si="23"/>
        <v>0</v>
      </c>
    </row>
    <row r="84" spans="2:14" ht="15.45" customHeight="1" x14ac:dyDescent="0.3">
      <c r="B84" s="424" t="s">
        <v>1057</v>
      </c>
      <c r="C84" s="417">
        <f>SUM('Property Detail'!C57:C61)+'Property Detail'!C65</f>
        <v>9071.1974110032352</v>
      </c>
      <c r="D84" s="417">
        <f>SUM('Property Detail'!D57:D61)+'Property Detail'!D65</f>
        <v>31986.330231930966</v>
      </c>
      <c r="E84" s="417">
        <f>SUM('Property Detail'!E57:E61)+'Property Detail'!E65</f>
        <v>32915.008090614894</v>
      </c>
      <c r="F84" s="417">
        <f>SUM('Property Detail'!F57:F61)+'Property Detail'!F65</f>
        <v>16457.504045307447</v>
      </c>
      <c r="G84" s="417">
        <f>SUM('Property Detail'!G57:G61)+'Property Detail'!G65</f>
        <v>0</v>
      </c>
      <c r="H84" s="417">
        <f>SUM('Property Detail'!H57:H61)+'Property Detail'!H65</f>
        <v>0</v>
      </c>
      <c r="I84" s="417">
        <f>SUM('Property Detail'!I57:I61)+'Property Detail'!I65</f>
        <v>0</v>
      </c>
      <c r="J84" s="417">
        <f>SUM('Property Detail'!J57:J61)+'Property Detail'!J65</f>
        <v>0</v>
      </c>
      <c r="K84" s="417">
        <f>SUM('Property Detail'!K57:K61)+'Property Detail'!K65</f>
        <v>0</v>
      </c>
      <c r="L84" s="417">
        <f>SUM('Property Detail'!L57:L61)+'Property Detail'!L65</f>
        <v>0</v>
      </c>
      <c r="N84" s="195"/>
    </row>
    <row r="85" spans="2:14" ht="15.45" customHeight="1" x14ac:dyDescent="0.3">
      <c r="B85" s="426" t="s">
        <v>1054</v>
      </c>
      <c r="C85" s="427">
        <f t="shared" ref="C85:L85" si="24">C82-C84</f>
        <v>-9071.1974110032352</v>
      </c>
      <c r="D85" s="427">
        <f t="shared" si="24"/>
        <v>22448.930139569027</v>
      </c>
      <c r="E85" s="427">
        <f t="shared" si="24"/>
        <v>26805.849416915116</v>
      </c>
      <c r="F85" s="427">
        <f t="shared" si="24"/>
        <v>1182892.4700967332</v>
      </c>
      <c r="G85" s="427">
        <f t="shared" si="24"/>
        <v>0</v>
      </c>
      <c r="H85" s="427">
        <f t="shared" si="24"/>
        <v>0</v>
      </c>
      <c r="I85" s="427">
        <f t="shared" si="24"/>
        <v>0</v>
      </c>
      <c r="J85" s="427">
        <f t="shared" si="24"/>
        <v>0</v>
      </c>
      <c r="K85" s="427">
        <f t="shared" si="24"/>
        <v>0</v>
      </c>
      <c r="L85" s="427">
        <f t="shared" si="24"/>
        <v>0</v>
      </c>
      <c r="N85" s="195"/>
    </row>
    <row r="86" spans="2:14" ht="15.45" customHeight="1" x14ac:dyDescent="0.3">
      <c r="B86" s="428" t="s">
        <v>1055</v>
      </c>
      <c r="C86" s="429">
        <f t="shared" ref="C86:L86" si="25">IF(C75+C76=0,0,C85/(C75+C76))</f>
        <v>0</v>
      </c>
      <c r="D86" s="429">
        <f t="shared" si="25"/>
        <v>0.32476252275200546</v>
      </c>
      <c r="E86" s="429">
        <f t="shared" si="25"/>
        <v>0.35347125437974519</v>
      </c>
      <c r="F86" s="429">
        <f t="shared" si="25"/>
        <v>0.38958684266355648</v>
      </c>
      <c r="G86" s="429">
        <f t="shared" si="25"/>
        <v>0</v>
      </c>
      <c r="H86" s="429">
        <f t="shared" si="25"/>
        <v>0</v>
      </c>
      <c r="I86" s="429">
        <f t="shared" si="25"/>
        <v>0</v>
      </c>
      <c r="J86" s="429">
        <f t="shared" si="25"/>
        <v>0</v>
      </c>
      <c r="K86" s="429">
        <f t="shared" si="25"/>
        <v>0</v>
      </c>
      <c r="L86" s="429">
        <f t="shared" si="25"/>
        <v>0</v>
      </c>
      <c r="N86" s="195"/>
    </row>
    <row r="87" spans="2:14" ht="15.6" customHeight="1" x14ac:dyDescent="0.3">
      <c r="B87" s="416"/>
      <c r="C87" s="417"/>
      <c r="D87" s="417"/>
      <c r="E87" s="417"/>
      <c r="F87" s="417"/>
      <c r="G87" s="417"/>
      <c r="H87" s="417"/>
      <c r="I87" s="417"/>
      <c r="J87" s="417"/>
      <c r="K87" s="417"/>
      <c r="L87" s="417"/>
    </row>
    <row r="88" spans="2:14" ht="15.45" customHeight="1" x14ac:dyDescent="0.3">
      <c r="B88" s="422" t="str">
        <f>$B$12</f>
        <v>Casa Monte Sereno</v>
      </c>
      <c r="C88" s="423"/>
      <c r="D88" s="423"/>
      <c r="E88" s="423"/>
      <c r="F88" s="423"/>
      <c r="G88" s="423"/>
      <c r="H88" s="423"/>
      <c r="I88" s="423"/>
      <c r="J88" s="423"/>
      <c r="K88" s="423"/>
      <c r="L88" s="423"/>
    </row>
    <row r="89" spans="2:14" ht="15.45" customHeight="1" x14ac:dyDescent="0.3">
      <c r="B89" s="424" t="s">
        <v>67</v>
      </c>
      <c r="C89" s="417">
        <f t="shared" ref="C89:L89" si="26">C12</f>
        <v>9197.5500000000011</v>
      </c>
      <c r="D89" s="417">
        <f t="shared" si="26"/>
        <v>61157.389499999997</v>
      </c>
      <c r="E89" s="417">
        <f t="shared" si="26"/>
        <v>62380.53729</v>
      </c>
      <c r="F89" s="417">
        <f t="shared" si="26"/>
        <v>0</v>
      </c>
      <c r="G89" s="417">
        <f t="shared" si="26"/>
        <v>0</v>
      </c>
      <c r="H89" s="417">
        <f t="shared" si="26"/>
        <v>0</v>
      </c>
      <c r="I89" s="417">
        <f t="shared" si="26"/>
        <v>0</v>
      </c>
      <c r="J89" s="417">
        <f t="shared" si="26"/>
        <v>0</v>
      </c>
      <c r="K89" s="417">
        <f t="shared" si="26"/>
        <v>0</v>
      </c>
      <c r="L89" s="417">
        <f t="shared" si="26"/>
        <v>0</v>
      </c>
    </row>
    <row r="90" spans="2:14" ht="15.45" customHeight="1" x14ac:dyDescent="0.3">
      <c r="B90" s="424" t="s">
        <v>1039</v>
      </c>
      <c r="C90" s="417">
        <f t="shared" ref="C90:L90" si="27">C23</f>
        <v>0</v>
      </c>
      <c r="D90" s="417">
        <f t="shared" si="27"/>
        <v>0</v>
      </c>
      <c r="E90" s="417">
        <f t="shared" si="27"/>
        <v>0</v>
      </c>
      <c r="F90" s="417">
        <f t="shared" si="27"/>
        <v>2834606.5805107774</v>
      </c>
      <c r="G90" s="417">
        <f t="shared" si="27"/>
        <v>0</v>
      </c>
      <c r="H90" s="417">
        <f t="shared" si="27"/>
        <v>0</v>
      </c>
      <c r="I90" s="417">
        <f t="shared" si="27"/>
        <v>0</v>
      </c>
      <c r="J90" s="417">
        <f t="shared" si="27"/>
        <v>0</v>
      </c>
      <c r="K90" s="417">
        <f t="shared" si="27"/>
        <v>0</v>
      </c>
      <c r="L90" s="417">
        <f t="shared" si="27"/>
        <v>0</v>
      </c>
    </row>
    <row r="91" spans="2:14" ht="15.45" customHeight="1" x14ac:dyDescent="0.3">
      <c r="B91" s="424" t="s">
        <v>1604</v>
      </c>
      <c r="C91" s="417">
        <f>'Property Detail'!C78</f>
        <v>0</v>
      </c>
      <c r="D91" s="417">
        <f>'Property Detail'!D78</f>
        <v>0</v>
      </c>
      <c r="E91" s="417">
        <f>'Property Detail'!E78</f>
        <v>0</v>
      </c>
      <c r="F91" s="417">
        <f>'Property Detail'!F78</f>
        <v>0</v>
      </c>
      <c r="G91" s="417">
        <f>'Property Detail'!G78</f>
        <v>0</v>
      </c>
      <c r="H91" s="417">
        <f>'Property Detail'!H78</f>
        <v>0</v>
      </c>
      <c r="I91" s="417">
        <f>'Property Detail'!I78</f>
        <v>0</v>
      </c>
      <c r="J91" s="417">
        <f>'Property Detail'!J78</f>
        <v>0</v>
      </c>
      <c r="K91" s="417">
        <f>'Property Detail'!K78</f>
        <v>0</v>
      </c>
      <c r="L91" s="417">
        <f>'Property Detail'!L78</f>
        <v>0</v>
      </c>
    </row>
    <row r="92" spans="2:14" ht="15.45" customHeight="1" x14ac:dyDescent="0.3">
      <c r="B92" s="424" t="s">
        <v>1605</v>
      </c>
      <c r="C92" s="417">
        <f>'Property Detail'!C80</f>
        <v>1839.5100000000002</v>
      </c>
      <c r="D92" s="417">
        <f>'Property Detail'!D80</f>
        <v>12231.4779</v>
      </c>
      <c r="E92" s="417">
        <f>'Property Detail'!E80</f>
        <v>12476.107458</v>
      </c>
      <c r="F92" s="417">
        <f>'Property Detail'!F80</f>
        <v>0</v>
      </c>
      <c r="G92" s="417">
        <f>'Property Detail'!G80</f>
        <v>0</v>
      </c>
      <c r="H92" s="417">
        <f>'Property Detail'!H80</f>
        <v>0</v>
      </c>
      <c r="I92" s="417">
        <f>'Property Detail'!I80</f>
        <v>0</v>
      </c>
      <c r="J92" s="417">
        <f>'Property Detail'!J80</f>
        <v>0</v>
      </c>
      <c r="K92" s="417">
        <f>'Property Detail'!K80</f>
        <v>0</v>
      </c>
      <c r="L92" s="417">
        <f>'Property Detail'!L80</f>
        <v>0</v>
      </c>
    </row>
    <row r="93" spans="2:14" ht="15.6" x14ac:dyDescent="0.3">
      <c r="B93" s="424" t="s">
        <v>1606</v>
      </c>
      <c r="C93" s="417">
        <f>'Property Detail'!C79</f>
        <v>114.96937500000001</v>
      </c>
      <c r="D93" s="417">
        <f>'Property Detail'!D79</f>
        <v>764.46736874999999</v>
      </c>
      <c r="E93" s="417">
        <f>'Property Detail'!E79</f>
        <v>779.75671612500003</v>
      </c>
      <c r="F93" s="417">
        <f>'Property Detail'!F79</f>
        <v>0</v>
      </c>
      <c r="G93" s="417">
        <f>'Property Detail'!G79</f>
        <v>0</v>
      </c>
      <c r="H93" s="417">
        <f>'Property Detail'!H79</f>
        <v>0</v>
      </c>
      <c r="I93" s="417">
        <f>'Property Detail'!I79</f>
        <v>0</v>
      </c>
      <c r="J93" s="417">
        <f>'Property Detail'!J79</f>
        <v>0</v>
      </c>
      <c r="K93" s="417">
        <f>'Property Detail'!K79</f>
        <v>0</v>
      </c>
      <c r="L93" s="417">
        <f>'Property Detail'!L79</f>
        <v>0</v>
      </c>
    </row>
    <row r="94" spans="2:14" ht="15.45" customHeight="1" x14ac:dyDescent="0.3">
      <c r="B94" s="424" t="s">
        <v>1040</v>
      </c>
      <c r="C94" s="417">
        <f>SUMIF('_Month Engine'!$C$5:$DR$5,C$4,'_Month Engine'!$C$77:$DR$77)</f>
        <v>0</v>
      </c>
      <c r="D94" s="417">
        <f>SUMIF('_Month Engine'!$C$5:$DR$5,D$4,'_Month Engine'!$C$77:$DR$77)</f>
        <v>0</v>
      </c>
      <c r="E94" s="417">
        <f>SUMIF('_Month Engine'!$C$5:$DR$5,E$4,'_Month Engine'!$C$77:$DR$77)</f>
        <v>0</v>
      </c>
      <c r="F94" s="417">
        <f>SUMIF('_Month Engine'!$C$5:$DR$5,F$4,'_Month Engine'!$C$77:$DR$77)</f>
        <v>1650485.4368932038</v>
      </c>
      <c r="G94" s="417">
        <f>SUMIF('_Month Engine'!$C$5:$DR$5,G$4,'_Month Engine'!$C$77:$DR$77)</f>
        <v>0</v>
      </c>
      <c r="H94" s="417">
        <f>SUMIF('_Month Engine'!$C$5:$DR$5,H$4,'_Month Engine'!$C$77:$DR$77)</f>
        <v>0</v>
      </c>
      <c r="I94" s="417">
        <f>SUMIF('_Month Engine'!$C$5:$DR$5,I$4,'_Month Engine'!$C$77:$DR$77)</f>
        <v>0</v>
      </c>
      <c r="J94" s="417">
        <f>SUMIF('_Month Engine'!$C$5:$DR$5,J$4,'_Month Engine'!$C$77:$DR$77)</f>
        <v>0</v>
      </c>
      <c r="K94" s="417">
        <f>SUMIF('_Month Engine'!$C$5:$DR$5,K$4,'_Month Engine'!$C$77:$DR$77)</f>
        <v>0</v>
      </c>
      <c r="L94" s="417">
        <f>SUMIF('_Month Engine'!$C$5:$DR$5,L$4,'_Month Engine'!$C$77:$DR$77)</f>
        <v>0</v>
      </c>
    </row>
    <row r="95" spans="2:14" ht="15.45" customHeight="1" x14ac:dyDescent="0.3">
      <c r="B95" s="424" t="s">
        <v>1607</v>
      </c>
      <c r="C95" s="417">
        <f>C90*Input!$C$15</f>
        <v>0</v>
      </c>
      <c r="D95" s="417">
        <f>D90*Input!$C$15</f>
        <v>0</v>
      </c>
      <c r="E95" s="417">
        <f>E90*Input!$C$15</f>
        <v>0</v>
      </c>
      <c r="F95" s="417">
        <f>F90*Input!$C$15</f>
        <v>107715.05005940954</v>
      </c>
      <c r="G95" s="417">
        <f>G90*Input!$C$15</f>
        <v>0</v>
      </c>
      <c r="H95" s="417">
        <f>H90*Input!$C$15</f>
        <v>0</v>
      </c>
      <c r="I95" s="417">
        <f>I90*Input!$C$15</f>
        <v>0</v>
      </c>
      <c r="J95" s="417">
        <f>J90*Input!$C$15</f>
        <v>0</v>
      </c>
      <c r="K95" s="417">
        <f>K90*Input!$C$15</f>
        <v>0</v>
      </c>
      <c r="L95" s="417">
        <f>L90*Input!$C$15</f>
        <v>0</v>
      </c>
    </row>
    <row r="96" spans="2:14" ht="15.45" customHeight="1" x14ac:dyDescent="0.3">
      <c r="B96" s="426" t="s">
        <v>1041</v>
      </c>
      <c r="C96" s="427">
        <f t="shared" ref="C96:L96" si="28">C89+C90-SUM(C91:C95)</f>
        <v>7243.0706250000003</v>
      </c>
      <c r="D96" s="427">
        <f t="shared" si="28"/>
        <v>48161.444231249996</v>
      </c>
      <c r="E96" s="427">
        <f t="shared" si="28"/>
        <v>49124.673115874997</v>
      </c>
      <c r="F96" s="427">
        <f t="shared" si="28"/>
        <v>1076406.0935581641</v>
      </c>
      <c r="G96" s="427">
        <f t="shared" si="28"/>
        <v>0</v>
      </c>
      <c r="H96" s="427">
        <f t="shared" si="28"/>
        <v>0</v>
      </c>
      <c r="I96" s="427">
        <f t="shared" si="28"/>
        <v>0</v>
      </c>
      <c r="J96" s="427">
        <f t="shared" si="28"/>
        <v>0</v>
      </c>
      <c r="K96" s="427">
        <f t="shared" si="28"/>
        <v>0</v>
      </c>
      <c r="L96" s="427">
        <f t="shared" si="28"/>
        <v>0</v>
      </c>
    </row>
    <row r="97" spans="2:12" ht="15.45" customHeight="1" x14ac:dyDescent="0.3">
      <c r="B97" s="428" t="s">
        <v>1042</v>
      </c>
      <c r="C97" s="429">
        <f t="shared" ref="C97:L97" si="29">IF(C89+C90=0,0,C96/(C89+C90))</f>
        <v>0.78749999999999998</v>
      </c>
      <c r="D97" s="429">
        <f t="shared" si="29"/>
        <v>0.78749999999999998</v>
      </c>
      <c r="E97" s="429">
        <f t="shared" si="29"/>
        <v>0.78749999999999998</v>
      </c>
      <c r="F97" s="429">
        <f t="shared" si="29"/>
        <v>0.37973738611874769</v>
      </c>
      <c r="G97" s="429">
        <f t="shared" si="29"/>
        <v>0</v>
      </c>
      <c r="H97" s="429">
        <f t="shared" si="29"/>
        <v>0</v>
      </c>
      <c r="I97" s="429">
        <f t="shared" si="29"/>
        <v>0</v>
      </c>
      <c r="J97" s="429">
        <f t="shared" si="29"/>
        <v>0</v>
      </c>
      <c r="K97" s="429">
        <f t="shared" si="29"/>
        <v>0</v>
      </c>
      <c r="L97" s="429">
        <f t="shared" si="29"/>
        <v>0</v>
      </c>
    </row>
    <row r="98" spans="2:12" ht="15.45" customHeight="1" x14ac:dyDescent="0.3">
      <c r="B98" s="424" t="s">
        <v>1057</v>
      </c>
      <c r="C98" s="417">
        <f>SUM('Property Detail'!C73:C77)+'Property Detail'!C81</f>
        <v>17580.906148867314</v>
      </c>
      <c r="D98" s="417">
        <f>SUM('Property Detail'!D73:D77)+'Property Detail'!D81</f>
        <v>34417.475728155339</v>
      </c>
      <c r="E98" s="417">
        <f>SUM('Property Detail'!E73:E77)+'Property Detail'!E81</f>
        <v>34417.475728155339</v>
      </c>
      <c r="F98" s="417">
        <f>SUM('Property Detail'!F73:F77)+'Property Detail'!F81</f>
        <v>0</v>
      </c>
      <c r="G98" s="417">
        <f>SUM('Property Detail'!G73:G77)+'Property Detail'!G81</f>
        <v>0</v>
      </c>
      <c r="H98" s="417">
        <f>SUM('Property Detail'!H73:H77)+'Property Detail'!H81</f>
        <v>0</v>
      </c>
      <c r="I98" s="417">
        <f>SUM('Property Detail'!I73:I77)+'Property Detail'!I81</f>
        <v>0</v>
      </c>
      <c r="J98" s="417">
        <f>SUM('Property Detail'!J73:J77)+'Property Detail'!J81</f>
        <v>0</v>
      </c>
      <c r="K98" s="417">
        <f>SUM('Property Detail'!K73:K77)+'Property Detail'!K81</f>
        <v>0</v>
      </c>
      <c r="L98" s="417">
        <f>SUM('Property Detail'!L73:L77)+'Property Detail'!L81</f>
        <v>0</v>
      </c>
    </row>
    <row r="99" spans="2:12" ht="15.45" customHeight="1" x14ac:dyDescent="0.3">
      <c r="B99" s="426" t="s">
        <v>1054</v>
      </c>
      <c r="C99" s="427">
        <f t="shared" ref="C99:L99" si="30">C96-C98</f>
        <v>-10337.835523867314</v>
      </c>
      <c r="D99" s="427">
        <f t="shared" si="30"/>
        <v>13743.968503094657</v>
      </c>
      <c r="E99" s="427">
        <f t="shared" si="30"/>
        <v>14707.197387719658</v>
      </c>
      <c r="F99" s="427">
        <f t="shared" si="30"/>
        <v>1076406.0935581641</v>
      </c>
      <c r="G99" s="427">
        <f t="shared" si="30"/>
        <v>0</v>
      </c>
      <c r="H99" s="427">
        <f t="shared" si="30"/>
        <v>0</v>
      </c>
      <c r="I99" s="427">
        <f t="shared" si="30"/>
        <v>0</v>
      </c>
      <c r="J99" s="427">
        <f t="shared" si="30"/>
        <v>0</v>
      </c>
      <c r="K99" s="427">
        <f t="shared" si="30"/>
        <v>0</v>
      </c>
      <c r="L99" s="427">
        <f t="shared" si="30"/>
        <v>0</v>
      </c>
    </row>
    <row r="100" spans="2:12" ht="15.45" customHeight="1" x14ac:dyDescent="0.3">
      <c r="B100" s="428" t="s">
        <v>1055</v>
      </c>
      <c r="C100" s="429">
        <f t="shared" ref="C100:L100" si="31">IF(C89+C90=0,0,C99/(C89+C90))</f>
        <v>-1.1239770943204781</v>
      </c>
      <c r="D100" s="429">
        <f t="shared" si="31"/>
        <v>0.22473111778413396</v>
      </c>
      <c r="E100" s="429">
        <f t="shared" si="31"/>
        <v>0.23576580174915093</v>
      </c>
      <c r="F100" s="429">
        <f t="shared" si="31"/>
        <v>0.37973738611874769</v>
      </c>
      <c r="G100" s="429">
        <f t="shared" si="31"/>
        <v>0</v>
      </c>
      <c r="H100" s="429">
        <f t="shared" si="31"/>
        <v>0</v>
      </c>
      <c r="I100" s="429">
        <f t="shared" si="31"/>
        <v>0</v>
      </c>
      <c r="J100" s="429">
        <f t="shared" si="31"/>
        <v>0</v>
      </c>
      <c r="K100" s="429">
        <f t="shared" si="31"/>
        <v>0</v>
      </c>
      <c r="L100" s="429">
        <f t="shared" si="31"/>
        <v>0</v>
      </c>
    </row>
    <row r="101" spans="2:12" ht="15.6" customHeight="1" x14ac:dyDescent="0.3">
      <c r="B101" s="416"/>
      <c r="C101" s="417"/>
      <c r="D101" s="417"/>
      <c r="E101" s="417"/>
      <c r="F101" s="417"/>
      <c r="G101" s="417"/>
      <c r="H101" s="417"/>
      <c r="I101" s="417"/>
      <c r="J101" s="417"/>
      <c r="K101" s="417"/>
      <c r="L101" s="417"/>
    </row>
    <row r="102" spans="2:12" ht="15.45" customHeight="1" x14ac:dyDescent="0.3">
      <c r="B102" s="419" t="s">
        <v>1043</v>
      </c>
      <c r="C102" s="418"/>
      <c r="D102" s="418"/>
      <c r="E102" s="418"/>
      <c r="F102" s="418"/>
      <c r="G102" s="418"/>
      <c r="H102" s="418"/>
      <c r="I102" s="418"/>
      <c r="J102" s="418"/>
      <c r="K102" s="418"/>
      <c r="L102" s="418"/>
    </row>
    <row r="103" spans="2:12" ht="15.45" customHeight="1" x14ac:dyDescent="0.3">
      <c r="B103" s="430" t="s">
        <v>69</v>
      </c>
      <c r="C103" s="420">
        <f t="shared" ref="C103:L103" si="32">C29</f>
        <v>84225.675000000003</v>
      </c>
      <c r="D103" s="420">
        <f t="shared" si="32"/>
        <v>308211.83925428579</v>
      </c>
      <c r="E103" s="420">
        <f t="shared" si="32"/>
        <v>5757019.7032676125</v>
      </c>
      <c r="F103" s="420">
        <f t="shared" si="32"/>
        <v>5870880.757558045</v>
      </c>
      <c r="G103" s="420">
        <f t="shared" si="32"/>
        <v>0</v>
      </c>
      <c r="H103" s="420">
        <f t="shared" si="32"/>
        <v>0</v>
      </c>
      <c r="I103" s="420">
        <f t="shared" si="32"/>
        <v>0</v>
      </c>
      <c r="J103" s="420">
        <f t="shared" si="32"/>
        <v>0</v>
      </c>
      <c r="K103" s="420">
        <f t="shared" si="32"/>
        <v>0</v>
      </c>
      <c r="L103" s="420">
        <f t="shared" si="32"/>
        <v>0</v>
      </c>
    </row>
    <row r="104" spans="2:12" ht="15.45" customHeight="1" x14ac:dyDescent="0.3">
      <c r="B104" s="431" t="s">
        <v>1574</v>
      </c>
      <c r="C104" s="417">
        <f>'Property Detail'!C238</f>
        <v>0</v>
      </c>
      <c r="D104" s="417">
        <f>'Property Detail'!D238</f>
        <v>0</v>
      </c>
      <c r="E104" s="417">
        <f>'Property Detail'!E238</f>
        <v>0</v>
      </c>
      <c r="F104" s="417">
        <f>'Property Detail'!F238</f>
        <v>0</v>
      </c>
      <c r="G104" s="417">
        <f>'Property Detail'!G238</f>
        <v>0</v>
      </c>
      <c r="H104" s="417">
        <f>'Property Detail'!H238</f>
        <v>0</v>
      </c>
      <c r="I104" s="417">
        <f>'Property Detail'!I238</f>
        <v>0</v>
      </c>
      <c r="J104" s="417">
        <f>'Property Detail'!J238</f>
        <v>0</v>
      </c>
      <c r="K104" s="417">
        <f>'Property Detail'!K238</f>
        <v>0</v>
      </c>
      <c r="L104" s="417">
        <f>'Property Detail'!L238</f>
        <v>0</v>
      </c>
    </row>
    <row r="105" spans="2:12" ht="15.45" customHeight="1" x14ac:dyDescent="0.3">
      <c r="B105" s="431" t="s">
        <v>1575</v>
      </c>
      <c r="C105" s="417">
        <f>'Property Detail'!C240</f>
        <v>16845.135000000002</v>
      </c>
      <c r="D105" s="417">
        <f>'Property Detail'!D240</f>
        <v>61642.367850857147</v>
      </c>
      <c r="E105" s="417">
        <f>'Property Detail'!E240</f>
        <v>42102.096698674286</v>
      </c>
      <c r="F105" s="417">
        <f>'Property Detail'!F240</f>
        <v>8095.7977423282282</v>
      </c>
      <c r="G105" s="417">
        <f>'Property Detail'!G240</f>
        <v>0</v>
      </c>
      <c r="H105" s="417">
        <f>'Property Detail'!H240</f>
        <v>0</v>
      </c>
      <c r="I105" s="417">
        <f>'Property Detail'!I240</f>
        <v>0</v>
      </c>
      <c r="J105" s="417">
        <f>'Property Detail'!J240</f>
        <v>0</v>
      </c>
      <c r="K105" s="417">
        <f>'Property Detail'!K240</f>
        <v>0</v>
      </c>
      <c r="L105" s="417">
        <f>'Property Detail'!L240</f>
        <v>0</v>
      </c>
    </row>
    <row r="106" spans="2:12" ht="15.6" x14ac:dyDescent="0.3">
      <c r="B106" s="431" t="s">
        <v>1576</v>
      </c>
      <c r="C106" s="417">
        <f>'Property Detail'!C239</f>
        <v>1052.8209375000001</v>
      </c>
      <c r="D106" s="417">
        <f>'Property Detail'!D239</f>
        <v>3852.6479906785717</v>
      </c>
      <c r="E106" s="417">
        <f>'Property Detail'!E239</f>
        <v>2631.3810436671429</v>
      </c>
      <c r="F106" s="417">
        <f>'Property Detail'!F239</f>
        <v>505.98735889551426</v>
      </c>
      <c r="G106" s="417">
        <f>'Property Detail'!G239</f>
        <v>0</v>
      </c>
      <c r="H106" s="417">
        <f>'Property Detail'!H239</f>
        <v>0</v>
      </c>
      <c r="I106" s="417">
        <f>'Property Detail'!I239</f>
        <v>0</v>
      </c>
      <c r="J106" s="417">
        <f>'Property Detail'!J239</f>
        <v>0</v>
      </c>
      <c r="K106" s="417">
        <f>'Property Detail'!K239</f>
        <v>0</v>
      </c>
      <c r="L106" s="417">
        <f>'Property Detail'!L239</f>
        <v>0</v>
      </c>
    </row>
    <row r="107" spans="2:12" ht="15.45" customHeight="1" x14ac:dyDescent="0.3">
      <c r="B107" s="431" t="s">
        <v>70</v>
      </c>
      <c r="C107" s="417">
        <f>SUMIF('_Month Engine'!$C$5:$DR$5,C$4,'_Month Engine'!$C$83:$DR$83)</f>
        <v>0</v>
      </c>
      <c r="D107" s="417">
        <f>SUMIF('_Month Engine'!$C$5:$DR$5,D$4,'_Month Engine'!$C$83:$DR$83)</f>
        <v>0</v>
      </c>
      <c r="E107" s="417">
        <f>SUMIF('_Month Engine'!$C$5:$DR$5,E$4,'_Month Engine'!$C$83:$DR$83)</f>
        <v>3206998.3818770228</v>
      </c>
      <c r="F107" s="417">
        <f>SUMIF('_Month Engine'!$C$5:$DR$5,F$4,'_Month Engine'!$C$83:$DR$83)</f>
        <v>3364967.6375404531</v>
      </c>
      <c r="G107" s="417">
        <f>SUMIF('_Month Engine'!$C$5:$DR$5,G$4,'_Month Engine'!$C$83:$DR$83)</f>
        <v>0</v>
      </c>
      <c r="H107" s="417">
        <f>SUMIF('_Month Engine'!$C$5:$DR$5,H$4,'_Month Engine'!$C$83:$DR$83)</f>
        <v>0</v>
      </c>
      <c r="I107" s="417">
        <f>SUMIF('_Month Engine'!$C$5:$DR$5,I$4,'_Month Engine'!$C$83:$DR$83)</f>
        <v>0</v>
      </c>
      <c r="J107" s="417">
        <f>SUMIF('_Month Engine'!$C$5:$DR$5,J$4,'_Month Engine'!$C$83:$DR$83)</f>
        <v>0</v>
      </c>
      <c r="K107" s="417">
        <f>SUMIF('_Month Engine'!$C$5:$DR$5,K$4,'_Month Engine'!$C$83:$DR$83)</f>
        <v>0</v>
      </c>
      <c r="L107" s="417">
        <f>SUMIF('_Month Engine'!$C$5:$DR$5,L$4,'_Month Engine'!$C$83:$DR$83)</f>
        <v>0</v>
      </c>
    </row>
    <row r="108" spans="2:12" ht="15.45" customHeight="1" x14ac:dyDescent="0.3">
      <c r="B108" s="431" t="s">
        <v>1577</v>
      </c>
      <c r="C108" s="417">
        <f>C18*Input!$C$15</f>
        <v>0</v>
      </c>
      <c r="D108" s="417">
        <f>D18*Input!$C$15</f>
        <v>0</v>
      </c>
      <c r="E108" s="417">
        <f>E18*Input!$C$15</f>
        <v>210767.35035142113</v>
      </c>
      <c r="F108" s="417">
        <f>F18*Input!$C$15</f>
        <v>221555.26721616334</v>
      </c>
      <c r="G108" s="417">
        <f>G18*Input!$C$15</f>
        <v>0</v>
      </c>
      <c r="H108" s="417">
        <f>H18*Input!$C$15</f>
        <v>0</v>
      </c>
      <c r="I108" s="417">
        <f>I18*Input!$C$15</f>
        <v>0</v>
      </c>
      <c r="J108" s="417">
        <f>J18*Input!$C$15</f>
        <v>0</v>
      </c>
      <c r="K108" s="417">
        <f>K18*Input!$C$15</f>
        <v>0</v>
      </c>
      <c r="L108" s="417">
        <f>L18*Input!$C$15</f>
        <v>0</v>
      </c>
    </row>
    <row r="109" spans="2:12" ht="15.45" customHeight="1" x14ac:dyDescent="0.3">
      <c r="B109" s="430" t="s">
        <v>1044</v>
      </c>
      <c r="C109" s="420">
        <f t="shared" ref="C109:L109" si="33">SUM(C104:C108)</f>
        <v>17897.955937500003</v>
      </c>
      <c r="D109" s="420">
        <f t="shared" si="33"/>
        <v>65495.015841535715</v>
      </c>
      <c r="E109" s="420">
        <f t="shared" si="33"/>
        <v>3462499.2099707853</v>
      </c>
      <c r="F109" s="420">
        <f t="shared" si="33"/>
        <v>3595124.6898578401</v>
      </c>
      <c r="G109" s="420">
        <f t="shared" si="33"/>
        <v>0</v>
      </c>
      <c r="H109" s="420">
        <f t="shared" si="33"/>
        <v>0</v>
      </c>
      <c r="I109" s="420">
        <f t="shared" si="33"/>
        <v>0</v>
      </c>
      <c r="J109" s="420">
        <f t="shared" si="33"/>
        <v>0</v>
      </c>
      <c r="K109" s="420">
        <f t="shared" si="33"/>
        <v>0</v>
      </c>
      <c r="L109" s="420">
        <f t="shared" si="33"/>
        <v>0</v>
      </c>
    </row>
    <row r="110" spans="2:12" ht="15.45" customHeight="1" x14ac:dyDescent="0.3">
      <c r="B110" s="432" t="s">
        <v>1045</v>
      </c>
      <c r="C110" s="433">
        <f t="shared" ref="C110:L110" si="34">C103-C109</f>
        <v>66327.719062499993</v>
      </c>
      <c r="D110" s="433">
        <f t="shared" si="34"/>
        <v>242716.82341275009</v>
      </c>
      <c r="E110" s="433">
        <f t="shared" si="34"/>
        <v>2294520.4932968272</v>
      </c>
      <c r="F110" s="433">
        <f t="shared" si="34"/>
        <v>2275756.0677002049</v>
      </c>
      <c r="G110" s="433">
        <f t="shared" si="34"/>
        <v>0</v>
      </c>
      <c r="H110" s="433">
        <f t="shared" si="34"/>
        <v>0</v>
      </c>
      <c r="I110" s="433">
        <f t="shared" si="34"/>
        <v>0</v>
      </c>
      <c r="J110" s="433">
        <f t="shared" si="34"/>
        <v>0</v>
      </c>
      <c r="K110" s="433">
        <f t="shared" si="34"/>
        <v>0</v>
      </c>
      <c r="L110" s="433">
        <f t="shared" si="34"/>
        <v>0</v>
      </c>
    </row>
    <row r="111" spans="2:12" ht="15.45" customHeight="1" x14ac:dyDescent="0.3">
      <c r="B111" s="428" t="s">
        <v>1042</v>
      </c>
      <c r="C111" s="429">
        <f t="shared" ref="C111:L111" si="35">IF(C103=0,0,C110/C103)</f>
        <v>0.78749999999999987</v>
      </c>
      <c r="D111" s="429">
        <f t="shared" si="35"/>
        <v>0.78750000000000009</v>
      </c>
      <c r="E111" s="429">
        <f t="shared" si="35"/>
        <v>0.39856047252964688</v>
      </c>
      <c r="F111" s="429">
        <f t="shared" si="35"/>
        <v>0.3876345239631116</v>
      </c>
      <c r="G111" s="429">
        <f t="shared" si="35"/>
        <v>0</v>
      </c>
      <c r="H111" s="429">
        <f t="shared" si="35"/>
        <v>0</v>
      </c>
      <c r="I111" s="429">
        <f t="shared" si="35"/>
        <v>0</v>
      </c>
      <c r="J111" s="429">
        <f t="shared" si="35"/>
        <v>0</v>
      </c>
      <c r="K111" s="429">
        <f t="shared" si="35"/>
        <v>0</v>
      </c>
      <c r="L111" s="429">
        <f t="shared" si="35"/>
        <v>0</v>
      </c>
    </row>
    <row r="112" spans="2:12" ht="15.45" customHeight="1" x14ac:dyDescent="0.3">
      <c r="B112" s="431" t="s">
        <v>1046</v>
      </c>
      <c r="C112" s="417">
        <f t="shared" ref="C112:L112" si="36">C7-SUM(C104:C106)</f>
        <v>66327.719062499993</v>
      </c>
      <c r="D112" s="417">
        <f t="shared" si="36"/>
        <v>242716.82341275009</v>
      </c>
      <c r="E112" s="417">
        <f t="shared" si="36"/>
        <v>165777.00575103005</v>
      </c>
      <c r="F112" s="417">
        <f t="shared" si="36"/>
        <v>31877.203610417397</v>
      </c>
      <c r="G112" s="417">
        <f t="shared" si="36"/>
        <v>0</v>
      </c>
      <c r="H112" s="417">
        <f t="shared" si="36"/>
        <v>0</v>
      </c>
      <c r="I112" s="417">
        <f t="shared" si="36"/>
        <v>0</v>
      </c>
      <c r="J112" s="417">
        <f t="shared" si="36"/>
        <v>0</v>
      </c>
      <c r="K112" s="417">
        <f t="shared" si="36"/>
        <v>0</v>
      </c>
      <c r="L112" s="417">
        <f t="shared" si="36"/>
        <v>0</v>
      </c>
    </row>
    <row r="113" spans="2:12" ht="15.45" customHeight="1" x14ac:dyDescent="0.3">
      <c r="B113" s="431" t="s">
        <v>1047</v>
      </c>
      <c r="C113" s="417">
        <f t="shared" ref="C113:L113" si="37">C18-C107-C108</f>
        <v>0</v>
      </c>
      <c r="D113" s="417">
        <f t="shared" si="37"/>
        <v>0</v>
      </c>
      <c r="E113" s="417">
        <f t="shared" si="37"/>
        <v>2128743.4875457967</v>
      </c>
      <c r="F113" s="417">
        <f t="shared" si="37"/>
        <v>2243878.8640897875</v>
      </c>
      <c r="G113" s="417">
        <f t="shared" si="37"/>
        <v>0</v>
      </c>
      <c r="H113" s="417">
        <f t="shared" si="37"/>
        <v>0</v>
      </c>
      <c r="I113" s="417">
        <f t="shared" si="37"/>
        <v>0</v>
      </c>
      <c r="J113" s="417">
        <f t="shared" si="37"/>
        <v>0</v>
      </c>
      <c r="K113" s="417">
        <f t="shared" si="37"/>
        <v>0</v>
      </c>
      <c r="L113" s="417">
        <f t="shared" si="37"/>
        <v>0</v>
      </c>
    </row>
    <row r="114" spans="2:12" ht="15.6" customHeight="1" x14ac:dyDescent="0.3">
      <c r="B114" s="416"/>
      <c r="C114" s="417"/>
      <c r="D114" s="417"/>
      <c r="E114" s="417"/>
      <c r="F114" s="417"/>
      <c r="G114" s="417"/>
      <c r="H114" s="417"/>
      <c r="I114" s="417"/>
      <c r="J114" s="417"/>
      <c r="K114" s="417"/>
      <c r="L114" s="417"/>
    </row>
    <row r="115" spans="2:12" ht="15.45" customHeight="1" x14ac:dyDescent="0.3">
      <c r="B115" s="421" t="s">
        <v>1048</v>
      </c>
      <c r="C115" s="417"/>
      <c r="D115" s="417"/>
      <c r="E115" s="417"/>
      <c r="F115" s="417"/>
      <c r="G115" s="417"/>
      <c r="H115" s="417"/>
      <c r="I115" s="417"/>
      <c r="J115" s="417"/>
      <c r="K115" s="417"/>
      <c r="L115" s="417"/>
    </row>
    <row r="116" spans="2:12" ht="15.45" customHeight="1" x14ac:dyDescent="0.3">
      <c r="B116" s="424" t="str">
        <f>$B$8</f>
        <v>Aires de Campestre Apto 801 (Penthouse)</v>
      </c>
      <c r="C116" s="417">
        <f t="shared" ref="C116:L116" si="38">C40</f>
        <v>20094.657187500001</v>
      </c>
      <c r="D116" s="417">
        <f t="shared" si="38"/>
        <v>47889.15453</v>
      </c>
      <c r="E116" s="417">
        <f t="shared" si="38"/>
        <v>795253.79193195608</v>
      </c>
      <c r="F116" s="417">
        <f t="shared" si="38"/>
        <v>0</v>
      </c>
      <c r="G116" s="417">
        <f t="shared" si="38"/>
        <v>0</v>
      </c>
      <c r="H116" s="417">
        <f t="shared" si="38"/>
        <v>0</v>
      </c>
      <c r="I116" s="417">
        <f t="shared" si="38"/>
        <v>0</v>
      </c>
      <c r="J116" s="417">
        <f t="shared" si="38"/>
        <v>0</v>
      </c>
      <c r="K116" s="417">
        <f t="shared" si="38"/>
        <v>0</v>
      </c>
      <c r="L116" s="417">
        <f t="shared" si="38"/>
        <v>0</v>
      </c>
    </row>
    <row r="117" spans="2:12" ht="15.45" customHeight="1" x14ac:dyDescent="0.3">
      <c r="B117" s="424" t="str">
        <f>$B$9</f>
        <v>Fontanar Apto 201 (Penthouse)</v>
      </c>
      <c r="C117" s="417">
        <f t="shared" ref="C117:L117" si="39">C54</f>
        <v>23185.161562500005</v>
      </c>
      <c r="D117" s="417">
        <f t="shared" si="39"/>
        <v>47889.15453</v>
      </c>
      <c r="E117" s="417">
        <f t="shared" si="39"/>
        <v>909220.361097496</v>
      </c>
      <c r="F117" s="417">
        <f t="shared" si="39"/>
        <v>0</v>
      </c>
      <c r="G117" s="417">
        <f t="shared" si="39"/>
        <v>0</v>
      </c>
      <c r="H117" s="417">
        <f t="shared" si="39"/>
        <v>0</v>
      </c>
      <c r="I117" s="417">
        <f t="shared" si="39"/>
        <v>0</v>
      </c>
      <c r="J117" s="417">
        <f t="shared" si="39"/>
        <v>0</v>
      </c>
      <c r="K117" s="417">
        <f t="shared" si="39"/>
        <v>0</v>
      </c>
      <c r="L117" s="417">
        <f t="shared" si="39"/>
        <v>0</v>
      </c>
    </row>
    <row r="118" spans="2:12" ht="15.45" customHeight="1" x14ac:dyDescent="0.3">
      <c r="B118" s="424" t="str">
        <f>$B$10</f>
        <v>San Lucas Apto 101</v>
      </c>
      <c r="C118" s="417">
        <f t="shared" ref="C118:L118" si="40">C68</f>
        <v>15804.8296875</v>
      </c>
      <c r="D118" s="417">
        <f t="shared" si="40"/>
        <v>44341.809750000015</v>
      </c>
      <c r="E118" s="417">
        <f t="shared" si="40"/>
        <v>481200.80964396941</v>
      </c>
      <c r="F118" s="417">
        <f t="shared" si="40"/>
        <v>0</v>
      </c>
      <c r="G118" s="417">
        <f t="shared" si="40"/>
        <v>0</v>
      </c>
      <c r="H118" s="417">
        <f t="shared" si="40"/>
        <v>0</v>
      </c>
      <c r="I118" s="417">
        <f t="shared" si="40"/>
        <v>0</v>
      </c>
      <c r="J118" s="417">
        <f t="shared" si="40"/>
        <v>0</v>
      </c>
      <c r="K118" s="417">
        <f t="shared" si="40"/>
        <v>0</v>
      </c>
      <c r="L118" s="417">
        <f t="shared" si="40"/>
        <v>0</v>
      </c>
    </row>
    <row r="119" spans="2:12" ht="15.45" customHeight="1" x14ac:dyDescent="0.3">
      <c r="B119" s="424" t="str">
        <f>$B$11</f>
        <v>Casa Montana Lote 2 (Samuel Gaviria House)</v>
      </c>
      <c r="C119" s="417">
        <f t="shared" ref="C119:L119" si="41">C82</f>
        <v>0</v>
      </c>
      <c r="D119" s="417">
        <f t="shared" si="41"/>
        <v>54435.260371499993</v>
      </c>
      <c r="E119" s="417">
        <f t="shared" si="41"/>
        <v>59720.85750753001</v>
      </c>
      <c r="F119" s="417">
        <f t="shared" si="41"/>
        <v>1199349.9741420406</v>
      </c>
      <c r="G119" s="417">
        <f t="shared" si="41"/>
        <v>0</v>
      </c>
      <c r="H119" s="417">
        <f t="shared" si="41"/>
        <v>0</v>
      </c>
      <c r="I119" s="417">
        <f t="shared" si="41"/>
        <v>0</v>
      </c>
      <c r="J119" s="417">
        <f t="shared" si="41"/>
        <v>0</v>
      </c>
      <c r="K119" s="417">
        <f t="shared" si="41"/>
        <v>0</v>
      </c>
      <c r="L119" s="417">
        <f t="shared" si="41"/>
        <v>0</v>
      </c>
    </row>
    <row r="120" spans="2:12" ht="15.45" customHeight="1" x14ac:dyDescent="0.3">
      <c r="B120" s="424" t="str">
        <f>$B$12</f>
        <v>Casa Monte Sereno</v>
      </c>
      <c r="C120" s="417">
        <f t="shared" ref="C120:L120" si="42">C96</f>
        <v>7243.0706250000003</v>
      </c>
      <c r="D120" s="417">
        <f t="shared" si="42"/>
        <v>48161.444231249996</v>
      </c>
      <c r="E120" s="417">
        <f t="shared" si="42"/>
        <v>49124.673115874997</v>
      </c>
      <c r="F120" s="417">
        <f t="shared" si="42"/>
        <v>1076406.0935581641</v>
      </c>
      <c r="G120" s="417">
        <f t="shared" si="42"/>
        <v>0</v>
      </c>
      <c r="H120" s="417">
        <f t="shared" si="42"/>
        <v>0</v>
      </c>
      <c r="I120" s="417">
        <f t="shared" si="42"/>
        <v>0</v>
      </c>
      <c r="J120" s="417">
        <f t="shared" si="42"/>
        <v>0</v>
      </c>
      <c r="K120" s="417">
        <f t="shared" si="42"/>
        <v>0</v>
      </c>
      <c r="L120" s="417">
        <f t="shared" si="42"/>
        <v>0</v>
      </c>
    </row>
    <row r="121" spans="2:12" ht="15.45" customHeight="1" x14ac:dyDescent="0.3">
      <c r="B121" s="430" t="s">
        <v>1602</v>
      </c>
      <c r="C121" s="420">
        <f t="shared" ref="C121:L121" si="43">SUM(C116:C120)</f>
        <v>66327.719062500008</v>
      </c>
      <c r="D121" s="420">
        <f t="shared" si="43"/>
        <v>242716.82341275</v>
      </c>
      <c r="E121" s="420">
        <f t="shared" si="43"/>
        <v>2294520.4932968267</v>
      </c>
      <c r="F121" s="420">
        <f t="shared" si="43"/>
        <v>2275756.0677002044</v>
      </c>
      <c r="G121" s="420">
        <f t="shared" si="43"/>
        <v>0</v>
      </c>
      <c r="H121" s="420">
        <f t="shared" si="43"/>
        <v>0</v>
      </c>
      <c r="I121" s="420">
        <f t="shared" si="43"/>
        <v>0</v>
      </c>
      <c r="J121" s="420">
        <f t="shared" si="43"/>
        <v>0</v>
      </c>
      <c r="K121" s="420">
        <f t="shared" si="43"/>
        <v>0</v>
      </c>
      <c r="L121" s="420">
        <f t="shared" si="43"/>
        <v>0</v>
      </c>
    </row>
    <row r="122" spans="2:12" ht="15.6" customHeight="1" x14ac:dyDescent="0.3">
      <c r="B122" s="416"/>
      <c r="C122" s="417"/>
      <c r="D122" s="417"/>
      <c r="E122" s="417"/>
      <c r="F122" s="417"/>
      <c r="G122" s="417"/>
      <c r="H122" s="417"/>
      <c r="I122" s="417"/>
      <c r="J122" s="417"/>
      <c r="K122" s="417"/>
      <c r="L122" s="417"/>
    </row>
    <row r="123" spans="2:12" ht="15.45" customHeight="1" x14ac:dyDescent="0.3">
      <c r="B123" s="421" t="s">
        <v>1056</v>
      </c>
      <c r="C123" s="417"/>
      <c r="D123" s="417"/>
      <c r="E123" s="417"/>
      <c r="F123" s="417"/>
      <c r="G123" s="417"/>
      <c r="H123" s="417"/>
      <c r="I123" s="417"/>
      <c r="J123" s="417"/>
      <c r="K123" s="417"/>
      <c r="L123" s="417"/>
    </row>
    <row r="124" spans="2:12" ht="15.45" customHeight="1" x14ac:dyDescent="0.3">
      <c r="B124" s="424" t="str">
        <f>B116</f>
        <v>Aires de Campestre Apto 801 (Penthouse)</v>
      </c>
      <c r="C124" s="417">
        <f t="shared" ref="C124:L124" si="44">C43</f>
        <v>-1742.2832116369973</v>
      </c>
      <c r="D124" s="417">
        <f t="shared" si="44"/>
        <v>19923.216018673145</v>
      </c>
      <c r="E124" s="417">
        <f t="shared" si="44"/>
        <v>783601.31755223661</v>
      </c>
      <c r="F124" s="417">
        <f t="shared" si="44"/>
        <v>0</v>
      </c>
      <c r="G124" s="417">
        <f t="shared" si="44"/>
        <v>0</v>
      </c>
      <c r="H124" s="417">
        <f t="shared" si="44"/>
        <v>0</v>
      </c>
      <c r="I124" s="417">
        <f t="shared" si="44"/>
        <v>0</v>
      </c>
      <c r="J124" s="417">
        <f t="shared" si="44"/>
        <v>0</v>
      </c>
      <c r="K124" s="417">
        <f t="shared" si="44"/>
        <v>0</v>
      </c>
      <c r="L124" s="417">
        <f t="shared" si="44"/>
        <v>0</v>
      </c>
    </row>
    <row r="125" spans="2:12" ht="15.45" customHeight="1" x14ac:dyDescent="0.3">
      <c r="B125" s="424" t="str">
        <f>B117</f>
        <v>Fontanar Apto 201 (Penthouse)</v>
      </c>
      <c r="C125" s="417">
        <f t="shared" ref="C125:L125" si="45">C57</f>
        <v>-2612.0674019012877</v>
      </c>
      <c r="D125" s="417">
        <f t="shared" si="45"/>
        <v>17896.638348770233</v>
      </c>
      <c r="E125" s="417">
        <f t="shared" si="45"/>
        <v>894224.10300688108</v>
      </c>
      <c r="F125" s="417">
        <f t="shared" si="45"/>
        <v>0</v>
      </c>
      <c r="G125" s="417">
        <f t="shared" si="45"/>
        <v>0</v>
      </c>
      <c r="H125" s="417">
        <f t="shared" si="45"/>
        <v>0</v>
      </c>
      <c r="I125" s="417">
        <f t="shared" si="45"/>
        <v>0</v>
      </c>
      <c r="J125" s="417">
        <f t="shared" si="45"/>
        <v>0</v>
      </c>
      <c r="K125" s="417">
        <f t="shared" si="45"/>
        <v>0</v>
      </c>
      <c r="L125" s="417">
        <f t="shared" si="45"/>
        <v>0</v>
      </c>
    </row>
    <row r="126" spans="2:12" ht="15.45" customHeight="1" x14ac:dyDescent="0.3">
      <c r="B126" s="424" t="str">
        <f>B118</f>
        <v>San Lucas Apto 101</v>
      </c>
      <c r="C126" s="417">
        <f t="shared" ref="C126:L126" si="46">C71</f>
        <v>2332.7760197545813</v>
      </c>
      <c r="D126" s="417">
        <f t="shared" si="46"/>
        <v>25260.600203074449</v>
      </c>
      <c r="E126" s="417">
        <f t="shared" si="46"/>
        <v>476430.50725723803</v>
      </c>
      <c r="F126" s="417">
        <f t="shared" si="46"/>
        <v>0</v>
      </c>
      <c r="G126" s="417">
        <f t="shared" si="46"/>
        <v>0</v>
      </c>
      <c r="H126" s="417">
        <f t="shared" si="46"/>
        <v>0</v>
      </c>
      <c r="I126" s="417">
        <f t="shared" si="46"/>
        <v>0</v>
      </c>
      <c r="J126" s="417">
        <f t="shared" si="46"/>
        <v>0</v>
      </c>
      <c r="K126" s="417">
        <f t="shared" si="46"/>
        <v>0</v>
      </c>
      <c r="L126" s="417">
        <f t="shared" si="46"/>
        <v>0</v>
      </c>
    </row>
    <row r="127" spans="2:12" ht="15.45" customHeight="1" x14ac:dyDescent="0.3">
      <c r="B127" s="424" t="str">
        <f>B119</f>
        <v>Casa Montana Lote 2 (Samuel Gaviria House)</v>
      </c>
      <c r="C127" s="417">
        <f t="shared" ref="C127:L127" si="47">C85</f>
        <v>-9071.1974110032352</v>
      </c>
      <c r="D127" s="417">
        <f t="shared" si="47"/>
        <v>22448.930139569027</v>
      </c>
      <c r="E127" s="417">
        <f t="shared" si="47"/>
        <v>26805.849416915116</v>
      </c>
      <c r="F127" s="417">
        <f t="shared" si="47"/>
        <v>1182892.4700967332</v>
      </c>
      <c r="G127" s="417">
        <f t="shared" si="47"/>
        <v>0</v>
      </c>
      <c r="H127" s="417">
        <f t="shared" si="47"/>
        <v>0</v>
      </c>
      <c r="I127" s="417">
        <f t="shared" si="47"/>
        <v>0</v>
      </c>
      <c r="J127" s="417">
        <f t="shared" si="47"/>
        <v>0</v>
      </c>
      <c r="K127" s="417">
        <f t="shared" si="47"/>
        <v>0</v>
      </c>
      <c r="L127" s="417">
        <f t="shared" si="47"/>
        <v>0</v>
      </c>
    </row>
    <row r="128" spans="2:12" ht="15.45" customHeight="1" x14ac:dyDescent="0.3">
      <c r="B128" s="424" t="str">
        <f>B120</f>
        <v>Casa Monte Sereno</v>
      </c>
      <c r="C128" s="417">
        <f t="shared" ref="C128:L128" si="48">C99</f>
        <v>-10337.835523867314</v>
      </c>
      <c r="D128" s="417">
        <f t="shared" si="48"/>
        <v>13743.968503094657</v>
      </c>
      <c r="E128" s="417">
        <f t="shared" si="48"/>
        <v>14707.197387719658</v>
      </c>
      <c r="F128" s="417">
        <f t="shared" si="48"/>
        <v>1076406.0935581641</v>
      </c>
      <c r="G128" s="417">
        <f t="shared" si="48"/>
        <v>0</v>
      </c>
      <c r="H128" s="417">
        <f t="shared" si="48"/>
        <v>0</v>
      </c>
      <c r="I128" s="417">
        <f t="shared" si="48"/>
        <v>0</v>
      </c>
      <c r="J128" s="417">
        <f t="shared" si="48"/>
        <v>0</v>
      </c>
      <c r="K128" s="417">
        <f t="shared" si="48"/>
        <v>0</v>
      </c>
      <c r="L128" s="417">
        <f t="shared" si="48"/>
        <v>0</v>
      </c>
    </row>
    <row r="129" spans="2:12" ht="15.45" customHeight="1" x14ac:dyDescent="0.3">
      <c r="B129" s="430" t="s">
        <v>1602</v>
      </c>
      <c r="C129" s="420">
        <f t="shared" ref="C129:L129" si="49">SUM(C124:C128)</f>
        <v>-21430.607528654255</v>
      </c>
      <c r="D129" s="420">
        <f t="shared" si="49"/>
        <v>99273.353213181515</v>
      </c>
      <c r="E129" s="420">
        <f t="shared" si="49"/>
        <v>2195768.9746209905</v>
      </c>
      <c r="F129" s="420">
        <f t="shared" si="49"/>
        <v>2259298.5636548973</v>
      </c>
      <c r="G129" s="420">
        <f t="shared" si="49"/>
        <v>0</v>
      </c>
      <c r="H129" s="420">
        <f t="shared" si="49"/>
        <v>0</v>
      </c>
      <c r="I129" s="420">
        <f t="shared" si="49"/>
        <v>0</v>
      </c>
      <c r="J129" s="420">
        <f t="shared" si="49"/>
        <v>0</v>
      </c>
      <c r="K129" s="420">
        <f t="shared" si="49"/>
        <v>0</v>
      </c>
      <c r="L129" s="420">
        <f t="shared" si="49"/>
        <v>0</v>
      </c>
    </row>
    <row r="130" spans="2:12" ht="15.6" customHeight="1" x14ac:dyDescent="0.3">
      <c r="B130" s="416"/>
      <c r="C130" s="417"/>
      <c r="D130" s="417"/>
      <c r="E130" s="417"/>
      <c r="F130" s="417"/>
      <c r="G130" s="417"/>
      <c r="H130" s="417"/>
      <c r="I130" s="417"/>
      <c r="J130" s="417"/>
      <c r="K130" s="417"/>
      <c r="L130" s="417"/>
    </row>
    <row r="131" spans="2:12" ht="15.45" customHeight="1" x14ac:dyDescent="0.3">
      <c r="B131" s="419" t="s">
        <v>1049</v>
      </c>
      <c r="C131" s="418"/>
      <c r="D131" s="418"/>
      <c r="E131" s="418"/>
      <c r="F131" s="418"/>
      <c r="G131" s="418"/>
      <c r="H131" s="418"/>
      <c r="I131" s="418"/>
      <c r="J131" s="418"/>
      <c r="K131" s="418"/>
      <c r="L131" s="418"/>
    </row>
    <row r="132" spans="2:12" ht="15.45" customHeight="1" x14ac:dyDescent="0.3">
      <c r="B132" s="421" t="s">
        <v>1603</v>
      </c>
      <c r="C132" s="417"/>
      <c r="D132" s="417"/>
      <c r="E132" s="417"/>
      <c r="F132" s="417"/>
      <c r="G132" s="417"/>
      <c r="H132" s="417"/>
      <c r="I132" s="417"/>
      <c r="J132" s="417"/>
      <c r="K132" s="417"/>
      <c r="L132" s="417"/>
    </row>
    <row r="133" spans="2:12" ht="37.049999999999997" customHeight="1" x14ac:dyDescent="0.3">
      <c r="B133" s="514" t="s">
        <v>1579</v>
      </c>
      <c r="C133" s="417">
        <f>'Property Detail'!C233</f>
        <v>27411.003236245953</v>
      </c>
      <c r="D133" s="417">
        <f>'Property Detail'!D233</f>
        <v>36411.65048543689</v>
      </c>
      <c r="E133" s="417">
        <f>'Property Detail'!E233</f>
        <v>25520.873786407767</v>
      </c>
      <c r="F133" s="417">
        <f>'Property Detail'!F233</f>
        <v>4089.3203883495153</v>
      </c>
      <c r="G133" s="417">
        <f>'Property Detail'!G233</f>
        <v>0</v>
      </c>
      <c r="H133" s="417">
        <f>'Property Detail'!H233</f>
        <v>0</v>
      </c>
      <c r="I133" s="417">
        <f>'Property Detail'!I233</f>
        <v>0</v>
      </c>
      <c r="J133" s="417">
        <f>'Property Detail'!J233</f>
        <v>0</v>
      </c>
      <c r="K133" s="417">
        <f>'Property Detail'!K233</f>
        <v>0</v>
      </c>
      <c r="L133" s="417">
        <f>'Property Detail'!L233</f>
        <v>0</v>
      </c>
    </row>
    <row r="134" spans="2:12" ht="15.45" customHeight="1" x14ac:dyDescent="0.3">
      <c r="B134" s="424" t="s">
        <v>72</v>
      </c>
      <c r="C134" s="417">
        <f>'Property Detail'!C234</f>
        <v>2484.9312297734632</v>
      </c>
      <c r="D134" s="417">
        <f>'Property Detail'!D234</f>
        <v>9643.638754045307</v>
      </c>
      <c r="E134" s="417">
        <f>'Property Detail'!E234</f>
        <v>7026.3400080906158</v>
      </c>
      <c r="F134" s="417">
        <f>'Property Detail'!F234</f>
        <v>1285.8616504854372</v>
      </c>
      <c r="G134" s="417">
        <f>'Property Detail'!G234</f>
        <v>0</v>
      </c>
      <c r="H134" s="417">
        <f>'Property Detail'!H234</f>
        <v>0</v>
      </c>
      <c r="I134" s="417">
        <f>'Property Detail'!I234</f>
        <v>0</v>
      </c>
      <c r="J134" s="417">
        <f>'Property Detail'!J234</f>
        <v>0</v>
      </c>
      <c r="K134" s="417">
        <f>'Property Detail'!K234</f>
        <v>0</v>
      </c>
      <c r="L134" s="417">
        <f>'Property Detail'!L234</f>
        <v>0</v>
      </c>
    </row>
    <row r="135" spans="2:12" ht="15.45" customHeight="1" x14ac:dyDescent="0.3">
      <c r="B135" s="424" t="s">
        <v>73</v>
      </c>
      <c r="C135" s="417">
        <f>'Property Detail'!C235</f>
        <v>32977.346278317156</v>
      </c>
      <c r="D135" s="417">
        <f>'Property Detail'!D235</f>
        <v>42718.446601941745</v>
      </c>
      <c r="E135" s="417">
        <f>'Property Detail'!E235</f>
        <v>27540.453074433655</v>
      </c>
      <c r="F135" s="417">
        <f>'Property Detail'!F235</f>
        <v>3883.4951456310678</v>
      </c>
      <c r="G135" s="417">
        <f>'Property Detail'!G235</f>
        <v>0</v>
      </c>
      <c r="H135" s="417">
        <f>'Property Detail'!H235</f>
        <v>0</v>
      </c>
      <c r="I135" s="417">
        <f>'Property Detail'!I235</f>
        <v>0</v>
      </c>
      <c r="J135" s="417">
        <f>'Property Detail'!J235</f>
        <v>0</v>
      </c>
      <c r="K135" s="417">
        <f>'Property Detail'!K235</f>
        <v>0</v>
      </c>
      <c r="L135" s="417">
        <f>'Property Detail'!L235</f>
        <v>0</v>
      </c>
    </row>
    <row r="136" spans="2:12" ht="15.45" customHeight="1" x14ac:dyDescent="0.3">
      <c r="B136" s="424" t="s">
        <v>169</v>
      </c>
      <c r="C136" s="417">
        <f>'Property Detail'!C236</f>
        <v>16601.941747572815</v>
      </c>
      <c r="D136" s="417">
        <f>'Property Detail'!D236</f>
        <v>22524.271844660194</v>
      </c>
      <c r="E136" s="417">
        <f>'Property Detail'!E236</f>
        <v>15242.718446601943</v>
      </c>
      <c r="F136" s="417">
        <f>'Property Detail'!F236</f>
        <v>2912.6213592233012</v>
      </c>
      <c r="G136" s="417">
        <f>'Property Detail'!G236</f>
        <v>0</v>
      </c>
      <c r="H136" s="417">
        <f>'Property Detail'!H236</f>
        <v>0</v>
      </c>
      <c r="I136" s="417">
        <f>'Property Detail'!I236</f>
        <v>0</v>
      </c>
      <c r="J136" s="417">
        <f>'Property Detail'!J236</f>
        <v>0</v>
      </c>
      <c r="K136" s="417">
        <f>'Property Detail'!K236</f>
        <v>0</v>
      </c>
      <c r="L136" s="417">
        <f>'Property Detail'!L236</f>
        <v>0</v>
      </c>
    </row>
    <row r="137" spans="2:12" ht="15.45" customHeight="1" x14ac:dyDescent="0.3">
      <c r="B137" s="424" t="s">
        <v>170</v>
      </c>
      <c r="C137" s="417">
        <f>'Property Detail'!C237</f>
        <v>8283.1040992448761</v>
      </c>
      <c r="D137" s="417">
        <f>'Property Detail'!D237</f>
        <v>32145.462513484359</v>
      </c>
      <c r="E137" s="417">
        <f>'Property Detail'!E237</f>
        <v>23421.133360302054</v>
      </c>
      <c r="F137" s="417">
        <f>'Property Detail'!F237</f>
        <v>4286.2055016181239</v>
      </c>
      <c r="G137" s="417">
        <f>'Property Detail'!G237</f>
        <v>0</v>
      </c>
      <c r="H137" s="417">
        <f>'Property Detail'!H237</f>
        <v>0</v>
      </c>
      <c r="I137" s="417">
        <f>'Property Detail'!I237</f>
        <v>0</v>
      </c>
      <c r="J137" s="417">
        <f>'Property Detail'!J237</f>
        <v>0</v>
      </c>
      <c r="K137" s="417">
        <f>'Property Detail'!K237</f>
        <v>0</v>
      </c>
      <c r="L137" s="417">
        <f>'Property Detail'!L237</f>
        <v>0</v>
      </c>
    </row>
    <row r="138" spans="2:12" ht="15.45" customHeight="1" x14ac:dyDescent="0.3">
      <c r="B138" s="424" t="s">
        <v>1583</v>
      </c>
      <c r="C138" s="417">
        <f>'Property Detail'!C241</f>
        <v>0</v>
      </c>
      <c r="D138" s="417">
        <f>'Property Detail'!D241</f>
        <v>0</v>
      </c>
      <c r="E138" s="417">
        <f>'Property Detail'!E241</f>
        <v>0</v>
      </c>
      <c r="F138" s="417">
        <f>'Property Detail'!F241</f>
        <v>0</v>
      </c>
      <c r="G138" s="417">
        <f>'Property Detail'!G241</f>
        <v>0</v>
      </c>
      <c r="H138" s="417">
        <f>'Property Detail'!H241</f>
        <v>0</v>
      </c>
      <c r="I138" s="417">
        <f>'Property Detail'!I241</f>
        <v>0</v>
      </c>
      <c r="J138" s="417">
        <f>'Property Detail'!J241</f>
        <v>0</v>
      </c>
      <c r="K138" s="417">
        <f>'Property Detail'!K241</f>
        <v>0</v>
      </c>
      <c r="L138" s="417">
        <f>'Property Detail'!L241</f>
        <v>0</v>
      </c>
    </row>
    <row r="139" spans="2:12" ht="15.45" customHeight="1" x14ac:dyDescent="0.3">
      <c r="B139" s="425" t="s">
        <v>1050</v>
      </c>
      <c r="C139" s="420">
        <f t="shared" ref="C139:L139" si="50">SUM(C133:C138)</f>
        <v>87758.326591154269</v>
      </c>
      <c r="D139" s="420">
        <f t="shared" si="50"/>
        <v>143443.47019956849</v>
      </c>
      <c r="E139" s="420">
        <f t="shared" si="50"/>
        <v>98751.518675836036</v>
      </c>
      <c r="F139" s="420">
        <f t="shared" si="50"/>
        <v>16457.504045307447</v>
      </c>
      <c r="G139" s="420">
        <f t="shared" si="50"/>
        <v>0</v>
      </c>
      <c r="H139" s="420">
        <f t="shared" si="50"/>
        <v>0</v>
      </c>
      <c r="I139" s="420">
        <f t="shared" si="50"/>
        <v>0</v>
      </c>
      <c r="J139" s="420">
        <f t="shared" si="50"/>
        <v>0</v>
      </c>
      <c r="K139" s="420">
        <f t="shared" si="50"/>
        <v>0</v>
      </c>
      <c r="L139" s="420">
        <f t="shared" si="50"/>
        <v>0</v>
      </c>
    </row>
    <row r="140" spans="2:12" ht="15.45" customHeight="1" x14ac:dyDescent="0.3">
      <c r="B140" s="421" t="s">
        <v>1051</v>
      </c>
      <c r="C140" s="417"/>
      <c r="D140" s="417"/>
      <c r="E140" s="417"/>
      <c r="F140" s="417"/>
      <c r="G140" s="417"/>
      <c r="H140" s="417"/>
      <c r="I140" s="417"/>
      <c r="J140" s="417"/>
      <c r="K140" s="417"/>
      <c r="L140" s="417"/>
    </row>
    <row r="141" spans="2:12" ht="15.45" customHeight="1" x14ac:dyDescent="0.3">
      <c r="B141" s="424" t="s">
        <v>74</v>
      </c>
      <c r="C141" s="417">
        <f>SUMIF('_Month Engine'!$C$5:$DR$5,C$4,'_Month Engine'!$C$57:$DR$57)*Input!$C$30/'_IRR Engine'!$Q$7</f>
        <v>47997.303128371103</v>
      </c>
      <c r="D141" s="417">
        <f>SUMIF('_Month Engine'!$C$5:$DR$5,D$4,'_Month Engine'!$C$57:$DR$57)*Input!$C$30/'_IRR Engine'!$Q$7</f>
        <v>65719.660194174779</v>
      </c>
      <c r="E141" s="417">
        <f>SUMIF('_Month Engine'!$C$5:$DR$5,E$4,'_Month Engine'!$C$57:$DR$57)*Input!$C$30/'_IRR Engine'!$Q$7</f>
        <v>46842.266720604093</v>
      </c>
      <c r="F141" s="417">
        <f>SUMIF('_Month Engine'!$C$5:$DR$5,F$4,'_Month Engine'!$C$57:$DR$57)*Input!$C$30/'_IRR Engine'!$Q$7</f>
        <v>8572.4110032362478</v>
      </c>
      <c r="G141" s="417">
        <f>SUMIF('_Month Engine'!$C$5:$DR$5,G$4,'_Month Engine'!$C$57:$DR$57)*Input!$C$30/'_IRR Engine'!$Q$7</f>
        <v>0</v>
      </c>
      <c r="H141" s="417">
        <f>SUMIF('_Month Engine'!$C$5:$DR$5,H$4,'_Month Engine'!$C$57:$DR$57)*Input!$C$30/'_IRR Engine'!$Q$7</f>
        <v>0</v>
      </c>
      <c r="I141" s="417">
        <f>SUMIF('_Month Engine'!$C$5:$DR$5,I$4,'_Month Engine'!$C$57:$DR$57)*Input!$C$30/'_IRR Engine'!$Q$7</f>
        <v>0</v>
      </c>
      <c r="J141" s="417">
        <f>SUMIF('_Month Engine'!$C$5:$DR$5,J$4,'_Month Engine'!$C$57:$DR$57)*Input!$C$30/'_IRR Engine'!$Q$7</f>
        <v>0</v>
      </c>
      <c r="K141" s="417">
        <f>SUMIF('_Month Engine'!$C$5:$DR$5,K$4,'_Month Engine'!$C$57:$DR$57)*Input!$C$30/'_IRR Engine'!$Q$7</f>
        <v>0</v>
      </c>
      <c r="L141" s="417">
        <f>SUMIF('_Month Engine'!$C$5:$DR$5,L$4,'_Month Engine'!$C$57:$DR$57)*Input!$C$30/'_IRR Engine'!$Q$7</f>
        <v>0</v>
      </c>
    </row>
    <row r="142" spans="2:12" ht="15.45" customHeight="1" x14ac:dyDescent="0.3">
      <c r="B142" s="424" t="s">
        <v>75</v>
      </c>
      <c r="C142" s="417">
        <f>Input!$C$35*MIN('_IRR Engine'!$Q$7,MAX(0,Input!$C$56-(C$4-1)*'_IRR Engine'!$Q$7))/'_IRR Engine'!$Q$7</f>
        <v>30000</v>
      </c>
      <c r="D142" s="417">
        <f>Input!$C$35*MIN('_IRR Engine'!$Q$7,MAX(0,Input!$C$56-(D$4-1)*'_IRR Engine'!$Q$7))/'_IRR Engine'!$Q$7</f>
        <v>30000</v>
      </c>
      <c r="E142" s="417">
        <f>Input!$C$35*MIN('_IRR Engine'!$Q$7,MAX(0,Input!$C$56-(E$4-1)*'_IRR Engine'!$Q$7))/'_IRR Engine'!$Q$7</f>
        <v>30000</v>
      </c>
      <c r="F142" s="417">
        <f>Input!$C$35*MIN('_IRR Engine'!$Q$7,MAX(0,Input!$C$56-(F$4-1)*'_IRR Engine'!$Q$7))/'_IRR Engine'!$Q$7</f>
        <v>17500</v>
      </c>
      <c r="G142" s="417">
        <f>Input!$C$35*MIN('_IRR Engine'!$Q$7,MAX(0,Input!$C$56-(G$4-1)*'_IRR Engine'!$Q$7))/'_IRR Engine'!$Q$7</f>
        <v>0</v>
      </c>
      <c r="H142" s="417">
        <f>Input!$C$35*MIN('_IRR Engine'!$Q$7,MAX(0,Input!$C$56-(H$4-1)*'_IRR Engine'!$Q$7))/'_IRR Engine'!$Q$7</f>
        <v>0</v>
      </c>
      <c r="I142" s="417">
        <f>Input!$C$35*MIN('_IRR Engine'!$Q$7,MAX(0,Input!$C$56-(I$4-1)*'_IRR Engine'!$Q$7))/'_IRR Engine'!$Q$7</f>
        <v>0</v>
      </c>
      <c r="J142" s="417">
        <f>Input!$C$35*MIN('_IRR Engine'!$Q$7,MAX(0,Input!$C$56-(J$4-1)*'_IRR Engine'!$Q$7))/'_IRR Engine'!$Q$7</f>
        <v>0</v>
      </c>
      <c r="K142" s="417">
        <f>Input!$C$35*MIN('_IRR Engine'!$Q$7,MAX(0,Input!$C$56-(K$4-1)*'_IRR Engine'!$Q$7))/'_IRR Engine'!$Q$7</f>
        <v>0</v>
      </c>
      <c r="L142" s="417">
        <f>Input!$C$35*MIN('_IRR Engine'!$Q$7,MAX(0,Input!$C$56-(L$4-1)*'_IRR Engine'!$Q$7))/'_IRR Engine'!$Q$7</f>
        <v>0</v>
      </c>
    </row>
    <row r="143" spans="2:12" ht="37.049999999999997" customHeight="1" x14ac:dyDescent="0.3">
      <c r="B143" s="514" t="s">
        <v>1587</v>
      </c>
      <c r="C143" s="417">
        <f>Input!$C$22*(SUMIF('_Month Engine'!$C$5:$DR$5,C$4,'_Month Engine'!$C$18:$DR$18)+SUMIF('_Month Engine'!$C$5:$DR$5,C$4,'_Month Engine'!$C$31:$DR$31)+SUM(C104:C106)+SUM(C133:C138)+SUM(C141:C142))</f>
        <v>26655.703878766184</v>
      </c>
      <c r="D143" s="417">
        <f>Input!$C$22*(SUMIF('_Month Engine'!$C$5:$DR$5,D$4,'_Month Engine'!$C$18:$DR$18)+SUMIF('_Month Engine'!$C$5:$DR$5,D$4,'_Month Engine'!$C$31:$DR$31)+SUM(D104:D106)+SUM(D133:D138)+SUM(D141:D142))</f>
        <v>1585.4071264729391</v>
      </c>
      <c r="E143" s="417">
        <f>Input!$C$22*(SUMIF('_Month Engine'!$C$5:$DR$5,E$4,'_Month Engine'!$C$18:$DR$18)+SUMIF('_Month Engine'!$C$5:$DR$5,E$4,'_Month Engine'!$C$31:$DR$31)+SUM(E104:E106)+SUM(E133:E138)+SUM(E141:E142))</f>
        <v>881.3090525551263</v>
      </c>
      <c r="F143" s="417">
        <f>Input!$C$22*(SUMIF('_Month Engine'!$C$5:$DR$5,F$4,'_Month Engine'!$C$18:$DR$18)+SUMIF('_Month Engine'!$C$5:$DR$5,F$4,'_Month Engine'!$C$31:$DR$31)+SUM(F104:F106)+SUM(F133:F138)+SUM(F141:F142))</f>
        <v>204.52680059906976</v>
      </c>
      <c r="G143" s="417">
        <f>Input!$C$22*(SUMIF('_Month Engine'!$C$5:$DR$5,G$4,'_Month Engine'!$C$18:$DR$18)+SUMIF('_Month Engine'!$C$5:$DR$5,G$4,'_Month Engine'!$C$31:$DR$31)+SUM(G104:G106)+SUM(G133:G138)+SUM(G141:G142))</f>
        <v>0</v>
      </c>
      <c r="H143" s="417">
        <f>Input!$C$22*(SUMIF('_Month Engine'!$C$5:$DR$5,H$4,'_Month Engine'!$C$18:$DR$18)+SUMIF('_Month Engine'!$C$5:$DR$5,H$4,'_Month Engine'!$C$31:$DR$31)+SUM(H104:H106)+SUM(H133:H138)+SUM(H141:H142))</f>
        <v>0</v>
      </c>
      <c r="I143" s="417">
        <f>Input!$C$22*(SUMIF('_Month Engine'!$C$5:$DR$5,I$4,'_Month Engine'!$C$18:$DR$18)+SUMIF('_Month Engine'!$C$5:$DR$5,I$4,'_Month Engine'!$C$31:$DR$31)+SUM(I104:I106)+SUM(I133:I138)+SUM(I141:I142))</f>
        <v>0</v>
      </c>
      <c r="J143" s="417">
        <f>Input!$C$22*(SUMIF('_Month Engine'!$C$5:$DR$5,J$4,'_Month Engine'!$C$18:$DR$18)+SUMIF('_Month Engine'!$C$5:$DR$5,J$4,'_Month Engine'!$C$31:$DR$31)+SUM(J104:J106)+SUM(J133:J138)+SUM(J141:J142))</f>
        <v>0</v>
      </c>
      <c r="K143" s="417">
        <f>Input!$C$22*(SUMIF('_Month Engine'!$C$5:$DR$5,K$4,'_Month Engine'!$C$18:$DR$18)+SUMIF('_Month Engine'!$C$5:$DR$5,K$4,'_Month Engine'!$C$31:$DR$31)+SUM(K104:K106)+SUM(K133:K138)+SUM(K141:K142))</f>
        <v>0</v>
      </c>
      <c r="L143" s="417">
        <f>Input!$C$22*(SUMIF('_Month Engine'!$C$5:$DR$5,L$4,'_Month Engine'!$C$18:$DR$18)+SUMIF('_Month Engine'!$C$5:$DR$5,L$4,'_Month Engine'!$C$31:$DR$31)+SUM(L104:L106)+SUM(L133:L138)+SUM(L141:L142))</f>
        <v>0</v>
      </c>
    </row>
    <row r="144" spans="2:12" ht="15.45" customHeight="1" x14ac:dyDescent="0.3">
      <c r="B144" s="425" t="s">
        <v>1052</v>
      </c>
      <c r="C144" s="420">
        <f t="shared" ref="C144:L144" si="51">SUM(C141:C143)</f>
        <v>104653.00700713729</v>
      </c>
      <c r="D144" s="420">
        <f t="shared" si="51"/>
        <v>97305.067320647722</v>
      </c>
      <c r="E144" s="420">
        <f t="shared" si="51"/>
        <v>77723.575773159217</v>
      </c>
      <c r="F144" s="420">
        <f t="shared" si="51"/>
        <v>26276.937803835317</v>
      </c>
      <c r="G144" s="420">
        <f t="shared" si="51"/>
        <v>0</v>
      </c>
      <c r="H144" s="420">
        <f t="shared" si="51"/>
        <v>0</v>
      </c>
      <c r="I144" s="420">
        <f t="shared" si="51"/>
        <v>0</v>
      </c>
      <c r="J144" s="420">
        <f t="shared" si="51"/>
        <v>0</v>
      </c>
      <c r="K144" s="420">
        <f t="shared" si="51"/>
        <v>0</v>
      </c>
      <c r="L144" s="420">
        <f t="shared" si="51"/>
        <v>0</v>
      </c>
    </row>
    <row r="145" spans="2:12" ht="15.45" customHeight="1" x14ac:dyDescent="0.3">
      <c r="B145" s="430" t="s">
        <v>1053</v>
      </c>
      <c r="C145" s="420">
        <f t="shared" ref="C145:L145" si="52">C139+C144</f>
        <v>192411.33359829156</v>
      </c>
      <c r="D145" s="420">
        <f t="shared" si="52"/>
        <v>240748.5375202162</v>
      </c>
      <c r="E145" s="420">
        <f t="shared" si="52"/>
        <v>176475.09444899525</v>
      </c>
      <c r="F145" s="420">
        <f t="shared" si="52"/>
        <v>42734.441849142764</v>
      </c>
      <c r="G145" s="420">
        <f t="shared" si="52"/>
        <v>0</v>
      </c>
      <c r="H145" s="420">
        <f t="shared" si="52"/>
        <v>0</v>
      </c>
      <c r="I145" s="420">
        <f t="shared" si="52"/>
        <v>0</v>
      </c>
      <c r="J145" s="420">
        <f t="shared" si="52"/>
        <v>0</v>
      </c>
      <c r="K145" s="420">
        <f t="shared" si="52"/>
        <v>0</v>
      </c>
      <c r="L145" s="420">
        <f t="shared" si="52"/>
        <v>0</v>
      </c>
    </row>
    <row r="146" spans="2:12" ht="15.6" x14ac:dyDescent="0.3">
      <c r="B146" s="416"/>
      <c r="C146" s="417"/>
      <c r="D146" s="417"/>
      <c r="E146" s="417"/>
      <c r="F146" s="417"/>
      <c r="G146" s="417"/>
      <c r="H146" s="417"/>
      <c r="I146" s="417"/>
      <c r="J146" s="417"/>
      <c r="K146" s="417"/>
      <c r="L146" s="417"/>
    </row>
    <row r="147" spans="2:12" ht="15.45" customHeight="1" x14ac:dyDescent="0.3">
      <c r="B147" s="432" t="s">
        <v>404</v>
      </c>
      <c r="C147" s="433">
        <f t="shared" ref="C147:L147" si="53">C110-C145</f>
        <v>-126083.61453579157</v>
      </c>
      <c r="D147" s="433">
        <f t="shared" si="53"/>
        <v>1968.2858925338951</v>
      </c>
      <c r="E147" s="433">
        <f t="shared" si="53"/>
        <v>2118045.3988478319</v>
      </c>
      <c r="F147" s="433">
        <f t="shared" si="53"/>
        <v>2233021.6258510621</v>
      </c>
      <c r="G147" s="433">
        <f t="shared" si="53"/>
        <v>0</v>
      </c>
      <c r="H147" s="433">
        <f t="shared" si="53"/>
        <v>0</v>
      </c>
      <c r="I147" s="433">
        <f t="shared" si="53"/>
        <v>0</v>
      </c>
      <c r="J147" s="433">
        <f t="shared" si="53"/>
        <v>0</v>
      </c>
      <c r="K147" s="433">
        <f t="shared" si="53"/>
        <v>0</v>
      </c>
      <c r="L147" s="433">
        <f t="shared" si="53"/>
        <v>0</v>
      </c>
    </row>
    <row r="148" spans="2:12" ht="15.45" customHeight="1" x14ac:dyDescent="0.3">
      <c r="B148" s="428" t="s">
        <v>1562</v>
      </c>
      <c r="C148" s="429">
        <f>IF(C$103=0,0,C147/C$103)</f>
        <v>-1.4969736310904194</v>
      </c>
      <c r="D148" s="429">
        <f>IF(D$103=0,0,D147/D$103)</f>
        <v>6.3861462859315698E-3</v>
      </c>
      <c r="E148" s="429">
        <f>IF(E$103=0,0,E147/E$103)</f>
        <v>0.36790657458505061</v>
      </c>
      <c r="F148" s="429">
        <f>IF(F$103=0,0,F147/F$103)</f>
        <v>0.38035547272465353</v>
      </c>
      <c r="G148" s="429">
        <f>IF(G$103=0,0,G147/G$103)</f>
        <v>0</v>
      </c>
      <c r="H148" s="429">
        <f>IF(H$103=0,0,H147/H$103)</f>
        <v>0</v>
      </c>
      <c r="I148" s="429">
        <f>IF(I$103=0,0,I147/I$103)</f>
        <v>0</v>
      </c>
      <c r="J148" s="429">
        <f>IF(J$103=0,0,J147/J$103)</f>
        <v>0</v>
      </c>
      <c r="K148" s="429">
        <f>IF(K$103=0,0,K147/K$103)</f>
        <v>0</v>
      </c>
      <c r="L148" s="429">
        <f>IF(L$103=0,0,L147/L$103)</f>
        <v>0</v>
      </c>
    </row>
    <row r="149" spans="2:12" ht="15.6" x14ac:dyDescent="0.3">
      <c r="B149" s="416"/>
      <c r="C149" s="417"/>
      <c r="D149" s="417"/>
      <c r="E149" s="417"/>
      <c r="F149" s="417"/>
      <c r="G149" s="417"/>
      <c r="H149" s="417"/>
      <c r="I149" s="417"/>
      <c r="J149" s="417"/>
      <c r="K149" s="417"/>
      <c r="L149" s="417"/>
    </row>
    <row r="150" spans="2:12" ht="15.45" customHeight="1" x14ac:dyDescent="0.3">
      <c r="B150" s="419" t="s">
        <v>11</v>
      </c>
      <c r="C150" s="418"/>
      <c r="D150" s="418"/>
      <c r="E150" s="418"/>
      <c r="F150" s="418"/>
      <c r="G150" s="418"/>
      <c r="H150" s="418"/>
      <c r="I150" s="418"/>
      <c r="J150" s="418"/>
      <c r="K150" s="418"/>
      <c r="L150" s="418"/>
    </row>
    <row r="151" spans="2:12" ht="37.049999999999997" customHeight="1" x14ac:dyDescent="0.3">
      <c r="B151" s="515" t="s">
        <v>1591</v>
      </c>
      <c r="C151" s="417">
        <f>MAX(0,(SUM($C112:C112)-SUM($C145:C145))*Input!$C$25-SUM($B151:B151))</f>
        <v>0</v>
      </c>
      <c r="D151" s="417">
        <f>MAX(0,(SUM($C112:D112)-SUM($C145:D145))*Input!$C$25-SUM($B151:C151))</f>
        <v>0</v>
      </c>
      <c r="E151" s="417">
        <f>MAX(0,(SUM($C112:E112)-SUM($C145:E145))*Input!$C$25-SUM($B151:D151))</f>
        <v>0</v>
      </c>
      <c r="F151" s="417">
        <f>MAX(0,(SUM($C112:F112)-SUM($C145:F145))*Input!$C$25-SUM($B151:E151))</f>
        <v>0</v>
      </c>
      <c r="G151" s="417">
        <f>MAX(0,(SUM($C112:G112)-SUM($C145:G145))*Input!$C$25-SUM($B151:F151))</f>
        <v>0</v>
      </c>
      <c r="H151" s="417">
        <f>MAX(0,(SUM($C112:H112)-SUM($C145:H145))*Input!$C$25-SUM($B151:G151))</f>
        <v>0</v>
      </c>
      <c r="I151" s="417">
        <f>MAX(0,(SUM($C112:I112)-SUM($C145:I145))*Input!$C$25-SUM($B151:H151))</f>
        <v>0</v>
      </c>
      <c r="J151" s="417">
        <f>MAX(0,(SUM($C112:J112)-SUM($C145:J145))*Input!$C$25-SUM($B151:I151))</f>
        <v>0</v>
      </c>
      <c r="K151" s="417">
        <f>MAX(0,(SUM($C112:K112)-SUM($C145:K145))*Input!$C$25-SUM($B151:J151))</f>
        <v>0</v>
      </c>
      <c r="L151" s="417">
        <f>MAX(0,(SUM($C112:L112)-SUM($C145:L145))*Input!$C$25-SUM($B151:K151))</f>
        <v>0</v>
      </c>
    </row>
    <row r="152" spans="2:12" ht="37.049999999999997" customHeight="1" x14ac:dyDescent="0.3">
      <c r="B152" s="515" t="s">
        <v>1592</v>
      </c>
      <c r="C152" s="417" cm="1">
        <f t="array" ref="C152">SUMPRODUCT((ROUNDUP(Properties!$U$6:$U$15/'_IRR Engine'!$Q$7,0)=C$4)*Properties!$D$6:$D$15*Properties!$AD$6:$AD$15)</f>
        <v>0</v>
      </c>
      <c r="D152" s="417" cm="1">
        <f t="array" ref="D152">SUMPRODUCT((ROUNDUP(Properties!$U$6:$U$15/'_IRR Engine'!$Q$7,0)=D$4)*Properties!$D$6:$D$15*Properties!$AD$6:$AD$15)</f>
        <v>0</v>
      </c>
      <c r="E152" s="417" cm="1">
        <f t="array" ref="E152">SUMPRODUCT((ROUNDUP(Properties!$U$6:$U$15/'_IRR Engine'!$Q$7,0)=E$4)*Properties!$D$6:$D$15*Properties!$AD$6:$AD$15)</f>
        <v>280708.26578848762</v>
      </c>
      <c r="F152" s="417" cm="1">
        <f t="array" ref="F152">SUMPRODUCT((ROUNDUP(Properties!$U$6:$U$15/'_IRR Engine'!$Q$7,0)=F$4)*Properties!$D$6:$D$15*Properties!$AD$6:$AD$15)</f>
        <v>287900.48080082738</v>
      </c>
      <c r="G152" s="417" cm="1">
        <f t="array" ref="G152">SUMPRODUCT((ROUNDUP(Properties!$U$6:$U$15/'_IRR Engine'!$Q$7,0)=G$4)*Properties!$D$6:$D$15*Properties!$AD$6:$AD$15)</f>
        <v>0</v>
      </c>
      <c r="H152" s="417" cm="1">
        <f t="array" ref="H152">SUMPRODUCT((ROUNDUP(Properties!$U$6:$U$15/'_IRR Engine'!$Q$7,0)=H$4)*Properties!$D$6:$D$15*Properties!$AD$6:$AD$15)</f>
        <v>0</v>
      </c>
      <c r="I152" s="417" cm="1">
        <f t="array" ref="I152">SUMPRODUCT((ROUNDUP(Properties!$U$6:$U$15/'_IRR Engine'!$Q$7,0)=I$4)*Properties!$D$6:$D$15*Properties!$AD$6:$AD$15)</f>
        <v>0</v>
      </c>
      <c r="J152" s="417" cm="1">
        <f t="array" ref="J152">SUMPRODUCT((ROUNDUP(Properties!$U$6:$U$15/'_IRR Engine'!$Q$7,0)=J$4)*Properties!$D$6:$D$15*Properties!$AD$6:$AD$15)</f>
        <v>0</v>
      </c>
      <c r="K152" s="417" cm="1">
        <f t="array" ref="K152">SUMPRODUCT((ROUNDUP(Properties!$U$6:$U$15/'_IRR Engine'!$Q$7,0)=K$4)*Properties!$D$6:$D$15*Properties!$AD$6:$AD$15)</f>
        <v>0</v>
      </c>
      <c r="L152" s="417" cm="1">
        <f t="array" ref="L152">SUMPRODUCT((ROUNDUP(Properties!$U$6:$U$15/'_IRR Engine'!$Q$7,0)=L$4)*Properties!$D$6:$D$15*Properties!$AD$6:$AD$15)</f>
        <v>0</v>
      </c>
    </row>
    <row r="153" spans="2:12" ht="15.45" customHeight="1" x14ac:dyDescent="0.3">
      <c r="B153" s="430" t="s">
        <v>77</v>
      </c>
      <c r="C153" s="420">
        <f t="shared" ref="C153:L153" si="54">C151+C152</f>
        <v>0</v>
      </c>
      <c r="D153" s="420">
        <f t="shared" si="54"/>
        <v>0</v>
      </c>
      <c r="E153" s="420">
        <f t="shared" si="54"/>
        <v>280708.26578848762</v>
      </c>
      <c r="F153" s="420">
        <f t="shared" si="54"/>
        <v>287900.48080082738</v>
      </c>
      <c r="G153" s="420">
        <f t="shared" si="54"/>
        <v>0</v>
      </c>
      <c r="H153" s="420">
        <f t="shared" si="54"/>
        <v>0</v>
      </c>
      <c r="I153" s="420">
        <f t="shared" si="54"/>
        <v>0</v>
      </c>
      <c r="J153" s="420">
        <f t="shared" si="54"/>
        <v>0</v>
      </c>
      <c r="K153" s="420">
        <f t="shared" si="54"/>
        <v>0</v>
      </c>
      <c r="L153" s="420">
        <f t="shared" si="54"/>
        <v>0</v>
      </c>
    </row>
    <row r="154" spans="2:12" ht="15.6" x14ac:dyDescent="0.3">
      <c r="B154" s="416"/>
      <c r="C154" s="417"/>
      <c r="D154" s="417"/>
      <c r="E154" s="417"/>
      <c r="F154" s="417"/>
      <c r="G154" s="417"/>
      <c r="H154" s="417"/>
      <c r="I154" s="417"/>
      <c r="J154" s="417"/>
      <c r="K154" s="417"/>
      <c r="L154" s="417"/>
    </row>
    <row r="155" spans="2:12" ht="15.45" customHeight="1" x14ac:dyDescent="0.3">
      <c r="B155" s="432" t="s">
        <v>78</v>
      </c>
      <c r="C155" s="433">
        <f>C147-C153</f>
        <v>-126083.61453579157</v>
      </c>
      <c r="D155" s="433">
        <f>D147-D153</f>
        <v>1968.2858925338951</v>
      </c>
      <c r="E155" s="433">
        <f>E147-E153</f>
        <v>1837337.1330593443</v>
      </c>
      <c r="F155" s="433">
        <f>F147-F153</f>
        <v>1945121.1450502346</v>
      </c>
      <c r="G155" s="433">
        <f>G147-G153</f>
        <v>0</v>
      </c>
      <c r="H155" s="433">
        <f>H147-H153</f>
        <v>0</v>
      </c>
      <c r="I155" s="433">
        <f>I147-I153</f>
        <v>0</v>
      </c>
      <c r="J155" s="433">
        <f>J147-J153</f>
        <v>0</v>
      </c>
      <c r="K155" s="433">
        <f>K147-K153</f>
        <v>0</v>
      </c>
      <c r="L155" s="433">
        <f>L147-L153</f>
        <v>0</v>
      </c>
    </row>
    <row r="156" spans="2:12" ht="15.45" customHeight="1" x14ac:dyDescent="0.3">
      <c r="B156" s="428" t="s">
        <v>1563</v>
      </c>
      <c r="C156" s="429">
        <f>IF(C$103=0,0,C155/C$103)</f>
        <v>-1.4969736310904194</v>
      </c>
      <c r="D156" s="429">
        <f>IF(D$103=0,0,D155/D$103)</f>
        <v>6.3861462859315698E-3</v>
      </c>
      <c r="E156" s="429">
        <f>IF(E$103=0,0,E155/E$103)</f>
        <v>0.31914727198458165</v>
      </c>
      <c r="F156" s="429">
        <f>IF(F$103=0,0,F155/F$103)</f>
        <v>0.33131675218341433</v>
      </c>
      <c r="G156" s="429">
        <f>IF(G$103=0,0,G155/G$103)</f>
        <v>0</v>
      </c>
      <c r="H156" s="429">
        <f>IF(H$103=0,0,H155/H$103)</f>
        <v>0</v>
      </c>
      <c r="I156" s="429">
        <f>IF(I$103=0,0,I155/I$103)</f>
        <v>0</v>
      </c>
      <c r="J156" s="429">
        <f>IF(J$103=0,0,J155/J$103)</f>
        <v>0</v>
      </c>
      <c r="K156" s="429">
        <f>IF(K$103=0,0,K155/K$103)</f>
        <v>0</v>
      </c>
      <c r="L156" s="429">
        <f>IF(L$103=0,0,L155/L$103)</f>
        <v>0</v>
      </c>
    </row>
    <row r="157" spans="2:12" ht="15.6" x14ac:dyDescent="0.3">
      <c r="B157" s="416"/>
      <c r="C157" s="417"/>
      <c r="D157" s="417"/>
      <c r="E157" s="417"/>
      <c r="F157" s="417"/>
      <c r="G157" s="417"/>
      <c r="H157" s="417"/>
      <c r="I157" s="417"/>
      <c r="J157" s="417"/>
      <c r="K157" s="417"/>
      <c r="L157" s="417"/>
    </row>
    <row r="158" spans="2:12" ht="15.45" customHeight="1" x14ac:dyDescent="0.3">
      <c r="B158" s="434" t="s">
        <v>135</v>
      </c>
      <c r="C158" s="417"/>
      <c r="D158" s="417"/>
      <c r="E158" s="417"/>
      <c r="F158" s="417"/>
      <c r="G158" s="417"/>
      <c r="H158" s="417"/>
      <c r="I158" s="417"/>
      <c r="J158" s="417"/>
      <c r="K158" s="417"/>
      <c r="L158" s="417"/>
    </row>
    <row r="159" spans="2:12" ht="15.45" customHeight="1" x14ac:dyDescent="0.3">
      <c r="B159" s="431" t="s">
        <v>71</v>
      </c>
      <c r="C159" s="417">
        <f>C29-C107-C108</f>
        <v>84225.675000000003</v>
      </c>
      <c r="D159" s="417">
        <f>D29-D107-D108</f>
        <v>308211.83925428579</v>
      </c>
      <c r="E159" s="417">
        <f>E29-E107-E108</f>
        <v>2339253.9710391685</v>
      </c>
      <c r="F159" s="417">
        <f>F29-F107-F108</f>
        <v>2284357.8528014286</v>
      </c>
      <c r="G159" s="417">
        <f>G29-G107-G108</f>
        <v>0</v>
      </c>
      <c r="H159" s="417">
        <f>H29-H107-H108</f>
        <v>0</v>
      </c>
      <c r="I159" s="417">
        <f>I29-I107-I108</f>
        <v>0</v>
      </c>
      <c r="J159" s="417">
        <f>J29-J107-J108</f>
        <v>0</v>
      </c>
      <c r="K159" s="417">
        <f>K29-K107-K108</f>
        <v>0</v>
      </c>
      <c r="L159" s="417">
        <f>L29-L107-L108</f>
        <v>0</v>
      </c>
    </row>
    <row r="160" spans="2:12" ht="15.45" customHeight="1" x14ac:dyDescent="0.3">
      <c r="B160" s="428" t="s">
        <v>1564</v>
      </c>
      <c r="C160" s="429">
        <f>IF(C$103=0,0,C159/C$103)</f>
        <v>1</v>
      </c>
      <c r="D160" s="429">
        <f>IF(D$103=0,0,D159/D$103)</f>
        <v>1</v>
      </c>
      <c r="E160" s="429">
        <f>IF(E$103=0,0,E159/E$103)</f>
        <v>0.40633072172941098</v>
      </c>
      <c r="F160" s="429">
        <f>IF(F$103=0,0,F159/F$103)</f>
        <v>0.38909968489150382</v>
      </c>
      <c r="G160" s="429">
        <f>IF(G$103=0,0,G159/G$103)</f>
        <v>0</v>
      </c>
      <c r="H160" s="429">
        <f>IF(H$103=0,0,H159/H$103)</f>
        <v>0</v>
      </c>
      <c r="I160" s="429">
        <f>IF(I$103=0,0,I159/I$103)</f>
        <v>0</v>
      </c>
      <c r="J160" s="429">
        <f>IF(J$103=0,0,J159/J$103)</f>
        <v>0</v>
      </c>
      <c r="K160" s="429">
        <f>IF(K$103=0,0,K159/K$103)</f>
        <v>0</v>
      </c>
      <c r="L160" s="429">
        <f>IF(L$103=0,0,L159/L$103)</f>
        <v>0</v>
      </c>
    </row>
    <row r="161" spans="2:12" ht="15.45" customHeight="1" x14ac:dyDescent="0.3">
      <c r="B161" s="431" t="s">
        <v>401</v>
      </c>
      <c r="C161" s="417">
        <f>C104+C105+C106+C139</f>
        <v>105656.28252865426</v>
      </c>
      <c r="D161" s="417">
        <f>D104+D105+D106+D139</f>
        <v>208938.48604110419</v>
      </c>
      <c r="E161" s="417">
        <f>E104+E105+E106+E139</f>
        <v>143484.99641817747</v>
      </c>
      <c r="F161" s="417">
        <f>F104+F105+F106+F139</f>
        <v>25059.289146531191</v>
      </c>
      <c r="G161" s="417">
        <f>G104+G105+G106+G139</f>
        <v>0</v>
      </c>
      <c r="H161" s="417">
        <f>H104+H105+H106+H139</f>
        <v>0</v>
      </c>
      <c r="I161" s="417">
        <f>I104+I105+I106+I139</f>
        <v>0</v>
      </c>
      <c r="J161" s="417">
        <f>J104+J105+J106+J139</f>
        <v>0</v>
      </c>
      <c r="K161" s="417">
        <f>K104+K105+K106+K139</f>
        <v>0</v>
      </c>
      <c r="L161" s="417">
        <f>L104+L105+L106+L139</f>
        <v>0</v>
      </c>
    </row>
    <row r="162" spans="2:12" ht="15.45" customHeight="1" x14ac:dyDescent="0.3">
      <c r="B162" s="431" t="s">
        <v>402</v>
      </c>
      <c r="C162" s="417">
        <f>C7-C161</f>
        <v>-21430.607528654262</v>
      </c>
      <c r="D162" s="417">
        <f>D7-D161</f>
        <v>99273.353213181603</v>
      </c>
      <c r="E162" s="417">
        <f>E7-E161</f>
        <v>67025.487075194018</v>
      </c>
      <c r="F162" s="417">
        <f>F7-F161</f>
        <v>15419.69956510995</v>
      </c>
      <c r="G162" s="417">
        <f>G7-G161</f>
        <v>0</v>
      </c>
      <c r="H162" s="417">
        <f>H7-H161</f>
        <v>0</v>
      </c>
      <c r="I162" s="417">
        <f>I7-I161</f>
        <v>0</v>
      </c>
      <c r="J162" s="417">
        <f>J7-J161</f>
        <v>0</v>
      </c>
      <c r="K162" s="417">
        <f>K7-K161</f>
        <v>0</v>
      </c>
      <c r="L162" s="417">
        <f>L7-L161</f>
        <v>0</v>
      </c>
    </row>
    <row r="163" spans="2:12" ht="15.45" customHeight="1" x14ac:dyDescent="0.3">
      <c r="B163" s="431" t="s">
        <v>76</v>
      </c>
      <c r="C163" s="417">
        <f>C161+C144</f>
        <v>210309.28953579155</v>
      </c>
      <c r="D163" s="417">
        <f>D161+D144</f>
        <v>306243.5533617519</v>
      </c>
      <c r="E163" s="417">
        <f>E161+E144</f>
        <v>221208.57219133669</v>
      </c>
      <c r="F163" s="417">
        <f>F161+F144</f>
        <v>51336.226950366508</v>
      </c>
      <c r="G163" s="417">
        <f>G161+G144</f>
        <v>0</v>
      </c>
      <c r="H163" s="417">
        <f>H161+H144</f>
        <v>0</v>
      </c>
      <c r="I163" s="417">
        <f>I161+I144</f>
        <v>0</v>
      </c>
      <c r="J163" s="417">
        <f>J161+J144</f>
        <v>0</v>
      </c>
      <c r="K163" s="417">
        <f>K161+K144</f>
        <v>0</v>
      </c>
      <c r="L163" s="417">
        <f>L161+L144</f>
        <v>0</v>
      </c>
    </row>
  </sheetData>
  <pageMargins left="0.7" right="0.7" top="0.75" bottom="0.75" header="0.3" footer="0.3"/>
  <pageSetup scale="80" fitToHeight="0" orientation="landscape" horizontalDpi="0" verticalDpi="0" r:id="rId1"/>
  <extLst>
    <ext xmlns:x14="http://schemas.microsoft.com/office/spreadsheetml/2009/9/main" uri="{78C0D931-6437-407d-A8EE-F0AAD7539E65}">
      <x14:conditionalFormattings>
        <x14:conditionalFormatting xmlns:xm="http://schemas.microsoft.com/office/excel/2006/main">
          <x14:cfRule type="expression" priority="1" id="{7AC3EF9C-32BB-4609-B5F1-8D080AF0A6E9}">
            <xm:f>C$4&gt;Input!$C$57</xm:f>
            <x14:dxf>
              <numFmt numFmtId="194" formatCode=";;;"/>
            </x14:dxf>
          </x14:cfRule>
          <xm:sqref>C4:L163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AC471-B123-48CD-BA2F-157941B328EB}">
  <sheetPr>
    <tabColor rgb="FF132E57"/>
    <pageSetUpPr fitToPage="1"/>
  </sheetPr>
  <dimension ref="A1:M68"/>
  <sheetViews>
    <sheetView topLeftCell="A35" workbookViewId="0">
      <selection sqref="A1:G68"/>
    </sheetView>
  </sheetViews>
  <sheetFormatPr defaultRowHeight="14.4" outlineLevelCol="1" x14ac:dyDescent="0.3"/>
  <cols>
    <col min="1" max="1" width="3.6640625" customWidth="1"/>
    <col min="2" max="2" width="57.44140625" customWidth="1"/>
    <col min="3" max="7" width="18.5546875" customWidth="1"/>
    <col min="8" max="12" width="18.5546875" hidden="1" customWidth="1" outlineLevel="1"/>
    <col min="13" max="13" width="8.88671875" collapsed="1"/>
  </cols>
  <sheetData>
    <row r="1" spans="1:13" ht="34.049999999999997" customHeight="1" x14ac:dyDescent="0.4">
      <c r="A1" s="301"/>
      <c r="B1" s="317" t="s">
        <v>323</v>
      </c>
      <c r="C1" s="302"/>
      <c r="D1" s="302"/>
      <c r="E1" s="302"/>
      <c r="F1" s="302"/>
      <c r="G1" s="302"/>
      <c r="H1" s="302"/>
      <c r="I1" s="303"/>
      <c r="J1" s="303"/>
      <c r="K1" s="303"/>
      <c r="L1" s="303"/>
      <c r="M1" s="304"/>
    </row>
    <row r="2" spans="1:13" ht="37.049999999999997" customHeight="1" x14ac:dyDescent="0.3">
      <c r="A2" s="9"/>
      <c r="B2" s="538" t="s">
        <v>1608</v>
      </c>
      <c r="C2" s="538"/>
      <c r="D2" s="538"/>
      <c r="E2" s="538"/>
      <c r="F2" s="538"/>
      <c r="G2" s="538"/>
      <c r="H2" s="311"/>
      <c r="I2" s="312"/>
      <c r="J2" s="312"/>
      <c r="K2" s="312"/>
      <c r="L2" s="312"/>
      <c r="M2" s="305"/>
    </row>
    <row r="3" spans="1:13" ht="18" customHeight="1" x14ac:dyDescent="0.3">
      <c r="A3" s="15"/>
      <c r="B3" s="109"/>
      <c r="C3" s="311"/>
      <c r="D3" s="311"/>
      <c r="E3" s="311"/>
      <c r="F3" s="311"/>
      <c r="G3" s="311"/>
      <c r="H3" s="311"/>
      <c r="I3" s="312"/>
      <c r="J3" s="312"/>
      <c r="K3" s="312"/>
      <c r="L3" s="312"/>
      <c r="M3" s="305"/>
    </row>
    <row r="4" spans="1:13" ht="18" customHeight="1" x14ac:dyDescent="0.3">
      <c r="A4" s="307"/>
      <c r="B4" s="318" t="s">
        <v>52</v>
      </c>
      <c r="C4" s="71">
        <f t="shared" ref="C4:L4" si="0">COLUMN()-2</f>
        <v>1</v>
      </c>
      <c r="D4" s="71">
        <f t="shared" si="0"/>
        <v>2</v>
      </c>
      <c r="E4" s="71">
        <f t="shared" si="0"/>
        <v>3</v>
      </c>
      <c r="F4" s="71">
        <f t="shared" si="0"/>
        <v>4</v>
      </c>
      <c r="G4" s="71">
        <f t="shared" si="0"/>
        <v>5</v>
      </c>
      <c r="H4" s="71">
        <f t="shared" si="0"/>
        <v>6</v>
      </c>
      <c r="I4" s="71">
        <f t="shared" si="0"/>
        <v>7</v>
      </c>
      <c r="J4" s="71">
        <f t="shared" si="0"/>
        <v>8</v>
      </c>
      <c r="K4" s="71">
        <f t="shared" si="0"/>
        <v>9</v>
      </c>
      <c r="L4" s="71">
        <f t="shared" si="0"/>
        <v>10</v>
      </c>
      <c r="M4" s="308"/>
    </row>
    <row r="5" spans="1:13" ht="18" customHeight="1" x14ac:dyDescent="0.3">
      <c r="A5" s="307"/>
      <c r="B5" s="318" t="s">
        <v>65</v>
      </c>
      <c r="C5" s="72" t="str">
        <f>TEXT(EDATE(Input!$C$7,(C4-1)*12),"mmm-yy")&amp;" – "&amp;TEXT(EDATE(Input!$C$7,C4*12-1),"mmm-yy")</f>
        <v>Oct-26 – Sep-27</v>
      </c>
      <c r="D5" s="72" t="str">
        <f>TEXT(EDATE(Input!$C$7,(D4-1)*12),"mmm-yy")&amp;" – "&amp;TEXT(EDATE(Input!$C$7,D4*12-1),"mmm-yy")</f>
        <v>Oct-27 – Sep-28</v>
      </c>
      <c r="E5" s="72" t="str">
        <f>TEXT(EDATE(Input!$C$7,(E4-1)*12),"mmm-yy")&amp;" – "&amp;TEXT(EDATE(Input!$C$7,E4*12-1),"mmm-yy")</f>
        <v>Oct-28 – Sep-29</v>
      </c>
      <c r="F5" s="72" t="str">
        <f>TEXT(EDATE(Input!$C$7,(F4-1)*12),"mmm-yy")&amp;" – "&amp;TEXT(EDATE(Input!$C$7,F4*12-1),"mmm-yy")</f>
        <v>Oct-29 – Sep-30</v>
      </c>
      <c r="G5" s="72" t="str">
        <f>TEXT(EDATE(Input!$C$7,(G4-1)*12),"mmm-yy")&amp;" – "&amp;TEXT(EDATE(Input!$C$7,G4*12-1),"mmm-yy")</f>
        <v>Oct-30 – Sep-31</v>
      </c>
      <c r="H5" s="72" t="str">
        <f>TEXT(EDATE(Input!$C$7,(H4-1)*12),"mmm-yy")&amp;" – "&amp;TEXT(EDATE(Input!$C$7,H4*12-1),"mmm-yy")</f>
        <v>Oct-31 – Sep-32</v>
      </c>
      <c r="I5" s="72" t="str">
        <f>TEXT(EDATE(Input!$C$7,(I4-1)*12),"mmm-yy")&amp;" – "&amp;TEXT(EDATE(Input!$C$7,I4*12-1),"mmm-yy")</f>
        <v>Oct-32 – Sep-33</v>
      </c>
      <c r="J5" s="72" t="str">
        <f>TEXT(EDATE(Input!$C$7,(J4-1)*12),"mmm-yy")&amp;" – "&amp;TEXT(EDATE(Input!$C$7,J4*12-1),"mmm-yy")</f>
        <v>Oct-33 – Sep-34</v>
      </c>
      <c r="K5" s="72" t="str">
        <f>TEXT(EDATE(Input!$C$7,(K4-1)*12),"mmm-yy")&amp;" – "&amp;TEXT(EDATE(Input!$C$7,K4*12-1),"mmm-yy")</f>
        <v>Oct-34 – Sep-35</v>
      </c>
      <c r="L5" s="72" t="str">
        <f>TEXT(EDATE(Input!$C$7,(L4-1)*12),"mmm-yy")&amp;" – "&amp;TEXT(EDATE(Input!$C$7,L4*12-1),"mmm-yy")</f>
        <v>Oct-35 – Sep-36</v>
      </c>
      <c r="M5" s="308"/>
    </row>
    <row r="6" spans="1:13" ht="19.95" customHeight="1" x14ac:dyDescent="0.3">
      <c r="A6" s="40"/>
      <c r="B6" s="130" t="s">
        <v>94</v>
      </c>
      <c r="C6" s="67"/>
      <c r="D6" s="67"/>
      <c r="E6" s="67"/>
      <c r="F6" s="67"/>
      <c r="G6" s="67"/>
      <c r="H6" s="67"/>
      <c r="I6" s="67"/>
      <c r="J6" s="67"/>
      <c r="K6" s="67"/>
      <c r="L6" s="67"/>
      <c r="M6" s="306"/>
    </row>
    <row r="7" spans="1:13" ht="18" customHeight="1" x14ac:dyDescent="0.3">
      <c r="A7" s="15"/>
      <c r="B7" s="108" t="s">
        <v>95</v>
      </c>
      <c r="C7" s="313">
        <f>'Income Statement'!C155</f>
        <v>-126083.61453579157</v>
      </c>
      <c r="D7" s="313">
        <f>'Income Statement'!D155</f>
        <v>1968.2858925338951</v>
      </c>
      <c r="E7" s="313">
        <f>'Income Statement'!E155</f>
        <v>1837337.1330593443</v>
      </c>
      <c r="F7" s="313">
        <f>'Income Statement'!F155</f>
        <v>1945121.1450502346</v>
      </c>
      <c r="G7" s="313">
        <f>'Income Statement'!G155</f>
        <v>0</v>
      </c>
      <c r="H7" s="313">
        <f>'Income Statement'!H155</f>
        <v>0</v>
      </c>
      <c r="I7" s="313">
        <f>'Income Statement'!I155</f>
        <v>0</v>
      </c>
      <c r="J7" s="313">
        <f>'Income Statement'!J155</f>
        <v>0</v>
      </c>
      <c r="K7" s="313">
        <f>'Income Statement'!K155</f>
        <v>0</v>
      </c>
      <c r="L7" s="313">
        <f>'Income Statement'!L155</f>
        <v>0</v>
      </c>
      <c r="M7" s="305"/>
    </row>
    <row r="8" spans="1:13" ht="18" customHeight="1" x14ac:dyDescent="0.3">
      <c r="A8" s="15">
        <v>1</v>
      </c>
      <c r="B8" s="143" t="str" cm="1">
        <f t="array" ref="B8">IF(Properties!$D$6=0,"",INDEX(Properties!$E:$E,$A8+5))</f>
        <v>Aires de Campestre Apto 801 (Penthouse)</v>
      </c>
      <c r="C8" s="313">
        <f>SUMIF('_Month Engine'!$C$5:$DR$5,C$4,INDEX('_Month Engine'!$C:$DR,MATCH("Cost Basis Released on Sale",'_Month Engine'!$A:$A,0)+MATCH($A8,'_Month Engine'!$B$73:$B$82,0),0))</f>
        <v>0</v>
      </c>
      <c r="D8" s="313">
        <f>SUMIF('_Month Engine'!$C$5:$DR$5,D$4,INDEX('_Month Engine'!$C:$DR,MATCH("Cost Basis Released on Sale",'_Month Engine'!$A:$A,0)+MATCH($A8,'_Month Engine'!$B$73:$B$82,0),0))</f>
        <v>0</v>
      </c>
      <c r="E8" s="313">
        <f>SUMIF('_Month Engine'!$C$5:$DR$5,E$4,INDEX('_Month Engine'!$C:$DR,MATCH("Cost Basis Released on Sale",'_Month Engine'!$A:$A,0)+MATCH($A8,'_Month Engine'!$B$73:$B$82,0),0))</f>
        <v>1168770.2265372169</v>
      </c>
      <c r="F8" s="313">
        <f>SUMIF('_Month Engine'!$C$5:$DR$5,F$4,INDEX('_Month Engine'!$C:$DR,MATCH("Cost Basis Released on Sale",'_Month Engine'!$A:$A,0)+MATCH($A8,'_Month Engine'!$B$73:$B$82,0),0))</f>
        <v>0</v>
      </c>
      <c r="G8" s="313">
        <f>SUMIF('_Month Engine'!$C$5:$DR$5,G$4,INDEX('_Month Engine'!$C:$DR,MATCH("Cost Basis Released on Sale",'_Month Engine'!$A:$A,0)+MATCH($A8,'_Month Engine'!$B$73:$B$82,0),0))</f>
        <v>0</v>
      </c>
      <c r="H8" s="313">
        <f>SUMIF('_Month Engine'!$C$5:$DR$5,H$4,INDEX('_Month Engine'!$C:$DR,MATCH("Cost Basis Released on Sale",'_Month Engine'!$A:$A,0)+MATCH($A8,'_Month Engine'!$B$73:$B$82,0),0))</f>
        <v>0</v>
      </c>
      <c r="I8" s="313">
        <f>SUMIF('_Month Engine'!$C$5:$DR$5,I$4,INDEX('_Month Engine'!$C:$DR,MATCH("Cost Basis Released on Sale",'_Month Engine'!$A:$A,0)+MATCH($A8,'_Month Engine'!$B$73:$B$82,0),0))</f>
        <v>0</v>
      </c>
      <c r="J8" s="313">
        <f>SUMIF('_Month Engine'!$C$5:$DR$5,J$4,INDEX('_Month Engine'!$C:$DR,MATCH("Cost Basis Released on Sale",'_Month Engine'!$A:$A,0)+MATCH($A8,'_Month Engine'!$B$73:$B$82,0),0))</f>
        <v>0</v>
      </c>
      <c r="K8" s="313">
        <f>SUMIF('_Month Engine'!$C$5:$DR$5,K$4,INDEX('_Month Engine'!$C:$DR,MATCH("Cost Basis Released on Sale",'_Month Engine'!$A:$A,0)+MATCH($A8,'_Month Engine'!$B$73:$B$82,0),0))</f>
        <v>0</v>
      </c>
      <c r="L8" s="313">
        <f>SUMIF('_Month Engine'!$C$5:$DR$5,L$4,INDEX('_Month Engine'!$C:$DR,MATCH("Cost Basis Released on Sale",'_Month Engine'!$A:$A,0)+MATCH($A8,'_Month Engine'!$B$73:$B$82,0),0))</f>
        <v>0</v>
      </c>
      <c r="M8" s="305"/>
    </row>
    <row r="9" spans="1:13" ht="18" customHeight="1" x14ac:dyDescent="0.3">
      <c r="A9" s="15">
        <v>2</v>
      </c>
      <c r="B9" s="143" t="str" cm="1">
        <f t="array" ref="B9">IF(Properties!$D$7=0,"",INDEX(Properties!$E:$E,$A9+5))</f>
        <v>Fontanar Apto 201 (Penthouse)</v>
      </c>
      <c r="C9" s="313">
        <f>SUMIF('_Month Engine'!$C$5:$DR$5,C$4,INDEX('_Month Engine'!$C:$DR,MATCH("Cost Basis Released on Sale",'_Month Engine'!$A:$A,0)+MATCH($A9,'_Month Engine'!$B$73:$B$82,0),0))</f>
        <v>0</v>
      </c>
      <c r="D9" s="313">
        <f>SUMIF('_Month Engine'!$C$5:$DR$5,D$4,INDEX('_Month Engine'!$C:$DR,MATCH("Cost Basis Released on Sale",'_Month Engine'!$A:$A,0)+MATCH($A9,'_Month Engine'!$B$73:$B$82,0),0))</f>
        <v>0</v>
      </c>
      <c r="E9" s="313">
        <f>SUMIF('_Month Engine'!$C$5:$DR$5,E$4,INDEX('_Month Engine'!$C:$DR,MATCH("Cost Basis Released on Sale",'_Month Engine'!$A:$A,0)+MATCH($A9,'_Month Engine'!$B$73:$B$82,0),0))</f>
        <v>1290857.6051779937</v>
      </c>
      <c r="F9" s="313">
        <f>SUMIF('_Month Engine'!$C$5:$DR$5,F$4,INDEX('_Month Engine'!$C:$DR,MATCH("Cost Basis Released on Sale",'_Month Engine'!$A:$A,0)+MATCH($A9,'_Month Engine'!$B$73:$B$82,0),0))</f>
        <v>0</v>
      </c>
      <c r="G9" s="313">
        <f>SUMIF('_Month Engine'!$C$5:$DR$5,G$4,INDEX('_Month Engine'!$C:$DR,MATCH("Cost Basis Released on Sale",'_Month Engine'!$A:$A,0)+MATCH($A9,'_Month Engine'!$B$73:$B$82,0),0))</f>
        <v>0</v>
      </c>
      <c r="H9" s="313">
        <f>SUMIF('_Month Engine'!$C$5:$DR$5,H$4,INDEX('_Month Engine'!$C:$DR,MATCH("Cost Basis Released on Sale",'_Month Engine'!$A:$A,0)+MATCH($A9,'_Month Engine'!$B$73:$B$82,0),0))</f>
        <v>0</v>
      </c>
      <c r="I9" s="313">
        <f>SUMIF('_Month Engine'!$C$5:$DR$5,I$4,INDEX('_Month Engine'!$C:$DR,MATCH("Cost Basis Released on Sale",'_Month Engine'!$A:$A,0)+MATCH($A9,'_Month Engine'!$B$73:$B$82,0),0))</f>
        <v>0</v>
      </c>
      <c r="J9" s="313">
        <f>SUMIF('_Month Engine'!$C$5:$DR$5,J$4,INDEX('_Month Engine'!$C:$DR,MATCH("Cost Basis Released on Sale",'_Month Engine'!$A:$A,0)+MATCH($A9,'_Month Engine'!$B$73:$B$82,0),0))</f>
        <v>0</v>
      </c>
      <c r="K9" s="313">
        <f>SUMIF('_Month Engine'!$C$5:$DR$5,K$4,INDEX('_Month Engine'!$C:$DR,MATCH("Cost Basis Released on Sale",'_Month Engine'!$A:$A,0)+MATCH($A9,'_Month Engine'!$B$73:$B$82,0),0))</f>
        <v>0</v>
      </c>
      <c r="L9" s="313">
        <f>SUMIF('_Month Engine'!$C$5:$DR$5,L$4,INDEX('_Month Engine'!$C:$DR,MATCH("Cost Basis Released on Sale",'_Month Engine'!$A:$A,0)+MATCH($A9,'_Month Engine'!$B$73:$B$82,0),0))</f>
        <v>0</v>
      </c>
      <c r="M9" s="305"/>
    </row>
    <row r="10" spans="1:13" ht="18" customHeight="1" x14ac:dyDescent="0.3">
      <c r="A10" s="15">
        <v>3</v>
      </c>
      <c r="B10" s="143" t="str" cm="1">
        <f t="array" ref="B10">IF(Properties!$D$8=0,"",INDEX(Properties!$E:$E,$A10+5))</f>
        <v>San Lucas Apto 101</v>
      </c>
      <c r="C10" s="313">
        <f>SUMIF('_Month Engine'!$C$5:$DR$5,C$4,INDEX('_Month Engine'!$C:$DR,MATCH("Cost Basis Released on Sale",'_Month Engine'!$A:$A,0)+MATCH($A10,'_Month Engine'!$B$73:$B$82,0),0))</f>
        <v>0</v>
      </c>
      <c r="D10" s="313">
        <f>SUMIF('_Month Engine'!$C$5:$DR$5,D$4,INDEX('_Month Engine'!$C:$DR,MATCH("Cost Basis Released on Sale",'_Month Engine'!$A:$A,0)+MATCH($A10,'_Month Engine'!$B$73:$B$82,0),0))</f>
        <v>0</v>
      </c>
      <c r="E10" s="313">
        <f>SUMIF('_Month Engine'!$C$5:$DR$5,E$4,INDEX('_Month Engine'!$C:$DR,MATCH("Cost Basis Released on Sale",'_Month Engine'!$A:$A,0)+MATCH($A10,'_Month Engine'!$B$73:$B$82,0),0))</f>
        <v>747370.55016181234</v>
      </c>
      <c r="F10" s="313">
        <f>SUMIF('_Month Engine'!$C$5:$DR$5,F$4,INDEX('_Month Engine'!$C:$DR,MATCH("Cost Basis Released on Sale",'_Month Engine'!$A:$A,0)+MATCH($A10,'_Month Engine'!$B$73:$B$82,0),0))</f>
        <v>0</v>
      </c>
      <c r="G10" s="313">
        <f>SUMIF('_Month Engine'!$C$5:$DR$5,G$4,INDEX('_Month Engine'!$C:$DR,MATCH("Cost Basis Released on Sale",'_Month Engine'!$A:$A,0)+MATCH($A10,'_Month Engine'!$B$73:$B$82,0),0))</f>
        <v>0</v>
      </c>
      <c r="H10" s="313">
        <f>SUMIF('_Month Engine'!$C$5:$DR$5,H$4,INDEX('_Month Engine'!$C:$DR,MATCH("Cost Basis Released on Sale",'_Month Engine'!$A:$A,0)+MATCH($A10,'_Month Engine'!$B$73:$B$82,0),0))</f>
        <v>0</v>
      </c>
      <c r="I10" s="313">
        <f>SUMIF('_Month Engine'!$C$5:$DR$5,I$4,INDEX('_Month Engine'!$C:$DR,MATCH("Cost Basis Released on Sale",'_Month Engine'!$A:$A,0)+MATCH($A10,'_Month Engine'!$B$73:$B$82,0),0))</f>
        <v>0</v>
      </c>
      <c r="J10" s="313">
        <f>SUMIF('_Month Engine'!$C$5:$DR$5,J$4,INDEX('_Month Engine'!$C:$DR,MATCH("Cost Basis Released on Sale",'_Month Engine'!$A:$A,0)+MATCH($A10,'_Month Engine'!$B$73:$B$82,0),0))</f>
        <v>0</v>
      </c>
      <c r="K10" s="313">
        <f>SUMIF('_Month Engine'!$C$5:$DR$5,K$4,INDEX('_Month Engine'!$C:$DR,MATCH("Cost Basis Released on Sale",'_Month Engine'!$A:$A,0)+MATCH($A10,'_Month Engine'!$B$73:$B$82,0),0))</f>
        <v>0</v>
      </c>
      <c r="L10" s="313">
        <f>SUMIF('_Month Engine'!$C$5:$DR$5,L$4,INDEX('_Month Engine'!$C:$DR,MATCH("Cost Basis Released on Sale",'_Month Engine'!$A:$A,0)+MATCH($A10,'_Month Engine'!$B$73:$B$82,0),0))</f>
        <v>0</v>
      </c>
      <c r="M10" s="305"/>
    </row>
    <row r="11" spans="1:13" ht="18" customHeight="1" x14ac:dyDescent="0.3">
      <c r="A11" s="15">
        <v>4</v>
      </c>
      <c r="B11" s="143" t="str" cm="1">
        <f t="array" ref="B11">IF(Properties!$D$9=0,"",INDEX(Properties!$E:$E,$A11+5))</f>
        <v>Casa Montana Lote 2 (Samuel Gaviria House)</v>
      </c>
      <c r="C11" s="313">
        <f>SUMIF('_Month Engine'!$C$5:$DR$5,C$4,INDEX('_Month Engine'!$C:$DR,MATCH("Cost Basis Released on Sale",'_Month Engine'!$A:$A,0)+MATCH($A11,'_Month Engine'!$B$73:$B$82,0),0))</f>
        <v>0</v>
      </c>
      <c r="D11" s="313">
        <f>SUMIF('_Month Engine'!$C$5:$DR$5,D$4,INDEX('_Month Engine'!$C:$DR,MATCH("Cost Basis Released on Sale",'_Month Engine'!$A:$A,0)+MATCH($A11,'_Month Engine'!$B$73:$B$82,0),0))</f>
        <v>0</v>
      </c>
      <c r="E11" s="313">
        <f>SUMIF('_Month Engine'!$C$5:$DR$5,E$4,INDEX('_Month Engine'!$C:$DR,MATCH("Cost Basis Released on Sale",'_Month Engine'!$A:$A,0)+MATCH($A11,'_Month Engine'!$B$73:$B$82,0),0))</f>
        <v>0</v>
      </c>
      <c r="F11" s="313">
        <f>SUMIF('_Month Engine'!$C$5:$DR$5,F$4,INDEX('_Month Engine'!$C:$DR,MATCH("Cost Basis Released on Sale",'_Month Engine'!$A:$A,0)+MATCH($A11,'_Month Engine'!$B$73:$B$82,0),0))</f>
        <v>1714482.2006472494</v>
      </c>
      <c r="G11" s="313">
        <f>SUMIF('_Month Engine'!$C$5:$DR$5,G$4,INDEX('_Month Engine'!$C:$DR,MATCH("Cost Basis Released on Sale",'_Month Engine'!$A:$A,0)+MATCH($A11,'_Month Engine'!$B$73:$B$82,0),0))</f>
        <v>0</v>
      </c>
      <c r="H11" s="313">
        <f>SUMIF('_Month Engine'!$C$5:$DR$5,H$4,INDEX('_Month Engine'!$C:$DR,MATCH("Cost Basis Released on Sale",'_Month Engine'!$A:$A,0)+MATCH($A11,'_Month Engine'!$B$73:$B$82,0),0))</f>
        <v>0</v>
      </c>
      <c r="I11" s="313">
        <f>SUMIF('_Month Engine'!$C$5:$DR$5,I$4,INDEX('_Month Engine'!$C:$DR,MATCH("Cost Basis Released on Sale",'_Month Engine'!$A:$A,0)+MATCH($A11,'_Month Engine'!$B$73:$B$82,0),0))</f>
        <v>0</v>
      </c>
      <c r="J11" s="313">
        <f>SUMIF('_Month Engine'!$C$5:$DR$5,J$4,INDEX('_Month Engine'!$C:$DR,MATCH("Cost Basis Released on Sale",'_Month Engine'!$A:$A,0)+MATCH($A11,'_Month Engine'!$B$73:$B$82,0),0))</f>
        <v>0</v>
      </c>
      <c r="K11" s="313">
        <f>SUMIF('_Month Engine'!$C$5:$DR$5,K$4,INDEX('_Month Engine'!$C:$DR,MATCH("Cost Basis Released on Sale",'_Month Engine'!$A:$A,0)+MATCH($A11,'_Month Engine'!$B$73:$B$82,0),0))</f>
        <v>0</v>
      </c>
      <c r="L11" s="313">
        <f>SUMIF('_Month Engine'!$C$5:$DR$5,L$4,INDEX('_Month Engine'!$C:$DR,MATCH("Cost Basis Released on Sale",'_Month Engine'!$A:$A,0)+MATCH($A11,'_Month Engine'!$B$73:$B$82,0),0))</f>
        <v>0</v>
      </c>
      <c r="M11" s="305"/>
    </row>
    <row r="12" spans="1:13" ht="18" customHeight="1" x14ac:dyDescent="0.3">
      <c r="A12" s="15">
        <v>5</v>
      </c>
      <c r="B12" s="143" t="str" cm="1">
        <f t="array" ref="B12">IF(Properties!$D$10=0,"",INDEX(Properties!$E:$E,$A12+5))</f>
        <v>Casa Monte Sereno</v>
      </c>
      <c r="C12" s="313">
        <f>SUMIF('_Month Engine'!$C$5:$DR$5,C$4,INDEX('_Month Engine'!$C:$DR,MATCH("Cost Basis Released on Sale",'_Month Engine'!$A:$A,0)+MATCH($A12,'_Month Engine'!$B$73:$B$82,0),0))</f>
        <v>0</v>
      </c>
      <c r="D12" s="313">
        <f>SUMIF('_Month Engine'!$C$5:$DR$5,D$4,INDEX('_Month Engine'!$C:$DR,MATCH("Cost Basis Released on Sale",'_Month Engine'!$A:$A,0)+MATCH($A12,'_Month Engine'!$B$73:$B$82,0),0))</f>
        <v>0</v>
      </c>
      <c r="E12" s="313">
        <f>SUMIF('_Month Engine'!$C$5:$DR$5,E$4,INDEX('_Month Engine'!$C:$DR,MATCH("Cost Basis Released on Sale",'_Month Engine'!$A:$A,0)+MATCH($A12,'_Month Engine'!$B$73:$B$82,0),0))</f>
        <v>0</v>
      </c>
      <c r="F12" s="313">
        <f>SUMIF('_Month Engine'!$C$5:$DR$5,F$4,INDEX('_Month Engine'!$C:$DR,MATCH("Cost Basis Released on Sale",'_Month Engine'!$A:$A,0)+MATCH($A12,'_Month Engine'!$B$73:$B$82,0),0))</f>
        <v>1650485.4368932038</v>
      </c>
      <c r="G12" s="313">
        <f>SUMIF('_Month Engine'!$C$5:$DR$5,G$4,INDEX('_Month Engine'!$C:$DR,MATCH("Cost Basis Released on Sale",'_Month Engine'!$A:$A,0)+MATCH($A12,'_Month Engine'!$B$73:$B$82,0),0))</f>
        <v>0</v>
      </c>
      <c r="H12" s="313">
        <f>SUMIF('_Month Engine'!$C$5:$DR$5,H$4,INDEX('_Month Engine'!$C:$DR,MATCH("Cost Basis Released on Sale",'_Month Engine'!$A:$A,0)+MATCH($A12,'_Month Engine'!$B$73:$B$82,0),0))</f>
        <v>0</v>
      </c>
      <c r="I12" s="313">
        <f>SUMIF('_Month Engine'!$C$5:$DR$5,I$4,INDEX('_Month Engine'!$C:$DR,MATCH("Cost Basis Released on Sale",'_Month Engine'!$A:$A,0)+MATCH($A12,'_Month Engine'!$B$73:$B$82,0),0))</f>
        <v>0</v>
      </c>
      <c r="J12" s="313">
        <f>SUMIF('_Month Engine'!$C$5:$DR$5,J$4,INDEX('_Month Engine'!$C:$DR,MATCH("Cost Basis Released on Sale",'_Month Engine'!$A:$A,0)+MATCH($A12,'_Month Engine'!$B$73:$B$82,0),0))</f>
        <v>0</v>
      </c>
      <c r="K12" s="313">
        <f>SUMIF('_Month Engine'!$C$5:$DR$5,K$4,INDEX('_Month Engine'!$C:$DR,MATCH("Cost Basis Released on Sale",'_Month Engine'!$A:$A,0)+MATCH($A12,'_Month Engine'!$B$73:$B$82,0),0))</f>
        <v>0</v>
      </c>
      <c r="L12" s="313">
        <f>SUMIF('_Month Engine'!$C$5:$DR$5,L$4,INDEX('_Month Engine'!$C:$DR,MATCH("Cost Basis Released on Sale",'_Month Engine'!$A:$A,0)+MATCH($A12,'_Month Engine'!$B$73:$B$82,0),0))</f>
        <v>0</v>
      </c>
      <c r="M12" s="305"/>
    </row>
    <row r="13" spans="1:13" ht="18" customHeight="1" x14ac:dyDescent="0.3">
      <c r="A13" s="15">
        <v>6</v>
      </c>
      <c r="B13" s="143" t="str" cm="1">
        <f t="array" ref="B13">IF(Properties!$D$11=0,"",INDEX(Properties!$E:$E,$A13+5))</f>
        <v/>
      </c>
      <c r="C13" s="313">
        <f>SUMIF('_Month Engine'!$C$5:$DR$5,C$4,INDEX('_Month Engine'!$C:$DR,MATCH("Cost Basis Released on Sale",'_Month Engine'!$A:$A,0)+MATCH($A13,'_Month Engine'!$B$73:$B$82,0),0))</f>
        <v>0</v>
      </c>
      <c r="D13" s="313">
        <f>SUMIF('_Month Engine'!$C$5:$DR$5,D$4,INDEX('_Month Engine'!$C:$DR,MATCH("Cost Basis Released on Sale",'_Month Engine'!$A:$A,0)+MATCH($A13,'_Month Engine'!$B$73:$B$82,0),0))</f>
        <v>0</v>
      </c>
      <c r="E13" s="313">
        <f>SUMIF('_Month Engine'!$C$5:$DR$5,E$4,INDEX('_Month Engine'!$C:$DR,MATCH("Cost Basis Released on Sale",'_Month Engine'!$A:$A,0)+MATCH($A13,'_Month Engine'!$B$73:$B$82,0),0))</f>
        <v>0</v>
      </c>
      <c r="F13" s="313">
        <f>SUMIF('_Month Engine'!$C$5:$DR$5,F$4,INDEX('_Month Engine'!$C:$DR,MATCH("Cost Basis Released on Sale",'_Month Engine'!$A:$A,0)+MATCH($A13,'_Month Engine'!$B$73:$B$82,0),0))</f>
        <v>0</v>
      </c>
      <c r="G13" s="313">
        <f>SUMIF('_Month Engine'!$C$5:$DR$5,G$4,INDEX('_Month Engine'!$C:$DR,MATCH("Cost Basis Released on Sale",'_Month Engine'!$A:$A,0)+MATCH($A13,'_Month Engine'!$B$73:$B$82,0),0))</f>
        <v>0</v>
      </c>
      <c r="H13" s="313">
        <f>SUMIF('_Month Engine'!$C$5:$DR$5,H$4,INDEX('_Month Engine'!$C:$DR,MATCH("Cost Basis Released on Sale",'_Month Engine'!$A:$A,0)+MATCH($A13,'_Month Engine'!$B$73:$B$82,0),0))</f>
        <v>0</v>
      </c>
      <c r="I13" s="313">
        <f>SUMIF('_Month Engine'!$C$5:$DR$5,I$4,INDEX('_Month Engine'!$C:$DR,MATCH("Cost Basis Released on Sale",'_Month Engine'!$A:$A,0)+MATCH($A13,'_Month Engine'!$B$73:$B$82,0),0))</f>
        <v>0</v>
      </c>
      <c r="J13" s="313">
        <f>SUMIF('_Month Engine'!$C$5:$DR$5,J$4,INDEX('_Month Engine'!$C:$DR,MATCH("Cost Basis Released on Sale",'_Month Engine'!$A:$A,0)+MATCH($A13,'_Month Engine'!$B$73:$B$82,0),0))</f>
        <v>0</v>
      </c>
      <c r="K13" s="313">
        <f>SUMIF('_Month Engine'!$C$5:$DR$5,K$4,INDEX('_Month Engine'!$C:$DR,MATCH("Cost Basis Released on Sale",'_Month Engine'!$A:$A,0)+MATCH($A13,'_Month Engine'!$B$73:$B$82,0),0))</f>
        <v>0</v>
      </c>
      <c r="L13" s="313">
        <f>SUMIF('_Month Engine'!$C$5:$DR$5,L$4,INDEX('_Month Engine'!$C:$DR,MATCH("Cost Basis Released on Sale",'_Month Engine'!$A:$A,0)+MATCH($A13,'_Month Engine'!$B$73:$B$82,0),0))</f>
        <v>0</v>
      </c>
      <c r="M13" s="305"/>
    </row>
    <row r="14" spans="1:13" ht="18" customHeight="1" x14ac:dyDescent="0.3">
      <c r="A14" s="15">
        <v>7</v>
      </c>
      <c r="B14" s="143" t="str" cm="1">
        <f t="array" ref="B14">IF(Properties!$D$12=0,"",INDEX(Properties!$E:$E,$A14+5))</f>
        <v/>
      </c>
      <c r="C14" s="313">
        <f>SUMIF('_Month Engine'!$C$5:$DR$5,C$4,INDEX('_Month Engine'!$C:$DR,MATCH("Cost Basis Released on Sale",'_Month Engine'!$A:$A,0)+MATCH($A14,'_Month Engine'!$B$73:$B$82,0),0))</f>
        <v>0</v>
      </c>
      <c r="D14" s="313">
        <f>SUMIF('_Month Engine'!$C$5:$DR$5,D$4,INDEX('_Month Engine'!$C:$DR,MATCH("Cost Basis Released on Sale",'_Month Engine'!$A:$A,0)+MATCH($A14,'_Month Engine'!$B$73:$B$82,0),0))</f>
        <v>0</v>
      </c>
      <c r="E14" s="313">
        <f>SUMIF('_Month Engine'!$C$5:$DR$5,E$4,INDEX('_Month Engine'!$C:$DR,MATCH("Cost Basis Released on Sale",'_Month Engine'!$A:$A,0)+MATCH($A14,'_Month Engine'!$B$73:$B$82,0),0))</f>
        <v>0</v>
      </c>
      <c r="F14" s="313">
        <f>SUMIF('_Month Engine'!$C$5:$DR$5,F$4,INDEX('_Month Engine'!$C:$DR,MATCH("Cost Basis Released on Sale",'_Month Engine'!$A:$A,0)+MATCH($A14,'_Month Engine'!$B$73:$B$82,0),0))</f>
        <v>0</v>
      </c>
      <c r="G14" s="313">
        <f>SUMIF('_Month Engine'!$C$5:$DR$5,G$4,INDEX('_Month Engine'!$C:$DR,MATCH("Cost Basis Released on Sale",'_Month Engine'!$A:$A,0)+MATCH($A14,'_Month Engine'!$B$73:$B$82,0),0))</f>
        <v>0</v>
      </c>
      <c r="H14" s="313">
        <f>SUMIF('_Month Engine'!$C$5:$DR$5,H$4,INDEX('_Month Engine'!$C:$DR,MATCH("Cost Basis Released on Sale",'_Month Engine'!$A:$A,0)+MATCH($A14,'_Month Engine'!$B$73:$B$82,0),0))</f>
        <v>0</v>
      </c>
      <c r="I14" s="313">
        <f>SUMIF('_Month Engine'!$C$5:$DR$5,I$4,INDEX('_Month Engine'!$C:$DR,MATCH("Cost Basis Released on Sale",'_Month Engine'!$A:$A,0)+MATCH($A14,'_Month Engine'!$B$73:$B$82,0),0))</f>
        <v>0</v>
      </c>
      <c r="J14" s="313">
        <f>SUMIF('_Month Engine'!$C$5:$DR$5,J$4,INDEX('_Month Engine'!$C:$DR,MATCH("Cost Basis Released on Sale",'_Month Engine'!$A:$A,0)+MATCH($A14,'_Month Engine'!$B$73:$B$82,0),0))</f>
        <v>0</v>
      </c>
      <c r="K14" s="313">
        <f>SUMIF('_Month Engine'!$C$5:$DR$5,K$4,INDEX('_Month Engine'!$C:$DR,MATCH("Cost Basis Released on Sale",'_Month Engine'!$A:$A,0)+MATCH($A14,'_Month Engine'!$B$73:$B$82,0),0))</f>
        <v>0</v>
      </c>
      <c r="L14" s="313">
        <f>SUMIF('_Month Engine'!$C$5:$DR$5,L$4,INDEX('_Month Engine'!$C:$DR,MATCH("Cost Basis Released on Sale",'_Month Engine'!$A:$A,0)+MATCH($A14,'_Month Engine'!$B$73:$B$82,0),0))</f>
        <v>0</v>
      </c>
      <c r="M14" s="305"/>
    </row>
    <row r="15" spans="1:13" ht="18" customHeight="1" x14ac:dyDescent="0.3">
      <c r="A15" s="15">
        <v>8</v>
      </c>
      <c r="B15" s="143" t="str" cm="1">
        <f t="array" ref="B15">IF(Properties!$D$13=0,"",INDEX(Properties!$E:$E,$A15+5))</f>
        <v/>
      </c>
      <c r="C15" s="313">
        <f>SUMIF('_Month Engine'!$C$5:$DR$5,C$4,INDEX('_Month Engine'!$C:$DR,MATCH("Cost Basis Released on Sale",'_Month Engine'!$A:$A,0)+MATCH($A15,'_Month Engine'!$B$73:$B$82,0),0))</f>
        <v>0</v>
      </c>
      <c r="D15" s="313">
        <f>SUMIF('_Month Engine'!$C$5:$DR$5,D$4,INDEX('_Month Engine'!$C:$DR,MATCH("Cost Basis Released on Sale",'_Month Engine'!$A:$A,0)+MATCH($A15,'_Month Engine'!$B$73:$B$82,0),0))</f>
        <v>0</v>
      </c>
      <c r="E15" s="313">
        <f>SUMIF('_Month Engine'!$C$5:$DR$5,E$4,INDEX('_Month Engine'!$C:$DR,MATCH("Cost Basis Released on Sale",'_Month Engine'!$A:$A,0)+MATCH($A15,'_Month Engine'!$B$73:$B$82,0),0))</f>
        <v>0</v>
      </c>
      <c r="F15" s="313">
        <f>SUMIF('_Month Engine'!$C$5:$DR$5,F$4,INDEX('_Month Engine'!$C:$DR,MATCH("Cost Basis Released on Sale",'_Month Engine'!$A:$A,0)+MATCH($A15,'_Month Engine'!$B$73:$B$82,0),0))</f>
        <v>0</v>
      </c>
      <c r="G15" s="313">
        <f>SUMIF('_Month Engine'!$C$5:$DR$5,G$4,INDEX('_Month Engine'!$C:$DR,MATCH("Cost Basis Released on Sale",'_Month Engine'!$A:$A,0)+MATCH($A15,'_Month Engine'!$B$73:$B$82,0),0))</f>
        <v>0</v>
      </c>
      <c r="H15" s="313">
        <f>SUMIF('_Month Engine'!$C$5:$DR$5,H$4,INDEX('_Month Engine'!$C:$DR,MATCH("Cost Basis Released on Sale",'_Month Engine'!$A:$A,0)+MATCH($A15,'_Month Engine'!$B$73:$B$82,0),0))</f>
        <v>0</v>
      </c>
      <c r="I15" s="313">
        <f>SUMIF('_Month Engine'!$C$5:$DR$5,I$4,INDEX('_Month Engine'!$C:$DR,MATCH("Cost Basis Released on Sale",'_Month Engine'!$A:$A,0)+MATCH($A15,'_Month Engine'!$B$73:$B$82,0),0))</f>
        <v>0</v>
      </c>
      <c r="J15" s="313">
        <f>SUMIF('_Month Engine'!$C$5:$DR$5,J$4,INDEX('_Month Engine'!$C:$DR,MATCH("Cost Basis Released on Sale",'_Month Engine'!$A:$A,0)+MATCH($A15,'_Month Engine'!$B$73:$B$82,0),0))</f>
        <v>0</v>
      </c>
      <c r="K15" s="313">
        <f>SUMIF('_Month Engine'!$C$5:$DR$5,K$4,INDEX('_Month Engine'!$C:$DR,MATCH("Cost Basis Released on Sale",'_Month Engine'!$A:$A,0)+MATCH($A15,'_Month Engine'!$B$73:$B$82,0),0))</f>
        <v>0</v>
      </c>
      <c r="L15" s="313">
        <f>SUMIF('_Month Engine'!$C$5:$DR$5,L$4,INDEX('_Month Engine'!$C:$DR,MATCH("Cost Basis Released on Sale",'_Month Engine'!$A:$A,0)+MATCH($A15,'_Month Engine'!$B$73:$B$82,0),0))</f>
        <v>0</v>
      </c>
      <c r="M15" s="305"/>
    </row>
    <row r="16" spans="1:13" ht="18" customHeight="1" x14ac:dyDescent="0.3">
      <c r="A16" s="15">
        <v>9</v>
      </c>
      <c r="B16" s="143" t="str" cm="1">
        <f t="array" ref="B16">IF(Properties!$D$14=0,"",INDEX(Properties!$E:$E,$A16+5))</f>
        <v/>
      </c>
      <c r="C16" s="313">
        <f>SUMIF('_Month Engine'!$C$5:$DR$5,C$4,INDEX('_Month Engine'!$C:$DR,MATCH("Cost Basis Released on Sale",'_Month Engine'!$A:$A,0)+MATCH($A16,'_Month Engine'!$B$73:$B$82,0),0))</f>
        <v>0</v>
      </c>
      <c r="D16" s="313">
        <f>SUMIF('_Month Engine'!$C$5:$DR$5,D$4,INDEX('_Month Engine'!$C:$DR,MATCH("Cost Basis Released on Sale",'_Month Engine'!$A:$A,0)+MATCH($A16,'_Month Engine'!$B$73:$B$82,0),0))</f>
        <v>0</v>
      </c>
      <c r="E16" s="313">
        <f>SUMIF('_Month Engine'!$C$5:$DR$5,E$4,INDEX('_Month Engine'!$C:$DR,MATCH("Cost Basis Released on Sale",'_Month Engine'!$A:$A,0)+MATCH($A16,'_Month Engine'!$B$73:$B$82,0),0))</f>
        <v>0</v>
      </c>
      <c r="F16" s="313">
        <f>SUMIF('_Month Engine'!$C$5:$DR$5,F$4,INDEX('_Month Engine'!$C:$DR,MATCH("Cost Basis Released on Sale",'_Month Engine'!$A:$A,0)+MATCH($A16,'_Month Engine'!$B$73:$B$82,0),0))</f>
        <v>0</v>
      </c>
      <c r="G16" s="313">
        <f>SUMIF('_Month Engine'!$C$5:$DR$5,G$4,INDEX('_Month Engine'!$C:$DR,MATCH("Cost Basis Released on Sale",'_Month Engine'!$A:$A,0)+MATCH($A16,'_Month Engine'!$B$73:$B$82,0),0))</f>
        <v>0</v>
      </c>
      <c r="H16" s="313">
        <f>SUMIF('_Month Engine'!$C$5:$DR$5,H$4,INDEX('_Month Engine'!$C:$DR,MATCH("Cost Basis Released on Sale",'_Month Engine'!$A:$A,0)+MATCH($A16,'_Month Engine'!$B$73:$B$82,0),0))</f>
        <v>0</v>
      </c>
      <c r="I16" s="313">
        <f>SUMIF('_Month Engine'!$C$5:$DR$5,I$4,INDEX('_Month Engine'!$C:$DR,MATCH("Cost Basis Released on Sale",'_Month Engine'!$A:$A,0)+MATCH($A16,'_Month Engine'!$B$73:$B$82,0),0))</f>
        <v>0</v>
      </c>
      <c r="J16" s="313">
        <f>SUMIF('_Month Engine'!$C$5:$DR$5,J$4,INDEX('_Month Engine'!$C:$DR,MATCH("Cost Basis Released on Sale",'_Month Engine'!$A:$A,0)+MATCH($A16,'_Month Engine'!$B$73:$B$82,0),0))</f>
        <v>0</v>
      </c>
      <c r="K16" s="313">
        <f>SUMIF('_Month Engine'!$C$5:$DR$5,K$4,INDEX('_Month Engine'!$C:$DR,MATCH("Cost Basis Released on Sale",'_Month Engine'!$A:$A,0)+MATCH($A16,'_Month Engine'!$B$73:$B$82,0),0))</f>
        <v>0</v>
      </c>
      <c r="L16" s="313">
        <f>SUMIF('_Month Engine'!$C$5:$DR$5,L$4,INDEX('_Month Engine'!$C:$DR,MATCH("Cost Basis Released on Sale",'_Month Engine'!$A:$A,0)+MATCH($A16,'_Month Engine'!$B$73:$B$82,0),0))</f>
        <v>0</v>
      </c>
      <c r="M16" s="305"/>
    </row>
    <row r="17" spans="1:13" ht="18" customHeight="1" x14ac:dyDescent="0.3">
      <c r="A17" s="15">
        <v>10</v>
      </c>
      <c r="B17" s="143" t="str" cm="1">
        <f t="array" ref="B17">IF(Properties!$D$15=0,"",INDEX(Properties!$E:$E,$A17+5))</f>
        <v/>
      </c>
      <c r="C17" s="313">
        <f>SUMIF('_Month Engine'!$C$5:$DR$5,C$4,INDEX('_Month Engine'!$C:$DR,MATCH("Cost Basis Released on Sale",'_Month Engine'!$A:$A,0)+MATCH($A17,'_Month Engine'!$B$73:$B$82,0),0))</f>
        <v>0</v>
      </c>
      <c r="D17" s="313">
        <f>SUMIF('_Month Engine'!$C$5:$DR$5,D$4,INDEX('_Month Engine'!$C:$DR,MATCH("Cost Basis Released on Sale",'_Month Engine'!$A:$A,0)+MATCH($A17,'_Month Engine'!$B$73:$B$82,0),0))</f>
        <v>0</v>
      </c>
      <c r="E17" s="313">
        <f>SUMIF('_Month Engine'!$C$5:$DR$5,E$4,INDEX('_Month Engine'!$C:$DR,MATCH("Cost Basis Released on Sale",'_Month Engine'!$A:$A,0)+MATCH($A17,'_Month Engine'!$B$73:$B$82,0),0))</f>
        <v>0</v>
      </c>
      <c r="F17" s="313">
        <f>SUMIF('_Month Engine'!$C$5:$DR$5,F$4,INDEX('_Month Engine'!$C:$DR,MATCH("Cost Basis Released on Sale",'_Month Engine'!$A:$A,0)+MATCH($A17,'_Month Engine'!$B$73:$B$82,0),0))</f>
        <v>0</v>
      </c>
      <c r="G17" s="313">
        <f>SUMIF('_Month Engine'!$C$5:$DR$5,G$4,INDEX('_Month Engine'!$C:$DR,MATCH("Cost Basis Released on Sale",'_Month Engine'!$A:$A,0)+MATCH($A17,'_Month Engine'!$B$73:$B$82,0),0))</f>
        <v>0</v>
      </c>
      <c r="H17" s="313">
        <f>SUMIF('_Month Engine'!$C$5:$DR$5,H$4,INDEX('_Month Engine'!$C:$DR,MATCH("Cost Basis Released on Sale",'_Month Engine'!$A:$A,0)+MATCH($A17,'_Month Engine'!$B$73:$B$82,0),0))</f>
        <v>0</v>
      </c>
      <c r="I17" s="313">
        <f>SUMIF('_Month Engine'!$C$5:$DR$5,I$4,INDEX('_Month Engine'!$C:$DR,MATCH("Cost Basis Released on Sale",'_Month Engine'!$A:$A,0)+MATCH($A17,'_Month Engine'!$B$73:$B$82,0),0))</f>
        <v>0</v>
      </c>
      <c r="J17" s="313">
        <f>SUMIF('_Month Engine'!$C$5:$DR$5,J$4,INDEX('_Month Engine'!$C:$DR,MATCH("Cost Basis Released on Sale",'_Month Engine'!$A:$A,0)+MATCH($A17,'_Month Engine'!$B$73:$B$82,0),0))</f>
        <v>0</v>
      </c>
      <c r="K17" s="313">
        <f>SUMIF('_Month Engine'!$C$5:$DR$5,K$4,INDEX('_Month Engine'!$C:$DR,MATCH("Cost Basis Released on Sale",'_Month Engine'!$A:$A,0)+MATCH($A17,'_Month Engine'!$B$73:$B$82,0),0))</f>
        <v>0</v>
      </c>
      <c r="L17" s="313">
        <f>SUMIF('_Month Engine'!$C$5:$DR$5,L$4,INDEX('_Month Engine'!$C:$DR,MATCH("Cost Basis Released on Sale",'_Month Engine'!$A:$A,0)+MATCH($A17,'_Month Engine'!$B$73:$B$82,0),0))</f>
        <v>0</v>
      </c>
      <c r="M17" s="305"/>
    </row>
    <row r="18" spans="1:13" ht="18" customHeight="1" x14ac:dyDescent="0.3">
      <c r="A18" s="15"/>
      <c r="B18" s="108" t="s">
        <v>96</v>
      </c>
      <c r="C18" s="313">
        <f t="shared" ref="C18:L18" si="1">SUM(C8:C17)</f>
        <v>0</v>
      </c>
      <c r="D18" s="313">
        <f t="shared" si="1"/>
        <v>0</v>
      </c>
      <c r="E18" s="313">
        <f t="shared" si="1"/>
        <v>3206998.3818770228</v>
      </c>
      <c r="F18" s="313">
        <f t="shared" si="1"/>
        <v>3364967.6375404531</v>
      </c>
      <c r="G18" s="313">
        <f t="shared" si="1"/>
        <v>0</v>
      </c>
      <c r="H18" s="313">
        <f t="shared" si="1"/>
        <v>0</v>
      </c>
      <c r="I18" s="313">
        <f t="shared" si="1"/>
        <v>0</v>
      </c>
      <c r="J18" s="313">
        <f t="shared" si="1"/>
        <v>0</v>
      </c>
      <c r="K18" s="313">
        <f t="shared" si="1"/>
        <v>0</v>
      </c>
      <c r="L18" s="313">
        <f t="shared" si="1"/>
        <v>0</v>
      </c>
      <c r="M18" s="305"/>
    </row>
    <row r="19" spans="1:13" ht="18" customHeight="1" x14ac:dyDescent="0.3">
      <c r="A19" s="15"/>
      <c r="B19" s="319" t="s">
        <v>97</v>
      </c>
      <c r="C19" s="314">
        <f t="shared" ref="C19:L19" si="2">C7+C18</f>
        <v>-126083.61453579157</v>
      </c>
      <c r="D19" s="314">
        <f t="shared" si="2"/>
        <v>1968.2858925338951</v>
      </c>
      <c r="E19" s="314">
        <f t="shared" si="2"/>
        <v>5044335.514936367</v>
      </c>
      <c r="F19" s="314">
        <f t="shared" si="2"/>
        <v>5310088.7825906873</v>
      </c>
      <c r="G19" s="314">
        <f t="shared" si="2"/>
        <v>0</v>
      </c>
      <c r="H19" s="314">
        <f t="shared" si="2"/>
        <v>0</v>
      </c>
      <c r="I19" s="314">
        <f t="shared" si="2"/>
        <v>0</v>
      </c>
      <c r="J19" s="314">
        <f t="shared" si="2"/>
        <v>0</v>
      </c>
      <c r="K19" s="314">
        <f t="shared" si="2"/>
        <v>0</v>
      </c>
      <c r="L19" s="314">
        <f t="shared" si="2"/>
        <v>0</v>
      </c>
      <c r="M19" s="305"/>
    </row>
    <row r="20" spans="1:13" ht="18" customHeight="1" x14ac:dyDescent="0.3">
      <c r="A20" s="15"/>
      <c r="B20" s="109"/>
      <c r="C20" s="311"/>
      <c r="D20" s="311"/>
      <c r="E20" s="311"/>
      <c r="F20" s="311"/>
      <c r="G20" s="311"/>
      <c r="H20" s="311"/>
      <c r="I20" s="311"/>
      <c r="J20" s="311"/>
      <c r="K20" s="311"/>
      <c r="L20" s="311"/>
      <c r="M20" s="305"/>
    </row>
    <row r="21" spans="1:13" ht="19.95" customHeight="1" x14ac:dyDescent="0.3">
      <c r="A21" s="40"/>
      <c r="B21" s="130" t="s">
        <v>98</v>
      </c>
      <c r="C21" s="67"/>
      <c r="D21" s="67"/>
      <c r="E21" s="67"/>
      <c r="F21" s="67"/>
      <c r="G21" s="67"/>
      <c r="H21" s="67"/>
      <c r="I21" s="67"/>
      <c r="J21" s="67"/>
      <c r="K21" s="67"/>
      <c r="L21" s="67"/>
      <c r="M21" s="306"/>
    </row>
    <row r="22" spans="1:13" ht="18" customHeight="1" x14ac:dyDescent="0.3">
      <c r="A22" s="328">
        <v>1</v>
      </c>
      <c r="B22" s="143" t="str" cm="1">
        <f t="array" ref="B22">IF(Properties!$D$6=0,"",INDEX(Properties!$E:$E,$A22+5))</f>
        <v>Aires de Campestre Apto 801 (Penthouse)</v>
      </c>
      <c r="C22" s="313">
        <f>-SUMIF('_Month Engine'!$C$5:$DR$5,C$4,INDEX('_Month Engine'!$C:$DR,MATCH("Acquisition Outflow (Purchase + Closing)",'_Month Engine'!$A:$A,0)+MATCH($A22,'_Month Engine'!$B$8:$B$17,0),0))</f>
        <v>-683333.33333333326</v>
      </c>
      <c r="D22" s="313">
        <f>-SUMIF('_Month Engine'!$C$5:$DR$5,D$4,INDEX('_Month Engine'!$C:$DR,MATCH("Acquisition Outflow (Purchase + Closing)",'_Month Engine'!$A:$A,0)+MATCH($A22,'_Month Engine'!$B$8:$B$17,0),0))</f>
        <v>0</v>
      </c>
      <c r="E22" s="313">
        <f>-SUMIF('_Month Engine'!$C$5:$DR$5,E$4,INDEX('_Month Engine'!$C:$DR,MATCH("Acquisition Outflow (Purchase + Closing)",'_Month Engine'!$A:$A,0)+MATCH($A22,'_Month Engine'!$B$8:$B$17,0),0))</f>
        <v>0</v>
      </c>
      <c r="F22" s="313">
        <f>-SUMIF('_Month Engine'!$C$5:$DR$5,F$4,INDEX('_Month Engine'!$C:$DR,MATCH("Acquisition Outflow (Purchase + Closing)",'_Month Engine'!$A:$A,0)+MATCH($A22,'_Month Engine'!$B$8:$B$17,0),0))</f>
        <v>0</v>
      </c>
      <c r="G22" s="313">
        <f>-SUMIF('_Month Engine'!$C$5:$DR$5,G$4,INDEX('_Month Engine'!$C:$DR,MATCH("Acquisition Outflow (Purchase + Closing)",'_Month Engine'!$A:$A,0)+MATCH($A22,'_Month Engine'!$B$8:$B$17,0),0))</f>
        <v>0</v>
      </c>
      <c r="H22" s="313">
        <f>-SUMIF('_Month Engine'!$C$5:$DR$5,H$4,INDEX('_Month Engine'!$C:$DR,MATCH("Acquisition Outflow (Purchase + Closing)",'_Month Engine'!$A:$A,0)+MATCH($A22,'_Month Engine'!$B$8:$B$17,0),0))</f>
        <v>0</v>
      </c>
      <c r="I22" s="313">
        <f>-SUMIF('_Month Engine'!$C$5:$DR$5,I$4,INDEX('_Month Engine'!$C:$DR,MATCH("Acquisition Outflow (Purchase + Closing)",'_Month Engine'!$A:$A,0)+MATCH($A22,'_Month Engine'!$B$8:$B$17,0),0))</f>
        <v>0</v>
      </c>
      <c r="J22" s="313">
        <f>-SUMIF('_Month Engine'!$C$5:$DR$5,J$4,INDEX('_Month Engine'!$C:$DR,MATCH("Acquisition Outflow (Purchase + Closing)",'_Month Engine'!$A:$A,0)+MATCH($A22,'_Month Engine'!$B$8:$B$17,0),0))</f>
        <v>0</v>
      </c>
      <c r="K22" s="313">
        <f>-SUMIF('_Month Engine'!$C$5:$DR$5,K$4,INDEX('_Month Engine'!$C:$DR,MATCH("Acquisition Outflow (Purchase + Closing)",'_Month Engine'!$A:$A,0)+MATCH($A22,'_Month Engine'!$B$8:$B$17,0),0))</f>
        <v>0</v>
      </c>
      <c r="L22" s="313">
        <f>-SUMIF('_Month Engine'!$C$5:$DR$5,L$4,INDEX('_Month Engine'!$C:$DR,MATCH("Acquisition Outflow (Purchase + Closing)",'_Month Engine'!$A:$A,0)+MATCH($A22,'_Month Engine'!$B$8:$B$17,0),0))</f>
        <v>0</v>
      </c>
      <c r="M22" s="305"/>
    </row>
    <row r="23" spans="1:13" ht="18" customHeight="1" x14ac:dyDescent="0.3">
      <c r="A23" s="328">
        <v>2</v>
      </c>
      <c r="B23" s="143" t="str" cm="1">
        <f t="array" ref="B23">IF(Properties!$D$7=0,"",INDEX(Properties!$E:$E,$A23+5))</f>
        <v>Fontanar Apto 201 (Penthouse)</v>
      </c>
      <c r="C23" s="313">
        <f>-SUMIF('_Month Engine'!$C$5:$DR$5,C$4,INDEX('_Month Engine'!$C:$DR,MATCH("Acquisition Outflow (Purchase + Closing)",'_Month Engine'!$A:$A,0)+MATCH($A23,'_Month Engine'!$B$8:$B$17,0),0))</f>
        <v>-1044902.9126213592</v>
      </c>
      <c r="D23" s="313">
        <f>-SUMIF('_Month Engine'!$C$5:$DR$5,D$4,INDEX('_Month Engine'!$C:$DR,MATCH("Acquisition Outflow (Purchase + Closing)",'_Month Engine'!$A:$A,0)+MATCH($A23,'_Month Engine'!$B$8:$B$17,0),0))</f>
        <v>0</v>
      </c>
      <c r="E23" s="313">
        <f>-SUMIF('_Month Engine'!$C$5:$DR$5,E$4,INDEX('_Month Engine'!$C:$DR,MATCH("Acquisition Outflow (Purchase + Closing)",'_Month Engine'!$A:$A,0)+MATCH($A23,'_Month Engine'!$B$8:$B$17,0),0))</f>
        <v>0</v>
      </c>
      <c r="F23" s="313">
        <f>-SUMIF('_Month Engine'!$C$5:$DR$5,F$4,INDEX('_Month Engine'!$C:$DR,MATCH("Acquisition Outflow (Purchase + Closing)",'_Month Engine'!$A:$A,0)+MATCH($A23,'_Month Engine'!$B$8:$B$17,0),0))</f>
        <v>0</v>
      </c>
      <c r="G23" s="313">
        <f>-SUMIF('_Month Engine'!$C$5:$DR$5,G$4,INDEX('_Month Engine'!$C:$DR,MATCH("Acquisition Outflow (Purchase + Closing)",'_Month Engine'!$A:$A,0)+MATCH($A23,'_Month Engine'!$B$8:$B$17,0),0))</f>
        <v>0</v>
      </c>
      <c r="H23" s="313">
        <f>-SUMIF('_Month Engine'!$C$5:$DR$5,H$4,INDEX('_Month Engine'!$C:$DR,MATCH("Acquisition Outflow (Purchase + Closing)",'_Month Engine'!$A:$A,0)+MATCH($A23,'_Month Engine'!$B$8:$B$17,0),0))</f>
        <v>0</v>
      </c>
      <c r="I23" s="313">
        <f>-SUMIF('_Month Engine'!$C$5:$DR$5,I$4,INDEX('_Month Engine'!$C:$DR,MATCH("Acquisition Outflow (Purchase + Closing)",'_Month Engine'!$A:$A,0)+MATCH($A23,'_Month Engine'!$B$8:$B$17,0),0))</f>
        <v>0</v>
      </c>
      <c r="J23" s="313">
        <f>-SUMIF('_Month Engine'!$C$5:$DR$5,J$4,INDEX('_Month Engine'!$C:$DR,MATCH("Acquisition Outflow (Purchase + Closing)",'_Month Engine'!$A:$A,0)+MATCH($A23,'_Month Engine'!$B$8:$B$17,0),0))</f>
        <v>0</v>
      </c>
      <c r="K23" s="313">
        <f>-SUMIF('_Month Engine'!$C$5:$DR$5,K$4,INDEX('_Month Engine'!$C:$DR,MATCH("Acquisition Outflow (Purchase + Closing)",'_Month Engine'!$A:$A,0)+MATCH($A23,'_Month Engine'!$B$8:$B$17,0),0))</f>
        <v>0</v>
      </c>
      <c r="L23" s="313">
        <f>-SUMIF('_Month Engine'!$C$5:$DR$5,L$4,INDEX('_Month Engine'!$C:$DR,MATCH("Acquisition Outflow (Purchase + Closing)",'_Month Engine'!$A:$A,0)+MATCH($A23,'_Month Engine'!$B$8:$B$17,0),0))</f>
        <v>0</v>
      </c>
      <c r="M23" s="305"/>
    </row>
    <row r="24" spans="1:13" ht="18" customHeight="1" x14ac:dyDescent="0.3">
      <c r="A24" s="328">
        <v>3</v>
      </c>
      <c r="B24" s="143" t="str" cm="1">
        <f t="array" ref="B24">IF(Properties!$D$8=0,"",INDEX(Properties!$E:$E,$A24+5))</f>
        <v>San Lucas Apto 101</v>
      </c>
      <c r="C24" s="313">
        <f>-SUMIF('_Month Engine'!$C$5:$DR$5,C$4,INDEX('_Month Engine'!$C:$DR,MATCH("Acquisition Outflow (Purchase + Closing)",'_Month Engine'!$A:$A,0)+MATCH($A24,'_Month Engine'!$B$8:$B$17,0),0))</f>
        <v>-456108.4142394822</v>
      </c>
      <c r="D24" s="313">
        <f>-SUMIF('_Month Engine'!$C$5:$DR$5,D$4,INDEX('_Month Engine'!$C:$DR,MATCH("Acquisition Outflow (Purchase + Closing)",'_Month Engine'!$A:$A,0)+MATCH($A24,'_Month Engine'!$B$8:$B$17,0),0))</f>
        <v>0</v>
      </c>
      <c r="E24" s="313">
        <f>-SUMIF('_Month Engine'!$C$5:$DR$5,E$4,INDEX('_Month Engine'!$C:$DR,MATCH("Acquisition Outflow (Purchase + Closing)",'_Month Engine'!$A:$A,0)+MATCH($A24,'_Month Engine'!$B$8:$B$17,0),0))</f>
        <v>0</v>
      </c>
      <c r="F24" s="313">
        <f>-SUMIF('_Month Engine'!$C$5:$DR$5,F$4,INDEX('_Month Engine'!$C:$DR,MATCH("Acquisition Outflow (Purchase + Closing)",'_Month Engine'!$A:$A,0)+MATCH($A24,'_Month Engine'!$B$8:$B$17,0),0))</f>
        <v>0</v>
      </c>
      <c r="G24" s="313">
        <f>-SUMIF('_Month Engine'!$C$5:$DR$5,G$4,INDEX('_Month Engine'!$C:$DR,MATCH("Acquisition Outflow (Purchase + Closing)",'_Month Engine'!$A:$A,0)+MATCH($A24,'_Month Engine'!$B$8:$B$17,0),0))</f>
        <v>0</v>
      </c>
      <c r="H24" s="313">
        <f>-SUMIF('_Month Engine'!$C$5:$DR$5,H$4,INDEX('_Month Engine'!$C:$DR,MATCH("Acquisition Outflow (Purchase + Closing)",'_Month Engine'!$A:$A,0)+MATCH($A24,'_Month Engine'!$B$8:$B$17,0),0))</f>
        <v>0</v>
      </c>
      <c r="I24" s="313">
        <f>-SUMIF('_Month Engine'!$C$5:$DR$5,I$4,INDEX('_Month Engine'!$C:$DR,MATCH("Acquisition Outflow (Purchase + Closing)",'_Month Engine'!$A:$A,0)+MATCH($A24,'_Month Engine'!$B$8:$B$17,0),0))</f>
        <v>0</v>
      </c>
      <c r="J24" s="313">
        <f>-SUMIF('_Month Engine'!$C$5:$DR$5,J$4,INDEX('_Month Engine'!$C:$DR,MATCH("Acquisition Outflow (Purchase + Closing)",'_Month Engine'!$A:$A,0)+MATCH($A24,'_Month Engine'!$B$8:$B$17,0),0))</f>
        <v>0</v>
      </c>
      <c r="K24" s="313">
        <f>-SUMIF('_Month Engine'!$C$5:$DR$5,K$4,INDEX('_Month Engine'!$C:$DR,MATCH("Acquisition Outflow (Purchase + Closing)",'_Month Engine'!$A:$A,0)+MATCH($A24,'_Month Engine'!$B$8:$B$17,0),0))</f>
        <v>0</v>
      </c>
      <c r="L24" s="313">
        <f>-SUMIF('_Month Engine'!$C$5:$DR$5,L$4,INDEX('_Month Engine'!$C:$DR,MATCH("Acquisition Outflow (Purchase + Closing)",'_Month Engine'!$A:$A,0)+MATCH($A24,'_Month Engine'!$B$8:$B$17,0),0))</f>
        <v>0</v>
      </c>
      <c r="M24" s="305"/>
    </row>
    <row r="25" spans="1:13" ht="18" customHeight="1" x14ac:dyDescent="0.3">
      <c r="A25" s="328">
        <v>4</v>
      </c>
      <c r="B25" s="143" t="str" cm="1">
        <f t="array" ref="B25">IF(Properties!$D$9=0,"",INDEX(Properties!$E:$E,$A25+5))</f>
        <v>Casa Montana Lote 2 (Samuel Gaviria House)</v>
      </c>
      <c r="C25" s="313">
        <f>-SUMIF('_Month Engine'!$C$5:$DR$5,C$4,INDEX('_Month Engine'!$C:$DR,MATCH("Acquisition Outflow (Purchase + Closing)",'_Month Engine'!$A:$A,0)+MATCH($A25,'_Month Engine'!$B$8:$B$17,0),0))</f>
        <v>-1164320.3883495147</v>
      </c>
      <c r="D25" s="313">
        <f>-SUMIF('_Month Engine'!$C$5:$DR$5,D$4,INDEX('_Month Engine'!$C:$DR,MATCH("Acquisition Outflow (Purchase + Closing)",'_Month Engine'!$A:$A,0)+MATCH($A25,'_Month Engine'!$B$8:$B$17,0),0))</f>
        <v>0</v>
      </c>
      <c r="E25" s="313">
        <f>-SUMIF('_Month Engine'!$C$5:$DR$5,E$4,INDEX('_Month Engine'!$C:$DR,MATCH("Acquisition Outflow (Purchase + Closing)",'_Month Engine'!$A:$A,0)+MATCH($A25,'_Month Engine'!$B$8:$B$17,0),0))</f>
        <v>0</v>
      </c>
      <c r="F25" s="313">
        <f>-SUMIF('_Month Engine'!$C$5:$DR$5,F$4,INDEX('_Month Engine'!$C:$DR,MATCH("Acquisition Outflow (Purchase + Closing)",'_Month Engine'!$A:$A,0)+MATCH($A25,'_Month Engine'!$B$8:$B$17,0),0))</f>
        <v>0</v>
      </c>
      <c r="G25" s="313">
        <f>-SUMIF('_Month Engine'!$C$5:$DR$5,G$4,INDEX('_Month Engine'!$C:$DR,MATCH("Acquisition Outflow (Purchase + Closing)",'_Month Engine'!$A:$A,0)+MATCH($A25,'_Month Engine'!$B$8:$B$17,0),0))</f>
        <v>0</v>
      </c>
      <c r="H25" s="313">
        <f>-SUMIF('_Month Engine'!$C$5:$DR$5,H$4,INDEX('_Month Engine'!$C:$DR,MATCH("Acquisition Outflow (Purchase + Closing)",'_Month Engine'!$A:$A,0)+MATCH($A25,'_Month Engine'!$B$8:$B$17,0),0))</f>
        <v>0</v>
      </c>
      <c r="I25" s="313">
        <f>-SUMIF('_Month Engine'!$C$5:$DR$5,I$4,INDEX('_Month Engine'!$C:$DR,MATCH("Acquisition Outflow (Purchase + Closing)",'_Month Engine'!$A:$A,0)+MATCH($A25,'_Month Engine'!$B$8:$B$17,0),0))</f>
        <v>0</v>
      </c>
      <c r="J25" s="313">
        <f>-SUMIF('_Month Engine'!$C$5:$DR$5,J$4,INDEX('_Month Engine'!$C:$DR,MATCH("Acquisition Outflow (Purchase + Closing)",'_Month Engine'!$A:$A,0)+MATCH($A25,'_Month Engine'!$B$8:$B$17,0),0))</f>
        <v>0</v>
      </c>
      <c r="K25" s="313">
        <f>-SUMIF('_Month Engine'!$C$5:$DR$5,K$4,INDEX('_Month Engine'!$C:$DR,MATCH("Acquisition Outflow (Purchase + Closing)",'_Month Engine'!$A:$A,0)+MATCH($A25,'_Month Engine'!$B$8:$B$17,0),0))</f>
        <v>0</v>
      </c>
      <c r="L25" s="313">
        <f>-SUMIF('_Month Engine'!$C$5:$DR$5,L$4,INDEX('_Month Engine'!$C:$DR,MATCH("Acquisition Outflow (Purchase + Closing)",'_Month Engine'!$A:$A,0)+MATCH($A25,'_Month Engine'!$B$8:$B$17,0),0))</f>
        <v>0</v>
      </c>
      <c r="M25" s="305"/>
    </row>
    <row r="26" spans="1:13" ht="18" customHeight="1" x14ac:dyDescent="0.3">
      <c r="A26" s="328">
        <v>5</v>
      </c>
      <c r="B26" s="143" t="str" cm="1">
        <f t="array" ref="B26">IF(Properties!$D$10=0,"",INDEX(Properties!$E:$E,$A26+5))</f>
        <v>Casa Monte Sereno</v>
      </c>
      <c r="C26" s="313">
        <f>-SUMIF('_Month Engine'!$C$5:$DR$5,C$4,INDEX('_Month Engine'!$C:$DR,MATCH("Acquisition Outflow (Purchase + Closing)",'_Month Engine'!$A:$A,0)+MATCH($A26,'_Month Engine'!$B$8:$B$17,0),0))</f>
        <v>-1326860.8414239481</v>
      </c>
      <c r="D26" s="313">
        <f>-SUMIF('_Month Engine'!$C$5:$DR$5,D$4,INDEX('_Month Engine'!$C:$DR,MATCH("Acquisition Outflow (Purchase + Closing)",'_Month Engine'!$A:$A,0)+MATCH($A26,'_Month Engine'!$B$8:$B$17,0),0))</f>
        <v>0</v>
      </c>
      <c r="E26" s="313">
        <f>-SUMIF('_Month Engine'!$C$5:$DR$5,E$4,INDEX('_Month Engine'!$C:$DR,MATCH("Acquisition Outflow (Purchase + Closing)",'_Month Engine'!$A:$A,0)+MATCH($A26,'_Month Engine'!$B$8:$B$17,0),0))</f>
        <v>0</v>
      </c>
      <c r="F26" s="313">
        <f>-SUMIF('_Month Engine'!$C$5:$DR$5,F$4,INDEX('_Month Engine'!$C:$DR,MATCH("Acquisition Outflow (Purchase + Closing)",'_Month Engine'!$A:$A,0)+MATCH($A26,'_Month Engine'!$B$8:$B$17,0),0))</f>
        <v>0</v>
      </c>
      <c r="G26" s="313">
        <f>-SUMIF('_Month Engine'!$C$5:$DR$5,G$4,INDEX('_Month Engine'!$C:$DR,MATCH("Acquisition Outflow (Purchase + Closing)",'_Month Engine'!$A:$A,0)+MATCH($A26,'_Month Engine'!$B$8:$B$17,0),0))</f>
        <v>0</v>
      </c>
      <c r="H26" s="313">
        <f>-SUMIF('_Month Engine'!$C$5:$DR$5,H$4,INDEX('_Month Engine'!$C:$DR,MATCH("Acquisition Outflow (Purchase + Closing)",'_Month Engine'!$A:$A,0)+MATCH($A26,'_Month Engine'!$B$8:$B$17,0),0))</f>
        <v>0</v>
      </c>
      <c r="I26" s="313">
        <f>-SUMIF('_Month Engine'!$C$5:$DR$5,I$4,INDEX('_Month Engine'!$C:$DR,MATCH("Acquisition Outflow (Purchase + Closing)",'_Month Engine'!$A:$A,0)+MATCH($A26,'_Month Engine'!$B$8:$B$17,0),0))</f>
        <v>0</v>
      </c>
      <c r="J26" s="313">
        <f>-SUMIF('_Month Engine'!$C$5:$DR$5,J$4,INDEX('_Month Engine'!$C:$DR,MATCH("Acquisition Outflow (Purchase + Closing)",'_Month Engine'!$A:$A,0)+MATCH($A26,'_Month Engine'!$B$8:$B$17,0),0))</f>
        <v>0</v>
      </c>
      <c r="K26" s="313">
        <f>-SUMIF('_Month Engine'!$C$5:$DR$5,K$4,INDEX('_Month Engine'!$C:$DR,MATCH("Acquisition Outflow (Purchase + Closing)",'_Month Engine'!$A:$A,0)+MATCH($A26,'_Month Engine'!$B$8:$B$17,0),0))</f>
        <v>0</v>
      </c>
      <c r="L26" s="313">
        <f>-SUMIF('_Month Engine'!$C$5:$DR$5,L$4,INDEX('_Month Engine'!$C:$DR,MATCH("Acquisition Outflow (Purchase + Closing)",'_Month Engine'!$A:$A,0)+MATCH($A26,'_Month Engine'!$B$8:$B$17,0),0))</f>
        <v>0</v>
      </c>
      <c r="M26" s="305"/>
    </row>
    <row r="27" spans="1:13" ht="18" customHeight="1" x14ac:dyDescent="0.3">
      <c r="A27" s="328">
        <v>6</v>
      </c>
      <c r="B27" s="143" t="str" cm="1">
        <f t="array" ref="B27">IF(Properties!$D$11=0,"",INDEX(Properties!$E:$E,$A27+5))</f>
        <v/>
      </c>
      <c r="C27" s="313">
        <f>-SUMIF('_Month Engine'!$C$5:$DR$5,C$4,INDEX('_Month Engine'!$C:$DR,MATCH("Acquisition Outflow (Purchase + Closing)",'_Month Engine'!$A:$A,0)+MATCH($A27,'_Month Engine'!$B$8:$B$17,0),0))</f>
        <v>0</v>
      </c>
      <c r="D27" s="313">
        <f>-SUMIF('_Month Engine'!$C$5:$DR$5,D$4,INDEX('_Month Engine'!$C:$DR,MATCH("Acquisition Outflow (Purchase + Closing)",'_Month Engine'!$A:$A,0)+MATCH($A27,'_Month Engine'!$B$8:$B$17,0),0))</f>
        <v>0</v>
      </c>
      <c r="E27" s="313">
        <f>-SUMIF('_Month Engine'!$C$5:$DR$5,E$4,INDEX('_Month Engine'!$C:$DR,MATCH("Acquisition Outflow (Purchase + Closing)",'_Month Engine'!$A:$A,0)+MATCH($A27,'_Month Engine'!$B$8:$B$17,0),0))</f>
        <v>0</v>
      </c>
      <c r="F27" s="313">
        <f>-SUMIF('_Month Engine'!$C$5:$DR$5,F$4,INDEX('_Month Engine'!$C:$DR,MATCH("Acquisition Outflow (Purchase + Closing)",'_Month Engine'!$A:$A,0)+MATCH($A27,'_Month Engine'!$B$8:$B$17,0),0))</f>
        <v>0</v>
      </c>
      <c r="G27" s="313">
        <f>-SUMIF('_Month Engine'!$C$5:$DR$5,G$4,INDEX('_Month Engine'!$C:$DR,MATCH("Acquisition Outflow (Purchase + Closing)",'_Month Engine'!$A:$A,0)+MATCH($A27,'_Month Engine'!$B$8:$B$17,0),0))</f>
        <v>0</v>
      </c>
      <c r="H27" s="313">
        <f>-SUMIF('_Month Engine'!$C$5:$DR$5,H$4,INDEX('_Month Engine'!$C:$DR,MATCH("Acquisition Outflow (Purchase + Closing)",'_Month Engine'!$A:$A,0)+MATCH($A27,'_Month Engine'!$B$8:$B$17,0),0))</f>
        <v>0</v>
      </c>
      <c r="I27" s="313">
        <f>-SUMIF('_Month Engine'!$C$5:$DR$5,I$4,INDEX('_Month Engine'!$C:$DR,MATCH("Acquisition Outflow (Purchase + Closing)",'_Month Engine'!$A:$A,0)+MATCH($A27,'_Month Engine'!$B$8:$B$17,0),0))</f>
        <v>0</v>
      </c>
      <c r="J27" s="313">
        <f>-SUMIF('_Month Engine'!$C$5:$DR$5,J$4,INDEX('_Month Engine'!$C:$DR,MATCH("Acquisition Outflow (Purchase + Closing)",'_Month Engine'!$A:$A,0)+MATCH($A27,'_Month Engine'!$B$8:$B$17,0),0))</f>
        <v>0</v>
      </c>
      <c r="K27" s="313">
        <f>-SUMIF('_Month Engine'!$C$5:$DR$5,K$4,INDEX('_Month Engine'!$C:$DR,MATCH("Acquisition Outflow (Purchase + Closing)",'_Month Engine'!$A:$A,0)+MATCH($A27,'_Month Engine'!$B$8:$B$17,0),0))</f>
        <v>0</v>
      </c>
      <c r="L27" s="313">
        <f>-SUMIF('_Month Engine'!$C$5:$DR$5,L$4,INDEX('_Month Engine'!$C:$DR,MATCH("Acquisition Outflow (Purchase + Closing)",'_Month Engine'!$A:$A,0)+MATCH($A27,'_Month Engine'!$B$8:$B$17,0),0))</f>
        <v>0</v>
      </c>
      <c r="M27" s="305"/>
    </row>
    <row r="28" spans="1:13" ht="18" customHeight="1" x14ac:dyDescent="0.3">
      <c r="A28" s="328">
        <v>7</v>
      </c>
      <c r="B28" s="143" t="str" cm="1">
        <f t="array" ref="B28">IF(Properties!$D$12=0,"",INDEX(Properties!$E:$E,$A28+5))</f>
        <v/>
      </c>
      <c r="C28" s="313">
        <f>-SUMIF('_Month Engine'!$C$5:$DR$5,C$4,INDEX('_Month Engine'!$C:$DR,MATCH("Acquisition Outflow (Purchase + Closing)",'_Month Engine'!$A:$A,0)+MATCH($A28,'_Month Engine'!$B$8:$B$17,0),0))</f>
        <v>0</v>
      </c>
      <c r="D28" s="313">
        <f>-SUMIF('_Month Engine'!$C$5:$DR$5,D$4,INDEX('_Month Engine'!$C:$DR,MATCH("Acquisition Outflow (Purchase + Closing)",'_Month Engine'!$A:$A,0)+MATCH($A28,'_Month Engine'!$B$8:$B$17,0),0))</f>
        <v>0</v>
      </c>
      <c r="E28" s="313">
        <f>-SUMIF('_Month Engine'!$C$5:$DR$5,E$4,INDEX('_Month Engine'!$C:$DR,MATCH("Acquisition Outflow (Purchase + Closing)",'_Month Engine'!$A:$A,0)+MATCH($A28,'_Month Engine'!$B$8:$B$17,0),0))</f>
        <v>0</v>
      </c>
      <c r="F28" s="313">
        <f>-SUMIF('_Month Engine'!$C$5:$DR$5,F$4,INDEX('_Month Engine'!$C:$DR,MATCH("Acquisition Outflow (Purchase + Closing)",'_Month Engine'!$A:$A,0)+MATCH($A28,'_Month Engine'!$B$8:$B$17,0),0))</f>
        <v>0</v>
      </c>
      <c r="G28" s="313">
        <f>-SUMIF('_Month Engine'!$C$5:$DR$5,G$4,INDEX('_Month Engine'!$C:$DR,MATCH("Acquisition Outflow (Purchase + Closing)",'_Month Engine'!$A:$A,0)+MATCH($A28,'_Month Engine'!$B$8:$B$17,0),0))</f>
        <v>0</v>
      </c>
      <c r="H28" s="313">
        <f>-SUMIF('_Month Engine'!$C$5:$DR$5,H$4,INDEX('_Month Engine'!$C:$DR,MATCH("Acquisition Outflow (Purchase + Closing)",'_Month Engine'!$A:$A,0)+MATCH($A28,'_Month Engine'!$B$8:$B$17,0),0))</f>
        <v>0</v>
      </c>
      <c r="I28" s="313">
        <f>-SUMIF('_Month Engine'!$C$5:$DR$5,I$4,INDEX('_Month Engine'!$C:$DR,MATCH("Acquisition Outflow (Purchase + Closing)",'_Month Engine'!$A:$A,0)+MATCH($A28,'_Month Engine'!$B$8:$B$17,0),0))</f>
        <v>0</v>
      </c>
      <c r="J28" s="313">
        <f>-SUMIF('_Month Engine'!$C$5:$DR$5,J$4,INDEX('_Month Engine'!$C:$DR,MATCH("Acquisition Outflow (Purchase + Closing)",'_Month Engine'!$A:$A,0)+MATCH($A28,'_Month Engine'!$B$8:$B$17,0),0))</f>
        <v>0</v>
      </c>
      <c r="K28" s="313">
        <f>-SUMIF('_Month Engine'!$C$5:$DR$5,K$4,INDEX('_Month Engine'!$C:$DR,MATCH("Acquisition Outflow (Purchase + Closing)",'_Month Engine'!$A:$A,0)+MATCH($A28,'_Month Engine'!$B$8:$B$17,0),0))</f>
        <v>0</v>
      </c>
      <c r="L28" s="313">
        <f>-SUMIF('_Month Engine'!$C$5:$DR$5,L$4,INDEX('_Month Engine'!$C:$DR,MATCH("Acquisition Outflow (Purchase + Closing)",'_Month Engine'!$A:$A,0)+MATCH($A28,'_Month Engine'!$B$8:$B$17,0),0))</f>
        <v>0</v>
      </c>
      <c r="M28" s="305"/>
    </row>
    <row r="29" spans="1:13" ht="18" customHeight="1" x14ac:dyDescent="0.3">
      <c r="A29" s="328">
        <v>8</v>
      </c>
      <c r="B29" s="143" t="str" cm="1">
        <f t="array" ref="B29">IF(Properties!$D$13=0,"",INDEX(Properties!$E:$E,$A29+5))</f>
        <v/>
      </c>
      <c r="C29" s="313">
        <f>-SUMIF('_Month Engine'!$C$5:$DR$5,C$4,INDEX('_Month Engine'!$C:$DR,MATCH("Acquisition Outflow (Purchase + Closing)",'_Month Engine'!$A:$A,0)+MATCH($A29,'_Month Engine'!$B$8:$B$17,0),0))</f>
        <v>0</v>
      </c>
      <c r="D29" s="313">
        <f>-SUMIF('_Month Engine'!$C$5:$DR$5,D$4,INDEX('_Month Engine'!$C:$DR,MATCH("Acquisition Outflow (Purchase + Closing)",'_Month Engine'!$A:$A,0)+MATCH($A29,'_Month Engine'!$B$8:$B$17,0),0))</f>
        <v>0</v>
      </c>
      <c r="E29" s="313">
        <f>-SUMIF('_Month Engine'!$C$5:$DR$5,E$4,INDEX('_Month Engine'!$C:$DR,MATCH("Acquisition Outflow (Purchase + Closing)",'_Month Engine'!$A:$A,0)+MATCH($A29,'_Month Engine'!$B$8:$B$17,0),0))</f>
        <v>0</v>
      </c>
      <c r="F29" s="313">
        <f>-SUMIF('_Month Engine'!$C$5:$DR$5,F$4,INDEX('_Month Engine'!$C:$DR,MATCH("Acquisition Outflow (Purchase + Closing)",'_Month Engine'!$A:$A,0)+MATCH($A29,'_Month Engine'!$B$8:$B$17,0),0))</f>
        <v>0</v>
      </c>
      <c r="G29" s="313">
        <f>-SUMIF('_Month Engine'!$C$5:$DR$5,G$4,INDEX('_Month Engine'!$C:$DR,MATCH("Acquisition Outflow (Purchase + Closing)",'_Month Engine'!$A:$A,0)+MATCH($A29,'_Month Engine'!$B$8:$B$17,0),0))</f>
        <v>0</v>
      </c>
      <c r="H29" s="313">
        <f>-SUMIF('_Month Engine'!$C$5:$DR$5,H$4,INDEX('_Month Engine'!$C:$DR,MATCH("Acquisition Outflow (Purchase + Closing)",'_Month Engine'!$A:$A,0)+MATCH($A29,'_Month Engine'!$B$8:$B$17,0),0))</f>
        <v>0</v>
      </c>
      <c r="I29" s="313">
        <f>-SUMIF('_Month Engine'!$C$5:$DR$5,I$4,INDEX('_Month Engine'!$C:$DR,MATCH("Acquisition Outflow (Purchase + Closing)",'_Month Engine'!$A:$A,0)+MATCH($A29,'_Month Engine'!$B$8:$B$17,0),0))</f>
        <v>0</v>
      </c>
      <c r="J29" s="313">
        <f>-SUMIF('_Month Engine'!$C$5:$DR$5,J$4,INDEX('_Month Engine'!$C:$DR,MATCH("Acquisition Outflow (Purchase + Closing)",'_Month Engine'!$A:$A,0)+MATCH($A29,'_Month Engine'!$B$8:$B$17,0),0))</f>
        <v>0</v>
      </c>
      <c r="K29" s="313">
        <f>-SUMIF('_Month Engine'!$C$5:$DR$5,K$4,INDEX('_Month Engine'!$C:$DR,MATCH("Acquisition Outflow (Purchase + Closing)",'_Month Engine'!$A:$A,0)+MATCH($A29,'_Month Engine'!$B$8:$B$17,0),0))</f>
        <v>0</v>
      </c>
      <c r="L29" s="313">
        <f>-SUMIF('_Month Engine'!$C$5:$DR$5,L$4,INDEX('_Month Engine'!$C:$DR,MATCH("Acquisition Outflow (Purchase + Closing)",'_Month Engine'!$A:$A,0)+MATCH($A29,'_Month Engine'!$B$8:$B$17,0),0))</f>
        <v>0</v>
      </c>
      <c r="M29" s="305"/>
    </row>
    <row r="30" spans="1:13" ht="18" customHeight="1" x14ac:dyDescent="0.3">
      <c r="A30" s="328">
        <v>9</v>
      </c>
      <c r="B30" s="143" t="str" cm="1">
        <f t="array" ref="B30">IF(Properties!$D$14=0,"",INDEX(Properties!$E:$E,$A30+5))</f>
        <v/>
      </c>
      <c r="C30" s="313">
        <f>-SUMIF('_Month Engine'!$C$5:$DR$5,C$4,INDEX('_Month Engine'!$C:$DR,MATCH("Acquisition Outflow (Purchase + Closing)",'_Month Engine'!$A:$A,0)+MATCH($A30,'_Month Engine'!$B$8:$B$17,0),0))</f>
        <v>0</v>
      </c>
      <c r="D30" s="313">
        <f>-SUMIF('_Month Engine'!$C$5:$DR$5,D$4,INDEX('_Month Engine'!$C:$DR,MATCH("Acquisition Outflow (Purchase + Closing)",'_Month Engine'!$A:$A,0)+MATCH($A30,'_Month Engine'!$B$8:$B$17,0),0))</f>
        <v>0</v>
      </c>
      <c r="E30" s="313">
        <f>-SUMIF('_Month Engine'!$C$5:$DR$5,E$4,INDEX('_Month Engine'!$C:$DR,MATCH("Acquisition Outflow (Purchase + Closing)",'_Month Engine'!$A:$A,0)+MATCH($A30,'_Month Engine'!$B$8:$B$17,0),0))</f>
        <v>0</v>
      </c>
      <c r="F30" s="313">
        <f>-SUMIF('_Month Engine'!$C$5:$DR$5,F$4,INDEX('_Month Engine'!$C:$DR,MATCH("Acquisition Outflow (Purchase + Closing)",'_Month Engine'!$A:$A,0)+MATCH($A30,'_Month Engine'!$B$8:$B$17,0),0))</f>
        <v>0</v>
      </c>
      <c r="G30" s="313">
        <f>-SUMIF('_Month Engine'!$C$5:$DR$5,G$4,INDEX('_Month Engine'!$C:$DR,MATCH("Acquisition Outflow (Purchase + Closing)",'_Month Engine'!$A:$A,0)+MATCH($A30,'_Month Engine'!$B$8:$B$17,0),0))</f>
        <v>0</v>
      </c>
      <c r="H30" s="313">
        <f>-SUMIF('_Month Engine'!$C$5:$DR$5,H$4,INDEX('_Month Engine'!$C:$DR,MATCH("Acquisition Outflow (Purchase + Closing)",'_Month Engine'!$A:$A,0)+MATCH($A30,'_Month Engine'!$B$8:$B$17,0),0))</f>
        <v>0</v>
      </c>
      <c r="I30" s="313">
        <f>-SUMIF('_Month Engine'!$C$5:$DR$5,I$4,INDEX('_Month Engine'!$C:$DR,MATCH("Acquisition Outflow (Purchase + Closing)",'_Month Engine'!$A:$A,0)+MATCH($A30,'_Month Engine'!$B$8:$B$17,0),0))</f>
        <v>0</v>
      </c>
      <c r="J30" s="313">
        <f>-SUMIF('_Month Engine'!$C$5:$DR$5,J$4,INDEX('_Month Engine'!$C:$DR,MATCH("Acquisition Outflow (Purchase + Closing)",'_Month Engine'!$A:$A,0)+MATCH($A30,'_Month Engine'!$B$8:$B$17,0),0))</f>
        <v>0</v>
      </c>
      <c r="K30" s="313">
        <f>-SUMIF('_Month Engine'!$C$5:$DR$5,K$4,INDEX('_Month Engine'!$C:$DR,MATCH("Acquisition Outflow (Purchase + Closing)",'_Month Engine'!$A:$A,0)+MATCH($A30,'_Month Engine'!$B$8:$B$17,0),0))</f>
        <v>0</v>
      </c>
      <c r="L30" s="313">
        <f>-SUMIF('_Month Engine'!$C$5:$DR$5,L$4,INDEX('_Month Engine'!$C:$DR,MATCH("Acquisition Outflow (Purchase + Closing)",'_Month Engine'!$A:$A,0)+MATCH($A30,'_Month Engine'!$B$8:$B$17,0),0))</f>
        <v>0</v>
      </c>
      <c r="M30" s="305"/>
    </row>
    <row r="31" spans="1:13" ht="18" customHeight="1" x14ac:dyDescent="0.3">
      <c r="A31" s="328">
        <v>10</v>
      </c>
      <c r="B31" s="143" t="str" cm="1">
        <f t="array" ref="B31">IF(Properties!$D$15=0,"",INDEX(Properties!$E:$E,$A31+5))</f>
        <v/>
      </c>
      <c r="C31" s="313">
        <f>-SUMIF('_Month Engine'!$C$5:$DR$5,C$4,INDEX('_Month Engine'!$C:$DR,MATCH("Acquisition Outflow (Purchase + Closing)",'_Month Engine'!$A:$A,0)+MATCH($A31,'_Month Engine'!$B$8:$B$17,0),0))</f>
        <v>0</v>
      </c>
      <c r="D31" s="313">
        <f>-SUMIF('_Month Engine'!$C$5:$DR$5,D$4,INDEX('_Month Engine'!$C:$DR,MATCH("Acquisition Outflow (Purchase + Closing)",'_Month Engine'!$A:$A,0)+MATCH($A31,'_Month Engine'!$B$8:$B$17,0),0))</f>
        <v>0</v>
      </c>
      <c r="E31" s="313">
        <f>-SUMIF('_Month Engine'!$C$5:$DR$5,E$4,INDEX('_Month Engine'!$C:$DR,MATCH("Acquisition Outflow (Purchase + Closing)",'_Month Engine'!$A:$A,0)+MATCH($A31,'_Month Engine'!$B$8:$B$17,0),0))</f>
        <v>0</v>
      </c>
      <c r="F31" s="313">
        <f>-SUMIF('_Month Engine'!$C$5:$DR$5,F$4,INDEX('_Month Engine'!$C:$DR,MATCH("Acquisition Outflow (Purchase + Closing)",'_Month Engine'!$A:$A,0)+MATCH($A31,'_Month Engine'!$B$8:$B$17,0),0))</f>
        <v>0</v>
      </c>
      <c r="G31" s="313">
        <f>-SUMIF('_Month Engine'!$C$5:$DR$5,G$4,INDEX('_Month Engine'!$C:$DR,MATCH("Acquisition Outflow (Purchase + Closing)",'_Month Engine'!$A:$A,0)+MATCH($A31,'_Month Engine'!$B$8:$B$17,0),0))</f>
        <v>0</v>
      </c>
      <c r="H31" s="313">
        <f>-SUMIF('_Month Engine'!$C$5:$DR$5,H$4,INDEX('_Month Engine'!$C:$DR,MATCH("Acquisition Outflow (Purchase + Closing)",'_Month Engine'!$A:$A,0)+MATCH($A31,'_Month Engine'!$B$8:$B$17,0),0))</f>
        <v>0</v>
      </c>
      <c r="I31" s="313">
        <f>-SUMIF('_Month Engine'!$C$5:$DR$5,I$4,INDEX('_Month Engine'!$C:$DR,MATCH("Acquisition Outflow (Purchase + Closing)",'_Month Engine'!$A:$A,0)+MATCH($A31,'_Month Engine'!$B$8:$B$17,0),0))</f>
        <v>0</v>
      </c>
      <c r="J31" s="313">
        <f>-SUMIF('_Month Engine'!$C$5:$DR$5,J$4,INDEX('_Month Engine'!$C:$DR,MATCH("Acquisition Outflow (Purchase + Closing)",'_Month Engine'!$A:$A,0)+MATCH($A31,'_Month Engine'!$B$8:$B$17,0),0))</f>
        <v>0</v>
      </c>
      <c r="K31" s="313">
        <f>-SUMIF('_Month Engine'!$C$5:$DR$5,K$4,INDEX('_Month Engine'!$C:$DR,MATCH("Acquisition Outflow (Purchase + Closing)",'_Month Engine'!$A:$A,0)+MATCH($A31,'_Month Engine'!$B$8:$B$17,0),0))</f>
        <v>0</v>
      </c>
      <c r="L31" s="313">
        <f>-SUMIF('_Month Engine'!$C$5:$DR$5,L$4,INDEX('_Month Engine'!$C:$DR,MATCH("Acquisition Outflow (Purchase + Closing)",'_Month Engine'!$A:$A,0)+MATCH($A31,'_Month Engine'!$B$8:$B$17,0),0))</f>
        <v>0</v>
      </c>
      <c r="M31" s="305"/>
    </row>
    <row r="32" spans="1:13" ht="18" customHeight="1" x14ac:dyDescent="0.3">
      <c r="A32" s="15"/>
      <c r="B32" s="108" t="s">
        <v>91</v>
      </c>
      <c r="C32" s="313">
        <f t="shared" ref="C32:L32" si="3">SUM(C22:C31)</f>
        <v>-4675525.8899676371</v>
      </c>
      <c r="D32" s="313">
        <f t="shared" si="3"/>
        <v>0</v>
      </c>
      <c r="E32" s="313">
        <f t="shared" si="3"/>
        <v>0</v>
      </c>
      <c r="F32" s="313">
        <f t="shared" si="3"/>
        <v>0</v>
      </c>
      <c r="G32" s="313">
        <f t="shared" si="3"/>
        <v>0</v>
      </c>
      <c r="H32" s="313">
        <f t="shared" si="3"/>
        <v>0</v>
      </c>
      <c r="I32" s="313">
        <f t="shared" si="3"/>
        <v>0</v>
      </c>
      <c r="J32" s="313">
        <f t="shared" si="3"/>
        <v>0</v>
      </c>
      <c r="K32" s="313">
        <f t="shared" si="3"/>
        <v>0</v>
      </c>
      <c r="L32" s="313">
        <f t="shared" si="3"/>
        <v>0</v>
      </c>
      <c r="M32" s="305"/>
    </row>
    <row r="33" spans="1:13" ht="18" customHeight="1" x14ac:dyDescent="0.3">
      <c r="A33" s="15">
        <v>1</v>
      </c>
      <c r="B33" s="111" t="str" cm="1">
        <f t="array" ref="B33">IF(Properties!$D$6=0,"",INDEX(Properties!$E:$E,$A33+5))</f>
        <v>Aires de Campestre Apto 801 (Penthouse)</v>
      </c>
      <c r="C33" s="313">
        <f>-SUMIF('_Month Engine'!$C$5:$DR$5,C$4,INDEX('_Month Engine'!$C:$DR,MATCH("Renovation Capex",'_Month Engine'!$A:$A,0)+MATCH($A33,'_Month Engine'!$B$21:$B$30,0),0))</f>
        <v>-485436.89320388349</v>
      </c>
      <c r="D33" s="313">
        <f>-SUMIF('_Month Engine'!$C$5:$DR$5,D$4,INDEX('_Month Engine'!$C:$DR,MATCH("Renovation Capex",'_Month Engine'!$A:$A,0)+MATCH($A33,'_Month Engine'!$B$21:$B$30,0),0))</f>
        <v>0</v>
      </c>
      <c r="E33" s="313">
        <f>-SUMIF('_Month Engine'!$C$5:$DR$5,E$4,INDEX('_Month Engine'!$C:$DR,MATCH("Renovation Capex",'_Month Engine'!$A:$A,0)+MATCH($A33,'_Month Engine'!$B$21:$B$30,0),0))</f>
        <v>0</v>
      </c>
      <c r="F33" s="313">
        <f>-SUMIF('_Month Engine'!$C$5:$DR$5,F$4,INDEX('_Month Engine'!$C:$DR,MATCH("Renovation Capex",'_Month Engine'!$A:$A,0)+MATCH($A33,'_Month Engine'!$B$21:$B$30,0),0))</f>
        <v>0</v>
      </c>
      <c r="G33" s="313">
        <f>-SUMIF('_Month Engine'!$C$5:$DR$5,G$4,INDEX('_Month Engine'!$C:$DR,MATCH("Renovation Capex",'_Month Engine'!$A:$A,0)+MATCH($A33,'_Month Engine'!$B$21:$B$30,0),0))</f>
        <v>0</v>
      </c>
      <c r="H33" s="313">
        <f>-SUMIF('_Month Engine'!$C$5:$DR$5,H$4,INDEX('_Month Engine'!$C:$DR,MATCH("Renovation Capex",'_Month Engine'!$A:$A,0)+MATCH($A33,'_Month Engine'!$B$21:$B$30,0),0))</f>
        <v>0</v>
      </c>
      <c r="I33" s="313">
        <f>-SUMIF('_Month Engine'!$C$5:$DR$5,I$4,INDEX('_Month Engine'!$C:$DR,MATCH("Renovation Capex",'_Month Engine'!$A:$A,0)+MATCH($A33,'_Month Engine'!$B$21:$B$30,0),0))</f>
        <v>0</v>
      </c>
      <c r="J33" s="313">
        <f>-SUMIF('_Month Engine'!$C$5:$DR$5,J$4,INDEX('_Month Engine'!$C:$DR,MATCH("Renovation Capex",'_Month Engine'!$A:$A,0)+MATCH($A33,'_Month Engine'!$B$21:$B$30,0),0))</f>
        <v>0</v>
      </c>
      <c r="K33" s="313">
        <f>-SUMIF('_Month Engine'!$C$5:$DR$5,K$4,INDEX('_Month Engine'!$C:$DR,MATCH("Renovation Capex",'_Month Engine'!$A:$A,0)+MATCH($A33,'_Month Engine'!$B$21:$B$30,0),0))</f>
        <v>0</v>
      </c>
      <c r="L33" s="313">
        <f>-SUMIF('_Month Engine'!$C$5:$DR$5,L$4,INDEX('_Month Engine'!$C:$DR,MATCH("Renovation Capex",'_Month Engine'!$A:$A,0)+MATCH($A33,'_Month Engine'!$B$21:$B$30,0),0))</f>
        <v>0</v>
      </c>
      <c r="M33" s="305"/>
    </row>
    <row r="34" spans="1:13" ht="18" customHeight="1" x14ac:dyDescent="0.3">
      <c r="A34" s="15">
        <v>2</v>
      </c>
      <c r="B34" s="111" t="str" cm="1">
        <f t="array" ref="B34">IF(Properties!$D$7=0,"",INDEX(Properties!$E:$E,$A34+5))</f>
        <v>Fontanar Apto 201 (Penthouse)</v>
      </c>
      <c r="C34" s="313">
        <f>-SUMIF('_Month Engine'!$C$5:$DR$5,C$4,INDEX('_Month Engine'!$C:$DR,MATCH("Renovation Capex",'_Month Engine'!$A:$A,0)+MATCH($A34,'_Month Engine'!$B$21:$B$30,0),0))</f>
        <v>-245954.69255663431</v>
      </c>
      <c r="D34" s="313">
        <f>-SUMIF('_Month Engine'!$C$5:$DR$5,D$4,INDEX('_Month Engine'!$C:$DR,MATCH("Renovation Capex",'_Month Engine'!$A:$A,0)+MATCH($A34,'_Month Engine'!$B$21:$B$30,0),0))</f>
        <v>0</v>
      </c>
      <c r="E34" s="313">
        <f>-SUMIF('_Month Engine'!$C$5:$DR$5,E$4,INDEX('_Month Engine'!$C:$DR,MATCH("Renovation Capex",'_Month Engine'!$A:$A,0)+MATCH($A34,'_Month Engine'!$B$21:$B$30,0),0))</f>
        <v>0</v>
      </c>
      <c r="F34" s="313">
        <f>-SUMIF('_Month Engine'!$C$5:$DR$5,F$4,INDEX('_Month Engine'!$C:$DR,MATCH("Renovation Capex",'_Month Engine'!$A:$A,0)+MATCH($A34,'_Month Engine'!$B$21:$B$30,0),0))</f>
        <v>0</v>
      </c>
      <c r="G34" s="313">
        <f>-SUMIF('_Month Engine'!$C$5:$DR$5,G$4,INDEX('_Month Engine'!$C:$DR,MATCH("Renovation Capex",'_Month Engine'!$A:$A,0)+MATCH($A34,'_Month Engine'!$B$21:$B$30,0),0))</f>
        <v>0</v>
      </c>
      <c r="H34" s="313">
        <f>-SUMIF('_Month Engine'!$C$5:$DR$5,H$4,INDEX('_Month Engine'!$C:$DR,MATCH("Renovation Capex",'_Month Engine'!$A:$A,0)+MATCH($A34,'_Month Engine'!$B$21:$B$30,0),0))</f>
        <v>0</v>
      </c>
      <c r="I34" s="313">
        <f>-SUMIF('_Month Engine'!$C$5:$DR$5,I$4,INDEX('_Month Engine'!$C:$DR,MATCH("Renovation Capex",'_Month Engine'!$A:$A,0)+MATCH($A34,'_Month Engine'!$B$21:$B$30,0),0))</f>
        <v>0</v>
      </c>
      <c r="J34" s="313">
        <f>-SUMIF('_Month Engine'!$C$5:$DR$5,J$4,INDEX('_Month Engine'!$C:$DR,MATCH("Renovation Capex",'_Month Engine'!$A:$A,0)+MATCH($A34,'_Month Engine'!$B$21:$B$30,0),0))</f>
        <v>0</v>
      </c>
      <c r="K34" s="313">
        <f>-SUMIF('_Month Engine'!$C$5:$DR$5,K$4,INDEX('_Month Engine'!$C:$DR,MATCH("Renovation Capex",'_Month Engine'!$A:$A,0)+MATCH($A34,'_Month Engine'!$B$21:$B$30,0),0))</f>
        <v>0</v>
      </c>
      <c r="L34" s="313">
        <f>-SUMIF('_Month Engine'!$C$5:$DR$5,L$4,INDEX('_Month Engine'!$C:$DR,MATCH("Renovation Capex",'_Month Engine'!$A:$A,0)+MATCH($A34,'_Month Engine'!$B$21:$B$30,0),0))</f>
        <v>0</v>
      </c>
      <c r="M34" s="305"/>
    </row>
    <row r="35" spans="1:13" ht="18" customHeight="1" x14ac:dyDescent="0.3">
      <c r="A35" s="15">
        <v>3</v>
      </c>
      <c r="B35" s="111" t="str" cm="1">
        <f t="array" ref="B35">IF(Properties!$D$8=0,"",INDEX(Properties!$E:$E,$A35+5))</f>
        <v>San Lucas Apto 101</v>
      </c>
      <c r="C35" s="313">
        <f>-SUMIF('_Month Engine'!$C$5:$DR$5,C$4,INDEX('_Month Engine'!$C:$DR,MATCH("Renovation Capex",'_Month Engine'!$A:$A,0)+MATCH($A35,'_Month Engine'!$B$21:$B$30,0),0))</f>
        <v>-291262.13592233008</v>
      </c>
      <c r="D35" s="313">
        <f>-SUMIF('_Month Engine'!$C$5:$DR$5,D$4,INDEX('_Month Engine'!$C:$DR,MATCH("Renovation Capex",'_Month Engine'!$A:$A,0)+MATCH($A35,'_Month Engine'!$B$21:$B$30,0),0))</f>
        <v>0</v>
      </c>
      <c r="E35" s="313">
        <f>-SUMIF('_Month Engine'!$C$5:$DR$5,E$4,INDEX('_Month Engine'!$C:$DR,MATCH("Renovation Capex",'_Month Engine'!$A:$A,0)+MATCH($A35,'_Month Engine'!$B$21:$B$30,0),0))</f>
        <v>0</v>
      </c>
      <c r="F35" s="313">
        <f>-SUMIF('_Month Engine'!$C$5:$DR$5,F$4,INDEX('_Month Engine'!$C:$DR,MATCH("Renovation Capex",'_Month Engine'!$A:$A,0)+MATCH($A35,'_Month Engine'!$B$21:$B$30,0),0))</f>
        <v>0</v>
      </c>
      <c r="G35" s="313">
        <f>-SUMIF('_Month Engine'!$C$5:$DR$5,G$4,INDEX('_Month Engine'!$C:$DR,MATCH("Renovation Capex",'_Month Engine'!$A:$A,0)+MATCH($A35,'_Month Engine'!$B$21:$B$30,0),0))</f>
        <v>0</v>
      </c>
      <c r="H35" s="313">
        <f>-SUMIF('_Month Engine'!$C$5:$DR$5,H$4,INDEX('_Month Engine'!$C:$DR,MATCH("Renovation Capex",'_Month Engine'!$A:$A,0)+MATCH($A35,'_Month Engine'!$B$21:$B$30,0),0))</f>
        <v>0</v>
      </c>
      <c r="I35" s="313">
        <f>-SUMIF('_Month Engine'!$C$5:$DR$5,I$4,INDEX('_Month Engine'!$C:$DR,MATCH("Renovation Capex",'_Month Engine'!$A:$A,0)+MATCH($A35,'_Month Engine'!$B$21:$B$30,0),0))</f>
        <v>0</v>
      </c>
      <c r="J35" s="313">
        <f>-SUMIF('_Month Engine'!$C$5:$DR$5,J$4,INDEX('_Month Engine'!$C:$DR,MATCH("Renovation Capex",'_Month Engine'!$A:$A,0)+MATCH($A35,'_Month Engine'!$B$21:$B$30,0),0))</f>
        <v>0</v>
      </c>
      <c r="K35" s="313">
        <f>-SUMIF('_Month Engine'!$C$5:$DR$5,K$4,INDEX('_Month Engine'!$C:$DR,MATCH("Renovation Capex",'_Month Engine'!$A:$A,0)+MATCH($A35,'_Month Engine'!$B$21:$B$30,0),0))</f>
        <v>0</v>
      </c>
      <c r="L35" s="313">
        <f>-SUMIF('_Month Engine'!$C$5:$DR$5,L$4,INDEX('_Month Engine'!$C:$DR,MATCH("Renovation Capex",'_Month Engine'!$A:$A,0)+MATCH($A35,'_Month Engine'!$B$21:$B$30,0),0))</f>
        <v>0</v>
      </c>
      <c r="M35" s="305"/>
    </row>
    <row r="36" spans="1:13" ht="18" customHeight="1" x14ac:dyDescent="0.3">
      <c r="A36" s="15">
        <v>4</v>
      </c>
      <c r="B36" s="111" t="str" cm="1">
        <f t="array" ref="B36">IF(Properties!$D$9=0,"",INDEX(Properties!$E:$E,$A36+5))</f>
        <v>Casa Montana Lote 2 (Samuel Gaviria House)</v>
      </c>
      <c r="C36" s="313">
        <f>-SUMIF('_Month Engine'!$C$5:$DR$5,C$4,INDEX('_Month Engine'!$C:$DR,MATCH("Renovation Capex",'_Month Engine'!$A:$A,0)+MATCH($A36,'_Month Engine'!$B$21:$B$30,0),0))</f>
        <v>-458468.17691477889</v>
      </c>
      <c r="D36" s="313">
        <f>-SUMIF('_Month Engine'!$C$5:$DR$5,D$4,INDEX('_Month Engine'!$C:$DR,MATCH("Renovation Capex",'_Month Engine'!$A:$A,0)+MATCH($A36,'_Month Engine'!$B$21:$B$30,0),0))</f>
        <v>-91693.635382955777</v>
      </c>
      <c r="E36" s="313">
        <f>-SUMIF('_Month Engine'!$C$5:$DR$5,E$4,INDEX('_Month Engine'!$C:$DR,MATCH("Renovation Capex",'_Month Engine'!$A:$A,0)+MATCH($A36,'_Month Engine'!$B$21:$B$30,0),0))</f>
        <v>0</v>
      </c>
      <c r="F36" s="313">
        <f>-SUMIF('_Month Engine'!$C$5:$DR$5,F$4,INDEX('_Month Engine'!$C:$DR,MATCH("Renovation Capex",'_Month Engine'!$A:$A,0)+MATCH($A36,'_Month Engine'!$B$21:$B$30,0),0))</f>
        <v>0</v>
      </c>
      <c r="G36" s="313">
        <f>-SUMIF('_Month Engine'!$C$5:$DR$5,G$4,INDEX('_Month Engine'!$C:$DR,MATCH("Renovation Capex",'_Month Engine'!$A:$A,0)+MATCH($A36,'_Month Engine'!$B$21:$B$30,0),0))</f>
        <v>0</v>
      </c>
      <c r="H36" s="313">
        <f>-SUMIF('_Month Engine'!$C$5:$DR$5,H$4,INDEX('_Month Engine'!$C:$DR,MATCH("Renovation Capex",'_Month Engine'!$A:$A,0)+MATCH($A36,'_Month Engine'!$B$21:$B$30,0),0))</f>
        <v>0</v>
      </c>
      <c r="I36" s="313">
        <f>-SUMIF('_Month Engine'!$C$5:$DR$5,I$4,INDEX('_Month Engine'!$C:$DR,MATCH("Renovation Capex",'_Month Engine'!$A:$A,0)+MATCH($A36,'_Month Engine'!$B$21:$B$30,0),0))</f>
        <v>0</v>
      </c>
      <c r="J36" s="313">
        <f>-SUMIF('_Month Engine'!$C$5:$DR$5,J$4,INDEX('_Month Engine'!$C:$DR,MATCH("Renovation Capex",'_Month Engine'!$A:$A,0)+MATCH($A36,'_Month Engine'!$B$21:$B$30,0),0))</f>
        <v>0</v>
      </c>
      <c r="K36" s="313">
        <f>-SUMIF('_Month Engine'!$C$5:$DR$5,K$4,INDEX('_Month Engine'!$C:$DR,MATCH("Renovation Capex",'_Month Engine'!$A:$A,0)+MATCH($A36,'_Month Engine'!$B$21:$B$30,0),0))</f>
        <v>0</v>
      </c>
      <c r="L36" s="313">
        <f>-SUMIF('_Month Engine'!$C$5:$DR$5,L$4,INDEX('_Month Engine'!$C:$DR,MATCH("Renovation Capex",'_Month Engine'!$A:$A,0)+MATCH($A36,'_Month Engine'!$B$21:$B$30,0),0))</f>
        <v>0</v>
      </c>
      <c r="M36" s="305"/>
    </row>
    <row r="37" spans="1:13" ht="18" customHeight="1" x14ac:dyDescent="0.3">
      <c r="A37" s="15">
        <v>5</v>
      </c>
      <c r="B37" s="111" t="str" cm="1">
        <f t="array" ref="B37">IF(Properties!$D$10=0,"",INDEX(Properties!$E:$E,$A37+5))</f>
        <v>Casa Monte Sereno</v>
      </c>
      <c r="C37" s="313">
        <f>-SUMIF('_Month Engine'!$C$5:$DR$5,C$4,INDEX('_Month Engine'!$C:$DR,MATCH("Renovation Capex",'_Month Engine'!$A:$A,0)+MATCH($A37,'_Month Engine'!$B$21:$B$30,0),0))</f>
        <v>-323624.59546925564</v>
      </c>
      <c r="D37" s="313">
        <f>-SUMIF('_Month Engine'!$C$5:$DR$5,D$4,INDEX('_Month Engine'!$C:$DR,MATCH("Renovation Capex",'_Month Engine'!$A:$A,0)+MATCH($A37,'_Month Engine'!$B$21:$B$30,0),0))</f>
        <v>0</v>
      </c>
      <c r="E37" s="313">
        <f>-SUMIF('_Month Engine'!$C$5:$DR$5,E$4,INDEX('_Month Engine'!$C:$DR,MATCH("Renovation Capex",'_Month Engine'!$A:$A,0)+MATCH($A37,'_Month Engine'!$B$21:$B$30,0),0))</f>
        <v>0</v>
      </c>
      <c r="F37" s="313">
        <f>-SUMIF('_Month Engine'!$C$5:$DR$5,F$4,INDEX('_Month Engine'!$C:$DR,MATCH("Renovation Capex",'_Month Engine'!$A:$A,0)+MATCH($A37,'_Month Engine'!$B$21:$B$30,0),0))</f>
        <v>0</v>
      </c>
      <c r="G37" s="313">
        <f>-SUMIF('_Month Engine'!$C$5:$DR$5,G$4,INDEX('_Month Engine'!$C:$DR,MATCH("Renovation Capex",'_Month Engine'!$A:$A,0)+MATCH($A37,'_Month Engine'!$B$21:$B$30,0),0))</f>
        <v>0</v>
      </c>
      <c r="H37" s="313">
        <f>-SUMIF('_Month Engine'!$C$5:$DR$5,H$4,INDEX('_Month Engine'!$C:$DR,MATCH("Renovation Capex",'_Month Engine'!$A:$A,0)+MATCH($A37,'_Month Engine'!$B$21:$B$30,0),0))</f>
        <v>0</v>
      </c>
      <c r="I37" s="313">
        <f>-SUMIF('_Month Engine'!$C$5:$DR$5,I$4,INDEX('_Month Engine'!$C:$DR,MATCH("Renovation Capex",'_Month Engine'!$A:$A,0)+MATCH($A37,'_Month Engine'!$B$21:$B$30,0),0))</f>
        <v>0</v>
      </c>
      <c r="J37" s="313">
        <f>-SUMIF('_Month Engine'!$C$5:$DR$5,J$4,INDEX('_Month Engine'!$C:$DR,MATCH("Renovation Capex",'_Month Engine'!$A:$A,0)+MATCH($A37,'_Month Engine'!$B$21:$B$30,0),0))</f>
        <v>0</v>
      </c>
      <c r="K37" s="313">
        <f>-SUMIF('_Month Engine'!$C$5:$DR$5,K$4,INDEX('_Month Engine'!$C:$DR,MATCH("Renovation Capex",'_Month Engine'!$A:$A,0)+MATCH($A37,'_Month Engine'!$B$21:$B$30,0),0))</f>
        <v>0</v>
      </c>
      <c r="L37" s="313">
        <f>-SUMIF('_Month Engine'!$C$5:$DR$5,L$4,INDEX('_Month Engine'!$C:$DR,MATCH("Renovation Capex",'_Month Engine'!$A:$A,0)+MATCH($A37,'_Month Engine'!$B$21:$B$30,0),0))</f>
        <v>0</v>
      </c>
      <c r="M37" s="305"/>
    </row>
    <row r="38" spans="1:13" ht="18" customHeight="1" x14ac:dyDescent="0.3">
      <c r="A38" s="15">
        <v>6</v>
      </c>
      <c r="B38" s="111" t="str" cm="1">
        <f t="array" ref="B38">IF(Properties!$D$11=0,"",INDEX(Properties!$E:$E,$A38+5))</f>
        <v/>
      </c>
      <c r="C38" s="313">
        <f>-SUMIF('_Month Engine'!$C$5:$DR$5,C$4,INDEX('_Month Engine'!$C:$DR,MATCH("Renovation Capex",'_Month Engine'!$A:$A,0)+MATCH($A38,'_Month Engine'!$B$21:$B$30,0),0))</f>
        <v>0</v>
      </c>
      <c r="D38" s="313">
        <f>-SUMIF('_Month Engine'!$C$5:$DR$5,D$4,INDEX('_Month Engine'!$C:$DR,MATCH("Renovation Capex",'_Month Engine'!$A:$A,0)+MATCH($A38,'_Month Engine'!$B$21:$B$30,0),0))</f>
        <v>0</v>
      </c>
      <c r="E38" s="313">
        <f>-SUMIF('_Month Engine'!$C$5:$DR$5,E$4,INDEX('_Month Engine'!$C:$DR,MATCH("Renovation Capex",'_Month Engine'!$A:$A,0)+MATCH($A38,'_Month Engine'!$B$21:$B$30,0),0))</f>
        <v>0</v>
      </c>
      <c r="F38" s="313">
        <f>-SUMIF('_Month Engine'!$C$5:$DR$5,F$4,INDEX('_Month Engine'!$C:$DR,MATCH("Renovation Capex",'_Month Engine'!$A:$A,0)+MATCH($A38,'_Month Engine'!$B$21:$B$30,0),0))</f>
        <v>0</v>
      </c>
      <c r="G38" s="313">
        <f>-SUMIF('_Month Engine'!$C$5:$DR$5,G$4,INDEX('_Month Engine'!$C:$DR,MATCH("Renovation Capex",'_Month Engine'!$A:$A,0)+MATCH($A38,'_Month Engine'!$B$21:$B$30,0),0))</f>
        <v>0</v>
      </c>
      <c r="H38" s="313">
        <f>-SUMIF('_Month Engine'!$C$5:$DR$5,H$4,INDEX('_Month Engine'!$C:$DR,MATCH("Renovation Capex",'_Month Engine'!$A:$A,0)+MATCH($A38,'_Month Engine'!$B$21:$B$30,0),0))</f>
        <v>0</v>
      </c>
      <c r="I38" s="313">
        <f>-SUMIF('_Month Engine'!$C$5:$DR$5,I$4,INDEX('_Month Engine'!$C:$DR,MATCH("Renovation Capex",'_Month Engine'!$A:$A,0)+MATCH($A38,'_Month Engine'!$B$21:$B$30,0),0))</f>
        <v>0</v>
      </c>
      <c r="J38" s="313">
        <f>-SUMIF('_Month Engine'!$C$5:$DR$5,J$4,INDEX('_Month Engine'!$C:$DR,MATCH("Renovation Capex",'_Month Engine'!$A:$A,0)+MATCH($A38,'_Month Engine'!$B$21:$B$30,0),0))</f>
        <v>0</v>
      </c>
      <c r="K38" s="313">
        <f>-SUMIF('_Month Engine'!$C$5:$DR$5,K$4,INDEX('_Month Engine'!$C:$DR,MATCH("Renovation Capex",'_Month Engine'!$A:$A,0)+MATCH($A38,'_Month Engine'!$B$21:$B$30,0),0))</f>
        <v>0</v>
      </c>
      <c r="L38" s="313">
        <f>-SUMIF('_Month Engine'!$C$5:$DR$5,L$4,INDEX('_Month Engine'!$C:$DR,MATCH("Renovation Capex",'_Month Engine'!$A:$A,0)+MATCH($A38,'_Month Engine'!$B$21:$B$30,0),0))</f>
        <v>0</v>
      </c>
      <c r="M38" s="305"/>
    </row>
    <row r="39" spans="1:13" ht="18" customHeight="1" x14ac:dyDescent="0.3">
      <c r="A39" s="15">
        <v>7</v>
      </c>
      <c r="B39" s="111" t="str" cm="1">
        <f t="array" ref="B39">IF(Properties!$D$12=0,"",INDEX(Properties!$E:$E,$A39+5))</f>
        <v/>
      </c>
      <c r="C39" s="313">
        <f>-SUMIF('_Month Engine'!$C$5:$DR$5,C$4,INDEX('_Month Engine'!$C:$DR,MATCH("Renovation Capex",'_Month Engine'!$A:$A,0)+MATCH($A39,'_Month Engine'!$B$21:$B$30,0),0))</f>
        <v>0</v>
      </c>
      <c r="D39" s="313">
        <f>-SUMIF('_Month Engine'!$C$5:$DR$5,D$4,INDEX('_Month Engine'!$C:$DR,MATCH("Renovation Capex",'_Month Engine'!$A:$A,0)+MATCH($A39,'_Month Engine'!$B$21:$B$30,0),0))</f>
        <v>0</v>
      </c>
      <c r="E39" s="313">
        <f>-SUMIF('_Month Engine'!$C$5:$DR$5,E$4,INDEX('_Month Engine'!$C:$DR,MATCH("Renovation Capex",'_Month Engine'!$A:$A,0)+MATCH($A39,'_Month Engine'!$B$21:$B$30,0),0))</f>
        <v>0</v>
      </c>
      <c r="F39" s="313">
        <f>-SUMIF('_Month Engine'!$C$5:$DR$5,F$4,INDEX('_Month Engine'!$C:$DR,MATCH("Renovation Capex",'_Month Engine'!$A:$A,0)+MATCH($A39,'_Month Engine'!$B$21:$B$30,0),0))</f>
        <v>0</v>
      </c>
      <c r="G39" s="313">
        <f>-SUMIF('_Month Engine'!$C$5:$DR$5,G$4,INDEX('_Month Engine'!$C:$DR,MATCH("Renovation Capex",'_Month Engine'!$A:$A,0)+MATCH($A39,'_Month Engine'!$B$21:$B$30,0),0))</f>
        <v>0</v>
      </c>
      <c r="H39" s="313">
        <f>-SUMIF('_Month Engine'!$C$5:$DR$5,H$4,INDEX('_Month Engine'!$C:$DR,MATCH("Renovation Capex",'_Month Engine'!$A:$A,0)+MATCH($A39,'_Month Engine'!$B$21:$B$30,0),0))</f>
        <v>0</v>
      </c>
      <c r="I39" s="313">
        <f>-SUMIF('_Month Engine'!$C$5:$DR$5,I$4,INDEX('_Month Engine'!$C:$DR,MATCH("Renovation Capex",'_Month Engine'!$A:$A,0)+MATCH($A39,'_Month Engine'!$B$21:$B$30,0),0))</f>
        <v>0</v>
      </c>
      <c r="J39" s="313">
        <f>-SUMIF('_Month Engine'!$C$5:$DR$5,J$4,INDEX('_Month Engine'!$C:$DR,MATCH("Renovation Capex",'_Month Engine'!$A:$A,0)+MATCH($A39,'_Month Engine'!$B$21:$B$30,0),0))</f>
        <v>0</v>
      </c>
      <c r="K39" s="313">
        <f>-SUMIF('_Month Engine'!$C$5:$DR$5,K$4,INDEX('_Month Engine'!$C:$DR,MATCH("Renovation Capex",'_Month Engine'!$A:$A,0)+MATCH($A39,'_Month Engine'!$B$21:$B$30,0),0))</f>
        <v>0</v>
      </c>
      <c r="L39" s="313">
        <f>-SUMIF('_Month Engine'!$C$5:$DR$5,L$4,INDEX('_Month Engine'!$C:$DR,MATCH("Renovation Capex",'_Month Engine'!$A:$A,0)+MATCH($A39,'_Month Engine'!$B$21:$B$30,0),0))</f>
        <v>0</v>
      </c>
      <c r="M39" s="305"/>
    </row>
    <row r="40" spans="1:13" ht="18" customHeight="1" x14ac:dyDescent="0.3">
      <c r="A40" s="15">
        <v>8</v>
      </c>
      <c r="B40" s="111" t="str" cm="1">
        <f t="array" ref="B40">IF(Properties!$D$13=0,"",INDEX(Properties!$E:$E,$A40+5))</f>
        <v/>
      </c>
      <c r="C40" s="313">
        <f>-SUMIF('_Month Engine'!$C$5:$DR$5,C$4,INDEX('_Month Engine'!$C:$DR,MATCH("Renovation Capex",'_Month Engine'!$A:$A,0)+MATCH($A40,'_Month Engine'!$B$21:$B$30,0),0))</f>
        <v>0</v>
      </c>
      <c r="D40" s="313">
        <f>-SUMIF('_Month Engine'!$C$5:$DR$5,D$4,INDEX('_Month Engine'!$C:$DR,MATCH("Renovation Capex",'_Month Engine'!$A:$A,0)+MATCH($A40,'_Month Engine'!$B$21:$B$30,0),0))</f>
        <v>0</v>
      </c>
      <c r="E40" s="313">
        <f>-SUMIF('_Month Engine'!$C$5:$DR$5,E$4,INDEX('_Month Engine'!$C:$DR,MATCH("Renovation Capex",'_Month Engine'!$A:$A,0)+MATCH($A40,'_Month Engine'!$B$21:$B$30,0),0))</f>
        <v>0</v>
      </c>
      <c r="F40" s="313">
        <f>-SUMIF('_Month Engine'!$C$5:$DR$5,F$4,INDEX('_Month Engine'!$C:$DR,MATCH("Renovation Capex",'_Month Engine'!$A:$A,0)+MATCH($A40,'_Month Engine'!$B$21:$B$30,0),0))</f>
        <v>0</v>
      </c>
      <c r="G40" s="313">
        <f>-SUMIF('_Month Engine'!$C$5:$DR$5,G$4,INDEX('_Month Engine'!$C:$DR,MATCH("Renovation Capex",'_Month Engine'!$A:$A,0)+MATCH($A40,'_Month Engine'!$B$21:$B$30,0),0))</f>
        <v>0</v>
      </c>
      <c r="H40" s="313">
        <f>-SUMIF('_Month Engine'!$C$5:$DR$5,H$4,INDEX('_Month Engine'!$C:$DR,MATCH("Renovation Capex",'_Month Engine'!$A:$A,0)+MATCH($A40,'_Month Engine'!$B$21:$B$30,0),0))</f>
        <v>0</v>
      </c>
      <c r="I40" s="313">
        <f>-SUMIF('_Month Engine'!$C$5:$DR$5,I$4,INDEX('_Month Engine'!$C:$DR,MATCH("Renovation Capex",'_Month Engine'!$A:$A,0)+MATCH($A40,'_Month Engine'!$B$21:$B$30,0),0))</f>
        <v>0</v>
      </c>
      <c r="J40" s="313">
        <f>-SUMIF('_Month Engine'!$C$5:$DR$5,J$4,INDEX('_Month Engine'!$C:$DR,MATCH("Renovation Capex",'_Month Engine'!$A:$A,0)+MATCH($A40,'_Month Engine'!$B$21:$B$30,0),0))</f>
        <v>0</v>
      </c>
      <c r="K40" s="313">
        <f>-SUMIF('_Month Engine'!$C$5:$DR$5,K$4,INDEX('_Month Engine'!$C:$DR,MATCH("Renovation Capex",'_Month Engine'!$A:$A,0)+MATCH($A40,'_Month Engine'!$B$21:$B$30,0),0))</f>
        <v>0</v>
      </c>
      <c r="L40" s="313">
        <f>-SUMIF('_Month Engine'!$C$5:$DR$5,L$4,INDEX('_Month Engine'!$C:$DR,MATCH("Renovation Capex",'_Month Engine'!$A:$A,0)+MATCH($A40,'_Month Engine'!$B$21:$B$30,0),0))</f>
        <v>0</v>
      </c>
      <c r="M40" s="305"/>
    </row>
    <row r="41" spans="1:13" ht="18" customHeight="1" x14ac:dyDescent="0.3">
      <c r="A41" s="15">
        <v>9</v>
      </c>
      <c r="B41" s="111" t="str" cm="1">
        <f t="array" ref="B41">IF(Properties!$D$14=0,"",INDEX(Properties!$E:$E,$A41+5))</f>
        <v/>
      </c>
      <c r="C41" s="313">
        <f>-SUMIF('_Month Engine'!$C$5:$DR$5,C$4,INDEX('_Month Engine'!$C:$DR,MATCH("Renovation Capex",'_Month Engine'!$A:$A,0)+MATCH($A41,'_Month Engine'!$B$21:$B$30,0),0))</f>
        <v>0</v>
      </c>
      <c r="D41" s="313">
        <f>-SUMIF('_Month Engine'!$C$5:$DR$5,D$4,INDEX('_Month Engine'!$C:$DR,MATCH("Renovation Capex",'_Month Engine'!$A:$A,0)+MATCH($A41,'_Month Engine'!$B$21:$B$30,0),0))</f>
        <v>0</v>
      </c>
      <c r="E41" s="313">
        <f>-SUMIF('_Month Engine'!$C$5:$DR$5,E$4,INDEX('_Month Engine'!$C:$DR,MATCH("Renovation Capex",'_Month Engine'!$A:$A,0)+MATCH($A41,'_Month Engine'!$B$21:$B$30,0),0))</f>
        <v>0</v>
      </c>
      <c r="F41" s="313">
        <f>-SUMIF('_Month Engine'!$C$5:$DR$5,F$4,INDEX('_Month Engine'!$C:$DR,MATCH("Renovation Capex",'_Month Engine'!$A:$A,0)+MATCH($A41,'_Month Engine'!$B$21:$B$30,0),0))</f>
        <v>0</v>
      </c>
      <c r="G41" s="313">
        <f>-SUMIF('_Month Engine'!$C$5:$DR$5,G$4,INDEX('_Month Engine'!$C:$DR,MATCH("Renovation Capex",'_Month Engine'!$A:$A,0)+MATCH($A41,'_Month Engine'!$B$21:$B$30,0),0))</f>
        <v>0</v>
      </c>
      <c r="H41" s="313">
        <f>-SUMIF('_Month Engine'!$C$5:$DR$5,H$4,INDEX('_Month Engine'!$C:$DR,MATCH("Renovation Capex",'_Month Engine'!$A:$A,0)+MATCH($A41,'_Month Engine'!$B$21:$B$30,0),0))</f>
        <v>0</v>
      </c>
      <c r="I41" s="313">
        <f>-SUMIF('_Month Engine'!$C$5:$DR$5,I$4,INDEX('_Month Engine'!$C:$DR,MATCH("Renovation Capex",'_Month Engine'!$A:$A,0)+MATCH($A41,'_Month Engine'!$B$21:$B$30,0),0))</f>
        <v>0</v>
      </c>
      <c r="J41" s="313">
        <f>-SUMIF('_Month Engine'!$C$5:$DR$5,J$4,INDEX('_Month Engine'!$C:$DR,MATCH("Renovation Capex",'_Month Engine'!$A:$A,0)+MATCH($A41,'_Month Engine'!$B$21:$B$30,0),0))</f>
        <v>0</v>
      </c>
      <c r="K41" s="313">
        <f>-SUMIF('_Month Engine'!$C$5:$DR$5,K$4,INDEX('_Month Engine'!$C:$DR,MATCH("Renovation Capex",'_Month Engine'!$A:$A,0)+MATCH($A41,'_Month Engine'!$B$21:$B$30,0),0))</f>
        <v>0</v>
      </c>
      <c r="L41" s="313">
        <f>-SUMIF('_Month Engine'!$C$5:$DR$5,L$4,INDEX('_Month Engine'!$C:$DR,MATCH("Renovation Capex",'_Month Engine'!$A:$A,0)+MATCH($A41,'_Month Engine'!$B$21:$B$30,0),0))</f>
        <v>0</v>
      </c>
      <c r="M41" s="305"/>
    </row>
    <row r="42" spans="1:13" ht="18" customHeight="1" x14ac:dyDescent="0.3">
      <c r="A42" s="15">
        <v>10</v>
      </c>
      <c r="B42" s="111" t="str" cm="1">
        <f t="array" ref="B42">IF(Properties!$D$15=0,"",INDEX(Properties!$E:$E,$A42+5))</f>
        <v/>
      </c>
      <c r="C42" s="313">
        <f>-SUMIF('_Month Engine'!$C$5:$DR$5,C$4,INDEX('_Month Engine'!$C:$DR,MATCH("Renovation Capex",'_Month Engine'!$A:$A,0)+MATCH($A42,'_Month Engine'!$B$21:$B$30,0),0))</f>
        <v>0</v>
      </c>
      <c r="D42" s="313">
        <f>-SUMIF('_Month Engine'!$C$5:$DR$5,D$4,INDEX('_Month Engine'!$C:$DR,MATCH("Renovation Capex",'_Month Engine'!$A:$A,0)+MATCH($A42,'_Month Engine'!$B$21:$B$30,0),0))</f>
        <v>0</v>
      </c>
      <c r="E42" s="313">
        <f>-SUMIF('_Month Engine'!$C$5:$DR$5,E$4,INDEX('_Month Engine'!$C:$DR,MATCH("Renovation Capex",'_Month Engine'!$A:$A,0)+MATCH($A42,'_Month Engine'!$B$21:$B$30,0),0))</f>
        <v>0</v>
      </c>
      <c r="F42" s="313">
        <f>-SUMIF('_Month Engine'!$C$5:$DR$5,F$4,INDEX('_Month Engine'!$C:$DR,MATCH("Renovation Capex",'_Month Engine'!$A:$A,0)+MATCH($A42,'_Month Engine'!$B$21:$B$30,0),0))</f>
        <v>0</v>
      </c>
      <c r="G42" s="313">
        <f>-SUMIF('_Month Engine'!$C$5:$DR$5,G$4,INDEX('_Month Engine'!$C:$DR,MATCH("Renovation Capex",'_Month Engine'!$A:$A,0)+MATCH($A42,'_Month Engine'!$B$21:$B$30,0),0))</f>
        <v>0</v>
      </c>
      <c r="H42" s="313">
        <f>-SUMIF('_Month Engine'!$C$5:$DR$5,H$4,INDEX('_Month Engine'!$C:$DR,MATCH("Renovation Capex",'_Month Engine'!$A:$A,0)+MATCH($A42,'_Month Engine'!$B$21:$B$30,0),0))</f>
        <v>0</v>
      </c>
      <c r="I42" s="313">
        <f>-SUMIF('_Month Engine'!$C$5:$DR$5,I$4,INDEX('_Month Engine'!$C:$DR,MATCH("Renovation Capex",'_Month Engine'!$A:$A,0)+MATCH($A42,'_Month Engine'!$B$21:$B$30,0),0))</f>
        <v>0</v>
      </c>
      <c r="J42" s="313">
        <f>-SUMIF('_Month Engine'!$C$5:$DR$5,J$4,INDEX('_Month Engine'!$C:$DR,MATCH("Renovation Capex",'_Month Engine'!$A:$A,0)+MATCH($A42,'_Month Engine'!$B$21:$B$30,0),0))</f>
        <v>0</v>
      </c>
      <c r="K42" s="313">
        <f>-SUMIF('_Month Engine'!$C$5:$DR$5,K$4,INDEX('_Month Engine'!$C:$DR,MATCH("Renovation Capex",'_Month Engine'!$A:$A,0)+MATCH($A42,'_Month Engine'!$B$21:$B$30,0),0))</f>
        <v>0</v>
      </c>
      <c r="L42" s="313">
        <f>-SUMIF('_Month Engine'!$C$5:$DR$5,L$4,INDEX('_Month Engine'!$C:$DR,MATCH("Renovation Capex",'_Month Engine'!$A:$A,0)+MATCH($A42,'_Month Engine'!$B$21:$B$30,0),0))</f>
        <v>0</v>
      </c>
      <c r="M42" s="305"/>
    </row>
    <row r="43" spans="1:13" ht="18" customHeight="1" x14ac:dyDescent="0.3">
      <c r="A43" s="15"/>
      <c r="B43" s="108" t="s">
        <v>99</v>
      </c>
      <c r="C43" s="313">
        <f t="shared" ref="C43:L43" si="4">SUM(C33:C42)</f>
        <v>-1804746.4940668824</v>
      </c>
      <c r="D43" s="313">
        <f t="shared" si="4"/>
        <v>-91693.635382955777</v>
      </c>
      <c r="E43" s="313">
        <f t="shared" si="4"/>
        <v>0</v>
      </c>
      <c r="F43" s="313">
        <f t="shared" si="4"/>
        <v>0</v>
      </c>
      <c r="G43" s="313">
        <f t="shared" si="4"/>
        <v>0</v>
      </c>
      <c r="H43" s="313">
        <f t="shared" si="4"/>
        <v>0</v>
      </c>
      <c r="I43" s="313">
        <f t="shared" si="4"/>
        <v>0</v>
      </c>
      <c r="J43" s="313">
        <f t="shared" si="4"/>
        <v>0</v>
      </c>
      <c r="K43" s="313">
        <f t="shared" si="4"/>
        <v>0</v>
      </c>
      <c r="L43" s="313">
        <f t="shared" si="4"/>
        <v>0</v>
      </c>
      <c r="M43" s="305"/>
    </row>
    <row r="44" spans="1:13" ht="18" customHeight="1" x14ac:dyDescent="0.3">
      <c r="A44" s="15"/>
      <c r="B44" s="319" t="s">
        <v>100</v>
      </c>
      <c r="C44" s="314">
        <f t="shared" ref="C44:L44" si="5">C32+C43</f>
        <v>-6480272.38403452</v>
      </c>
      <c r="D44" s="314">
        <f t="shared" si="5"/>
        <v>-91693.635382955777</v>
      </c>
      <c r="E44" s="314">
        <f t="shared" si="5"/>
        <v>0</v>
      </c>
      <c r="F44" s="314">
        <f t="shared" si="5"/>
        <v>0</v>
      </c>
      <c r="G44" s="314">
        <f t="shared" si="5"/>
        <v>0</v>
      </c>
      <c r="H44" s="314">
        <f t="shared" si="5"/>
        <v>0</v>
      </c>
      <c r="I44" s="314">
        <f t="shared" si="5"/>
        <v>0</v>
      </c>
      <c r="J44" s="314">
        <f t="shared" si="5"/>
        <v>0</v>
      </c>
      <c r="K44" s="314">
        <f t="shared" si="5"/>
        <v>0</v>
      </c>
      <c r="L44" s="314">
        <f t="shared" si="5"/>
        <v>0</v>
      </c>
      <c r="M44" s="305"/>
    </row>
    <row r="45" spans="1:13" ht="18" customHeight="1" x14ac:dyDescent="0.3">
      <c r="A45" s="15"/>
      <c r="B45" s="109"/>
      <c r="C45" s="311"/>
      <c r="D45" s="311"/>
      <c r="E45" s="311"/>
      <c r="F45" s="311"/>
      <c r="G45" s="311"/>
      <c r="H45" s="311"/>
      <c r="I45" s="311"/>
      <c r="J45" s="311"/>
      <c r="K45" s="311"/>
      <c r="L45" s="311"/>
      <c r="M45" s="305"/>
    </row>
    <row r="46" spans="1:13" ht="19.95" customHeight="1" x14ac:dyDescent="0.3">
      <c r="A46" s="40"/>
      <c r="B46" s="130" t="s">
        <v>101</v>
      </c>
      <c r="C46" s="67"/>
      <c r="D46" s="67"/>
      <c r="E46" s="67"/>
      <c r="F46" s="67"/>
      <c r="G46" s="67"/>
      <c r="H46" s="67"/>
      <c r="I46" s="67"/>
      <c r="J46" s="67"/>
      <c r="K46" s="67"/>
      <c r="L46" s="67"/>
      <c r="M46" s="306"/>
    </row>
    <row r="47" spans="1:13" ht="18" customHeight="1" x14ac:dyDescent="0.3">
      <c r="A47" s="15"/>
      <c r="B47" s="108" t="s">
        <v>394</v>
      </c>
      <c r="C47" s="313" cm="1">
        <f t="array" ref="C47">MIN(Input!$C$37-SUM($B47:B47),MAX(0,C56-(C53+(C19-(SUMPRODUCT(Properties!$D$6:$D$15*(ROUNDUP(Properties!$U$6:$U$15/'_IRR Engine'!$Q$7,0)=C$4)*Properties!$AB$6:$AB$15)-'Income Statement'!C152))+C44)))*(C$4&lt;=Input!$C$57)</f>
        <v>6630682.265400474</v>
      </c>
      <c r="D47" s="313" cm="1">
        <f t="array" ref="D47">MIN(Input!$C$37-SUM($B47:C47),MAX(0,D56-(D53+(D19-(SUMPRODUCT(Properties!$D$6:$D$15*(ROUNDUP(Properties!$U$6:$U$15/'_IRR Engine'!$Q$7,0)=D$4)*Properties!$AB$6:$AB$15)-'Income Statement'!D152))+D44)))*(D$4&lt;=Input!$C$57)</f>
        <v>84829.976603549541</v>
      </c>
      <c r="E47" s="313" cm="1">
        <f t="array" ref="E47">MIN(Input!$C$37-SUM($B47:D47),MAX(0,E56-(E53+(E19-(SUMPRODUCT(Properties!$D$6:$D$15*(ROUNDUP(Properties!$U$6:$U$15/'_IRR Engine'!$Q$7,0)=E$4)*Properties!$AB$6:$AB$15)-'Income Statement'!E152))+E44)))*(E$4&lt;=Input!$C$57)</f>
        <v>0</v>
      </c>
      <c r="F47" s="313" cm="1">
        <f t="array" ref="F47">MIN(Input!$C$37-SUM($B47:E47),MAX(0,F56-(F53+(F19-(SUMPRODUCT(Properties!$D$6:$D$15*(ROUNDUP(Properties!$U$6:$U$15/'_IRR Engine'!$Q$7,0)=F$4)*Properties!$AB$6:$AB$15)-'Income Statement'!F152))+F44)))*(F$4&lt;=Input!$C$57)</f>
        <v>4287.9993590698141</v>
      </c>
      <c r="G47" s="313" cm="1">
        <f t="array" ref="G47">MIN(Input!$C$37-SUM($B47:F47),MAX(0,G56-(G53+(G19-(SUMPRODUCT(Properties!$D$6:$D$15*(ROUNDUP(Properties!$U$6:$U$15/'_IRR Engine'!$Q$7,0)=G$4)*Properties!$AB$6:$AB$15)-'Income Statement'!G152))+G44)))*(G$4&lt;=Input!$C$57)</f>
        <v>0</v>
      </c>
      <c r="H47" s="313" cm="1">
        <f t="array" ref="H47">MIN(Input!$C$37-SUM($B47:G47),MAX(0,H56-(H53+(H19-(SUMPRODUCT(Properties!$D$6:$D$15*(ROUNDUP(Properties!$U$6:$U$15/'_IRR Engine'!$Q$7,0)=H$4)*Properties!$AB$6:$AB$15)-'Income Statement'!H152))+H44)))*(H$4&lt;=Input!$C$57)</f>
        <v>0</v>
      </c>
      <c r="I47" s="313" cm="1">
        <f t="array" ref="I47">MIN(Input!$C$37-SUM($B47:H47),MAX(0,I56-(I53+(I19-(SUMPRODUCT(Properties!$D$6:$D$15*(ROUNDUP(Properties!$U$6:$U$15/'_IRR Engine'!$Q$7,0)=I$4)*Properties!$AB$6:$AB$15)-'Income Statement'!I152))+I44)))*(I$4&lt;=Input!$C$57)</f>
        <v>0</v>
      </c>
      <c r="J47" s="313" cm="1">
        <f t="array" ref="J47">MIN(Input!$C$37-SUM($B47:I47),MAX(0,J56-(J53+(J19-(SUMPRODUCT(Properties!$D$6:$D$15*(ROUNDUP(Properties!$U$6:$U$15/'_IRR Engine'!$Q$7,0)=J$4)*Properties!$AB$6:$AB$15)-'Income Statement'!J152))+J44)))*(J$4&lt;=Input!$C$57)</f>
        <v>0</v>
      </c>
      <c r="K47" s="313" cm="1">
        <f t="array" ref="K47">MIN(Input!$C$37-SUM($B47:J47),MAX(0,K56-(K53+(K19-(SUMPRODUCT(Properties!$D$6:$D$15*(ROUNDUP(Properties!$U$6:$U$15/'_IRR Engine'!$Q$7,0)=K$4)*Properties!$AB$6:$AB$15)-'Income Statement'!K152))+K44)))*(K$4&lt;=Input!$C$57)</f>
        <v>0</v>
      </c>
      <c r="L47" s="313" cm="1">
        <f t="array" ref="L47">MIN(Input!$C$37-SUM($B47:K47),MAX(0,L56-(L53+(L19-(SUMPRODUCT(Properties!$D$6:$D$15*(ROUNDUP(Properties!$U$6:$U$15/'_IRR Engine'!$Q$7,0)=L$4)*Properties!$AB$6:$AB$15)-'Income Statement'!L152))+L44)))*(L$4&lt;=Input!$C$57)</f>
        <v>0</v>
      </c>
      <c r="M47" s="305"/>
    </row>
    <row r="48" spans="1:13" ht="18" customHeight="1" x14ac:dyDescent="0.3">
      <c r="A48" s="15"/>
      <c r="B48" s="108" t="s">
        <v>1341</v>
      </c>
      <c r="C48" s="313">
        <f>-'Investor Return'!C11</f>
        <v>0</v>
      </c>
      <c r="D48" s="313">
        <f>-'Investor Return'!D11</f>
        <v>0</v>
      </c>
      <c r="E48" s="313">
        <f>-'Investor Return'!E11</f>
        <v>-5057197.17</v>
      </c>
      <c r="F48" s="313">
        <f>-'Investor Return'!F11</f>
        <v>-4589277.4309361493</v>
      </c>
      <c r="G48" s="313">
        <f>-'Investor Return'!G11</f>
        <v>0</v>
      </c>
      <c r="H48" s="313">
        <f>-'Investor Return'!H11</f>
        <v>0</v>
      </c>
      <c r="I48" s="313">
        <f>-'Investor Return'!I11</f>
        <v>0</v>
      </c>
      <c r="J48" s="313">
        <f>-'Investor Return'!J11</f>
        <v>0</v>
      </c>
      <c r="K48" s="313">
        <f>-'Investor Return'!K11</f>
        <v>0</v>
      </c>
      <c r="L48" s="313">
        <f>-'Investor Return'!L11</f>
        <v>0</v>
      </c>
      <c r="M48" s="305"/>
    </row>
    <row r="49" spans="1:13" ht="18" customHeight="1" x14ac:dyDescent="0.3">
      <c r="A49" s="15"/>
      <c r="B49" s="108" t="s">
        <v>1342</v>
      </c>
      <c r="C49" s="313">
        <f>'Investor Return'!C10</f>
        <v>0</v>
      </c>
      <c r="D49" s="313">
        <f>'Investor Return'!D10</f>
        <v>0</v>
      </c>
      <c r="E49" s="313">
        <f>'Investor Return'!E10</f>
        <v>0</v>
      </c>
      <c r="F49" s="313">
        <f>'Investor Return'!F10</f>
        <v>-731668.58989326435</v>
      </c>
      <c r="G49" s="313">
        <f>'Investor Return'!G10</f>
        <v>0</v>
      </c>
      <c r="H49" s="313">
        <f>'Investor Return'!H10</f>
        <v>0</v>
      </c>
      <c r="I49" s="313">
        <f>'Investor Return'!I10</f>
        <v>0</v>
      </c>
      <c r="J49" s="313">
        <f>'Investor Return'!J10</f>
        <v>0</v>
      </c>
      <c r="K49" s="313">
        <f>'Investor Return'!K10</f>
        <v>0</v>
      </c>
      <c r="L49" s="313">
        <f>'Investor Return'!L10</f>
        <v>0</v>
      </c>
      <c r="M49" s="305"/>
    </row>
    <row r="50" spans="1:13" ht="18" customHeight="1" x14ac:dyDescent="0.3">
      <c r="A50" s="15"/>
      <c r="B50" s="319" t="s">
        <v>102</v>
      </c>
      <c r="C50" s="314">
        <f t="shared" ref="C50:L50" si="6">C47+C48+C49</f>
        <v>6630682.265400474</v>
      </c>
      <c r="D50" s="314">
        <f t="shared" si="6"/>
        <v>84829.976603549541</v>
      </c>
      <c r="E50" s="314">
        <f t="shared" si="6"/>
        <v>-5057197.17</v>
      </c>
      <c r="F50" s="314">
        <f t="shared" si="6"/>
        <v>-5316658.0214703446</v>
      </c>
      <c r="G50" s="314">
        <f t="shared" si="6"/>
        <v>0</v>
      </c>
      <c r="H50" s="314">
        <f t="shared" si="6"/>
        <v>0</v>
      </c>
      <c r="I50" s="314">
        <f t="shared" si="6"/>
        <v>0</v>
      </c>
      <c r="J50" s="314">
        <f t="shared" si="6"/>
        <v>0</v>
      </c>
      <c r="K50" s="314">
        <f t="shared" si="6"/>
        <v>0</v>
      </c>
      <c r="L50" s="314">
        <f t="shared" si="6"/>
        <v>0</v>
      </c>
      <c r="M50" s="305"/>
    </row>
    <row r="51" spans="1:13" ht="18" customHeight="1" x14ac:dyDescent="0.3">
      <c r="A51" s="15"/>
      <c r="B51" s="109"/>
      <c r="C51" s="311"/>
      <c r="D51" s="311"/>
      <c r="E51" s="311"/>
      <c r="F51" s="311"/>
      <c r="G51" s="311"/>
      <c r="H51" s="311"/>
      <c r="I51" s="311"/>
      <c r="J51" s="311"/>
      <c r="K51" s="311"/>
      <c r="L51" s="311"/>
      <c r="M51" s="305"/>
    </row>
    <row r="52" spans="1:13" ht="18" customHeight="1" x14ac:dyDescent="0.3">
      <c r="A52" s="15"/>
      <c r="B52" s="319" t="s">
        <v>103</v>
      </c>
      <c r="C52" s="314">
        <f t="shared" ref="C52:L52" si="7">C19+C44+C50</f>
        <v>24326.266830162145</v>
      </c>
      <c r="D52" s="314">
        <f t="shared" si="7"/>
        <v>-4895.372886872341</v>
      </c>
      <c r="E52" s="314">
        <f t="shared" si="7"/>
        <v>-12861.655063632876</v>
      </c>
      <c r="F52" s="314">
        <f t="shared" si="7"/>
        <v>-6569.2388796573505</v>
      </c>
      <c r="G52" s="314">
        <f t="shared" si="7"/>
        <v>0</v>
      </c>
      <c r="H52" s="314">
        <f t="shared" si="7"/>
        <v>0</v>
      </c>
      <c r="I52" s="314">
        <f t="shared" si="7"/>
        <v>0</v>
      </c>
      <c r="J52" s="314">
        <f t="shared" si="7"/>
        <v>0</v>
      </c>
      <c r="K52" s="314">
        <f t="shared" si="7"/>
        <v>0</v>
      </c>
      <c r="L52" s="314">
        <f t="shared" si="7"/>
        <v>0</v>
      </c>
      <c r="M52" s="305"/>
    </row>
    <row r="53" spans="1:13" ht="18" customHeight="1" thickBot="1" x14ac:dyDescent="0.35">
      <c r="A53" s="15"/>
      <c r="B53" s="108" t="s">
        <v>104</v>
      </c>
      <c r="C53" s="315">
        <f t="shared" ref="C53:L53" si="8">IF(C$4=1,0,B54)</f>
        <v>0</v>
      </c>
      <c r="D53" s="315">
        <f t="shared" si="8"/>
        <v>24326.266830162145</v>
      </c>
      <c r="E53" s="315">
        <f t="shared" si="8"/>
        <v>19430.893943289804</v>
      </c>
      <c r="F53" s="315">
        <f t="shared" si="8"/>
        <v>6569.2388796569285</v>
      </c>
      <c r="G53" s="315">
        <f t="shared" si="8"/>
        <v>-4.220055416226387E-10</v>
      </c>
      <c r="H53" s="315">
        <f t="shared" si="8"/>
        <v>-4.220055416226387E-10</v>
      </c>
      <c r="I53" s="315">
        <f t="shared" si="8"/>
        <v>-4.220055416226387E-10</v>
      </c>
      <c r="J53" s="315">
        <f t="shared" si="8"/>
        <v>-4.220055416226387E-10</v>
      </c>
      <c r="K53" s="315">
        <f t="shared" si="8"/>
        <v>-4.220055416226387E-10</v>
      </c>
      <c r="L53" s="315">
        <f t="shared" si="8"/>
        <v>-4.220055416226387E-10</v>
      </c>
      <c r="M53" s="305"/>
    </row>
    <row r="54" spans="1:13" ht="22.05" customHeight="1" x14ac:dyDescent="0.3">
      <c r="A54" s="309"/>
      <c r="B54" s="320" t="s">
        <v>105</v>
      </c>
      <c r="C54" s="316">
        <f t="shared" ref="C54:L54" si="9">C52+C53</f>
        <v>24326.266830162145</v>
      </c>
      <c r="D54" s="316">
        <f t="shared" si="9"/>
        <v>19430.893943289804</v>
      </c>
      <c r="E54" s="316">
        <f t="shared" si="9"/>
        <v>6569.2388796569285</v>
      </c>
      <c r="F54" s="316">
        <f t="shared" si="9"/>
        <v>-4.220055416226387E-10</v>
      </c>
      <c r="G54" s="316">
        <f t="shared" si="9"/>
        <v>-4.220055416226387E-10</v>
      </c>
      <c r="H54" s="316">
        <f t="shared" si="9"/>
        <v>-4.220055416226387E-10</v>
      </c>
      <c r="I54" s="316">
        <f t="shared" si="9"/>
        <v>-4.220055416226387E-10</v>
      </c>
      <c r="J54" s="316">
        <f t="shared" si="9"/>
        <v>-4.220055416226387E-10</v>
      </c>
      <c r="K54" s="316">
        <f t="shared" si="9"/>
        <v>-4.220055416226387E-10</v>
      </c>
      <c r="L54" s="316">
        <f t="shared" si="9"/>
        <v>-4.220055416226387E-10</v>
      </c>
      <c r="M54" s="306"/>
    </row>
    <row r="55" spans="1:13" ht="18" customHeight="1" x14ac:dyDescent="0.3">
      <c r="A55" s="99"/>
      <c r="B55" s="108" t="s">
        <v>887</v>
      </c>
      <c r="C55" s="315">
        <f t="shared" ref="C55:L55" si="10">C53+C19+C44+C47</f>
        <v>24326.266830162145</v>
      </c>
      <c r="D55" s="315">
        <f t="shared" si="10"/>
        <v>19430.893943289804</v>
      </c>
      <c r="E55" s="315">
        <f t="shared" si="10"/>
        <v>5063766.4088796573</v>
      </c>
      <c r="F55" s="315">
        <f t="shared" si="10"/>
        <v>5320946.020829414</v>
      </c>
      <c r="G55" s="315">
        <f t="shared" si="10"/>
        <v>-4.220055416226387E-10</v>
      </c>
      <c r="H55" s="315">
        <f t="shared" si="10"/>
        <v>-4.220055416226387E-10</v>
      </c>
      <c r="I55" s="315">
        <f t="shared" si="10"/>
        <v>-4.220055416226387E-10</v>
      </c>
      <c r="J55" s="315">
        <f t="shared" si="10"/>
        <v>-4.220055416226387E-10</v>
      </c>
      <c r="K55" s="315">
        <f t="shared" si="10"/>
        <v>-4.220055416226387E-10</v>
      </c>
      <c r="L55" s="315">
        <f t="shared" si="10"/>
        <v>-4.220055416226387E-10</v>
      </c>
      <c r="M55" s="305"/>
    </row>
    <row r="56" spans="1:13" ht="37.049999999999997" customHeight="1" x14ac:dyDescent="0.3">
      <c r="A56" s="99"/>
      <c r="B56" s="509" t="s">
        <v>925</v>
      </c>
      <c r="C56" s="315" cm="1">
        <f t="array" ref="C56">IF(C$4&gt;=Input!$C$57,0,Input!$C$39/12*INDEX('Income Statement'!$C$144:$L$144,C$4+1))</f>
        <v>24326.266830161931</v>
      </c>
      <c r="D56" s="315" cm="1">
        <f t="array" ref="D56">IF(D$4&gt;=Input!$C$57,0,Input!$C$39/12*INDEX('Income Statement'!$C$144:$L$144,D$4+1))</f>
        <v>19430.893943289804</v>
      </c>
      <c r="E56" s="315" cm="1">
        <f t="array" ref="E56">IF(E$4&gt;=Input!$C$57,0,Input!$C$39/12*INDEX('Income Statement'!$C$144:$L$144,E$4+1))</f>
        <v>6569.2344509588293</v>
      </c>
      <c r="F56" s="315" cm="1">
        <f t="array" ref="F56">IF(F$4&gt;=Input!$C$57,0,Input!$C$39/12*INDEX('Income Statement'!$C$144:$L$144,F$4+1))</f>
        <v>0</v>
      </c>
      <c r="G56" s="315" cm="1">
        <f t="array" ref="G56">IF(G$4&gt;=Input!$C$57,0,Input!$C$39/12*INDEX('Income Statement'!$C$144:$L$144,G$4+1))</f>
        <v>0</v>
      </c>
      <c r="H56" s="315" cm="1">
        <f t="array" ref="H56">IF(H$4&gt;=Input!$C$57,0,Input!$C$39/12*INDEX('Income Statement'!$C$144:$L$144,H$4+1))</f>
        <v>0</v>
      </c>
      <c r="I56" s="315" cm="1">
        <f t="array" ref="I56">IF(I$4&gt;=Input!$C$57,0,Input!$C$39/12*INDEX('Income Statement'!$C$144:$L$144,I$4+1))</f>
        <v>0</v>
      </c>
      <c r="J56" s="315" cm="1">
        <f t="array" ref="J56">IF(J$4&gt;=Input!$C$57,0,Input!$C$39/12*INDEX('Income Statement'!$C$144:$L$144,J$4+1))</f>
        <v>0</v>
      </c>
      <c r="K56" s="315" cm="1">
        <f t="array" ref="K56">IF(K$4&gt;=Input!$C$57,0,Input!$C$39/12*INDEX('Income Statement'!$C$144:$L$144,K$4+1))</f>
        <v>0</v>
      </c>
      <c r="L56" s="315" cm="1">
        <f t="array" ref="L56">IF(L$4&gt;=Input!$C$57,0,Input!$C$39/12*INDEX('Income Statement'!$C$144:$L$144,L$4+1))</f>
        <v>0</v>
      </c>
      <c r="M56" s="305"/>
    </row>
    <row r="57" spans="1:13" ht="18" customHeight="1" x14ac:dyDescent="0.3">
      <c r="A57" s="15"/>
      <c r="B57" s="109"/>
      <c r="C57" s="311"/>
      <c r="D57" s="311"/>
      <c r="E57" s="311"/>
      <c r="F57" s="311"/>
      <c r="G57" s="311"/>
      <c r="H57" s="311"/>
      <c r="I57" s="311"/>
      <c r="J57" s="311"/>
      <c r="K57" s="311"/>
      <c r="L57" s="311"/>
      <c r="M57" s="305"/>
    </row>
    <row r="58" spans="1:13" ht="19.95" customHeight="1" x14ac:dyDescent="0.3">
      <c r="A58" s="40"/>
      <c r="B58" s="130" t="str" cm="1">
        <f t="array" ref="B58">"Direct-Method Memo (expand for detail) — ties to net change in cash: "&amp;IF(SUMPRODUCT(ABS($C$68:$L$68))&lt;1,"OK","CHECK")</f>
        <v>Direct-Method Memo (expand for detail) — ties to net change in cash: OK</v>
      </c>
      <c r="C58" s="67"/>
      <c r="D58" s="67"/>
      <c r="E58" s="67"/>
      <c r="F58" s="67"/>
      <c r="G58" s="67"/>
      <c r="H58" s="67"/>
      <c r="I58" s="67"/>
      <c r="J58" s="67"/>
      <c r="K58" s="67"/>
      <c r="L58" s="67"/>
      <c r="M58" s="306"/>
    </row>
    <row r="59" spans="1:13" ht="18" customHeight="1" x14ac:dyDescent="0.3">
      <c r="A59" s="15"/>
      <c r="B59" s="108" t="s">
        <v>274</v>
      </c>
      <c r="C59" s="315">
        <f>'Income Statement'!C7</f>
        <v>84225.675000000003</v>
      </c>
      <c r="D59" s="315">
        <f>'Income Statement'!D7</f>
        <v>308211.83925428579</v>
      </c>
      <c r="E59" s="315">
        <f>'Income Statement'!E7</f>
        <v>210510.48349337149</v>
      </c>
      <c r="F59" s="315">
        <f>'Income Statement'!F7</f>
        <v>40478.988711641141</v>
      </c>
      <c r="G59" s="315">
        <f>'Income Statement'!G7</f>
        <v>0</v>
      </c>
      <c r="H59" s="315">
        <f>'Income Statement'!H7</f>
        <v>0</v>
      </c>
      <c r="I59" s="315">
        <f>'Income Statement'!I7</f>
        <v>0</v>
      </c>
      <c r="J59" s="315">
        <f>'Income Statement'!J7</f>
        <v>0</v>
      </c>
      <c r="K59" s="315">
        <f>'Income Statement'!K7</f>
        <v>0</v>
      </c>
      <c r="L59" s="315">
        <f>'Income Statement'!L7</f>
        <v>0</v>
      </c>
      <c r="M59" s="305"/>
    </row>
    <row r="60" spans="1:13" ht="18" customHeight="1" x14ac:dyDescent="0.3">
      <c r="A60" s="15"/>
      <c r="B60" s="108" t="s">
        <v>89</v>
      </c>
      <c r="C60" s="315">
        <f>'Income Statement'!C18-'Income Statement'!C108</f>
        <v>0</v>
      </c>
      <c r="D60" s="315">
        <f>'Income Statement'!D18-'Income Statement'!D108</f>
        <v>0</v>
      </c>
      <c r="E60" s="315">
        <f>'Income Statement'!E18-'Income Statement'!E108</f>
        <v>5335741.8694228195</v>
      </c>
      <c r="F60" s="315">
        <f>'Income Statement'!F18-'Income Statement'!F108</f>
        <v>5608846.5016302401</v>
      </c>
      <c r="G60" s="315">
        <f>'Income Statement'!G18-'Income Statement'!G108</f>
        <v>0</v>
      </c>
      <c r="H60" s="315">
        <f>'Income Statement'!H18-'Income Statement'!H108</f>
        <v>0</v>
      </c>
      <c r="I60" s="315">
        <f>'Income Statement'!I18-'Income Statement'!I108</f>
        <v>0</v>
      </c>
      <c r="J60" s="315">
        <f>'Income Statement'!J18-'Income Statement'!J108</f>
        <v>0</v>
      </c>
      <c r="K60" s="315">
        <f>'Income Statement'!K18-'Income Statement'!K108</f>
        <v>0</v>
      </c>
      <c r="L60" s="315">
        <f>'Income Statement'!L18-'Income Statement'!L108</f>
        <v>0</v>
      </c>
      <c r="M60" s="305"/>
    </row>
    <row r="61" spans="1:13" ht="18" customHeight="1" x14ac:dyDescent="0.3">
      <c r="A61" s="15"/>
      <c r="B61" s="108" t="s">
        <v>726</v>
      </c>
      <c r="C61" s="315">
        <f t="shared" ref="C61:L61" si="11">C47</f>
        <v>6630682.265400474</v>
      </c>
      <c r="D61" s="315">
        <f t="shared" si="11"/>
        <v>84829.976603549541</v>
      </c>
      <c r="E61" s="315">
        <f t="shared" si="11"/>
        <v>0</v>
      </c>
      <c r="F61" s="315">
        <f t="shared" si="11"/>
        <v>4287.9993590698141</v>
      </c>
      <c r="G61" s="315">
        <f t="shared" si="11"/>
        <v>0</v>
      </c>
      <c r="H61" s="315">
        <f t="shared" si="11"/>
        <v>0</v>
      </c>
      <c r="I61" s="315">
        <f t="shared" si="11"/>
        <v>0</v>
      </c>
      <c r="J61" s="315">
        <f t="shared" si="11"/>
        <v>0</v>
      </c>
      <c r="K61" s="315">
        <f t="shared" si="11"/>
        <v>0</v>
      </c>
      <c r="L61" s="315">
        <f t="shared" si="11"/>
        <v>0</v>
      </c>
      <c r="M61" s="305"/>
    </row>
    <row r="62" spans="1:13" ht="18" customHeight="1" x14ac:dyDescent="0.3">
      <c r="A62" s="15"/>
      <c r="B62" s="109" t="s">
        <v>90</v>
      </c>
      <c r="C62" s="315">
        <f t="shared" ref="C62:L62" si="12">SUM(C59:C61)</f>
        <v>6714907.9404004738</v>
      </c>
      <c r="D62" s="315">
        <f t="shared" si="12"/>
        <v>393041.81585783535</v>
      </c>
      <c r="E62" s="315">
        <f t="shared" si="12"/>
        <v>5546252.3529161913</v>
      </c>
      <c r="F62" s="315">
        <f t="shared" si="12"/>
        <v>5653613.4897009507</v>
      </c>
      <c r="G62" s="315">
        <f t="shared" si="12"/>
        <v>0</v>
      </c>
      <c r="H62" s="315">
        <f t="shared" si="12"/>
        <v>0</v>
      </c>
      <c r="I62" s="315">
        <f t="shared" si="12"/>
        <v>0</v>
      </c>
      <c r="J62" s="315">
        <f t="shared" si="12"/>
        <v>0</v>
      </c>
      <c r="K62" s="315">
        <f t="shared" si="12"/>
        <v>0</v>
      </c>
      <c r="L62" s="315">
        <f t="shared" si="12"/>
        <v>0</v>
      </c>
      <c r="M62" s="305"/>
    </row>
    <row r="63" spans="1:13" ht="18" customHeight="1" x14ac:dyDescent="0.3">
      <c r="A63" s="15"/>
      <c r="B63" s="108" t="s">
        <v>275</v>
      </c>
      <c r="C63" s="315">
        <f t="shared" ref="C63:L63" si="13">C32+C43</f>
        <v>-6480272.38403452</v>
      </c>
      <c r="D63" s="315">
        <f t="shared" si="13"/>
        <v>-91693.635382955777</v>
      </c>
      <c r="E63" s="315">
        <f t="shared" si="13"/>
        <v>0</v>
      </c>
      <c r="F63" s="315">
        <f t="shared" si="13"/>
        <v>0</v>
      </c>
      <c r="G63" s="315">
        <f t="shared" si="13"/>
        <v>0</v>
      </c>
      <c r="H63" s="315">
        <f t="shared" si="13"/>
        <v>0</v>
      </c>
      <c r="I63" s="315">
        <f t="shared" si="13"/>
        <v>0</v>
      </c>
      <c r="J63" s="315">
        <f t="shared" si="13"/>
        <v>0</v>
      </c>
      <c r="K63" s="315">
        <f t="shared" si="13"/>
        <v>0</v>
      </c>
      <c r="L63" s="315">
        <f t="shared" si="13"/>
        <v>0</v>
      </c>
      <c r="M63" s="305"/>
    </row>
    <row r="64" spans="1:13" ht="18" customHeight="1" x14ac:dyDescent="0.3">
      <c r="A64" s="15"/>
      <c r="B64" s="108" t="s">
        <v>92</v>
      </c>
      <c r="C64" s="315">
        <f>-'Income Statement'!C163</f>
        <v>-210309.28953579155</v>
      </c>
      <c r="D64" s="315">
        <f>-'Income Statement'!D163</f>
        <v>-306243.5533617519</v>
      </c>
      <c r="E64" s="315">
        <f>-'Income Statement'!E163</f>
        <v>-221208.57219133669</v>
      </c>
      <c r="F64" s="315">
        <f>-'Income Statement'!F163</f>
        <v>-51336.226950366508</v>
      </c>
      <c r="G64" s="315">
        <f>-'Income Statement'!G163</f>
        <v>0</v>
      </c>
      <c r="H64" s="315">
        <f>-'Income Statement'!H163</f>
        <v>0</v>
      </c>
      <c r="I64" s="315">
        <f>-'Income Statement'!I163</f>
        <v>0</v>
      </c>
      <c r="J64" s="315">
        <f>-'Income Statement'!J163</f>
        <v>0</v>
      </c>
      <c r="K64" s="315">
        <f>-'Income Statement'!K163</f>
        <v>0</v>
      </c>
      <c r="L64" s="315">
        <f>-'Income Statement'!L163</f>
        <v>0</v>
      </c>
      <c r="M64" s="305"/>
    </row>
    <row r="65" spans="1:13" ht="18" customHeight="1" x14ac:dyDescent="0.3">
      <c r="A65" s="15"/>
      <c r="B65" s="108" t="s">
        <v>11</v>
      </c>
      <c r="C65" s="315">
        <f>-'Income Statement'!C153</f>
        <v>0</v>
      </c>
      <c r="D65" s="315">
        <f>-'Income Statement'!D153</f>
        <v>0</v>
      </c>
      <c r="E65" s="315">
        <f>-'Income Statement'!E153</f>
        <v>-280708.26578848762</v>
      </c>
      <c r="F65" s="315">
        <f>-'Income Statement'!F153</f>
        <v>-287900.48080082738</v>
      </c>
      <c r="G65" s="315">
        <f>-'Income Statement'!G153</f>
        <v>0</v>
      </c>
      <c r="H65" s="315">
        <f>-'Income Statement'!H153</f>
        <v>0</v>
      </c>
      <c r="I65" s="315">
        <f>-'Income Statement'!I153</f>
        <v>0</v>
      </c>
      <c r="J65" s="315">
        <f>-'Income Statement'!J153</f>
        <v>0</v>
      </c>
      <c r="K65" s="315">
        <f>-'Income Statement'!K153</f>
        <v>0</v>
      </c>
      <c r="L65" s="315">
        <f>-'Income Statement'!L153</f>
        <v>0</v>
      </c>
      <c r="M65" s="305"/>
    </row>
    <row r="66" spans="1:13" ht="18" customHeight="1" x14ac:dyDescent="0.3">
      <c r="A66" s="15"/>
      <c r="B66" s="108" t="s">
        <v>1343</v>
      </c>
      <c r="C66" s="315">
        <f t="shared" ref="C66:L66" si="14">C48+C49</f>
        <v>0</v>
      </c>
      <c r="D66" s="315">
        <f t="shared" si="14"/>
        <v>0</v>
      </c>
      <c r="E66" s="315">
        <f t="shared" si="14"/>
        <v>-5057197.17</v>
      </c>
      <c r="F66" s="315">
        <f t="shared" si="14"/>
        <v>-5320946.020829414</v>
      </c>
      <c r="G66" s="315">
        <f t="shared" si="14"/>
        <v>0</v>
      </c>
      <c r="H66" s="315">
        <f t="shared" si="14"/>
        <v>0</v>
      </c>
      <c r="I66" s="315">
        <f t="shared" si="14"/>
        <v>0</v>
      </c>
      <c r="J66" s="315">
        <f t="shared" si="14"/>
        <v>0</v>
      </c>
      <c r="K66" s="315">
        <f t="shared" si="14"/>
        <v>0</v>
      </c>
      <c r="L66" s="315">
        <f t="shared" si="14"/>
        <v>0</v>
      </c>
      <c r="M66" s="305"/>
    </row>
    <row r="67" spans="1:13" ht="18" customHeight="1" x14ac:dyDescent="0.3">
      <c r="A67" s="15"/>
      <c r="B67" s="109" t="s">
        <v>93</v>
      </c>
      <c r="C67" s="315">
        <f t="shared" ref="C67:L67" si="15">SUM(C63:C66)</f>
        <v>-6690581.6735703116</v>
      </c>
      <c r="D67" s="315">
        <f t="shared" si="15"/>
        <v>-397937.18874470767</v>
      </c>
      <c r="E67" s="315">
        <f t="shared" si="15"/>
        <v>-5559114.0079798242</v>
      </c>
      <c r="F67" s="315">
        <f t="shared" si="15"/>
        <v>-5660182.728580608</v>
      </c>
      <c r="G67" s="315">
        <f t="shared" si="15"/>
        <v>0</v>
      </c>
      <c r="H67" s="315">
        <f t="shared" si="15"/>
        <v>0</v>
      </c>
      <c r="I67" s="315">
        <f t="shared" si="15"/>
        <v>0</v>
      </c>
      <c r="J67" s="315">
        <f t="shared" si="15"/>
        <v>0</v>
      </c>
      <c r="K67" s="315">
        <f t="shared" si="15"/>
        <v>0</v>
      </c>
      <c r="L67" s="315">
        <f t="shared" si="15"/>
        <v>0</v>
      </c>
      <c r="M67" s="305"/>
    </row>
    <row r="68" spans="1:13" ht="18" customHeight="1" x14ac:dyDescent="0.3">
      <c r="A68" s="15"/>
      <c r="B68" s="109" t="s">
        <v>276</v>
      </c>
      <c r="C68" s="315">
        <f t="shared" ref="C68:L68" si="16">C62+C67-C52</f>
        <v>0</v>
      </c>
      <c r="D68" s="315">
        <f t="shared" si="16"/>
        <v>1.4551915228366852E-11</v>
      </c>
      <c r="E68" s="315">
        <f t="shared" si="16"/>
        <v>0</v>
      </c>
      <c r="F68" s="315">
        <f t="shared" si="16"/>
        <v>0</v>
      </c>
      <c r="G68" s="315">
        <f t="shared" si="16"/>
        <v>0</v>
      </c>
      <c r="H68" s="315">
        <f t="shared" si="16"/>
        <v>0</v>
      </c>
      <c r="I68" s="315">
        <f t="shared" si="16"/>
        <v>0</v>
      </c>
      <c r="J68" s="315">
        <f t="shared" si="16"/>
        <v>0</v>
      </c>
      <c r="K68" s="315">
        <f t="shared" si="16"/>
        <v>0</v>
      </c>
      <c r="L68" s="315">
        <f t="shared" si="16"/>
        <v>0</v>
      </c>
      <c r="M68" s="305"/>
    </row>
  </sheetData>
  <mergeCells count="1">
    <mergeCell ref="B2:G2"/>
  </mergeCells>
  <pageMargins left="0.7" right="0.7" top="0.75" bottom="0.75" header="0.3" footer="0.3"/>
  <pageSetup scale="80" fitToHeight="0" orientation="landscape" horizontalDpi="0" verticalDpi="0" r:id="rId1"/>
  <extLst>
    <ext xmlns:x14="http://schemas.microsoft.com/office/spreadsheetml/2009/9/main" uri="{78C0D931-6437-407d-A8EE-F0AAD7539E65}">
      <x14:conditionalFormattings>
        <x14:conditionalFormatting xmlns:xm="http://schemas.microsoft.com/office/excel/2006/main">
          <x14:cfRule type="expression" priority="1" stopIfTrue="1" id="{F7CE3395-B4E1-4E45-9B66-3D70FABCDC02}">
            <xm:f>C$4&gt;Input!$C$57</xm:f>
            <x14:dxf>
              <numFmt numFmtId="194" formatCode=";;;"/>
            </x14:dxf>
          </x14:cfRule>
          <xm:sqref>C4:L68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F0850-4AA2-44BF-B32F-9EAA5F154A14}">
  <sheetPr>
    <tabColor rgb="FF132E57"/>
    <pageSetUpPr fitToPage="1"/>
  </sheetPr>
  <dimension ref="A1:M22"/>
  <sheetViews>
    <sheetView workbookViewId="0">
      <selection activeCell="P13" sqref="P13"/>
    </sheetView>
  </sheetViews>
  <sheetFormatPr defaultRowHeight="14.4" outlineLevelCol="1" x14ac:dyDescent="0.3"/>
  <cols>
    <col min="1" max="1" width="4.109375" customWidth="1"/>
    <col min="2" max="2" width="57.44140625" customWidth="1"/>
    <col min="3" max="7" width="18.5546875" customWidth="1"/>
    <col min="8" max="12" width="18.5546875" hidden="1" customWidth="1" outlineLevel="1"/>
    <col min="13" max="13" width="8.88671875" collapsed="1"/>
  </cols>
  <sheetData>
    <row r="1" spans="1:12" ht="36" customHeight="1" x14ac:dyDescent="0.3">
      <c r="A1" s="57"/>
      <c r="B1" s="53" t="s">
        <v>287</v>
      </c>
      <c r="C1" s="65"/>
      <c r="D1" s="65"/>
      <c r="E1" s="65"/>
      <c r="F1" s="65"/>
      <c r="G1" s="65"/>
      <c r="H1" s="69"/>
      <c r="I1" s="58"/>
      <c r="J1" s="58"/>
      <c r="K1" s="58"/>
      <c r="L1" s="58"/>
    </row>
    <row r="2" spans="1:12" ht="18" customHeight="1" x14ac:dyDescent="0.3">
      <c r="A2" s="1"/>
      <c r="B2" s="85" t="s">
        <v>1609</v>
      </c>
      <c r="C2" s="66"/>
      <c r="D2" s="66"/>
      <c r="E2" s="66"/>
      <c r="F2" s="66"/>
      <c r="G2" s="66"/>
      <c r="H2" s="66"/>
      <c r="I2" s="1"/>
      <c r="J2" s="1"/>
      <c r="K2" s="1"/>
      <c r="L2" s="1"/>
    </row>
    <row r="3" spans="1:12" ht="18" customHeight="1" x14ac:dyDescent="0.3">
      <c r="A3" s="1"/>
      <c r="B3" s="15"/>
      <c r="C3" s="70"/>
      <c r="D3" s="70"/>
      <c r="E3" s="70"/>
      <c r="F3" s="70"/>
      <c r="G3" s="70"/>
      <c r="H3" s="70"/>
      <c r="I3" s="1"/>
      <c r="J3" s="1"/>
      <c r="K3" s="1"/>
      <c r="L3" s="1"/>
    </row>
    <row r="4" spans="1:12" ht="18" customHeight="1" x14ac:dyDescent="0.3">
      <c r="A4" s="149"/>
      <c r="B4" s="34" t="s">
        <v>52</v>
      </c>
      <c r="C4" s="71">
        <f t="shared" ref="C4:L4" si="0">COLUMN()-2</f>
        <v>1</v>
      </c>
      <c r="D4" s="71">
        <f t="shared" si="0"/>
        <v>2</v>
      </c>
      <c r="E4" s="71">
        <f t="shared" si="0"/>
        <v>3</v>
      </c>
      <c r="F4" s="71">
        <f t="shared" si="0"/>
        <v>4</v>
      </c>
      <c r="G4" s="71">
        <f t="shared" si="0"/>
        <v>5</v>
      </c>
      <c r="H4" s="71">
        <f t="shared" si="0"/>
        <v>6</v>
      </c>
      <c r="I4" s="71">
        <f t="shared" si="0"/>
        <v>7</v>
      </c>
      <c r="J4" s="71">
        <f t="shared" si="0"/>
        <v>8</v>
      </c>
      <c r="K4" s="71">
        <f t="shared" si="0"/>
        <v>9</v>
      </c>
      <c r="L4" s="71">
        <f t="shared" si="0"/>
        <v>10</v>
      </c>
    </row>
    <row r="5" spans="1:12" ht="18" customHeight="1" x14ac:dyDescent="0.3">
      <c r="A5" s="149"/>
      <c r="B5" s="34" t="s">
        <v>106</v>
      </c>
      <c r="C5" s="72" t="str">
        <f>TEXT(EDATE(Input!$C$7,C4*12-1),"mmm-yy")</f>
        <v>Sep-27</v>
      </c>
      <c r="D5" s="72" t="str">
        <f>TEXT(EDATE(Input!$C$7,D4*12-1),"mmm-yy")</f>
        <v>Sep-28</v>
      </c>
      <c r="E5" s="72" t="str">
        <f>TEXT(EDATE(Input!$C$7,E4*12-1),"mmm-yy")</f>
        <v>Sep-29</v>
      </c>
      <c r="F5" s="72" t="str">
        <f>TEXT(EDATE(Input!$C$7,F4*12-1),"mmm-yy")</f>
        <v>Sep-30</v>
      </c>
      <c r="G5" s="72" t="str">
        <f>TEXT(EDATE(Input!$C$7,G4*12-1),"mmm-yy")</f>
        <v>Sep-31</v>
      </c>
      <c r="H5" s="72" t="str">
        <f>TEXT(EDATE(Input!$C$7,H4*12-1),"mmm-yy")</f>
        <v>Sep-32</v>
      </c>
      <c r="I5" s="72" t="str">
        <f>TEXT(EDATE(Input!$C$7,I4*12-1),"mmm-yy")</f>
        <v>Sep-33</v>
      </c>
      <c r="J5" s="72" t="str">
        <f>TEXT(EDATE(Input!$C$7,J4*12-1),"mmm-yy")</f>
        <v>Sep-34</v>
      </c>
      <c r="K5" s="72" t="str">
        <f>TEXT(EDATE(Input!$C$7,K4*12-1),"mmm-yy")</f>
        <v>Sep-35</v>
      </c>
      <c r="L5" s="72" t="str">
        <f>TEXT(EDATE(Input!$C$7,L4*12-1),"mmm-yy")</f>
        <v>Sep-36</v>
      </c>
    </row>
    <row r="6" spans="1:12" ht="19.95" customHeight="1" x14ac:dyDescent="0.3">
      <c r="A6" s="150"/>
      <c r="B6" s="41" t="s">
        <v>107</v>
      </c>
      <c r="C6" s="73"/>
      <c r="D6" s="73"/>
      <c r="E6" s="73"/>
      <c r="F6" s="73"/>
      <c r="G6" s="73"/>
      <c r="H6" s="73"/>
      <c r="I6" s="73"/>
      <c r="J6" s="73"/>
      <c r="K6" s="73"/>
      <c r="L6" s="73"/>
    </row>
    <row r="7" spans="1:12" ht="18" customHeight="1" x14ac:dyDescent="0.3">
      <c r="A7" s="1"/>
      <c r="B7" s="70" t="s">
        <v>108</v>
      </c>
      <c r="C7" s="74">
        <f>'Statement of Cash Flows'!C54</f>
        <v>24326.266830162145</v>
      </c>
      <c r="D7" s="74">
        <f>'Statement of Cash Flows'!D54</f>
        <v>19430.893943289804</v>
      </c>
      <c r="E7" s="74">
        <f>'Statement of Cash Flows'!E54</f>
        <v>6569.2388796569285</v>
      </c>
      <c r="F7" s="74">
        <f>'Statement of Cash Flows'!F54</f>
        <v>-4.220055416226387E-10</v>
      </c>
      <c r="G7" s="74">
        <f>'Statement of Cash Flows'!G54</f>
        <v>-4.220055416226387E-10</v>
      </c>
      <c r="H7" s="74">
        <f>'Statement of Cash Flows'!H54</f>
        <v>-4.220055416226387E-10</v>
      </c>
      <c r="I7" s="74">
        <f>'Statement of Cash Flows'!I54</f>
        <v>-4.220055416226387E-10</v>
      </c>
      <c r="J7" s="74">
        <f>'Statement of Cash Flows'!J54</f>
        <v>-4.220055416226387E-10</v>
      </c>
      <c r="K7" s="74">
        <f>'Statement of Cash Flows'!K54</f>
        <v>-4.220055416226387E-10</v>
      </c>
      <c r="L7" s="74">
        <f>'Statement of Cash Flows'!L54</f>
        <v>-4.220055416226387E-10</v>
      </c>
    </row>
    <row r="8" spans="1:12" ht="18" customHeight="1" x14ac:dyDescent="0.3">
      <c r="A8" s="1"/>
      <c r="B8" s="70" t="s">
        <v>109</v>
      </c>
      <c r="C8" s="74" cm="1">
        <f t="array" ref="C8">SUMPRODUCT(('_Month Engine'!$C$5:$DR$5&lt;=C$4)*('_Month Engine'!$C$18:$DR$18+'_Month Engine'!$C$31:$DR$31-'_Month Engine'!$C$83:$DR$83))</f>
        <v>6480272.3840345191</v>
      </c>
      <c r="D8" s="74" cm="1">
        <f t="array" ref="D8">SUMPRODUCT(('_Month Engine'!$C$5:$DR$5&lt;=D$4)*('_Month Engine'!$C$18:$DR$18+'_Month Engine'!$C$31:$DR$31-'_Month Engine'!$C$83:$DR$83))</f>
        <v>6571966.019417475</v>
      </c>
      <c r="E8" s="74" cm="1">
        <f t="array" ref="E8">SUMPRODUCT(('_Month Engine'!$C$5:$DR$5&lt;=E$4)*('_Month Engine'!$C$18:$DR$18+'_Month Engine'!$C$31:$DR$31-'_Month Engine'!$C$83:$DR$83))</f>
        <v>3364967.6375404513</v>
      </c>
      <c r="F8" s="74" cm="1">
        <f t="array" ref="F8">SUMPRODUCT(('_Month Engine'!$C$5:$DR$5&lt;=F$4)*('_Month Engine'!$C$18:$DR$18+'_Month Engine'!$C$31:$DR$31-'_Month Engine'!$C$83:$DR$83))</f>
        <v>-1.862645149230957E-9</v>
      </c>
      <c r="G8" s="74" cm="1">
        <f t="array" ref="G8">SUMPRODUCT(('_Month Engine'!$C$5:$DR$5&lt;=G$4)*('_Month Engine'!$C$18:$DR$18+'_Month Engine'!$C$31:$DR$31-'_Month Engine'!$C$83:$DR$83))</f>
        <v>-1.862645149230957E-9</v>
      </c>
      <c r="H8" s="74" cm="1">
        <f t="array" ref="H8">SUMPRODUCT(('_Month Engine'!$C$5:$DR$5&lt;=H$4)*('_Month Engine'!$C$18:$DR$18+'_Month Engine'!$C$31:$DR$31-'_Month Engine'!$C$83:$DR$83))</f>
        <v>-1.862645149230957E-9</v>
      </c>
      <c r="I8" s="74" cm="1">
        <f t="array" ref="I8">SUMPRODUCT(('_Month Engine'!$C$5:$DR$5&lt;=I$4)*('_Month Engine'!$C$18:$DR$18+'_Month Engine'!$C$31:$DR$31-'_Month Engine'!$C$83:$DR$83))</f>
        <v>-1.862645149230957E-9</v>
      </c>
      <c r="J8" s="74" cm="1">
        <f t="array" ref="J8">SUMPRODUCT(('_Month Engine'!$C$5:$DR$5&lt;=J$4)*('_Month Engine'!$C$18:$DR$18+'_Month Engine'!$C$31:$DR$31-'_Month Engine'!$C$83:$DR$83))</f>
        <v>-1.862645149230957E-9</v>
      </c>
      <c r="K8" s="74" cm="1">
        <f t="array" ref="K8">SUMPRODUCT(('_Month Engine'!$C$5:$DR$5&lt;=K$4)*('_Month Engine'!$C$18:$DR$18+'_Month Engine'!$C$31:$DR$31-'_Month Engine'!$C$83:$DR$83))</f>
        <v>-1.862645149230957E-9</v>
      </c>
      <c r="L8" s="74" cm="1">
        <f t="array" ref="L8">SUMPRODUCT(('_Month Engine'!$C$5:$DR$5&lt;=L$4)*('_Month Engine'!$C$18:$DR$18+'_Month Engine'!$C$31:$DR$31-'_Month Engine'!$C$83:$DR$83))</f>
        <v>-1.862645149230957E-9</v>
      </c>
    </row>
    <row r="9" spans="1:12" ht="37.049999999999997" customHeight="1" thickBot="1" x14ac:dyDescent="0.35">
      <c r="A9" s="1"/>
      <c r="B9" s="516" t="s">
        <v>1318</v>
      </c>
      <c r="C9" s="496">
        <f>Input!$C$52</f>
        <v>0</v>
      </c>
      <c r="D9" s="496">
        <f>Input!$C$52</f>
        <v>0</v>
      </c>
      <c r="E9" s="496">
        <f>Input!$C$52</f>
        <v>0</v>
      </c>
      <c r="F9" s="496">
        <f>Input!$C$52</f>
        <v>0</v>
      </c>
      <c r="G9" s="496">
        <f>Input!$C$52</f>
        <v>0</v>
      </c>
      <c r="H9" s="496">
        <f>Input!$C$52</f>
        <v>0</v>
      </c>
      <c r="I9" s="496">
        <f>Input!$C$52</f>
        <v>0</v>
      </c>
      <c r="J9" s="496">
        <f>Input!$C$52</f>
        <v>0</v>
      </c>
      <c r="K9" s="496">
        <f>Input!$C$52</f>
        <v>0</v>
      </c>
      <c r="L9" s="496">
        <f>Input!$C$52</f>
        <v>0</v>
      </c>
    </row>
    <row r="10" spans="1:12" ht="22.05" customHeight="1" x14ac:dyDescent="0.3">
      <c r="A10" s="151"/>
      <c r="B10" s="42" t="s">
        <v>110</v>
      </c>
      <c r="C10" s="280">
        <f t="shared" ref="C10:L10" si="1">C7+C8+C9</f>
        <v>6504598.6508646812</v>
      </c>
      <c r="D10" s="280">
        <f t="shared" si="1"/>
        <v>6591396.9133607652</v>
      </c>
      <c r="E10" s="280">
        <f t="shared" si="1"/>
        <v>3371536.8764201081</v>
      </c>
      <c r="F10" s="280">
        <f t="shared" si="1"/>
        <v>-2.2846506908535957E-9</v>
      </c>
      <c r="G10" s="280">
        <f t="shared" si="1"/>
        <v>-2.2846506908535957E-9</v>
      </c>
      <c r="H10" s="280">
        <f t="shared" si="1"/>
        <v>-2.2846506908535957E-9</v>
      </c>
      <c r="I10" s="280">
        <f t="shared" si="1"/>
        <v>-2.2846506908535957E-9</v>
      </c>
      <c r="J10" s="280">
        <f t="shared" si="1"/>
        <v>-2.2846506908535957E-9</v>
      </c>
      <c r="K10" s="280">
        <f t="shared" si="1"/>
        <v>-2.2846506908535957E-9</v>
      </c>
      <c r="L10" s="280">
        <f t="shared" si="1"/>
        <v>-2.2846506908535957E-9</v>
      </c>
    </row>
    <row r="11" spans="1:12" ht="18" customHeight="1" x14ac:dyDescent="0.3">
      <c r="A11" s="1"/>
      <c r="B11" s="15"/>
      <c r="C11" s="70"/>
      <c r="D11" s="70"/>
      <c r="E11" s="70"/>
      <c r="F11" s="70"/>
      <c r="G11" s="70"/>
      <c r="H11" s="70"/>
      <c r="I11" s="70"/>
      <c r="J11" s="70"/>
      <c r="K11" s="70"/>
      <c r="L11" s="70"/>
    </row>
    <row r="12" spans="1:12" ht="19.95" customHeight="1" x14ac:dyDescent="0.3">
      <c r="A12" s="150"/>
      <c r="B12" s="41" t="s">
        <v>111</v>
      </c>
      <c r="C12" s="73"/>
      <c r="D12" s="73"/>
      <c r="E12" s="73"/>
      <c r="F12" s="73"/>
      <c r="G12" s="73"/>
      <c r="H12" s="73"/>
      <c r="I12" s="73"/>
      <c r="J12" s="73"/>
      <c r="K12" s="73"/>
      <c r="L12" s="73"/>
    </row>
    <row r="13" spans="1:12" ht="18" customHeight="1" x14ac:dyDescent="0.3">
      <c r="A13" s="1"/>
      <c r="B13" s="70" t="s">
        <v>112</v>
      </c>
      <c r="C13" s="78">
        <f>0</f>
        <v>0</v>
      </c>
      <c r="D13" s="78">
        <f>0</f>
        <v>0</v>
      </c>
      <c r="E13" s="78">
        <f>0</f>
        <v>0</v>
      </c>
      <c r="F13" s="78">
        <f>0</f>
        <v>0</v>
      </c>
      <c r="G13" s="78">
        <f>0</f>
        <v>0</v>
      </c>
      <c r="H13" s="78">
        <f>0</f>
        <v>0</v>
      </c>
      <c r="I13" s="78">
        <f>0</f>
        <v>0</v>
      </c>
      <c r="J13" s="78">
        <f>0</f>
        <v>0</v>
      </c>
      <c r="K13" s="78">
        <f>0</f>
        <v>0</v>
      </c>
      <c r="L13" s="78">
        <f>0</f>
        <v>0</v>
      </c>
    </row>
    <row r="14" spans="1:12" ht="18" customHeight="1" x14ac:dyDescent="0.3">
      <c r="A14" s="1"/>
      <c r="B14" s="20" t="s">
        <v>113</v>
      </c>
      <c r="C14" s="76">
        <f t="shared" ref="C14:L14" si="2">C13</f>
        <v>0</v>
      </c>
      <c r="D14" s="76">
        <f t="shared" si="2"/>
        <v>0</v>
      </c>
      <c r="E14" s="76">
        <f t="shared" si="2"/>
        <v>0</v>
      </c>
      <c r="F14" s="76">
        <f t="shared" si="2"/>
        <v>0</v>
      </c>
      <c r="G14" s="76">
        <f t="shared" si="2"/>
        <v>0</v>
      </c>
      <c r="H14" s="76">
        <f t="shared" si="2"/>
        <v>0</v>
      </c>
      <c r="I14" s="76">
        <f t="shared" si="2"/>
        <v>0</v>
      </c>
      <c r="J14" s="76">
        <f t="shared" si="2"/>
        <v>0</v>
      </c>
      <c r="K14" s="76">
        <f t="shared" si="2"/>
        <v>0</v>
      </c>
      <c r="L14" s="76">
        <f t="shared" si="2"/>
        <v>0</v>
      </c>
    </row>
    <row r="15" spans="1:12" ht="18" customHeight="1" x14ac:dyDescent="0.3">
      <c r="A15" s="1"/>
      <c r="B15" s="15"/>
      <c r="C15" s="70"/>
      <c r="D15" s="70"/>
      <c r="E15" s="70"/>
      <c r="F15" s="70"/>
      <c r="G15" s="70"/>
      <c r="H15" s="70"/>
      <c r="I15" s="70"/>
      <c r="J15" s="70"/>
      <c r="K15" s="70"/>
      <c r="L15" s="70"/>
    </row>
    <row r="16" spans="1:12" ht="19.95" customHeight="1" x14ac:dyDescent="0.3">
      <c r="A16" s="150"/>
      <c r="B16" s="41" t="s">
        <v>114</v>
      </c>
      <c r="C16" s="73"/>
      <c r="D16" s="73"/>
      <c r="E16" s="73"/>
      <c r="F16" s="73"/>
      <c r="G16" s="73"/>
      <c r="H16" s="73"/>
      <c r="I16" s="73"/>
      <c r="J16" s="73"/>
      <c r="K16" s="73"/>
      <c r="L16" s="73"/>
    </row>
    <row r="17" spans="1:12" ht="18" customHeight="1" x14ac:dyDescent="0.3">
      <c r="A17" s="1"/>
      <c r="B17" s="70" t="s">
        <v>395</v>
      </c>
      <c r="C17" s="74">
        <f>'Statement of Cash Flows'!C47</f>
        <v>6630682.265400474</v>
      </c>
      <c r="D17" s="74">
        <f>C17+'Statement of Cash Flows'!D47</f>
        <v>6715512.2420040239</v>
      </c>
      <c r="E17" s="74">
        <f>D17+'Statement of Cash Flows'!E47</f>
        <v>6715512.2420040239</v>
      </c>
      <c r="F17" s="74">
        <f>E17+'Statement of Cash Flows'!F47</f>
        <v>6719800.2413630933</v>
      </c>
      <c r="G17" s="74">
        <f>F17+'Statement of Cash Flows'!G47</f>
        <v>6719800.2413630933</v>
      </c>
      <c r="H17" s="74">
        <f>G17+'Statement of Cash Flows'!H47</f>
        <v>6719800.2413630933</v>
      </c>
      <c r="I17" s="74">
        <f>H17+'Statement of Cash Flows'!I47</f>
        <v>6719800.2413630933</v>
      </c>
      <c r="J17" s="74">
        <f>I17+'Statement of Cash Flows'!J47</f>
        <v>6719800.2413630933</v>
      </c>
      <c r="K17" s="74">
        <f>J17+'Statement of Cash Flows'!K47</f>
        <v>6719800.2413630933</v>
      </c>
      <c r="L17" s="74">
        <f>K17+'Statement of Cash Flows'!L47</f>
        <v>6719800.2413630933</v>
      </c>
    </row>
    <row r="18" spans="1:12" ht="18" customHeight="1" x14ac:dyDescent="0.3">
      <c r="A18" s="1"/>
      <c r="B18" s="105" t="s">
        <v>115</v>
      </c>
      <c r="C18" s="79">
        <f>'Income Statement'!C155</f>
        <v>-126083.61453579157</v>
      </c>
      <c r="D18" s="79">
        <f>C18+'Income Statement'!D155</f>
        <v>-124115.32864325767</v>
      </c>
      <c r="E18" s="79">
        <f>D18+'Income Statement'!E155</f>
        <v>1713221.8044160865</v>
      </c>
      <c r="F18" s="79">
        <f>E18+'Income Statement'!F155</f>
        <v>3658342.9494663212</v>
      </c>
      <c r="G18" s="79">
        <f>F18+'Income Statement'!G155</f>
        <v>3658342.9494663212</v>
      </c>
      <c r="H18" s="79">
        <f>G18+'Income Statement'!H155</f>
        <v>3658342.9494663212</v>
      </c>
      <c r="I18" s="79">
        <f>H18+'Income Statement'!I155</f>
        <v>3658342.9494663212</v>
      </c>
      <c r="J18" s="79">
        <f>I18+'Income Statement'!J155</f>
        <v>3658342.9494663212</v>
      </c>
      <c r="K18" s="79">
        <f>J18+'Income Statement'!K155</f>
        <v>3658342.9494663212</v>
      </c>
      <c r="L18" s="79">
        <f>K18+'Income Statement'!L155</f>
        <v>3658342.9494663212</v>
      </c>
    </row>
    <row r="19" spans="1:12" ht="37.049999999999997" customHeight="1" thickBot="1" x14ac:dyDescent="0.35">
      <c r="A19" s="1"/>
      <c r="B19" s="516" t="s">
        <v>1344</v>
      </c>
      <c r="C19" s="74">
        <f>'Statement of Cash Flows'!C48+'Statement of Cash Flows'!C49</f>
        <v>0</v>
      </c>
      <c r="D19" s="74">
        <f>C19+'Statement of Cash Flows'!D48+'Statement of Cash Flows'!D49</f>
        <v>0</v>
      </c>
      <c r="E19" s="74">
        <f>D19+'Statement of Cash Flows'!E48+'Statement of Cash Flows'!E49</f>
        <v>-5057197.17</v>
      </c>
      <c r="F19" s="74">
        <f>E19+'Statement of Cash Flows'!F48+'Statement of Cash Flows'!F49</f>
        <v>-10378143.190829413</v>
      </c>
      <c r="G19" s="74">
        <f>F19+'Statement of Cash Flows'!G48+'Statement of Cash Flows'!G49</f>
        <v>-10378143.190829413</v>
      </c>
      <c r="H19" s="74">
        <f>G19+'Statement of Cash Flows'!H48+'Statement of Cash Flows'!H49</f>
        <v>-10378143.190829413</v>
      </c>
      <c r="I19" s="74">
        <f>H19+'Statement of Cash Flows'!I48+'Statement of Cash Flows'!I49</f>
        <v>-10378143.190829413</v>
      </c>
      <c r="J19" s="74">
        <f>I19+'Statement of Cash Flows'!J48+'Statement of Cash Flows'!J49</f>
        <v>-10378143.190829413</v>
      </c>
      <c r="K19" s="74">
        <f>J19+'Statement of Cash Flows'!K48+'Statement of Cash Flows'!K49</f>
        <v>-10378143.190829413</v>
      </c>
      <c r="L19" s="74">
        <f>K19+'Statement of Cash Flows'!L48+'Statement of Cash Flows'!L49</f>
        <v>-10378143.190829413</v>
      </c>
    </row>
    <row r="20" spans="1:12" ht="22.05" customHeight="1" x14ac:dyDescent="0.3">
      <c r="A20" s="151"/>
      <c r="B20" s="42" t="s">
        <v>116</v>
      </c>
      <c r="C20" s="280">
        <f t="shared" ref="C20:L20" si="3">C17+C18+C19</f>
        <v>6504598.6508646822</v>
      </c>
      <c r="D20" s="280">
        <f t="shared" si="3"/>
        <v>6591396.9133607661</v>
      </c>
      <c r="E20" s="280">
        <f t="shared" si="3"/>
        <v>3371536.8764201105</v>
      </c>
      <c r="F20" s="280">
        <f t="shared" si="3"/>
        <v>0</v>
      </c>
      <c r="G20" s="280">
        <f t="shared" si="3"/>
        <v>0</v>
      </c>
      <c r="H20" s="280">
        <f t="shared" si="3"/>
        <v>0</v>
      </c>
      <c r="I20" s="280">
        <f t="shared" si="3"/>
        <v>0</v>
      </c>
      <c r="J20" s="280">
        <f t="shared" si="3"/>
        <v>0</v>
      </c>
      <c r="K20" s="280">
        <f t="shared" si="3"/>
        <v>0</v>
      </c>
      <c r="L20" s="280">
        <f t="shared" si="3"/>
        <v>0</v>
      </c>
    </row>
    <row r="21" spans="1:12" ht="18" customHeight="1" x14ac:dyDescent="0.3">
      <c r="A21" s="1"/>
      <c r="B21" s="15"/>
      <c r="C21" s="70"/>
      <c r="D21" s="70"/>
      <c r="E21" s="70"/>
      <c r="F21" s="70"/>
      <c r="G21" s="70"/>
      <c r="H21" s="70"/>
      <c r="I21" s="70"/>
      <c r="J21" s="70"/>
      <c r="K21" s="70"/>
      <c r="L21" s="70"/>
    </row>
    <row r="22" spans="1:12" ht="18" customHeight="1" x14ac:dyDescent="0.3">
      <c r="A22" s="1"/>
      <c r="B22" s="24" t="s">
        <v>117</v>
      </c>
      <c r="C22" s="80">
        <f t="shared" ref="C22:L22" si="4">C10-C14-C20</f>
        <v>0</v>
      </c>
      <c r="D22" s="80">
        <f t="shared" si="4"/>
        <v>0</v>
      </c>
      <c r="E22" s="80">
        <f t="shared" si="4"/>
        <v>0</v>
      </c>
      <c r="F22" s="80">
        <f t="shared" si="4"/>
        <v>-2.2846506908535957E-9</v>
      </c>
      <c r="G22" s="80">
        <f t="shared" si="4"/>
        <v>-2.2846506908535957E-9</v>
      </c>
      <c r="H22" s="80">
        <f t="shared" si="4"/>
        <v>-2.2846506908535957E-9</v>
      </c>
      <c r="I22" s="80">
        <f t="shared" si="4"/>
        <v>-2.2846506908535957E-9</v>
      </c>
      <c r="J22" s="80">
        <f t="shared" si="4"/>
        <v>-2.2846506908535957E-9</v>
      </c>
      <c r="K22" s="80">
        <f t="shared" si="4"/>
        <v>-2.2846506908535957E-9</v>
      </c>
      <c r="L22" s="80">
        <f t="shared" si="4"/>
        <v>-2.2846506908535957E-9</v>
      </c>
    </row>
  </sheetData>
  <pageMargins left="0.7" right="0.7" top="0.75" bottom="0.75" header="0.3" footer="0.3"/>
  <pageSetup scale="79" fitToHeight="0" orientation="landscape" horizontalDpi="0" verticalDpi="0" r:id="rId1"/>
  <extLst>
    <ext xmlns:x14="http://schemas.microsoft.com/office/spreadsheetml/2009/9/main" uri="{78C0D931-6437-407d-A8EE-F0AAD7539E65}">
      <x14:conditionalFormattings>
        <x14:conditionalFormatting xmlns:xm="http://schemas.microsoft.com/office/excel/2006/main">
          <x14:cfRule type="expression" priority="1" stopIfTrue="1" id="{2EF543AE-D1E3-4704-9825-164679974533}">
            <xm:f>C$4&gt;Input!$C$57</xm:f>
            <x14:dxf>
              <numFmt numFmtId="194" formatCode=";;;"/>
            </x14:dxf>
          </x14:cfRule>
          <xm:sqref>C4:L22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8C371-FF57-45BB-8AF5-1555D7E44819}">
  <sheetPr>
    <tabColor rgb="FF132E57"/>
    <pageSetUpPr fitToPage="1"/>
  </sheetPr>
  <dimension ref="A1:M25"/>
  <sheetViews>
    <sheetView workbookViewId="0">
      <selection activeCell="P21" sqref="P21"/>
    </sheetView>
  </sheetViews>
  <sheetFormatPr defaultRowHeight="14.4" outlineLevelCol="1" x14ac:dyDescent="0.3"/>
  <cols>
    <col min="1" max="1" width="4.109375" customWidth="1"/>
    <col min="2" max="2" width="57.44140625" customWidth="1"/>
    <col min="3" max="7" width="18.5546875" customWidth="1"/>
    <col min="8" max="12" width="18.5546875" hidden="1" customWidth="1" outlineLevel="1"/>
    <col min="13" max="13" width="8.88671875" collapsed="1"/>
  </cols>
  <sheetData>
    <row r="1" spans="1:12" ht="36" customHeight="1" x14ac:dyDescent="0.3">
      <c r="A1" s="57"/>
      <c r="B1" s="53" t="s">
        <v>118</v>
      </c>
      <c r="C1" s="65"/>
      <c r="D1" s="65"/>
      <c r="E1" s="65"/>
      <c r="F1" s="65"/>
      <c r="G1" s="65"/>
      <c r="H1" s="69"/>
      <c r="I1" s="58"/>
      <c r="J1" s="58"/>
      <c r="K1" s="58"/>
      <c r="L1" s="58"/>
    </row>
    <row r="2" spans="1:12" ht="18" customHeight="1" x14ac:dyDescent="0.3">
      <c r="A2" s="1"/>
      <c r="B2" s="85" t="str">
        <f>"USD · "&amp;TEXT(SUM('Statement of Cash Flows'!C47:L47),"$#,##0")&amp;" of the "&amp;TEXT(Input!$C$37,"$#,##0")&amp;" commitment drawn · every sale distributed, nothing recycled · final exit Year "&amp;TEXT(Input!$C$57,"0")</f>
        <v>USD · $6,719,800 of the $7,000,000 commitment drawn · every sale distributed, nothing recycled · final exit Year 4</v>
      </c>
      <c r="C2" s="66"/>
      <c r="D2" s="66"/>
      <c r="E2" s="66"/>
      <c r="F2" s="66"/>
      <c r="G2" s="66"/>
      <c r="H2" s="66"/>
      <c r="I2" s="1"/>
      <c r="J2" s="1"/>
      <c r="K2" s="1"/>
      <c r="L2" s="1"/>
    </row>
    <row r="3" spans="1:12" ht="18" customHeight="1" x14ac:dyDescent="0.3">
      <c r="A3" s="1"/>
      <c r="B3" s="15"/>
      <c r="C3" s="70"/>
      <c r="D3" s="70"/>
      <c r="E3" s="70"/>
      <c r="F3" s="70"/>
      <c r="G3" s="70"/>
      <c r="H3" s="70"/>
      <c r="I3" s="1"/>
      <c r="J3" s="1"/>
      <c r="K3" s="1"/>
      <c r="L3" s="1"/>
    </row>
    <row r="4" spans="1:12" ht="18" customHeight="1" x14ac:dyDescent="0.3">
      <c r="A4" s="149"/>
      <c r="B4" s="34" t="s">
        <v>52</v>
      </c>
      <c r="C4" s="71">
        <f t="shared" ref="C4:L4" si="0">COLUMN()-2</f>
        <v>1</v>
      </c>
      <c r="D4" s="71">
        <f t="shared" si="0"/>
        <v>2</v>
      </c>
      <c r="E4" s="71">
        <f t="shared" si="0"/>
        <v>3</v>
      </c>
      <c r="F4" s="71">
        <f t="shared" si="0"/>
        <v>4</v>
      </c>
      <c r="G4" s="71">
        <f t="shared" si="0"/>
        <v>5</v>
      </c>
      <c r="H4" s="71">
        <f t="shared" si="0"/>
        <v>6</v>
      </c>
      <c r="I4" s="71">
        <f t="shared" si="0"/>
        <v>7</v>
      </c>
      <c r="J4" s="71">
        <f t="shared" si="0"/>
        <v>8</v>
      </c>
      <c r="K4" s="71">
        <f t="shared" si="0"/>
        <v>9</v>
      </c>
      <c r="L4" s="71">
        <f t="shared" si="0"/>
        <v>10</v>
      </c>
    </row>
    <row r="5" spans="1:12" ht="18" customHeight="1" x14ac:dyDescent="0.3">
      <c r="A5" s="149"/>
      <c r="B5" s="34" t="s">
        <v>65</v>
      </c>
      <c r="C5" s="72" t="str">
        <f>TEXT(EDATE(Input!$C$7,(C4-1)*12),"mmm-yy")&amp;" – "&amp;TEXT(EDATE(Input!$C$7,C4*12-1),"mmm-yy")</f>
        <v>Oct-26 – Sep-27</v>
      </c>
      <c r="D5" s="72" t="str">
        <f>TEXT(EDATE(Input!$C$7,(D4-1)*12),"mmm-yy")&amp;" – "&amp;TEXT(EDATE(Input!$C$7,D4*12-1),"mmm-yy")</f>
        <v>Oct-27 – Sep-28</v>
      </c>
      <c r="E5" s="72" t="str">
        <f>TEXT(EDATE(Input!$C$7,(E4-1)*12),"mmm-yy")&amp;" – "&amp;TEXT(EDATE(Input!$C$7,E4*12-1),"mmm-yy")</f>
        <v>Oct-28 – Sep-29</v>
      </c>
      <c r="F5" s="72" t="str">
        <f>TEXT(EDATE(Input!$C$7,(F4-1)*12),"mmm-yy")&amp;" – "&amp;TEXT(EDATE(Input!$C$7,F4*12-1),"mmm-yy")</f>
        <v>Oct-29 – Sep-30</v>
      </c>
      <c r="G5" s="72" t="str">
        <f>TEXT(EDATE(Input!$C$7,(G4-1)*12),"mmm-yy")&amp;" – "&amp;TEXT(EDATE(Input!$C$7,G4*12-1),"mmm-yy")</f>
        <v>Oct-30 – Sep-31</v>
      </c>
      <c r="H5" s="72" t="str">
        <f>TEXT(EDATE(Input!$C$7,(H4-1)*12),"mmm-yy")&amp;" – "&amp;TEXT(EDATE(Input!$C$7,H4*12-1),"mmm-yy")</f>
        <v>Oct-31 – Sep-32</v>
      </c>
      <c r="I5" s="72" t="str">
        <f>TEXT(EDATE(Input!$C$7,(I4-1)*12),"mmm-yy")&amp;" – "&amp;TEXT(EDATE(Input!$C$7,I4*12-1),"mmm-yy")</f>
        <v>Oct-32 – Sep-33</v>
      </c>
      <c r="J5" s="72" t="str">
        <f>TEXT(EDATE(Input!$C$7,(J4-1)*12),"mmm-yy")&amp;" – "&amp;TEXT(EDATE(Input!$C$7,J4*12-1),"mmm-yy")</f>
        <v>Oct-33 – Sep-34</v>
      </c>
      <c r="K5" s="72" t="str">
        <f>TEXT(EDATE(Input!$C$7,(K4-1)*12),"mmm-yy")&amp;" – "&amp;TEXT(EDATE(Input!$C$7,K4*12-1),"mmm-yy")</f>
        <v>Oct-34 – Sep-35</v>
      </c>
      <c r="L5" s="72" t="str">
        <f>TEXT(EDATE(Input!$C$7,(L4-1)*12),"mmm-yy")&amp;" – "&amp;TEXT(EDATE(Input!$C$7,L4*12-1),"mmm-yy")</f>
        <v>Oct-35 – Sep-36</v>
      </c>
    </row>
    <row r="6" spans="1:12" ht="19.95" customHeight="1" x14ac:dyDescent="0.3">
      <c r="A6" s="150"/>
      <c r="B6" s="41" t="s">
        <v>1345</v>
      </c>
      <c r="C6" s="73"/>
      <c r="D6" s="73"/>
      <c r="E6" s="73"/>
      <c r="F6" s="73"/>
      <c r="G6" s="73"/>
      <c r="H6" s="73"/>
      <c r="I6" s="73"/>
      <c r="J6" s="73"/>
      <c r="K6" s="73"/>
      <c r="L6" s="73"/>
    </row>
    <row r="7" spans="1:12" ht="18" customHeight="1" x14ac:dyDescent="0.3">
      <c r="A7" s="1"/>
      <c r="B7" s="70" t="s">
        <v>396</v>
      </c>
      <c r="C7" s="74">
        <f>-'Statement of Cash Flows'!C47</f>
        <v>-6630682.265400474</v>
      </c>
      <c r="D7" s="74">
        <f>-'Statement of Cash Flows'!D47</f>
        <v>-84829.976603549541</v>
      </c>
      <c r="E7" s="74">
        <f>-'Statement of Cash Flows'!E47</f>
        <v>0</v>
      </c>
      <c r="F7" s="74">
        <f>-'Statement of Cash Flows'!F47</f>
        <v>-4287.9993590698141</v>
      </c>
      <c r="G7" s="74">
        <f>-'Statement of Cash Flows'!G47</f>
        <v>0</v>
      </c>
      <c r="H7" s="74">
        <f>-'Statement of Cash Flows'!H47</f>
        <v>0</v>
      </c>
      <c r="I7" s="74">
        <f>-'Statement of Cash Flows'!I47</f>
        <v>0</v>
      </c>
      <c r="J7" s="74">
        <f>-'Statement of Cash Flows'!J47</f>
        <v>0</v>
      </c>
      <c r="K7" s="74">
        <f>-'Statement of Cash Flows'!K47</f>
        <v>0</v>
      </c>
      <c r="L7" s="74">
        <f>-'Statement of Cash Flows'!L47</f>
        <v>0</v>
      </c>
    </row>
    <row r="8" spans="1:12" ht="18" customHeight="1" x14ac:dyDescent="0.3">
      <c r="A8" s="1"/>
      <c r="B8" s="70" t="s">
        <v>383</v>
      </c>
      <c r="C8" s="74">
        <f>ROUND(MAX(0,'Statement of Cash Flows'!C55-'Statement of Cash Flows'!C56),2)*(C$4&lt;=Input!$C$57)*(C$4&gt;=Input!$C$47)</f>
        <v>0</v>
      </c>
      <c r="D8" s="74">
        <f>ROUND(MAX(0,'Statement of Cash Flows'!D55-'Statement of Cash Flows'!D56),2)*(D$4&lt;=Input!$C$57)*(D$4&gt;=Input!$C$47)</f>
        <v>0</v>
      </c>
      <c r="E8" s="74">
        <f>ROUND(MAX(0,'Statement of Cash Flows'!E55-'Statement of Cash Flows'!E56),2)*(E$4&lt;=Input!$C$57)*(E$4&gt;=Input!$C$47)</f>
        <v>5057197.17</v>
      </c>
      <c r="F8" s="74">
        <f>ROUND(MAX(0,'Statement of Cash Flows'!F55-'Statement of Cash Flows'!F56),2)*(F$4&lt;=Input!$C$57)*(F$4&gt;=Input!$C$47)</f>
        <v>5320946.0199999996</v>
      </c>
      <c r="G8" s="74">
        <f>ROUND(MAX(0,'Statement of Cash Flows'!G55-'Statement of Cash Flows'!G56),2)*(G$4&lt;=Input!$C$57)*(G$4&gt;=Input!$C$47)</f>
        <v>0</v>
      </c>
      <c r="H8" s="74">
        <f>ROUND(MAX(0,'Statement of Cash Flows'!H55-'Statement of Cash Flows'!H56),2)*(H$4&lt;=Input!$C$57)*(H$4&gt;=Input!$C$47)</f>
        <v>0</v>
      </c>
      <c r="I8" s="74">
        <f>ROUND(MAX(0,'Statement of Cash Flows'!I55-'Statement of Cash Flows'!I56),2)*(I$4&lt;=Input!$C$57)*(I$4&gt;=Input!$C$47)</f>
        <v>0</v>
      </c>
      <c r="J8" s="74">
        <f>ROUND(MAX(0,'Statement of Cash Flows'!J55-'Statement of Cash Flows'!J56),2)*(J$4&lt;=Input!$C$57)*(J$4&gt;=Input!$C$47)</f>
        <v>0</v>
      </c>
      <c r="K8" s="74">
        <f>ROUND(MAX(0,'Statement of Cash Flows'!K55-'Statement of Cash Flows'!K56),2)*(K$4&lt;=Input!$C$57)*(K$4&gt;=Input!$C$47)</f>
        <v>0</v>
      </c>
      <c r="L8" s="74">
        <f>ROUND(MAX(0,'Statement of Cash Flows'!L55-'Statement of Cash Flows'!L56),2)*(L$4&lt;=Input!$C$57)*(L$4&gt;=Input!$C$47)</f>
        <v>0</v>
      </c>
    </row>
    <row r="9" spans="1:12" ht="18" customHeight="1" x14ac:dyDescent="0.3">
      <c r="A9" s="1"/>
      <c r="B9" s="70" t="s">
        <v>119</v>
      </c>
      <c r="C9" s="74" cm="1">
        <f t="array" ref="C9">IF(C$4=Input!$C$57,INDEX('Statement of Cash Flows'!$C$55:$L$55,Input!$C$57)-INDEX($C$8:$L$8,Input!$C$57),0)</f>
        <v>0</v>
      </c>
      <c r="D9" s="74" cm="1">
        <f t="array" ref="D9">IF(D$4=Input!$C$57,INDEX('Statement of Cash Flows'!$C$55:$L$55,Input!$C$57)-INDEX($C$8:$L$8,Input!$C$57),0)</f>
        <v>0</v>
      </c>
      <c r="E9" s="74" cm="1">
        <f t="array" ref="E9">IF(E$4=Input!$C$57,INDEX('Statement of Cash Flows'!$C$55:$L$55,Input!$C$57)-INDEX($C$8:$L$8,Input!$C$57),0)</f>
        <v>0</v>
      </c>
      <c r="F9" s="74" cm="1">
        <f t="array" ref="F9">IF(F$4=Input!$C$57,INDEX('Statement of Cash Flows'!$C$55:$L$55,Input!$C$57)-INDEX($C$8:$L$8,Input!$C$57),0)</f>
        <v>8.2941446453332901E-4</v>
      </c>
      <c r="G9" s="74" cm="1">
        <f t="array" ref="G9">IF(G$4=Input!$C$57,INDEX('Statement of Cash Flows'!$C$55:$L$55,Input!$C$57)-INDEX($C$8:$L$8,Input!$C$57),0)</f>
        <v>0</v>
      </c>
      <c r="H9" s="74" cm="1">
        <f t="array" ref="H9">IF(H$4=Input!$C$57,INDEX('Statement of Cash Flows'!$C$55:$L$55,Input!$C$57)-INDEX($C$8:$L$8,Input!$C$57),0)</f>
        <v>0</v>
      </c>
      <c r="I9" s="74" cm="1">
        <f t="array" ref="I9">IF(I$4=Input!$C$57,INDEX('Statement of Cash Flows'!$C$55:$L$55,Input!$C$57)-INDEX($C$8:$L$8,Input!$C$57),0)</f>
        <v>0</v>
      </c>
      <c r="J9" s="74" cm="1">
        <f t="array" ref="J9">IF(J$4=Input!$C$57,INDEX('Statement of Cash Flows'!$C$55:$L$55,Input!$C$57)-INDEX($C$8:$L$8,Input!$C$57),0)</f>
        <v>0</v>
      </c>
      <c r="K9" s="74" cm="1">
        <f t="array" ref="K9">IF(K$4=Input!$C$57,INDEX('Statement of Cash Flows'!$C$55:$L$55,Input!$C$57)-INDEX($C$8:$L$8,Input!$C$57),0)</f>
        <v>0</v>
      </c>
      <c r="L9" s="74" cm="1">
        <f t="array" ref="L9">IF(L$4=Input!$C$57,INDEX('Statement of Cash Flows'!$C$55:$L$55,Input!$C$57)-INDEX($C$8:$L$8,Input!$C$57),0)</f>
        <v>0</v>
      </c>
    </row>
    <row r="10" spans="1:12" ht="37.049999999999997" customHeight="1" x14ac:dyDescent="0.3">
      <c r="A10" s="1"/>
      <c r="B10" s="516" t="str">
        <f>"Less: Carry to Managing Partner (KIT Capital) — "&amp;TEXT(Input!$C$46,"0%")&amp;" of distributions above returned capital"</f>
        <v>Less: Carry to Managing Partner (KIT Capital) — 20% of distributions above returned capital</v>
      </c>
      <c r="C10" s="74">
        <f>-MAX(0,Input!$C$46*MAX(0,SUM($C$8:C$9)+SUM($C$7:C$7))+SUM($B$10:B10))</f>
        <v>0</v>
      </c>
      <c r="D10" s="74">
        <f>-MAX(0,Input!$C$46*MAX(0,SUM($C$8:D$9)+SUM($C$7:D$7))+SUM($B$10:C10))</f>
        <v>0</v>
      </c>
      <c r="E10" s="74">
        <f>-MAX(0,Input!$C$46*MAX(0,SUM($C$8:E$9)+SUM($C$7:E$7))+SUM($B$10:D10))</f>
        <v>0</v>
      </c>
      <c r="F10" s="74">
        <f>-MAX(0,Input!$C$46*MAX(0,SUM($C$8:F$9)+SUM($C$7:F$7))+SUM($B$10:E10))</f>
        <v>-731668.58989326435</v>
      </c>
      <c r="G10" s="74">
        <f>-MAX(0,Input!$C$46*MAX(0,SUM($C$8:G$9)+SUM($C$7:G$7))+SUM($B$10:F10))</f>
        <v>0</v>
      </c>
      <c r="H10" s="74">
        <f>-MAX(0,Input!$C$46*MAX(0,SUM($C$8:H$9)+SUM($C$7:H$7))+SUM($B$10:G10))</f>
        <v>0</v>
      </c>
      <c r="I10" s="74">
        <f>-MAX(0,Input!$C$46*MAX(0,SUM($C$8:I$9)+SUM($C$7:I$7))+SUM($B$10:H10))</f>
        <v>0</v>
      </c>
      <c r="J10" s="74">
        <f>-MAX(0,Input!$C$46*MAX(0,SUM($C$8:J$9)+SUM($C$7:J$7))+SUM($B$10:I10))</f>
        <v>0</v>
      </c>
      <c r="K10" s="74">
        <f>-MAX(0,Input!$C$46*MAX(0,SUM($C$8:K$9)+SUM($C$7:K$7))+SUM($B$10:J10))</f>
        <v>0</v>
      </c>
      <c r="L10" s="74">
        <f>-MAX(0,Input!$C$46*MAX(0,SUM($C$8:L$9)+SUM($C$7:L$7))+SUM($B$10:K10))</f>
        <v>0</v>
      </c>
    </row>
    <row r="11" spans="1:12" ht="18" customHeight="1" x14ac:dyDescent="0.3">
      <c r="A11" s="1"/>
      <c r="B11" s="70" t="s">
        <v>1346</v>
      </c>
      <c r="C11" s="74">
        <f t="shared" ref="C11:L11" si="1">C8+C9+C10</f>
        <v>0</v>
      </c>
      <c r="D11" s="74">
        <f t="shared" si="1"/>
        <v>0</v>
      </c>
      <c r="E11" s="74">
        <f t="shared" si="1"/>
        <v>5057197.17</v>
      </c>
      <c r="F11" s="74">
        <f t="shared" si="1"/>
        <v>4589277.4309361493</v>
      </c>
      <c r="G11" s="74">
        <f t="shared" si="1"/>
        <v>0</v>
      </c>
      <c r="H11" s="74">
        <f t="shared" si="1"/>
        <v>0</v>
      </c>
      <c r="I11" s="74">
        <f t="shared" si="1"/>
        <v>0</v>
      </c>
      <c r="J11" s="74">
        <f t="shared" si="1"/>
        <v>0</v>
      </c>
      <c r="K11" s="74">
        <f t="shared" si="1"/>
        <v>0</v>
      </c>
      <c r="L11" s="74">
        <f t="shared" si="1"/>
        <v>0</v>
      </c>
    </row>
    <row r="12" spans="1:12" ht="18" customHeight="1" x14ac:dyDescent="0.3">
      <c r="A12" s="1"/>
      <c r="B12" s="20" t="s">
        <v>1347</v>
      </c>
      <c r="C12" s="76">
        <f t="shared" ref="C12:L12" si="2">C7+C11</f>
        <v>-6630682.265400474</v>
      </c>
      <c r="D12" s="76">
        <f t="shared" si="2"/>
        <v>-84829.976603549541</v>
      </c>
      <c r="E12" s="76">
        <f t="shared" si="2"/>
        <v>5057197.17</v>
      </c>
      <c r="F12" s="76">
        <f t="shared" si="2"/>
        <v>4584989.4315770799</v>
      </c>
      <c r="G12" s="76">
        <f t="shared" si="2"/>
        <v>0</v>
      </c>
      <c r="H12" s="76">
        <f t="shared" si="2"/>
        <v>0</v>
      </c>
      <c r="I12" s="76">
        <f t="shared" si="2"/>
        <v>0</v>
      </c>
      <c r="J12" s="76">
        <f t="shared" si="2"/>
        <v>0</v>
      </c>
      <c r="K12" s="76">
        <f t="shared" si="2"/>
        <v>0</v>
      </c>
      <c r="L12" s="76">
        <f t="shared" si="2"/>
        <v>0</v>
      </c>
    </row>
    <row r="13" spans="1:12" ht="18" customHeight="1" x14ac:dyDescent="0.3">
      <c r="A13" s="1"/>
      <c r="B13" s="70" t="s">
        <v>120</v>
      </c>
      <c r="C13" s="78">
        <f>C12</f>
        <v>-6630682.265400474</v>
      </c>
      <c r="D13" s="78">
        <f t="shared" ref="D13:L13" si="3">C13+D12</f>
        <v>-6715512.2420040239</v>
      </c>
      <c r="E13" s="78">
        <f t="shared" si="3"/>
        <v>-1658315.0720040239</v>
      </c>
      <c r="F13" s="78">
        <f t="shared" si="3"/>
        <v>2926674.359573056</v>
      </c>
      <c r="G13" s="78">
        <f t="shared" si="3"/>
        <v>2926674.359573056</v>
      </c>
      <c r="H13" s="78">
        <f t="shared" si="3"/>
        <v>2926674.359573056</v>
      </c>
      <c r="I13" s="78">
        <f t="shared" si="3"/>
        <v>2926674.359573056</v>
      </c>
      <c r="J13" s="78">
        <f t="shared" si="3"/>
        <v>2926674.359573056</v>
      </c>
      <c r="K13" s="78">
        <f t="shared" si="3"/>
        <v>2926674.359573056</v>
      </c>
      <c r="L13" s="78">
        <f t="shared" si="3"/>
        <v>2926674.359573056</v>
      </c>
    </row>
    <row r="14" spans="1:12" ht="18" customHeight="1" x14ac:dyDescent="0.3">
      <c r="A14" s="1"/>
      <c r="B14" s="15"/>
      <c r="C14" s="70"/>
      <c r="D14" s="70"/>
      <c r="E14" s="70"/>
      <c r="F14" s="70"/>
      <c r="G14" s="70"/>
      <c r="H14" s="70"/>
      <c r="I14" s="70"/>
      <c r="J14" s="70"/>
      <c r="K14" s="70"/>
      <c r="L14" s="70"/>
    </row>
    <row r="15" spans="1:12" ht="19.95" customHeight="1" x14ac:dyDescent="0.3">
      <c r="A15" s="150"/>
      <c r="B15" s="41" t="s">
        <v>121</v>
      </c>
      <c r="C15" s="73"/>
      <c r="D15" s="73"/>
      <c r="E15" s="73"/>
      <c r="F15" s="73"/>
      <c r="G15" s="73"/>
      <c r="H15" s="73"/>
      <c r="I15" s="73"/>
      <c r="J15" s="73"/>
      <c r="K15" s="73"/>
      <c r="L15" s="73"/>
    </row>
    <row r="16" spans="1:12" ht="18" customHeight="1" x14ac:dyDescent="0.3">
      <c r="A16" s="1"/>
      <c r="B16" s="70" t="s">
        <v>122</v>
      </c>
      <c r="C16" s="78">
        <f>SUM('Statement of Cash Flows'!C47:L47)</f>
        <v>6719800.2413630933</v>
      </c>
      <c r="D16" s="70"/>
      <c r="E16" s="70"/>
      <c r="F16" s="70"/>
      <c r="G16" s="70"/>
      <c r="H16" s="70"/>
      <c r="I16" s="70"/>
      <c r="J16" s="70"/>
      <c r="K16" s="70"/>
      <c r="L16" s="70"/>
    </row>
    <row r="17" spans="1:12" ht="18" customHeight="1" x14ac:dyDescent="0.3">
      <c r="A17" s="1"/>
      <c r="B17" s="70" t="s">
        <v>880</v>
      </c>
      <c r="C17" s="78">
        <f>SUM(C8:L9)</f>
        <v>10378143.190829415</v>
      </c>
      <c r="D17" s="70"/>
      <c r="E17" s="70"/>
      <c r="F17" s="70"/>
      <c r="G17" s="70"/>
      <c r="H17" s="70"/>
      <c r="I17" s="70"/>
      <c r="J17" s="70"/>
      <c r="K17" s="70"/>
      <c r="L17" s="70"/>
    </row>
    <row r="18" spans="1:12" ht="18" customHeight="1" x14ac:dyDescent="0.3">
      <c r="A18" s="1"/>
      <c r="B18" s="70" t="str">
        <f>"Less: Carry to Managing Partner (KIT Capital) — "&amp;TEXT(Input!$C$46,"0%")</f>
        <v>Less: Carry to Managing Partner (KIT Capital) — 20%</v>
      </c>
      <c r="C18" s="78">
        <f>SUM(C10:L10)</f>
        <v>-731668.58989326435</v>
      </c>
      <c r="D18" s="70"/>
      <c r="E18" s="70"/>
      <c r="F18" s="70"/>
      <c r="G18" s="70"/>
      <c r="H18" s="70"/>
      <c r="I18" s="70"/>
      <c r="J18" s="70"/>
      <c r="K18" s="70"/>
      <c r="L18" s="70"/>
    </row>
    <row r="19" spans="1:12" ht="18" customHeight="1" x14ac:dyDescent="0.3">
      <c r="A19" s="1"/>
      <c r="B19" s="70" t="s">
        <v>1348</v>
      </c>
      <c r="C19" s="78">
        <f>SUM(C11:L11)</f>
        <v>9646474.6009361483</v>
      </c>
      <c r="D19" s="70"/>
      <c r="E19" s="70"/>
      <c r="F19" s="70"/>
      <c r="G19" s="70"/>
      <c r="H19" s="70"/>
      <c r="I19" s="70"/>
      <c r="J19" s="70"/>
      <c r="K19" s="70"/>
      <c r="L19" s="70"/>
    </row>
    <row r="20" spans="1:12" ht="18" customHeight="1" x14ac:dyDescent="0.3">
      <c r="A20" s="1"/>
      <c r="B20" s="70" t="s">
        <v>1349</v>
      </c>
      <c r="C20" s="78">
        <f>C19-C16</f>
        <v>2926674.3595730551</v>
      </c>
      <c r="D20" s="70"/>
      <c r="E20" s="70"/>
      <c r="F20" s="70"/>
      <c r="G20" s="70"/>
      <c r="H20" s="70"/>
      <c r="I20" s="70"/>
      <c r="J20" s="70"/>
      <c r="K20" s="70"/>
      <c r="L20" s="70"/>
    </row>
    <row r="21" spans="1:12" ht="18" customHeight="1" thickBot="1" x14ac:dyDescent="0.35">
      <c r="A21" s="1"/>
      <c r="B21" s="70" t="s">
        <v>123</v>
      </c>
      <c r="C21" s="81">
        <f>C19/C16</f>
        <v>1.4355299643519444</v>
      </c>
      <c r="D21" s="70"/>
      <c r="E21" s="70"/>
      <c r="F21" s="70"/>
      <c r="G21" s="70"/>
      <c r="H21" s="70"/>
      <c r="I21" s="70"/>
      <c r="J21" s="70"/>
      <c r="K21" s="70"/>
      <c r="L21" s="70"/>
    </row>
    <row r="22" spans="1:12" ht="22.05" customHeight="1" x14ac:dyDescent="0.3">
      <c r="A22" s="151"/>
      <c r="B22" s="82" t="s">
        <v>1331</v>
      </c>
      <c r="C22" s="367">
        <f>'_IRR Engine'!$Q$15</f>
        <v>0.15722407698631283</v>
      </c>
      <c r="D22" s="82"/>
      <c r="E22" s="82"/>
      <c r="F22" s="82"/>
      <c r="G22" s="82"/>
      <c r="H22" s="82"/>
      <c r="I22" s="82"/>
      <c r="J22" s="82"/>
      <c r="K22" s="82"/>
      <c r="L22" s="82"/>
    </row>
    <row r="23" spans="1:12" ht="18.45" customHeight="1" thickBot="1" x14ac:dyDescent="0.35">
      <c r="A23" s="368"/>
      <c r="B23" s="368" t="s">
        <v>124</v>
      </c>
      <c r="C23" s="369" cm="1">
        <f t="array" ref="C23">IFERROR(MATCH(TRUE,INDEX($C$13:$L$13&gt;=0,0),0),"Beyond horizon")</f>
        <v>4</v>
      </c>
      <c r="D23" s="369"/>
      <c r="E23" s="369"/>
      <c r="F23" s="369"/>
      <c r="G23" s="369"/>
      <c r="H23" s="70"/>
      <c r="I23" s="70"/>
      <c r="J23" s="70"/>
      <c r="K23" s="70"/>
      <c r="L23" s="70"/>
    </row>
    <row r="24" spans="1:12" ht="21.45" customHeight="1" x14ac:dyDescent="0.3">
      <c r="B24" s="370" t="s">
        <v>1350</v>
      </c>
      <c r="C24" s="371">
        <f>IRR($C$12:$L$12)</f>
        <v>0.15942381169737119</v>
      </c>
    </row>
    <row r="25" spans="1:12" ht="48" customHeight="1" x14ac:dyDescent="0.3">
      <c r="B25" s="225" t="s">
        <v>1612</v>
      </c>
      <c r="C25" s="539"/>
      <c r="D25" s="540"/>
      <c r="E25" s="540"/>
      <c r="F25" s="540"/>
      <c r="G25" s="540"/>
      <c r="H25" s="540"/>
      <c r="I25" s="540"/>
      <c r="J25" s="540"/>
      <c r="K25" s="540"/>
      <c r="L25" s="540"/>
    </row>
  </sheetData>
  <mergeCells count="1">
    <mergeCell ref="C25:L25"/>
  </mergeCells>
  <pageMargins left="0.7" right="0.7" top="0.75" bottom="0.75" header="0.3" footer="0.3"/>
  <pageSetup scale="59" fitToHeight="0"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1" stopIfTrue="1" id="{9E49F1FD-D932-4FEF-BD7B-2B7ABDA6C242}">
            <xm:f>C$4&gt;Input!$C$57</xm:f>
            <x14:dxf>
              <numFmt numFmtId="194" formatCode=";;;"/>
            </x14:dxf>
          </x14:cfRule>
          <xm:sqref>C4:L13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7C08C-AE82-4A95-B068-900380E4394B}">
  <sheetPr>
    <tabColor rgb="FF132E57"/>
    <pageSetUpPr fitToPage="1"/>
  </sheetPr>
  <dimension ref="A1:D24"/>
  <sheetViews>
    <sheetView workbookViewId="0">
      <selection activeCell="G16" sqref="G16"/>
    </sheetView>
  </sheetViews>
  <sheetFormatPr defaultRowHeight="14.4" x14ac:dyDescent="0.3"/>
  <cols>
    <col min="1" max="1" width="4.109375" customWidth="1"/>
    <col min="2" max="2" width="88.109375" customWidth="1"/>
    <col min="3" max="3" width="20.33203125" customWidth="1"/>
  </cols>
  <sheetData>
    <row r="1" spans="1:4" ht="36" customHeight="1" x14ac:dyDescent="0.3">
      <c r="A1" s="57"/>
      <c r="B1" s="53" t="s">
        <v>81</v>
      </c>
      <c r="C1" s="31"/>
      <c r="D1" s="1"/>
    </row>
    <row r="2" spans="1:4" ht="34.049999999999997" customHeight="1" x14ac:dyDescent="0.3">
      <c r="A2" s="1"/>
      <c r="B2" s="541" t="s">
        <v>1610</v>
      </c>
      <c r="C2" s="541"/>
      <c r="D2" s="1"/>
    </row>
    <row r="3" spans="1:4" ht="18" customHeight="1" x14ac:dyDescent="0.3">
      <c r="A3" s="1"/>
      <c r="B3" s="15"/>
      <c r="C3" s="15"/>
      <c r="D3" s="1"/>
    </row>
    <row r="4" spans="1:4" ht="19.95" customHeight="1" x14ac:dyDescent="0.3">
      <c r="A4" s="150"/>
      <c r="B4" s="41" t="s">
        <v>82</v>
      </c>
      <c r="C4" s="41"/>
      <c r="D4" s="1"/>
    </row>
    <row r="5" spans="1:4" ht="21.45" customHeight="1" x14ac:dyDescent="0.3">
      <c r="A5" s="1"/>
      <c r="B5" s="107" t="s">
        <v>819</v>
      </c>
      <c r="C5" s="269">
        <f>Input!$C$37</f>
        <v>7000000</v>
      </c>
      <c r="D5" s="1"/>
    </row>
    <row r="6" spans="1:4" ht="21.45" customHeight="1" x14ac:dyDescent="0.3">
      <c r="A6" s="1"/>
      <c r="B6" s="70" t="s">
        <v>820</v>
      </c>
      <c r="C6" s="19">
        <f>SUM('Statement of Cash Flows'!$C$47:$L$47)</f>
        <v>6719800.2413630933</v>
      </c>
      <c r="D6" s="1"/>
    </row>
    <row r="7" spans="1:4" ht="21.45" customHeight="1" x14ac:dyDescent="0.3">
      <c r="A7" s="1"/>
      <c r="B7" s="70" t="s">
        <v>913</v>
      </c>
      <c r="C7" s="19">
        <f>$C$16-$C$6</f>
        <v>86801.334420335479</v>
      </c>
      <c r="D7" s="1"/>
    </row>
    <row r="8" spans="1:4" ht="21.45" customHeight="1" x14ac:dyDescent="0.3">
      <c r="A8" s="1"/>
      <c r="B8" s="20" t="s">
        <v>83</v>
      </c>
      <c r="C8" s="46">
        <f>$C$6+$C$7</f>
        <v>6806601.5757834287</v>
      </c>
      <c r="D8" s="1"/>
    </row>
    <row r="9" spans="1:4" ht="19.95" customHeight="1" x14ac:dyDescent="0.3">
      <c r="A9" s="150"/>
      <c r="B9" s="41" t="s">
        <v>84</v>
      </c>
      <c r="C9" s="41"/>
      <c r="D9" s="1"/>
    </row>
    <row r="10" spans="1:4" ht="18" customHeight="1" x14ac:dyDescent="0.3">
      <c r="A10" s="1"/>
      <c r="B10" s="70" t="s">
        <v>85</v>
      </c>
      <c r="C10" s="21">
        <f>SUMPRODUCT(Properties!$D$6:$D$15,Properties!$M$6:$M$15)</f>
        <v>4561488.6731391586</v>
      </c>
      <c r="D10" s="1"/>
    </row>
    <row r="11" spans="1:4" ht="18" customHeight="1" x14ac:dyDescent="0.3">
      <c r="A11" s="1"/>
      <c r="B11" s="70" t="s">
        <v>86</v>
      </c>
      <c r="C11" s="21">
        <f>SUMPRODUCT(Properties!$D$6:$D$15,Properties!$O$6:$O$15)</f>
        <v>114037.21682847897</v>
      </c>
      <c r="D11" s="1"/>
    </row>
    <row r="12" spans="1:4" ht="18" customHeight="1" x14ac:dyDescent="0.3">
      <c r="A12" s="1"/>
      <c r="B12" s="70" t="s">
        <v>87</v>
      </c>
      <c r="C12" s="21">
        <f>SUMPRODUCT(Properties!$D$6:$D$15,Properties!$N$6:$N$15)</f>
        <v>1896440.1294498381</v>
      </c>
      <c r="D12" s="1"/>
    </row>
    <row r="13" spans="1:4" ht="18" customHeight="1" x14ac:dyDescent="0.3">
      <c r="A13" s="1"/>
      <c r="B13" s="70" t="s">
        <v>136</v>
      </c>
      <c r="C13" s="21">
        <f>'Income Statement'!C163</f>
        <v>210309.28953579155</v>
      </c>
      <c r="D13" s="1"/>
    </row>
    <row r="14" spans="1:4" ht="18" customHeight="1" x14ac:dyDescent="0.3">
      <c r="A14" s="1"/>
      <c r="B14" s="70" t="s">
        <v>926</v>
      </c>
      <c r="C14" s="21">
        <f>'Statement of Cash Flows'!$C$56</f>
        <v>24326.266830161931</v>
      </c>
      <c r="D14" s="1"/>
    </row>
    <row r="15" spans="1:4" ht="18" customHeight="1" x14ac:dyDescent="0.3">
      <c r="A15" s="1"/>
      <c r="B15" s="70"/>
      <c r="C15" s="23"/>
      <c r="D15" s="1"/>
    </row>
    <row r="16" spans="1:4" ht="18" customHeight="1" x14ac:dyDescent="0.3">
      <c r="A16" s="1"/>
      <c r="B16" s="20" t="s">
        <v>88</v>
      </c>
      <c r="C16" s="46">
        <f>SUM($C$10:$C$14)</f>
        <v>6806601.5757834287</v>
      </c>
      <c r="D16" s="1"/>
    </row>
    <row r="17" spans="1:4" ht="18" customHeight="1" x14ac:dyDescent="0.3">
      <c r="A17" s="1"/>
      <c r="B17" s="15"/>
      <c r="C17" s="15"/>
      <c r="D17" s="1"/>
    </row>
    <row r="18" spans="1:4" ht="18" customHeight="1" x14ac:dyDescent="0.3">
      <c r="A18" s="1"/>
      <c r="B18" s="24" t="s">
        <v>821</v>
      </c>
      <c r="C18" s="48">
        <f>$C$8-$C$16</f>
        <v>0</v>
      </c>
      <c r="D18" s="1"/>
    </row>
    <row r="19" spans="1:4" x14ac:dyDescent="0.3">
      <c r="B19" s="1"/>
      <c r="C19" s="1"/>
    </row>
    <row r="20" spans="1:4" ht="21.45" customHeight="1" x14ac:dyDescent="0.3">
      <c r="B20" s="41" t="s">
        <v>914</v>
      </c>
      <c r="C20" s="41"/>
    </row>
    <row r="21" spans="1:4" ht="21.45" customHeight="1" x14ac:dyDescent="0.3">
      <c r="B21" s="70" t="s">
        <v>915</v>
      </c>
      <c r="C21" s="19">
        <f>Input!$C$37</f>
        <v>7000000</v>
      </c>
    </row>
    <row r="22" spans="1:4" ht="21.45" customHeight="1" x14ac:dyDescent="0.3">
      <c r="B22" s="70" t="s">
        <v>916</v>
      </c>
      <c r="C22" s="21">
        <f>$C$6</f>
        <v>6719800.2413630933</v>
      </c>
    </row>
    <row r="23" spans="1:4" ht="21.45" customHeight="1" x14ac:dyDescent="0.3">
      <c r="B23" s="70" t="s">
        <v>917</v>
      </c>
      <c r="C23" s="21">
        <f>$C$21-$C$22</f>
        <v>280199.75863690674</v>
      </c>
    </row>
    <row r="24" spans="1:4" ht="21.45" customHeight="1" x14ac:dyDescent="0.3">
      <c r="B24" s="24" t="s">
        <v>921</v>
      </c>
      <c r="C24" s="299" cm="1">
        <f t="array" ref="C24">MAX(0,MAX(('Statement of Cash Flows'!$C$4:$L$4&lt;Input!$C$57)*('Statement of Cash Flows'!$C$56:$L$56-'Statement of Cash Flows'!$C$54:$L$54)))</f>
        <v>0</v>
      </c>
    </row>
  </sheetData>
  <mergeCells count="1">
    <mergeCell ref="B2:C2"/>
  </mergeCells>
  <conditionalFormatting sqref="C24">
    <cfRule type="containsText" dxfId="24" priority="1" operator="containsText" text="OK">
      <formula>NOT(ISERROR(SEARCH("OK",C24)))</formula>
    </cfRule>
    <cfRule type="containsText" dxfId="23" priority="2" operator="containsText" text="CHECK">
      <formula>NOT(ISERROR(SEARCH("CHECK",C24)))</formula>
    </cfRule>
  </conditionalFormatting>
  <pageMargins left="0.7" right="0.7" top="0.75" bottom="0.75" header="0.3" footer="0.3"/>
  <pageSetup fitToHeight="0" orientation="landscape"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586BC-E4BA-4250-8FFE-3DFE87EC47B5}">
  <sheetPr>
    <tabColor rgb="FF132E57"/>
    <pageSetUpPr fitToPage="1"/>
  </sheetPr>
  <dimension ref="A1:AH207"/>
  <sheetViews>
    <sheetView workbookViewId="0">
      <pane ySplit="2" topLeftCell="A3" activePane="bottomLeft" state="frozen"/>
      <selection pane="bottomLeft" activeCell="N46" sqref="N46"/>
    </sheetView>
  </sheetViews>
  <sheetFormatPr defaultRowHeight="14.4" x14ac:dyDescent="0.3"/>
  <cols>
    <col min="1" max="1" width="1.44140625" style="1" customWidth="1"/>
    <col min="2" max="2" width="18.109375" style="1" customWidth="1"/>
    <col min="3" max="3" width="64.21875" style="1" customWidth="1"/>
    <col min="4" max="7" width="17.5546875" style="1" customWidth="1"/>
    <col min="8" max="8" width="32.44140625" style="1" customWidth="1"/>
    <col min="9" max="13" width="17.5546875" style="1" customWidth="1"/>
    <col min="14" max="14" width="9" style="1" customWidth="1"/>
    <col min="15" max="16384" width="8.88671875" style="1"/>
  </cols>
  <sheetData>
    <row r="1" spans="1:34" ht="34.049999999999997" customHeight="1" x14ac:dyDescent="0.3">
      <c r="A1" s="31"/>
      <c r="B1" s="31" t="s">
        <v>1010</v>
      </c>
      <c r="C1" s="31"/>
      <c r="D1" s="31"/>
      <c r="E1" s="31"/>
      <c r="F1" s="31"/>
      <c r="G1" s="31"/>
      <c r="H1" s="31"/>
    </row>
    <row r="2" spans="1:34" ht="30" customHeight="1" x14ac:dyDescent="0.3">
      <c r="B2" s="541" t="str">
        <f>"Selection, exit sensitivity and acquisition criteria for the "&amp;TEXT(SUM(Properties!$D$6:$D$15),"0")&amp;" active properties · USD · TRM COP "&amp;TEXT(Input!$C$5,"#,##0")&amp;" per USD · sensitivity grids centre on the Input base case"</f>
        <v>Selection, exit sensitivity and acquisition criteria for the 5 active properties · USD · TRM COP 3,090 per USD · sensitivity grids centre on the Input base case</v>
      </c>
      <c r="C2" s="521"/>
      <c r="D2" s="554"/>
      <c r="E2" s="521"/>
      <c r="F2" s="554"/>
      <c r="G2" s="521"/>
      <c r="H2" s="555"/>
    </row>
    <row r="3" spans="1:34" ht="18" customHeight="1" x14ac:dyDescent="0.3">
      <c r="B3" s="87" t="s">
        <v>612</v>
      </c>
      <c r="C3" s="87" t="s">
        <v>613</v>
      </c>
      <c r="D3" s="270">
        <f>Input!$C$149</f>
        <v>0.02</v>
      </c>
      <c r="E3" s="87" t="s">
        <v>614</v>
      </c>
      <c r="F3" s="270">
        <f>Input!$C$150</f>
        <v>0.05</v>
      </c>
      <c r="G3" s="87" t="s">
        <v>615</v>
      </c>
      <c r="H3" s="271">
        <f>Input!$C$151</f>
        <v>2</v>
      </c>
    </row>
    <row r="4" spans="1:34" ht="22.05" customHeight="1" x14ac:dyDescent="0.3">
      <c r="B4" s="44"/>
      <c r="C4" s="138" t="str">
        <f>"Total Funds Needed — "&amp;TEXT(SUM(Properties!$D$6:$D$15),"0")&amp;" active properties"</f>
        <v>Total Funds Needed — 5 active properties</v>
      </c>
      <c r="D4" s="160">
        <f>SUMPRODUCT(Properties!$D$6:$D$15,Properties!$P$6:$P$15)</f>
        <v>6571966.0194174759</v>
      </c>
      <c r="E4" s="44"/>
      <c r="F4" s="44"/>
      <c r="G4" s="44"/>
      <c r="H4" s="44"/>
    </row>
    <row r="5" spans="1:34" ht="9" customHeight="1" x14ac:dyDescent="0.3">
      <c r="A5"/>
      <c r="B5"/>
      <c r="C5"/>
      <c r="D5"/>
      <c r="E5"/>
      <c r="F5"/>
      <c r="G5"/>
      <c r="H5"/>
      <c r="I5"/>
      <c r="J5"/>
      <c r="K5"/>
      <c r="L5"/>
      <c r="M5"/>
      <c r="N5"/>
    </row>
    <row r="6" spans="1:34" ht="25.2" customHeight="1" x14ac:dyDescent="0.3">
      <c r="B6" s="9"/>
      <c r="C6" s="9"/>
      <c r="D6" s="9"/>
      <c r="E6" s="9"/>
      <c r="F6" s="9"/>
      <c r="G6" s="382" t="s">
        <v>584</v>
      </c>
      <c r="H6" s="9"/>
      <c r="O6"/>
      <c r="P6"/>
      <c r="Q6"/>
      <c r="R6"/>
      <c r="S6"/>
      <c r="T6"/>
      <c r="U6"/>
      <c r="V6"/>
      <c r="W6"/>
      <c r="X6"/>
      <c r="Y6"/>
      <c r="Z6"/>
      <c r="AA6"/>
      <c r="AB6"/>
      <c r="AC6"/>
      <c r="AD6"/>
      <c r="AE6"/>
      <c r="AF6"/>
      <c r="AG6"/>
      <c r="AH6"/>
    </row>
    <row r="7" spans="1:34" ht="25.2" customHeight="1" x14ac:dyDescent="0.3">
      <c r="B7" s="9"/>
      <c r="C7" s="124" t="s">
        <v>372</v>
      </c>
      <c r="D7" s="208">
        <f>Input!$C$55-$D$3</f>
        <v>5.8087751371115118E-2</v>
      </c>
      <c r="E7" s="208">
        <f>Input!$C$55</f>
        <v>7.8087751371115122E-2</v>
      </c>
      <c r="F7" s="208">
        <f>Input!$C$55+$D$3</f>
        <v>9.8087751371115126E-2</v>
      </c>
      <c r="G7" s="383" t="s">
        <v>995</v>
      </c>
      <c r="H7" s="408" t="s">
        <v>1028</v>
      </c>
      <c r="I7" s="406">
        <f>Input!$I$80-$F$3</f>
        <v>0.25</v>
      </c>
      <c r="J7" s="407">
        <f>Input!$I$80</f>
        <v>0.3</v>
      </c>
      <c r="K7" s="401">
        <f>Input!$I$80+$F$3</f>
        <v>0.35</v>
      </c>
      <c r="L7" s="195"/>
      <c r="N7" s="195"/>
      <c r="O7"/>
      <c r="P7"/>
      <c r="Q7"/>
      <c r="R7"/>
      <c r="S7"/>
      <c r="T7"/>
      <c r="U7"/>
      <c r="V7"/>
      <c r="W7"/>
      <c r="X7"/>
      <c r="Y7"/>
      <c r="Z7"/>
      <c r="AA7"/>
      <c r="AB7"/>
      <c r="AC7"/>
      <c r="AD7"/>
      <c r="AE7"/>
      <c r="AF7"/>
      <c r="AG7"/>
      <c r="AH7"/>
    </row>
    <row r="8" spans="1:34" ht="25.2" customHeight="1" x14ac:dyDescent="0.3">
      <c r="B8" s="9"/>
      <c r="C8" s="121" t="str">
        <f>"Portfolio exit value ("&amp;TEXT(SUM(Properties!$D$6:$D$15),"0")&amp;" active properties)"</f>
        <v>Portfolio exit value (5 active properties)</v>
      </c>
      <c r="D8" s="209" cm="1">
        <f t="array" ref="D8">SUMPRODUCT(Properties!$D$6:$D$15,Properties!$P$6:$P$15/(1-Input!$I$80:$I$89)*(1+Input!$G$80:$G$89+(D$7-Input!$C$55))^Properties!$V$6:$V$15)</f>
        <v>10841124.182146035</v>
      </c>
      <c r="E8" s="209" cm="1">
        <f t="array" ref="E8">SUMPRODUCT(Properties!$D$6:$D$15,Properties!$P$6:$P$15/(1-Input!$I$80:$I$89)*(1+Input!$G$80:$G$89+(E$7-Input!$C$55))^Properties!$V$6:$V$15)</f>
        <v>11376910.988620643</v>
      </c>
      <c r="F8" s="209" cm="1">
        <f t="array" ref="F8">SUMPRODUCT(Properties!$D$6:$D$15,Properties!$P$6:$P$15/(1-Input!$I$80:$I$89)*(1+Input!$G$80:$G$89+(F$7-Input!$C$55))^Properties!$V$6:$V$15)</f>
        <v>11928908.482378663</v>
      </c>
      <c r="G8" s="383" t="s">
        <v>996</v>
      </c>
      <c r="H8" s="121" t="s">
        <v>1029</v>
      </c>
      <c r="I8" s="409">
        <v>10618450.2560459</v>
      </c>
      <c r="J8" s="47">
        <f>E8</f>
        <v>11376910.988620643</v>
      </c>
      <c r="K8" s="402">
        <v>12252057.9877453</v>
      </c>
      <c r="L8" s="195"/>
      <c r="N8" s="195"/>
      <c r="O8"/>
      <c r="P8"/>
      <c r="Q8"/>
      <c r="R8"/>
      <c r="S8"/>
      <c r="T8"/>
      <c r="U8"/>
      <c r="V8"/>
      <c r="W8"/>
      <c r="X8"/>
      <c r="Y8"/>
      <c r="Z8"/>
      <c r="AA8"/>
      <c r="AB8"/>
      <c r="AC8"/>
      <c r="AD8"/>
      <c r="AE8"/>
      <c r="AF8"/>
      <c r="AG8"/>
      <c r="AH8"/>
    </row>
    <row r="9" spans="1:34" ht="25.2" customHeight="1" x14ac:dyDescent="0.3">
      <c r="B9" s="9"/>
      <c r="C9" s="121" t="s">
        <v>373</v>
      </c>
      <c r="D9" s="134">
        <f>D8/$D$4-1</f>
        <v>0.64960137500938697</v>
      </c>
      <c r="E9" s="134">
        <f>E8/$D$4-1</f>
        <v>0.73112748224907387</v>
      </c>
      <c r="F9" s="134">
        <f>F8/$D$4-1</f>
        <v>0.81512023147009738</v>
      </c>
      <c r="G9" s="383" t="s">
        <v>997</v>
      </c>
      <c r="H9" s="121" t="s">
        <v>1030</v>
      </c>
      <c r="I9" s="410">
        <v>0.17897506356239301</v>
      </c>
      <c r="J9" s="133">
        <f>E14</f>
        <v>0.2081031024456024</v>
      </c>
      <c r="K9" s="403">
        <v>0.24050115942955</v>
      </c>
      <c r="L9" s="195"/>
      <c r="N9" s="195"/>
      <c r="O9"/>
      <c r="P9"/>
      <c r="Q9"/>
      <c r="R9"/>
      <c r="S9"/>
      <c r="T9"/>
      <c r="U9"/>
      <c r="V9"/>
      <c r="W9"/>
      <c r="X9"/>
      <c r="Y9"/>
      <c r="Z9"/>
      <c r="AA9"/>
      <c r="AB9"/>
      <c r="AC9"/>
      <c r="AD9"/>
      <c r="AE9"/>
      <c r="AF9"/>
      <c r="AG9"/>
      <c r="AH9"/>
    </row>
    <row r="10" spans="1:34" ht="25.2" customHeight="1" x14ac:dyDescent="0.3">
      <c r="B10" s="9"/>
      <c r="C10" s="121" t="s">
        <v>375</v>
      </c>
      <c r="D10" s="18">
        <f>-$D$4</f>
        <v>-6571966.0194174759</v>
      </c>
      <c r="E10" s="18">
        <f>-$D$4</f>
        <v>-6571966.0194174759</v>
      </c>
      <c r="F10" s="18">
        <f>-$D$4</f>
        <v>-6571966.0194174759</v>
      </c>
      <c r="G10" s="383" t="s">
        <v>998</v>
      </c>
      <c r="H10" s="408" t="s">
        <v>1351</v>
      </c>
      <c r="I10" s="411">
        <v>0.13249683976173399</v>
      </c>
      <c r="J10" s="210">
        <f>E17</f>
        <v>0.15722407698631283</v>
      </c>
      <c r="K10" s="404">
        <v>0.184947258234024</v>
      </c>
      <c r="L10" s="195"/>
      <c r="N10" s="195"/>
      <c r="O10"/>
      <c r="P10"/>
      <c r="Q10"/>
      <c r="R10"/>
      <c r="S10"/>
      <c r="T10"/>
      <c r="U10"/>
      <c r="V10"/>
      <c r="W10"/>
      <c r="X10"/>
      <c r="Y10"/>
      <c r="Z10"/>
      <c r="AA10"/>
      <c r="AB10"/>
      <c r="AC10"/>
      <c r="AD10"/>
      <c r="AE10"/>
      <c r="AF10"/>
      <c r="AG10"/>
      <c r="AH10"/>
    </row>
    <row r="11" spans="1:34" ht="25.2" customHeight="1" x14ac:dyDescent="0.3">
      <c r="B11" s="9"/>
      <c r="C11" s="121" t="str">
        <f>"t=1 — stabilized NOI, months "&amp;TEXT(SUMPRODUCT(Properties!$D$6:$D$15,Properties!$R$6:$R$15)/SUM(Properties!$D$6:$D$15)+1,"0")&amp;"-12"</f>
        <v>t=1 — stabilized NOI, months 7-12</v>
      </c>
      <c r="D11" s="18">
        <f>SUMPRODUCT(Properties!$D$6:$D$15,Properties!$X$6:$X$15)*MAX(0,12-SUMPRODUCT(Properties!$D$6:$D$15,Properties!$R$6:$R$15)/SUM(Properties!$D$6:$D$15))/12</f>
        <v>48809.721727123804</v>
      </c>
      <c r="E11" s="18">
        <f>SUMPRODUCT(Properties!$D$6:$D$15,Properties!$X$6:$X$15)*MAX(0,12-SUMPRODUCT(Properties!$D$6:$D$15,Properties!$R$6:$R$15)/SUM(Properties!$D$6:$D$15))/12</f>
        <v>48809.721727123804</v>
      </c>
      <c r="F11" s="18">
        <f>SUMPRODUCT(Properties!$D$6:$D$15,Properties!$X$6:$X$15)*MAX(0,12-SUMPRODUCT(Properties!$D$6:$D$15,Properties!$R$6:$R$15)/SUM(Properties!$D$6:$D$15))/12</f>
        <v>48809.721727123804</v>
      </c>
      <c r="G11" s="383" t="s">
        <v>999</v>
      </c>
      <c r="H11" s="121" t="s">
        <v>1352</v>
      </c>
      <c r="I11" s="412">
        <v>1.36169522862374</v>
      </c>
      <c r="J11" s="413">
        <f>'Investor Return'!C21</f>
        <v>1.4355299643519444</v>
      </c>
      <c r="K11" s="405">
        <v>1.52072388981774</v>
      </c>
      <c r="L11" s="195"/>
      <c r="N11" s="195"/>
      <c r="O11"/>
      <c r="P11"/>
      <c r="Q11"/>
      <c r="R11"/>
      <c r="S11"/>
      <c r="T11"/>
      <c r="U11"/>
      <c r="V11"/>
      <c r="W11"/>
      <c r="X11"/>
      <c r="Y11"/>
      <c r="Z11"/>
      <c r="AA11"/>
      <c r="AB11"/>
      <c r="AC11"/>
      <c r="AD11"/>
      <c r="AE11"/>
      <c r="AF11"/>
      <c r="AG11"/>
      <c r="AH11"/>
    </row>
    <row r="12" spans="1:34" ht="25.2" customHeight="1" x14ac:dyDescent="0.3">
      <c r="B12" s="9"/>
      <c r="C12" s="121" t="s">
        <v>376</v>
      </c>
      <c r="D12" s="18">
        <f>SUMPRODUCT(Properties!$D$6:$D$15,Properties!$X$6:$X$15)*(1+Input!$C$8)+D8*(1-Input!$C$15)</f>
        <v>10528733.295547819</v>
      </c>
      <c r="E12" s="18">
        <f>SUMPRODUCT(Properties!$D$6:$D$15,Properties!$X$6:$X$15)*(1+Input!$C$8)+E8*(1-Input!$C$15)</f>
        <v>11044160.203376392</v>
      </c>
      <c r="F12" s="18">
        <f>SUMPRODUCT(Properties!$D$6:$D$15,Properties!$X$6:$X$15)*(1+Input!$C$8)+F8*(1-Input!$C$15)</f>
        <v>11575181.792371606</v>
      </c>
      <c r="G12" s="383" t="s">
        <v>1000</v>
      </c>
      <c r="H12" s="556" t="s">
        <v>1560</v>
      </c>
      <c r="I12" s="557"/>
      <c r="J12" s="557"/>
      <c r="K12" s="557"/>
      <c r="L12" s="195"/>
      <c r="N12" s="195"/>
      <c r="O12"/>
      <c r="P12"/>
      <c r="Q12"/>
      <c r="R12"/>
      <c r="S12"/>
      <c r="T12"/>
      <c r="U12"/>
      <c r="V12"/>
      <c r="W12"/>
      <c r="X12"/>
      <c r="Y12"/>
      <c r="Z12"/>
      <c r="AA12"/>
      <c r="AB12"/>
      <c r="AC12"/>
      <c r="AD12"/>
      <c r="AE12"/>
      <c r="AF12"/>
      <c r="AG12"/>
      <c r="AH12"/>
    </row>
    <row r="13" spans="1:34" ht="25.2" customHeight="1" x14ac:dyDescent="0.3">
      <c r="B13" s="44"/>
      <c r="C13" s="140" t="s">
        <v>702</v>
      </c>
      <c r="D13" s="141" cm="1">
        <f t="array" ref="D13">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Engine'!$Q$9,_xlpm.zdisc,TRANSPOSE(Input!$I$80:$I$89),_xlpm.zgrow,TRANSPOSE(Input!$G$80:$G$89)+(D$7-Input!$C$55),_xlpm.zscale,1,_xlpm.zmon,_xlfn.SEQUENCE('_IRR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0.21078413128852846</v>
      </c>
      <c r="E13" s="141" cm="1">
        <f t="array" ref="E13">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Engine'!$Q$9,_xlpm.zdisc,TRANSPOSE(Input!$I$80:$I$89),_xlpm.zgrow,TRANSPOSE(Input!$G$80:$G$89)+(E$7-Input!$C$55),_xlpm.zscale,1,_xlpm.zmon,_xlfn.SEQUENCE('_IRR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0.23396413922309875</v>
      </c>
      <c r="F13" s="141" cm="1">
        <f t="array" ref="F13">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Engine'!$Q$9,_xlpm.zdisc,TRANSPOSE(Input!$I$80:$I$89),_xlpm.zgrow,TRANSPOSE(Input!$G$80:$G$89)+(F$7-Input!$C$55),_xlpm.zscale,1,_xlpm.zmon,_xlfn.SEQUENCE('_IRR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0.25715561509132379</v>
      </c>
      <c r="G13" s="384" t="s">
        <v>1001</v>
      </c>
      <c r="H13" s="557"/>
      <c r="I13" s="557"/>
      <c r="J13" s="557"/>
      <c r="K13" s="557"/>
      <c r="L13" s="195"/>
      <c r="N13" s="195"/>
      <c r="O13"/>
      <c r="P13"/>
      <c r="Q13"/>
      <c r="R13"/>
      <c r="S13"/>
      <c r="T13"/>
      <c r="U13"/>
      <c r="V13"/>
      <c r="W13"/>
      <c r="X13"/>
      <c r="Y13"/>
      <c r="Z13"/>
      <c r="AA13"/>
      <c r="AB13"/>
      <c r="AC13"/>
      <c r="AD13"/>
      <c r="AE13"/>
      <c r="AF13"/>
      <c r="AG13"/>
      <c r="AH13"/>
    </row>
    <row r="14" spans="1:34" ht="25.2" customHeight="1" x14ac:dyDescent="0.3">
      <c r="B14" s="295"/>
      <c r="C14" s="296" t="str">
        <f>"Less: capital-gains tax on sales (all "&amp;TEXT(SUM(Properties!$D$6:$D$15),"0")&amp;" sales at the fixed "&amp;TEXT(Input!$C$26,"0%")&amp;" occasional-gains rate) → deal XIRR after tax"</f>
        <v>Less: capital-gains tax on sales (all 5 sales at the fixed 15% occasional-gains rate) → deal XIRR after tax</v>
      </c>
      <c r="D14" s="298" cm="1">
        <f t="array" ref="D14">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Engine'!$Q$9,_xlpm.zdisc,TRANSPOSE(Input!$I$80:$I$89),_xlpm.zgrow,TRANSPOSE(Input!$G$80:$G$89)+(D$7-Input!$C$55),_xlpm.zscale,1,_xlpm.zmon,_xlfn.SEQUENCE('_IRR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_xlpm.zones,_xlfn.SEQUENCE('_IRR Engine'!$Q$6,1,1,0),_xlpm.zdts,EOMONTH(Input!$C$7,_xlpm.zmon-1),_xlpm.ztaxr,TRANSPOSE(Input!$C$26),_xlpm.ztaxm,-_xlpm.zact*(_xlpm.zmon=_xlpm.zsalem)*_xlpm.ztaxr*(_xlpm.znet-_xlpm.zbas*(1+Input!$C$28)^_xlpm.zhld),_xlpm.zflowtax,MMULT(_xlpm.zmat+_xlpm.ztaxm,_xlpm.zones),XIRR(_xlpm.zflowtax,_xlpm.zdts))</f>
        <v>0.18780147433280944</v>
      </c>
      <c r="E14" s="298" cm="1">
        <f t="array" ref="E14">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Engine'!$Q$9,_xlpm.zdisc,TRANSPOSE(Input!$I$80:$I$89),_xlpm.zgrow,TRANSPOSE(Input!$G$80:$G$89)+(E$7-Input!$C$55),_xlpm.zscale,1,_xlpm.zmon,_xlfn.SEQUENCE('_IRR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_xlpm.zones,_xlfn.SEQUENCE('_IRR Engine'!$Q$6,1,1,0),_xlpm.zdts,EOMONTH(Input!$C$7,_xlpm.zmon-1),_xlpm.ztaxr,TRANSPOSE(Input!$C$26),_xlpm.ztaxm,-_xlpm.zact*(_xlpm.zmon=_xlpm.zsalem)*_xlpm.ztaxr*(_xlpm.znet-_xlpm.zbas*(1+Input!$C$28)^_xlpm.zhld),_xlpm.zflowtax,MMULT(_xlpm.zmat+_xlpm.ztaxm,_xlpm.zones),XIRR(_xlpm.zflowtax,_xlpm.zdts))</f>
        <v>0.2081031024456024</v>
      </c>
      <c r="F14" s="298" cm="1">
        <f t="array" ref="F14">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Engine'!$Q$9,_xlpm.zdisc,TRANSPOSE(Input!$I$80:$I$89),_xlpm.zgrow,TRANSPOSE(Input!$G$80:$G$89)+(F$7-Input!$C$55),_xlpm.zscale,1,_xlpm.zmon,_xlfn.SEQUENCE('_IRR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_xlpm.zones,_xlfn.SEQUENCE('_IRR Engine'!$Q$6,1,1,0),_xlpm.zdts,EOMONTH(Input!$C$7,_xlpm.zmon-1),_xlpm.ztaxr,TRANSPOSE(Input!$C$26),_xlpm.ztaxm,-_xlpm.zact*(_xlpm.zmon=_xlpm.zsalem)*_xlpm.ztaxr*(_xlpm.znet-_xlpm.zbas*(1+Input!$C$28)^_xlpm.zhld),_xlpm.zflowtax,MMULT(_xlpm.zmat+_xlpm.ztaxm,_xlpm.zones),XIRR(_xlpm.zflowtax,_xlpm.zdts))</f>
        <v>0.22847573161125184</v>
      </c>
      <c r="G14" s="383" t="s">
        <v>1002</v>
      </c>
      <c r="H14" s="295"/>
      <c r="K14" s="195"/>
      <c r="L14" s="195"/>
      <c r="N14" s="195"/>
      <c r="O14"/>
      <c r="P14"/>
      <c r="Q14"/>
      <c r="R14"/>
      <c r="S14"/>
      <c r="T14"/>
      <c r="U14"/>
      <c r="V14"/>
      <c r="W14"/>
      <c r="X14"/>
      <c r="Y14"/>
      <c r="Z14"/>
      <c r="AA14"/>
      <c r="AB14"/>
      <c r="AC14"/>
      <c r="AD14"/>
      <c r="AE14"/>
      <c r="AF14"/>
      <c r="AG14"/>
      <c r="AH14"/>
    </row>
    <row r="15" spans="1:34" ht="25.2" customHeight="1" x14ac:dyDescent="0.3">
      <c r="B15" s="295"/>
      <c r="C15" s="296" t="s">
        <v>912</v>
      </c>
      <c r="D15" s="298" cm="1">
        <f t="array" ref="D15">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Engine'!$Q$9,_xlpm.zdisc,TRANSPOSE(Input!$I$80:$I$89),_xlpm.zgrow,TRANSPOSE(Input!$G$80:$G$89)+(D$7-Input!$C$55),_xlpm.zscale,1,_xlpm.zmon,_xlfn.SEQUENCE('_IRR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_xlpm.zones,_xlfn.SEQUENCE('_IRR Engine'!$Q$6,1,1,0),_xlpm.zdts,EOMONTH(Input!$C$7,_xlpm.zmon-1),_xlpm.ztaxr,TRANSPOSE(Input!$C$26),_xlpm.ztaxm,-_xlpm.zact*(_xlpm.zmon=_xlpm.zsalem)*_xlpm.ztaxr*(_xlpm.znet-_xlpm.zbas*(1+Input!$C$28)^_xlpm.zhld),_xlpm.zflowtax,MMULT(_xlpm.zmat+_xlpm.ztaxm,_xlpm.zones),_xlpm.zga,INDEX('Income Statement'!$C$144:$L$144,_xlpm.zy)/_xlpm.zmy,_xlpm.zflowga,_xlpm.zflowtax-_xlpm.zga,XIRR(_xlpm.zflowga,_xlpm.zdts))</f>
        <v>0.16966403126716614</v>
      </c>
      <c r="E15" s="298" cm="1">
        <f t="array" ref="E15">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Engine'!$Q$9,_xlpm.zdisc,TRANSPOSE(Input!$I$80:$I$89),_xlpm.zgrow,TRANSPOSE(Input!$G$80:$G$89)+(E$7-Input!$C$55),_xlpm.zscale,1,_xlpm.zmon,_xlfn.SEQUENCE('_IRR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_xlpm.zones,_xlfn.SEQUENCE('_IRR Engine'!$Q$6,1,1,0),_xlpm.zdts,EOMONTH(Input!$C$7,_xlpm.zmon-1),_xlpm.ztaxr,TRANSPOSE(Input!$C$26),_xlpm.ztaxm,-_xlpm.zact*(_xlpm.zmon=_xlpm.zsalem)*_xlpm.ztaxr*(_xlpm.znet-_xlpm.zbas*(1+Input!$C$28)^_xlpm.zhld),_xlpm.zflowtax,MMULT(_xlpm.zmat+_xlpm.ztaxm,_xlpm.zones),_xlpm.zga,INDEX('Income Statement'!$C$144:$L$144,_xlpm.zy)/_xlpm.zmy,_xlpm.zflowga,_xlpm.zflowtax-_xlpm.zga,XIRR(_xlpm.zflowga,_xlpm.zdts))</f>
        <v>0.18998114466667174</v>
      </c>
      <c r="F15" s="298" cm="1">
        <f t="array" ref="F15">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Engine'!$Q$9,_xlpm.zdisc,TRANSPOSE(Input!$I$80:$I$89),_xlpm.zgrow,TRANSPOSE(Input!$G$80:$G$89)+(F$7-Input!$C$55),_xlpm.zscale,1,_xlpm.zmon,_xlfn.SEQUENCE('_IRR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_xlpm.zones,_xlfn.SEQUENCE('_IRR Engine'!$Q$6,1,1,0),_xlpm.zdts,EOMONTH(Input!$C$7,_xlpm.zmon-1),_xlpm.ztaxr,TRANSPOSE(Input!$C$26),_xlpm.ztaxm,-_xlpm.zact*(_xlpm.zmon=_xlpm.zsalem)*_xlpm.ztaxr*(_xlpm.znet-_xlpm.zbas*(1+Input!$C$28)^_xlpm.zhld),_xlpm.zflowtax,MMULT(_xlpm.zmat+_xlpm.ztaxm,_xlpm.zones),_xlpm.zga,INDEX('Income Statement'!$C$144:$L$144,_xlpm.zy)/_xlpm.zmy,_xlpm.zflowga,_xlpm.zflowtax-_xlpm.zga,XIRR(_xlpm.zflowga,_xlpm.zdts))</f>
        <v>0.21036450266838075</v>
      </c>
      <c r="G15" s="383" t="s">
        <v>1003</v>
      </c>
      <c r="H15" s="295"/>
      <c r="K15" s="195"/>
      <c r="L15" s="195"/>
      <c r="N15" s="195"/>
      <c r="O15"/>
      <c r="P15"/>
      <c r="Q15"/>
      <c r="R15"/>
      <c r="S15"/>
      <c r="T15"/>
      <c r="U15"/>
      <c r="V15"/>
      <c r="W15"/>
      <c r="X15"/>
      <c r="Y15"/>
      <c r="Z15"/>
      <c r="AA15"/>
      <c r="AB15"/>
      <c r="AC15"/>
      <c r="AD15"/>
      <c r="AE15"/>
      <c r="AF15"/>
      <c r="AG15"/>
      <c r="AH15"/>
    </row>
    <row r="16" spans="1:34" ht="25.2" customHeight="1" x14ac:dyDescent="0.3">
      <c r="B16" s="295"/>
      <c r="C16" s="296" t="str">
        <f>"Less: carry to KIT ("&amp;TEXT(Input!$C$46,"0%")&amp;" above returned capital) → after carry"</f>
        <v>Less: carry to KIT (20% above returned capital) → after carry</v>
      </c>
      <c r="D16" s="298" cm="1">
        <f t="array" ref="D16">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Engine'!$Q$9,_xlpm.zdisc,TRANSPOSE(Input!$I$80:$I$89),_xlpm.zgrow,TRANSPOSE(Input!$G$80:$G$89)+(D$7-Input!$C$55),_xlpm.zscale,1,_xlpm.zmon,_xlfn.SEQUENCE('_IRR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_xlpm.zones,_xlfn.SEQUENCE('_IRR Engine'!$Q$6,1,1,0),_xlpm.zdts,EOMONTH(Input!$C$7,_xlpm.zmon-1),_xlpm.ztaxr,TRANSPOSE(Input!$C$26),_xlpm.ztaxm,-_xlpm.zact*(_xlpm.zmon=_xlpm.zsalem)*_xlpm.ztaxr*(_xlpm.znet-_xlpm.zbas*(1+Input!$C$28)^_xlpm.zhld),_xlpm.zflowtax,MMULT(_xlpm.zmat+_xlpm.ztaxm,_xlpm.zones),_xlpm.zga,INDEX('Income Statement'!$C$144:$L$144,_xlpm.zy)/_xlpm.zmy,_xlpm.zflowga,_xlpm.zflowtax-_xlpm.zga,_xlpm.zlast,MAX(_xlpm.zsalem*_xlpm.zact),_xlpm.zcar,(_xlpm.zmon=_xlpm.zlast)*Input!$C$46*MAX(0,SUM(_xlpm.zflowga)),_xlpm.zflowcar,_xlpm.zflowga-_xlpm.zcar,XIRR(_xlpm.zflowcar,_xlpm.zdts))</f>
        <v>0.14128639101982118</v>
      </c>
      <c r="E16" s="298" cm="1">
        <f t="array" ref="E16">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Engine'!$Q$9,_xlpm.zdisc,TRANSPOSE(Input!$I$80:$I$89),_xlpm.zgrow,TRANSPOSE(Input!$G$80:$G$89)+(E$7-Input!$C$55),_xlpm.zscale,1,_xlpm.zmon,_xlfn.SEQUENCE('_IRR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_xlpm.zones,_xlfn.SEQUENCE('_IRR Engine'!$Q$6,1,1,0),_xlpm.zdts,EOMONTH(Input!$C$7,_xlpm.zmon-1),_xlpm.ztaxr,TRANSPOSE(Input!$C$26),_xlpm.ztaxm,-_xlpm.zact*(_xlpm.zmon=_xlpm.zsalem)*_xlpm.ztaxr*(_xlpm.znet-_xlpm.zbas*(1+Input!$C$28)^_xlpm.zhld),_xlpm.zflowtax,MMULT(_xlpm.zmat+_xlpm.ztaxm,_xlpm.zones),_xlpm.zga,INDEX('Income Statement'!$C$144:$L$144,_xlpm.zy)/_xlpm.zmy,_xlpm.zflowga,_xlpm.zflowtax-_xlpm.zga,_xlpm.zlast,MAX(_xlpm.zsalem*_xlpm.zact),_xlpm.zcar,(_xlpm.zmon=_xlpm.zlast)*Input!$C$46*MAX(0,SUM(_xlpm.zflowga)),_xlpm.zflowcar,_xlpm.zflowga-_xlpm.zcar,XIRR(_xlpm.zflowcar,_xlpm.zdts))</f>
        <v>0.15883511900901795</v>
      </c>
      <c r="F16" s="298" cm="1">
        <f t="array" ref="F16">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Engine'!$Q$9,_xlpm.zdisc,TRANSPOSE(Input!$I$80:$I$89),_xlpm.zgrow,TRANSPOSE(Input!$G$80:$G$89)+(F$7-Input!$C$55),_xlpm.zscale,1,_xlpm.zmon,_xlfn.SEQUENCE('_IRR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_xlpm.zones,_xlfn.SEQUENCE('_IRR Engine'!$Q$6,1,1,0),_xlpm.zdts,EOMONTH(Input!$C$7,_xlpm.zmon-1),_xlpm.ztaxr,TRANSPOSE(Input!$C$26),_xlpm.ztaxm,-_xlpm.zact*(_xlpm.zmon=_xlpm.zsalem)*_xlpm.ztaxr*(_xlpm.znet-_xlpm.zbas*(1+Input!$C$28)^_xlpm.zhld),_xlpm.zflowtax,MMULT(_xlpm.zmat+_xlpm.ztaxm,_xlpm.zones),_xlpm.zga,INDEX('Income Statement'!$C$144:$L$144,_xlpm.zy)/_xlpm.zmy,_xlpm.zflowga,_xlpm.zflowtax-_xlpm.zga,_xlpm.zlast,MAX(_xlpm.zsalem*_xlpm.zact),_xlpm.zcar,(_xlpm.zmon=_xlpm.zlast)*Input!$C$46*MAX(0,SUM(_xlpm.zflowga)),_xlpm.zflowcar,_xlpm.zflowga-_xlpm.zcar,XIRR(_xlpm.zflowcar,_xlpm.zdts))</f>
        <v>0.17655255198478703</v>
      </c>
      <c r="G16" s="383" t="s">
        <v>1004</v>
      </c>
      <c r="H16" s="295"/>
      <c r="K16" s="195"/>
      <c r="L16" s="195"/>
      <c r="N16" s="195"/>
      <c r="O16"/>
      <c r="P16"/>
      <c r="Q16"/>
      <c r="R16"/>
      <c r="S16"/>
      <c r="T16"/>
      <c r="U16"/>
      <c r="V16"/>
      <c r="W16"/>
      <c r="X16"/>
      <c r="Y16"/>
      <c r="Z16"/>
      <c r="AA16"/>
      <c r="AB16"/>
      <c r="AC16"/>
      <c r="AD16"/>
      <c r="AE16"/>
      <c r="AF16"/>
      <c r="AG16"/>
      <c r="AH16"/>
    </row>
    <row r="17" spans="1:34" ht="25.2" customHeight="1" x14ac:dyDescent="0.3">
      <c r="B17" s="9"/>
      <c r="C17" s="124" t="s">
        <v>1353</v>
      </c>
      <c r="D17" s="210">
        <f>D16+($E$17-$E$16)</f>
        <v>0.13967534899711606</v>
      </c>
      <c r="E17" s="297">
        <f>'Investor Return'!C22</f>
        <v>0.15722407698631283</v>
      </c>
      <c r="F17" s="297">
        <f>F16+($E$17-$E$16)</f>
        <v>0.17494150996208191</v>
      </c>
      <c r="G17" s="385" t="s">
        <v>1005</v>
      </c>
      <c r="H17" s="275"/>
      <c r="K17" s="195"/>
      <c r="L17" s="195"/>
      <c r="N17" s="195"/>
      <c r="O17"/>
      <c r="P17"/>
      <c r="Q17"/>
      <c r="R17"/>
      <c r="S17"/>
      <c r="T17"/>
      <c r="U17"/>
      <c r="V17"/>
      <c r="W17"/>
      <c r="X17"/>
      <c r="Y17"/>
      <c r="Z17"/>
      <c r="AA17"/>
      <c r="AB17"/>
      <c r="AC17"/>
      <c r="AD17"/>
      <c r="AE17"/>
      <c r="AF17"/>
      <c r="AG17"/>
      <c r="AH17"/>
    </row>
    <row r="18" spans="1:34" ht="9" customHeight="1" x14ac:dyDescent="0.3">
      <c r="A18"/>
      <c r="B18"/>
      <c r="C18"/>
      <c r="D18"/>
      <c r="E18"/>
      <c r="F18"/>
      <c r="G18"/>
      <c r="H18"/>
      <c r="I18"/>
      <c r="J18"/>
      <c r="K18"/>
      <c r="L18"/>
      <c r="M18"/>
      <c r="N18"/>
      <c r="O18" s="196"/>
      <c r="P18" s="196"/>
      <c r="Q18" s="196"/>
      <c r="R18" s="196"/>
      <c r="S18" s="196"/>
      <c r="T18" s="196"/>
      <c r="U18" s="196"/>
      <c r="V18" s="196"/>
      <c r="W18" s="196"/>
      <c r="X18" s="196"/>
      <c r="Y18" s="196"/>
      <c r="Z18" s="196"/>
      <c r="AA18" s="196"/>
      <c r="AB18" s="196"/>
      <c r="AC18" s="196"/>
      <c r="AD18" s="196"/>
      <c r="AE18" s="196"/>
    </row>
    <row r="19" spans="1:34" ht="22.05" customHeight="1" x14ac:dyDescent="0.3">
      <c r="A19" s="40"/>
      <c r="B19" s="40" t="s">
        <v>384</v>
      </c>
      <c r="C19" s="40"/>
      <c r="D19" s="40"/>
      <c r="E19" s="40"/>
      <c r="F19" s="40"/>
      <c r="G19" s="40"/>
      <c r="H19" s="40"/>
    </row>
    <row r="20" spans="1:34" ht="34.049999999999997" customHeight="1" x14ac:dyDescent="0.3">
      <c r="B20" s="528" t="s">
        <v>1527</v>
      </c>
      <c r="C20" s="528"/>
      <c r="D20" s="528"/>
      <c r="E20" s="528"/>
      <c r="F20" s="528"/>
      <c r="G20" s="528"/>
      <c r="H20" s="528"/>
    </row>
    <row r="21" spans="1:34" ht="19.95" customHeight="1" x14ac:dyDescent="0.3">
      <c r="B21" s="528"/>
      <c r="C21" s="528"/>
      <c r="D21" s="528"/>
      <c r="E21" s="528"/>
      <c r="F21" s="528"/>
      <c r="G21" s="528"/>
      <c r="H21" s="528"/>
    </row>
    <row r="22" spans="1:34" ht="19.95" customHeight="1" x14ac:dyDescent="0.3">
      <c r="B22" s="528"/>
      <c r="C22" s="528"/>
      <c r="D22" s="528"/>
      <c r="E22" s="528"/>
      <c r="F22" s="528"/>
      <c r="G22" s="528"/>
      <c r="H22" s="528"/>
    </row>
    <row r="23" spans="1:34" ht="19.95" customHeight="1" x14ac:dyDescent="0.3">
      <c r="B23" s="528"/>
      <c r="C23" s="528"/>
      <c r="D23" s="528"/>
      <c r="E23" s="528"/>
      <c r="F23" s="528"/>
      <c r="G23" s="528"/>
      <c r="H23" s="528"/>
    </row>
    <row r="24" spans="1:34" ht="19.95" customHeight="1" x14ac:dyDescent="0.3">
      <c r="B24" s="528"/>
      <c r="C24" s="528"/>
      <c r="D24" s="528"/>
      <c r="E24" s="528"/>
      <c r="F24" s="528"/>
      <c r="G24" s="528"/>
      <c r="H24" s="528"/>
    </row>
    <row r="25" spans="1:34" ht="19.95" customHeight="1" x14ac:dyDescent="0.3">
      <c r="B25" s="528"/>
      <c r="C25" s="528"/>
      <c r="D25" s="528"/>
      <c r="E25" s="528"/>
      <c r="F25" s="528"/>
      <c r="G25" s="528"/>
      <c r="H25" s="528"/>
    </row>
    <row r="26" spans="1:34" ht="9" customHeight="1" x14ac:dyDescent="0.3">
      <c r="A26"/>
      <c r="B26"/>
      <c r="C26"/>
      <c r="D26"/>
      <c r="E26"/>
      <c r="F26"/>
      <c r="G26"/>
      <c r="H26"/>
      <c r="I26"/>
      <c r="J26"/>
      <c r="K26"/>
      <c r="L26"/>
      <c r="M26"/>
      <c r="N26"/>
    </row>
    <row r="27" spans="1:34" ht="18" customHeight="1" x14ac:dyDescent="0.3">
      <c r="B27" s="152" t="s">
        <v>822</v>
      </c>
      <c r="D27" s="272">
        <f>Input!$C$160</f>
        <v>6</v>
      </c>
      <c r="E27" s="272">
        <f>Input!$C$161</f>
        <v>9</v>
      </c>
      <c r="F27" s="272">
        <f>Input!$C$162</f>
        <v>12</v>
      </c>
      <c r="G27" s="272">
        <f>Input!$C$154</f>
        <v>18</v>
      </c>
      <c r="H27" s="272">
        <f>Input!$C$155</f>
        <v>24</v>
      </c>
      <c r="I27" s="272">
        <f>Input!$C$156</f>
        <v>36</v>
      </c>
    </row>
    <row r="28" spans="1:34" ht="22.05" customHeight="1" x14ac:dyDescent="0.3">
      <c r="A28" s="40"/>
      <c r="B28" s="40" t="s">
        <v>386</v>
      </c>
      <c r="C28" s="40"/>
      <c r="D28" s="40"/>
      <c r="E28" s="40"/>
      <c r="F28" s="40"/>
      <c r="G28" s="40"/>
      <c r="H28" s="40"/>
      <c r="I28" s="281"/>
      <c r="J28" s="281"/>
      <c r="K28" s="281"/>
    </row>
    <row r="29" spans="1:34" ht="28.8" customHeight="1" x14ac:dyDescent="0.3">
      <c r="A29" s="9"/>
      <c r="B29" s="115" t="s">
        <v>26</v>
      </c>
      <c r="C29" s="115" t="s">
        <v>27</v>
      </c>
      <c r="D29" s="132">
        <f>$D$27</f>
        <v>6</v>
      </c>
      <c r="E29" s="132">
        <f>$E$27</f>
        <v>9</v>
      </c>
      <c r="F29" s="132">
        <f>$F$27</f>
        <v>12</v>
      </c>
      <c r="G29" s="132">
        <f>$G$27</f>
        <v>18</v>
      </c>
      <c r="H29" s="132">
        <f>$H$27</f>
        <v>24</v>
      </c>
      <c r="I29" s="132">
        <f>$I$27</f>
        <v>36</v>
      </c>
      <c r="J29" s="115" t="s">
        <v>387</v>
      </c>
      <c r="K29" s="115" t="s">
        <v>1077</v>
      </c>
    </row>
    <row r="30" spans="1:34" ht="18" customHeight="1" x14ac:dyDescent="0.3">
      <c r="A30" s="9"/>
      <c r="B30" s="137" cm="1">
        <f t="array" ref="B30:B34">_xlfn._xlws.FILTER(Properties!$A$6:$A$15,Properties!$D$6:$D$15=1)</f>
        <v>1</v>
      </c>
      <c r="C30" s="136" t="str" cm="1">
        <f t="array" ref="C30">IF($B30="","",INDEX(Properties!$E$6:$E$15,$B30))</f>
        <v>Aires de Campestre Apto 801 (Penthouse)</v>
      </c>
      <c r="D30" s="134" cm="1">
        <f t="array" ref="D30">IF($B30="","",_xlfn.LET(_xlpm.n,INDEX(Properties!$P$6:$P$15,$B30),_xlpm.v,_xlpm.n/(1-INDEX(Input!$I$80:$I$89,$B30))*(1+INDEX(Input!$G$80:$G$89,$B30))^(D$29/12),_xlpm.g,_xlpm.v*(1-Input!$C$15),_xlpm.tax,Input!$C$26,_xlpm.noi,INDEX(Properties!$X$6:$X$15,$B30)*MAX(0,D$29-INDEX(Properties!$R$6:$R$15,$B30))/12*(1-Input!$C$25),_xlpm.ownfx,_xlpm.n*INDEX(Input!$C$80:$C$89,$B30)+(INDEX(Input!$D$80:$D$89,$B30)+INDEX(Input!$E$80:$E$89,$B30))*12*1000000/Input!$C$5,_xlpm.wrk,_xlpm.ownfx*MIN(D$29,INDEX(Properties!$R$6:$R$15,$B30))/12*(1-Input!$C$25),((_xlpm.g-(_xlpm.g-_xlpm.n)*_xlpm.tax+_xlpm.noi-_xlpm.wrk)/_xlpm.n)^(12/D$29)-1))</f>
        <v>0.84788620224832378</v>
      </c>
      <c r="E30" s="134" cm="1">
        <f t="array" ref="E30">IF($B30="","",_xlfn.LET(_xlpm.n,INDEX(Properties!$P$6:$P$15,$B30),_xlpm.v,_xlpm.n/(1-INDEX(Input!$I$80:$I$89,$B30))*(1+INDEX(Input!$G$80:$G$89,$B30))^(E$29/12),_xlpm.g,_xlpm.v*(1-Input!$C$15),_xlpm.tax,Input!$C$26,_xlpm.noi,INDEX(Properties!$X$6:$X$15,$B30)*MAX(0,E$29-INDEX(Properties!$R$6:$R$15,$B30))/12*(1-Input!$C$25),_xlpm.ownfx,_xlpm.n*INDEX(Input!$C$80:$C$89,$B30)+(INDEX(Input!$D$80:$D$89,$B30)+INDEX(Input!$E$80:$E$89,$B30))*12*1000000/Input!$C$5,_xlpm.wrk,_xlpm.ownfx*MIN(E$29,INDEX(Properties!$R$6:$R$15,$B30))/12*(1-Input!$C$25),((_xlpm.g-(_xlpm.g-_xlpm.n)*_xlpm.tax+_xlpm.noi-_xlpm.wrk)/_xlpm.n)^(12/E$29)-1))</f>
        <v>0.54813099593765968</v>
      </c>
      <c r="F30" s="134" cm="1">
        <f t="array" ref="F30">IF($B30="","",_xlfn.LET(_xlpm.n,INDEX(Properties!$P$6:$P$15,$B30),_xlpm.v,_xlpm.n/(1-INDEX(Input!$I$80:$I$89,$B30))*(1+INDEX(Input!$G$80:$G$89,$B30))^(F$29/12),_xlpm.g,_xlpm.v*(1-Input!$C$15),_xlpm.tax,Input!$C$26,_xlpm.noi,INDEX(Properties!$X$6:$X$15,$B30)*MAX(0,F$29-INDEX(Properties!$R$6:$R$15,$B30))/12*(1-Input!$C$25),_xlpm.ownfx,_xlpm.n*INDEX(Input!$C$80:$C$89,$B30)+(INDEX(Input!$D$80:$D$89,$B30)+INDEX(Input!$E$80:$E$89,$B30))*12*1000000/Input!$C$5,_xlpm.wrk,_xlpm.ownfx*MIN(F$29,INDEX(Properties!$R$6:$R$15,$B30))/12*(1-Input!$C$25),((_xlpm.g-(_xlpm.g-_xlpm.n)*_xlpm.tax+_xlpm.noi-_xlpm.wrk)/_xlpm.n)^(12/F$29)-1))</f>
        <v>0.4169314745140178</v>
      </c>
      <c r="G30" s="134" cm="1">
        <f t="array" ref="G30">IF($B30="","",_xlfn.LET(_xlpm.n,INDEX(Properties!$P$6:$P$15,$B30),_xlpm.v,_xlpm.n/(1-INDEX(Input!$I$80:$I$89,$B30))*(1+INDEX(Input!$G$80:$G$89,$B30))^(G$29/12),_xlpm.g,_xlpm.v*(1-Input!$C$15),_xlpm.tax,Input!$C$26,_xlpm.noi,INDEX(Properties!$X$6:$X$15,$B30)*MAX(0,G$29-INDEX(Properties!$R$6:$R$15,$B30))/12*(1-Input!$C$25),_xlpm.ownfx,_xlpm.n*INDEX(Input!$C$80:$C$89,$B30)+(INDEX(Input!$D$80:$D$89,$B30)+INDEX(Input!$E$80:$E$89,$B30))*12*1000000/Input!$C$5,_xlpm.wrk,_xlpm.ownfx*MIN(G$29,INDEX(Properties!$R$6:$R$15,$B30))/12*(1-Input!$C$25),((_xlpm.g-(_xlpm.g-_xlpm.n)*_xlpm.tax+_xlpm.noi-_xlpm.wrk)/_xlpm.n)^(12/G$29)-1))</f>
        <v>0.29670847781515408</v>
      </c>
      <c r="H30" s="134" cm="1">
        <f t="array" ref="H30">IF($B30="","",_xlfn.LET(_xlpm.n,INDEX(Properties!$P$6:$P$15,$B30),_xlpm.v,_xlpm.n/(1-INDEX(Input!$I$80:$I$89,$B30))*(1+INDEX(Input!$G$80:$G$89,$B30))^(H$29/12),_xlpm.g,_xlpm.v*(1-Input!$C$15),_xlpm.tax,Input!$C$26,_xlpm.noi,INDEX(Properties!$X$6:$X$15,$B30)*MAX(0,H$29-INDEX(Properties!$R$6:$R$15,$B30))/12*(1-Input!$C$25),_xlpm.ownfx,_xlpm.n*INDEX(Input!$C$80:$C$89,$B30)+(INDEX(Input!$D$80:$D$89,$B30)+INDEX(Input!$E$80:$E$89,$B30))*12*1000000/Input!$C$5,_xlpm.wrk,_xlpm.ownfx*MIN(H$29,INDEX(Properties!$R$6:$R$15,$B30))/12*(1-Input!$C$25),((_xlpm.g-(_xlpm.g-_xlpm.n)*_xlpm.tax+_xlpm.noi-_xlpm.wrk)/_xlpm.n)^(12/H$29)-1))</f>
        <v>0.24035072093864907</v>
      </c>
      <c r="I30" s="134" cm="1">
        <f t="array" ref="I30">IF($B30="","",_xlfn.LET(_xlpm.n,INDEX(Properties!$P$6:$P$15,$B30),_xlpm.v,_xlpm.n/(1-INDEX(Input!$I$80:$I$89,$B30))*(1+INDEX(Input!$G$80:$G$89,$B30))^(I$29/12),_xlpm.g,_xlpm.v*(1-Input!$C$15),_xlpm.tax,Input!$C$26,_xlpm.noi,INDEX(Properties!$X$6:$X$15,$B30)*MAX(0,I$29-INDEX(Properties!$R$6:$R$15,$B30))/12*(1-Input!$C$25),_xlpm.ownfx,_xlpm.n*INDEX(Input!$C$80:$C$89,$B30)+(INDEX(Input!$D$80:$D$89,$B30)+INDEX(Input!$E$80:$E$89,$B30))*12*1000000/Input!$C$5,_xlpm.wrk,_xlpm.ownfx*MIN(I$29,INDEX(Properties!$R$6:$R$15,$B30))/12*(1-Input!$C$25),((_xlpm.g-(_xlpm.g-_xlpm.n)*_xlpm.tax+_xlpm.noi-_xlpm.wrk)/_xlpm.n)^(12/I$29)-1))</f>
        <v>0.18622335996700046</v>
      </c>
      <c r="J30" s="135">
        <f t="shared" ref="J30:J39" si="0">IF($B30="","",INDEX($D$29:$I$29,MATCH(MAX(D30:I30),D30:I30,0)))</f>
        <v>6</v>
      </c>
      <c r="K30" s="135" cm="1">
        <f t="array" ref="K30">IF($B30="","",INDEX(Properties!$Q$6:$Q$15,$B30)+$J30)</f>
        <v>8</v>
      </c>
    </row>
    <row r="31" spans="1:34" ht="18" customHeight="1" x14ac:dyDescent="0.3">
      <c r="A31" s="9"/>
      <c r="B31" s="137">
        <v>2</v>
      </c>
      <c r="C31" s="136" t="str" cm="1">
        <f t="array" ref="C31">IF($B31="","",INDEX(Properties!$E$6:$E$15,$B31))</f>
        <v>Fontanar Apto 201 (Penthouse)</v>
      </c>
      <c r="D31" s="134" cm="1">
        <f t="array" ref="D31">IF($B31="","",_xlfn.LET(_xlpm.n,INDEX(Properties!$P$6:$P$15,$B31),_xlpm.v,_xlpm.n/(1-INDEX(Input!$I$80:$I$89,$B31))*(1+INDEX(Input!$G$80:$G$89,$B31))^(D$29/12),_xlpm.g,_xlpm.v*(1-Input!$C$15),_xlpm.tax,Input!$C$26,_xlpm.noi,INDEX(Properties!$X$6:$X$15,$B31)*MAX(0,D$29-INDEX(Properties!$R$6:$R$15,$B31))/12*(1-Input!$C$25),_xlpm.ownfx,_xlpm.n*INDEX(Input!$C$80:$C$89,$B31)+(INDEX(Input!$D$80:$D$89,$B31)+INDEX(Input!$E$80:$E$89,$B31))*12*1000000/Input!$C$5,_xlpm.wrk,_xlpm.ownfx*MIN(D$29,INDEX(Properties!$R$6:$R$15,$B31))/12*(1-Input!$C$25),((_xlpm.g-(_xlpm.g-_xlpm.n)*_xlpm.tax+_xlpm.noi-_xlpm.wrk)/_xlpm.n)^(12/D$29)-1))</f>
        <v>0.84868713632978676</v>
      </c>
      <c r="E31" s="134" cm="1">
        <f t="array" ref="E31">IF($B31="","",_xlfn.LET(_xlpm.n,INDEX(Properties!$P$6:$P$15,$B31),_xlpm.v,_xlpm.n/(1-INDEX(Input!$I$80:$I$89,$B31))*(1+INDEX(Input!$G$80:$G$89,$B31))^(E$29/12),_xlpm.g,_xlpm.v*(1-Input!$C$15),_xlpm.tax,Input!$C$26,_xlpm.noi,INDEX(Properties!$X$6:$X$15,$B31)*MAX(0,E$29-INDEX(Properties!$R$6:$R$15,$B31))/12*(1-Input!$C$25),_xlpm.ownfx,_xlpm.n*INDEX(Input!$C$80:$C$89,$B31)+(INDEX(Input!$D$80:$D$89,$B31)+INDEX(Input!$E$80:$E$89,$B31))*12*1000000/Input!$C$5,_xlpm.wrk,_xlpm.ownfx*MIN(E$29,INDEX(Properties!$R$6:$R$15,$B31))/12*(1-Input!$C$25),((_xlpm.g-(_xlpm.g-_xlpm.n)*_xlpm.tax+_xlpm.noi-_xlpm.wrk)/_xlpm.n)^(12/E$29)-1))</f>
        <v>0.54758742656797255</v>
      </c>
      <c r="F31" s="134" cm="1">
        <f t="array" ref="F31">IF($B31="","",_xlfn.LET(_xlpm.n,INDEX(Properties!$P$6:$P$15,$B31),_xlpm.v,_xlpm.n/(1-INDEX(Input!$I$80:$I$89,$B31))*(1+INDEX(Input!$G$80:$G$89,$B31))^(F$29/12),_xlpm.g,_xlpm.v*(1-Input!$C$15),_xlpm.tax,Input!$C$26,_xlpm.noi,INDEX(Properties!$X$6:$X$15,$B31)*MAX(0,F$29-INDEX(Properties!$R$6:$R$15,$B31))/12*(1-Input!$C$25),_xlpm.ownfx,_xlpm.n*INDEX(Input!$C$80:$C$89,$B31)+(INDEX(Input!$D$80:$D$89,$B31)+INDEX(Input!$E$80:$E$89,$B31))*12*1000000/Input!$C$5,_xlpm.wrk,_xlpm.ownfx*MIN(F$29,INDEX(Properties!$R$6:$R$15,$B31))/12*(1-Input!$C$25),((_xlpm.g-(_xlpm.g-_xlpm.n)*_xlpm.tax+_xlpm.noi-_xlpm.wrk)/_xlpm.n)^(12/F$29)-1))</f>
        <v>0.41590591559570678</v>
      </c>
      <c r="G31" s="134" cm="1">
        <f t="array" ref="G31">IF($B31="","",_xlfn.LET(_xlpm.n,INDEX(Properties!$P$6:$P$15,$B31),_xlpm.v,_xlpm.n/(1-INDEX(Input!$I$80:$I$89,$B31))*(1+INDEX(Input!$G$80:$G$89,$B31))^(G$29/12),_xlpm.g,_xlpm.v*(1-Input!$C$15),_xlpm.tax,Input!$C$26,_xlpm.noi,INDEX(Properties!$X$6:$X$15,$B31)*MAX(0,G$29-INDEX(Properties!$R$6:$R$15,$B31))/12*(1-Input!$C$25),_xlpm.ownfx,_xlpm.n*INDEX(Input!$C$80:$C$89,$B31)+(INDEX(Input!$D$80:$D$89,$B31)+INDEX(Input!$E$80:$E$89,$B31))*12*1000000/Input!$C$5,_xlpm.wrk,_xlpm.ownfx*MIN(G$29,INDEX(Properties!$R$6:$R$15,$B31))/12*(1-Input!$C$25),((_xlpm.g-(_xlpm.g-_xlpm.n)*_xlpm.tax+_xlpm.noi-_xlpm.wrk)/_xlpm.n)^(12/G$29)-1))</f>
        <v>0.29533484066296856</v>
      </c>
      <c r="H31" s="134" cm="1">
        <f t="array" ref="H31">IF($B31="","",_xlfn.LET(_xlpm.n,INDEX(Properties!$P$6:$P$15,$B31),_xlpm.v,_xlpm.n/(1-INDEX(Input!$I$80:$I$89,$B31))*(1+INDEX(Input!$G$80:$G$89,$B31))^(H$29/12),_xlpm.g,_xlpm.v*(1-Input!$C$15),_xlpm.tax,Input!$C$26,_xlpm.noi,INDEX(Properties!$X$6:$X$15,$B31)*MAX(0,H$29-INDEX(Properties!$R$6:$R$15,$B31))/12*(1-Input!$C$25),_xlpm.ownfx,_xlpm.n*INDEX(Input!$C$80:$C$89,$B31)+(INDEX(Input!$D$80:$D$89,$B31)+INDEX(Input!$E$80:$E$89,$B31))*12*1000000/Input!$C$5,_xlpm.wrk,_xlpm.ownfx*MIN(H$29,INDEX(Properties!$R$6:$R$15,$B31))/12*(1-Input!$C$25),((_xlpm.g-(_xlpm.g-_xlpm.n)*_xlpm.tax+_xlpm.noi-_xlpm.wrk)/_xlpm.n)^(12/H$29)-1))</f>
        <v>0.2388721091617505</v>
      </c>
      <c r="I31" s="134" cm="1">
        <f t="array" ref="I31">IF($B31="","",_xlfn.LET(_xlpm.n,INDEX(Properties!$P$6:$P$15,$B31),_xlpm.v,_xlpm.n/(1-INDEX(Input!$I$80:$I$89,$B31))*(1+INDEX(Input!$G$80:$G$89,$B31))^(I$29/12),_xlpm.g,_xlpm.v*(1-Input!$C$15),_xlpm.tax,Input!$C$26,_xlpm.noi,INDEX(Properties!$X$6:$X$15,$B31)*MAX(0,I$29-INDEX(Properties!$R$6:$R$15,$B31))/12*(1-Input!$C$25),_xlpm.ownfx,_xlpm.n*INDEX(Input!$C$80:$C$89,$B31)+(INDEX(Input!$D$80:$D$89,$B31)+INDEX(Input!$E$80:$E$89,$B31))*12*1000000/Input!$C$5,_xlpm.wrk,_xlpm.ownfx*MIN(I$29,INDEX(Properties!$R$6:$R$15,$B31))/12*(1-Input!$C$25),((_xlpm.g-(_xlpm.g-_xlpm.n)*_xlpm.tax+_xlpm.noi-_xlpm.wrk)/_xlpm.n)^(12/I$29)-1))</f>
        <v>0.18472763607443565</v>
      </c>
      <c r="J31" s="135">
        <f t="shared" si="0"/>
        <v>6</v>
      </c>
      <c r="K31" s="135" cm="1">
        <f t="array" ref="K31">IF($B31="","",INDEX(Properties!$Q$6:$Q$15,$B31)+$J31)</f>
        <v>7</v>
      </c>
    </row>
    <row r="32" spans="1:34" ht="18" customHeight="1" x14ac:dyDescent="0.3">
      <c r="A32" s="9"/>
      <c r="B32" s="137">
        <v>3</v>
      </c>
      <c r="C32" s="136" t="str" cm="1">
        <f t="array" ref="C32">IF($B32="","",INDEX(Properties!$E$6:$E$15,$B32))</f>
        <v>San Lucas Apto 101</v>
      </c>
      <c r="D32" s="134" cm="1">
        <f t="array" ref="D32">IF($B32="","",_xlfn.LET(_xlpm.n,INDEX(Properties!$P$6:$P$15,$B32),_xlpm.v,_xlpm.n/(1-INDEX(Input!$I$80:$I$89,$B32))*(1+INDEX(Input!$G$80:$G$89,$B32))^(D$29/12),_xlpm.g,_xlpm.v*(1-Input!$C$15),_xlpm.tax,Input!$C$26,_xlpm.noi,INDEX(Properties!$X$6:$X$15,$B32)*MAX(0,D$29-INDEX(Properties!$R$6:$R$15,$B32))/12*(1-Input!$C$25),_xlpm.ownfx,_xlpm.n*INDEX(Input!$C$80:$C$89,$B32)+(INDEX(Input!$D$80:$D$89,$B32)+INDEX(Input!$E$80:$E$89,$B32))*12*1000000/Input!$C$5,_xlpm.wrk,_xlpm.ownfx*MIN(D$29,INDEX(Properties!$R$6:$R$15,$B32))/12*(1-Input!$C$25),((_xlpm.g-(_xlpm.g-_xlpm.n)*_xlpm.tax+_xlpm.noi-_xlpm.wrk)/_xlpm.n)^(12/D$29)-1))</f>
        <v>0.8460339241055812</v>
      </c>
      <c r="E32" s="134" cm="1">
        <f t="array" ref="E32">IF($B32="","",_xlfn.LET(_xlpm.n,INDEX(Properties!$P$6:$P$15,$B32),_xlpm.v,_xlpm.n/(1-INDEX(Input!$I$80:$I$89,$B32))*(1+INDEX(Input!$G$80:$G$89,$B32))^(E$29/12),_xlpm.g,_xlpm.v*(1-Input!$C$15),_xlpm.tax,Input!$C$26,_xlpm.noi,INDEX(Properties!$X$6:$X$15,$B32)*MAX(0,E$29-INDEX(Properties!$R$6:$R$15,$B32))/12*(1-Input!$C$25),_xlpm.ownfx,_xlpm.n*INDEX(Input!$C$80:$C$89,$B32)+(INDEX(Input!$D$80:$D$89,$B32)+INDEX(Input!$E$80:$E$89,$B32))*12*1000000/Input!$C$5,_xlpm.wrk,_xlpm.ownfx*MIN(E$29,INDEX(Properties!$R$6:$R$15,$B32))/12*(1-Input!$C$25),((_xlpm.g-(_xlpm.g-_xlpm.n)*_xlpm.tax+_xlpm.noi-_xlpm.wrk)/_xlpm.n)^(12/E$29)-1))</f>
        <v>0.55229981703001685</v>
      </c>
      <c r="F32" s="134" cm="1">
        <f t="array" ref="F32">IF($B32="","",_xlfn.LET(_xlpm.n,INDEX(Properties!$P$6:$P$15,$B32),_xlpm.v,_xlpm.n/(1-INDEX(Input!$I$80:$I$89,$B32))*(1+INDEX(Input!$G$80:$G$89,$B32))^(F$29/12),_xlpm.g,_xlpm.v*(1-Input!$C$15),_xlpm.tax,Input!$C$26,_xlpm.noi,INDEX(Properties!$X$6:$X$15,$B32)*MAX(0,F$29-INDEX(Properties!$R$6:$R$15,$B32))/12*(1-Input!$C$25),_xlpm.ownfx,_xlpm.n*INDEX(Input!$C$80:$C$89,$B32)+(INDEX(Input!$D$80:$D$89,$B32)+INDEX(Input!$E$80:$E$89,$B32))*12*1000000/Input!$C$5,_xlpm.wrk,_xlpm.ownfx*MIN(F$29,INDEX(Properties!$R$6:$R$15,$B32))/12*(1-Input!$C$25),((_xlpm.g-(_xlpm.g-_xlpm.n)*_xlpm.tax+_xlpm.noi-_xlpm.wrk)/_xlpm.n)^(12/F$29)-1))</f>
        <v>0.42321705428552092</v>
      </c>
      <c r="G32" s="134" cm="1">
        <f t="array" ref="G32">IF($B32="","",_xlfn.LET(_xlpm.n,INDEX(Properties!$P$6:$P$15,$B32),_xlpm.v,_xlpm.n/(1-INDEX(Input!$I$80:$I$89,$B32))*(1+INDEX(Input!$G$80:$G$89,$B32))^(G$29/12),_xlpm.g,_xlpm.v*(1-Input!$C$15),_xlpm.tax,Input!$C$26,_xlpm.noi,INDEX(Properties!$X$6:$X$15,$B32)*MAX(0,G$29-INDEX(Properties!$R$6:$R$15,$B32))/12*(1-Input!$C$25),_xlpm.ownfx,_xlpm.n*INDEX(Input!$C$80:$C$89,$B32)+(INDEX(Input!$D$80:$D$89,$B32)+INDEX(Input!$E$80:$E$89,$B32))*12*1000000/Input!$C$5,_xlpm.wrk,_xlpm.ownfx*MIN(G$29,INDEX(Properties!$R$6:$R$15,$B32))/12*(1-Input!$C$25),((_xlpm.g-(_xlpm.g-_xlpm.n)*_xlpm.tax+_xlpm.noi-_xlpm.wrk)/_xlpm.n)^(12/G$29)-1))</f>
        <v>0.30445563055237557</v>
      </c>
      <c r="H32" s="134" cm="1">
        <f t="array" ref="H32">IF($B32="","",_xlfn.LET(_xlpm.n,INDEX(Properties!$P$6:$P$15,$B32),_xlpm.v,_xlpm.n/(1-INDEX(Input!$I$80:$I$89,$B32))*(1+INDEX(Input!$G$80:$G$89,$B32))^(H$29/12),_xlpm.g,_xlpm.v*(1-Input!$C$15),_xlpm.tax,Input!$C$26,_xlpm.noi,INDEX(Properties!$X$6:$X$15,$B32)*MAX(0,H$29-INDEX(Properties!$R$6:$R$15,$B32))/12*(1-Input!$C$25),_xlpm.ownfx,_xlpm.n*INDEX(Input!$C$80:$C$89,$B32)+(INDEX(Input!$D$80:$D$89,$B32)+INDEX(Input!$E$80:$E$89,$B32))*12*1000000/Input!$C$5,_xlpm.wrk,_xlpm.ownfx*MIN(H$29,INDEX(Properties!$R$6:$R$15,$B32))/12*(1-Input!$C$25),((_xlpm.g-(_xlpm.g-_xlpm.n)*_xlpm.tax+_xlpm.noi-_xlpm.wrk)/_xlpm.n)^(12/H$29)-1))</f>
        <v>0.24847490664611827</v>
      </c>
      <c r="I32" s="134" cm="1">
        <f t="array" ref="I32">IF($B32="","",_xlfn.LET(_xlpm.n,INDEX(Properties!$P$6:$P$15,$B32),_xlpm.v,_xlpm.n/(1-INDEX(Input!$I$80:$I$89,$B32))*(1+INDEX(Input!$G$80:$G$89,$B32))^(I$29/12),_xlpm.g,_xlpm.v*(1-Input!$C$15),_xlpm.tax,Input!$C$26,_xlpm.noi,INDEX(Properties!$X$6:$X$15,$B32)*MAX(0,I$29-INDEX(Properties!$R$6:$R$15,$B32))/12*(1-Input!$C$25),_xlpm.ownfx,_xlpm.n*INDEX(Input!$C$80:$C$89,$B32)+(INDEX(Input!$D$80:$D$89,$B32)+INDEX(Input!$E$80:$E$89,$B32))*12*1000000/Input!$C$5,_xlpm.wrk,_xlpm.ownfx*MIN(I$29,INDEX(Properties!$R$6:$R$15,$B32))/12*(1-Input!$C$25),((_xlpm.g-(_xlpm.g-_xlpm.n)*_xlpm.tax+_xlpm.noi-_xlpm.wrk)/_xlpm.n)^(12/I$29)-1))</f>
        <v>0.19425946863192145</v>
      </c>
      <c r="J32" s="135">
        <f t="shared" si="0"/>
        <v>6</v>
      </c>
      <c r="K32" s="135" cm="1">
        <f t="array" ref="K32">IF($B32="","",INDEX(Properties!$Q$6:$Q$15,$B32)+$J32)</f>
        <v>9</v>
      </c>
    </row>
    <row r="33" spans="1:14" ht="18" customHeight="1" x14ac:dyDescent="0.3">
      <c r="A33" s="9"/>
      <c r="B33" s="137">
        <v>4</v>
      </c>
      <c r="C33" s="136" t="str" cm="1">
        <f t="array" ref="C33">IF($B33="","",INDEX(Properties!$E$6:$E$15,$B33))</f>
        <v>Casa Montana Lote 2 (Samuel Gaviria House)</v>
      </c>
      <c r="D33" s="134" cm="1">
        <f t="array" ref="D33">IF($B33="","",_xlfn.LET(_xlpm.n,INDEX(Properties!$P$6:$P$15,$B33),_xlpm.v,_xlpm.n/(1-INDEX(Input!$I$80:$I$89,$B33))*(1+INDEX(Input!$G$80:$G$89,$B33))^(D$29/12),_xlpm.g,_xlpm.v*(1-Input!$C$15),_xlpm.tax,Input!$C$26,_xlpm.noi,INDEX(Properties!$X$6:$X$15,$B33)*MAX(0,D$29-INDEX(Properties!$R$6:$R$15,$B33))/12*(1-Input!$C$25),_xlpm.ownfx,_xlpm.n*INDEX(Input!$C$80:$C$89,$B33)+(INDEX(Input!$D$80:$D$89,$B33)+INDEX(Input!$E$80:$E$89,$B33))*12*1000000/Input!$C$5,_xlpm.wrk,_xlpm.ownfx*MIN(D$29,INDEX(Properties!$R$6:$R$15,$B33))/12*(1-Input!$C$25),((_xlpm.g-(_xlpm.g-_xlpm.n)*_xlpm.tax+_xlpm.noi-_xlpm.wrk)/_xlpm.n)^(12/D$29)-1))</f>
        <v>0.83273732263191969</v>
      </c>
      <c r="E33" s="134" cm="1">
        <f t="array" ref="E33">IF($B33="","",_xlfn.LET(_xlpm.n,INDEX(Properties!$P$6:$P$15,$B33),_xlpm.v,_xlpm.n/(1-INDEX(Input!$I$80:$I$89,$B33))*(1+INDEX(Input!$G$80:$G$89,$B33))^(E$29/12),_xlpm.g,_xlpm.v*(1-Input!$C$15),_xlpm.tax,Input!$C$26,_xlpm.noi,INDEX(Properties!$X$6:$X$15,$B33)*MAX(0,E$29-INDEX(Properties!$R$6:$R$15,$B33))/12*(1-Input!$C$25),_xlpm.ownfx,_xlpm.n*INDEX(Input!$C$80:$C$89,$B33)+(INDEX(Input!$D$80:$D$89,$B33)+INDEX(Input!$E$80:$E$89,$B33))*12*1000000/Input!$C$5,_xlpm.wrk,_xlpm.ownfx*MIN(E$29,INDEX(Properties!$R$6:$R$15,$B33))/12*(1-Input!$C$25),((_xlpm.g-(_xlpm.g-_xlpm.n)*_xlpm.tax+_xlpm.noi-_xlpm.wrk)/_xlpm.n)^(12/E$29)-1))</f>
        <v>0.53325628483006282</v>
      </c>
      <c r="F33" s="134" cm="1">
        <f t="array" ref="F33">IF($B33="","",_xlfn.LET(_xlpm.n,INDEX(Properties!$P$6:$P$15,$B33),_xlpm.v,_xlpm.n/(1-INDEX(Input!$I$80:$I$89,$B33))*(1+INDEX(Input!$G$80:$G$89,$B33))^(F$29/12),_xlpm.g,_xlpm.v*(1-Input!$C$15),_xlpm.tax,Input!$C$26,_xlpm.noi,INDEX(Properties!$X$6:$X$15,$B33)*MAX(0,F$29-INDEX(Properties!$R$6:$R$15,$B33))/12*(1-Input!$C$25),_xlpm.ownfx,_xlpm.n*INDEX(Input!$C$80:$C$89,$B33)+(INDEX(Input!$D$80:$D$89,$B33)+INDEX(Input!$E$80:$E$89,$B33))*12*1000000/Input!$C$5,_xlpm.wrk,_xlpm.ownfx*MIN(F$29,INDEX(Properties!$R$6:$R$15,$B33))/12*(1-Input!$C$25),((_xlpm.g-(_xlpm.g-_xlpm.n)*_xlpm.tax+_xlpm.noi-_xlpm.wrk)/_xlpm.n)^(12/F$29)-1))</f>
        <v>0.40233832153723648</v>
      </c>
      <c r="G33" s="134" cm="1">
        <f t="array" ref="G33">IF($B33="","",_xlfn.LET(_xlpm.n,INDEX(Properties!$P$6:$P$15,$B33),_xlpm.v,_xlpm.n/(1-INDEX(Input!$I$80:$I$89,$B33))*(1+INDEX(Input!$G$80:$G$89,$B33))^(G$29/12),_xlpm.g,_xlpm.v*(1-Input!$C$15),_xlpm.tax,Input!$C$26,_xlpm.noi,INDEX(Properties!$X$6:$X$15,$B33)*MAX(0,G$29-INDEX(Properties!$R$6:$R$15,$B33))/12*(1-Input!$C$25),_xlpm.ownfx,_xlpm.n*INDEX(Input!$C$80:$C$89,$B33)+(INDEX(Input!$D$80:$D$89,$B33)+INDEX(Input!$E$80:$E$89,$B33))*12*1000000/Input!$C$5,_xlpm.wrk,_xlpm.ownfx*MIN(G$29,INDEX(Properties!$R$6:$R$15,$B33))/12*(1-Input!$C$25),((_xlpm.g-(_xlpm.g-_xlpm.n)*_xlpm.tax+_xlpm.noi-_xlpm.wrk)/_xlpm.n)^(12/G$29)-1))</f>
        <v>0.28249026725768789</v>
      </c>
      <c r="H33" s="134" cm="1">
        <f t="array" ref="H33">IF($B33="","",_xlfn.LET(_xlpm.n,INDEX(Properties!$P$6:$P$15,$B33),_xlpm.v,_xlpm.n/(1-INDEX(Input!$I$80:$I$89,$B33))*(1+INDEX(Input!$G$80:$G$89,$B33))^(H$29/12),_xlpm.g,_xlpm.v*(1-Input!$C$15),_xlpm.tax,Input!$C$26,_xlpm.noi,INDEX(Properties!$X$6:$X$15,$B33)*MAX(0,H$29-INDEX(Properties!$R$6:$R$15,$B33))/12*(1-Input!$C$25),_xlpm.ownfx,_xlpm.n*INDEX(Input!$C$80:$C$89,$B33)+(INDEX(Input!$D$80:$D$89,$B33)+INDEX(Input!$E$80:$E$89,$B33))*12*1000000/Input!$C$5,_xlpm.wrk,_xlpm.ownfx*MIN(H$29,INDEX(Properties!$R$6:$R$15,$B33))/12*(1-Input!$C$25),((_xlpm.g-(_xlpm.g-_xlpm.n)*_xlpm.tax+_xlpm.noi-_xlpm.wrk)/_xlpm.n)^(12/H$29)-1))</f>
        <v>0.22636550920316356</v>
      </c>
      <c r="I33" s="134" cm="1">
        <f t="array" ref="I33">IF($B33="","",_xlfn.LET(_xlpm.n,INDEX(Properties!$P$6:$P$15,$B33),_xlpm.v,_xlpm.n/(1-INDEX(Input!$I$80:$I$89,$B33))*(1+INDEX(Input!$G$80:$G$89,$B33))^(I$29/12),_xlpm.g,_xlpm.v*(1-Input!$C$15),_xlpm.tax,Input!$C$26,_xlpm.noi,INDEX(Properties!$X$6:$X$15,$B33)*MAX(0,I$29-INDEX(Properties!$R$6:$R$15,$B33))/12*(1-Input!$C$25),_xlpm.ownfx,_xlpm.n*INDEX(Input!$C$80:$C$89,$B33)+(INDEX(Input!$D$80:$D$89,$B33)+INDEX(Input!$E$80:$E$89,$B33))*12*1000000/Input!$C$5,_xlpm.wrk,_xlpm.ownfx*MIN(I$29,INDEX(Properties!$R$6:$R$15,$B33))/12*(1-Input!$C$25),((_xlpm.g-(_xlpm.g-_xlpm.n)*_xlpm.tax+_xlpm.noi-_xlpm.wrk)/_xlpm.n)^(12/I$29)-1))</f>
        <v>0.17252510074282545</v>
      </c>
      <c r="J33" s="135">
        <f t="shared" si="0"/>
        <v>6</v>
      </c>
      <c r="K33" s="135" cm="1">
        <f t="array" ref="K33">IF($B33="","",INDEX(Properties!$Q$6:$Q$15,$B33)+$J33)</f>
        <v>14</v>
      </c>
    </row>
    <row r="34" spans="1:14" ht="18" customHeight="1" x14ac:dyDescent="0.3">
      <c r="A34" s="9"/>
      <c r="B34" s="137">
        <v>5</v>
      </c>
      <c r="C34" s="136" t="str" cm="1">
        <f t="array" ref="C34">IF($B34="","",INDEX(Properties!$E$6:$E$15,$B34))</f>
        <v>Casa Monte Sereno</v>
      </c>
      <c r="D34" s="134" cm="1">
        <f t="array" ref="D34">IF($B34="","",_xlfn.LET(_xlpm.n,INDEX(Properties!$P$6:$P$15,$B34),_xlpm.v,_xlpm.n/(1-INDEX(Input!$I$80:$I$89,$B34))*(1+INDEX(Input!$G$80:$G$89,$B34))^(D$29/12),_xlpm.g,_xlpm.v*(1-Input!$C$15),_xlpm.tax,Input!$C$26,_xlpm.noi,INDEX(Properties!$X$6:$X$15,$B34)*MAX(0,D$29-INDEX(Properties!$R$6:$R$15,$B34))/12*(1-Input!$C$25),_xlpm.ownfx,_xlpm.n*INDEX(Input!$C$80:$C$89,$B34)+(INDEX(Input!$D$80:$D$89,$B34)+INDEX(Input!$E$80:$E$89,$B34))*12*1000000/Input!$C$5,_xlpm.wrk,_xlpm.ownfx*MIN(D$29,INDEX(Properties!$R$6:$R$15,$B34))/12*(1-Input!$C$25),((_xlpm.g-(_xlpm.g-_xlpm.n)*_xlpm.tax+_xlpm.noi-_xlpm.wrk)/_xlpm.n)^(12/D$29)-1))</f>
        <v>0.83083370026802217</v>
      </c>
      <c r="E34" s="134" cm="1">
        <f t="array" ref="E34">IF($B34="","",_xlfn.LET(_xlpm.n,INDEX(Properties!$P$6:$P$15,$B34),_xlpm.v,_xlpm.n/(1-INDEX(Input!$I$80:$I$89,$B34))*(1+INDEX(Input!$G$80:$G$89,$B34))^(E$29/12),_xlpm.g,_xlpm.v*(1-Input!$C$15),_xlpm.tax,Input!$C$26,_xlpm.noi,INDEX(Properties!$X$6:$X$15,$B34)*MAX(0,E$29-INDEX(Properties!$R$6:$R$15,$B34))/12*(1-Input!$C$25),_xlpm.ownfx,_xlpm.n*INDEX(Input!$C$80:$C$89,$B34)+(INDEX(Input!$D$80:$D$89,$B34)+INDEX(Input!$E$80:$E$89,$B34))*12*1000000/Input!$C$5,_xlpm.wrk,_xlpm.ownfx*MIN(E$29,INDEX(Properties!$R$6:$R$15,$B34))/12*(1-Input!$C$25),((_xlpm.g-(_xlpm.g-_xlpm.n)*_xlpm.tax+_xlpm.noi-_xlpm.wrk)/_xlpm.n)^(12/E$29)-1))</f>
        <v>0.53015571557590779</v>
      </c>
      <c r="F34" s="134" cm="1">
        <f t="array" ref="F34">IF($B34="","",_xlfn.LET(_xlpm.n,INDEX(Properties!$P$6:$P$15,$B34),_xlpm.v,_xlpm.n/(1-INDEX(Input!$I$80:$I$89,$B34))*(1+INDEX(Input!$G$80:$G$89,$B34))^(F$29/12),_xlpm.g,_xlpm.v*(1-Input!$C$15),_xlpm.tax,Input!$C$26,_xlpm.noi,INDEX(Properties!$X$6:$X$15,$B34)*MAX(0,F$29-INDEX(Properties!$R$6:$R$15,$B34))/12*(1-Input!$C$25),_xlpm.ownfx,_xlpm.n*INDEX(Input!$C$80:$C$89,$B34)+(INDEX(Input!$D$80:$D$89,$B34)+INDEX(Input!$E$80:$E$89,$B34))*12*1000000/Input!$C$5,_xlpm.wrk,_xlpm.ownfx*MIN(F$29,INDEX(Properties!$R$6:$R$15,$B34))/12*(1-Input!$C$25),((_xlpm.g-(_xlpm.g-_xlpm.n)*_xlpm.tax+_xlpm.noi-_xlpm.wrk)/_xlpm.n)^(12/F$29)-1))</f>
        <v>0.3988609752418526</v>
      </c>
      <c r="G34" s="134" cm="1">
        <f t="array" ref="G34">IF($B34="","",_xlfn.LET(_xlpm.n,INDEX(Properties!$P$6:$P$15,$B34),_xlpm.v,_xlpm.n/(1-INDEX(Input!$I$80:$I$89,$B34))*(1+INDEX(Input!$G$80:$G$89,$B34))^(G$29/12),_xlpm.g,_xlpm.v*(1-Input!$C$15),_xlpm.tax,Input!$C$26,_xlpm.noi,INDEX(Properties!$X$6:$X$15,$B34)*MAX(0,G$29-INDEX(Properties!$R$6:$R$15,$B34))/12*(1-Input!$C$25),_xlpm.ownfx,_xlpm.n*INDEX(Input!$C$80:$C$89,$B34)+(INDEX(Input!$D$80:$D$89,$B34)+INDEX(Input!$E$80:$E$89,$B34))*12*1000000/Input!$C$5,_xlpm.wrk,_xlpm.ownfx*MIN(G$29,INDEX(Properties!$R$6:$R$15,$B34))/12*(1-Input!$C$25),((_xlpm.g-(_xlpm.g-_xlpm.n)*_xlpm.tax+_xlpm.noi-_xlpm.wrk)/_xlpm.n)^(12/G$29)-1))</f>
        <v>0.27880750601712601</v>
      </c>
      <c r="H34" s="134" cm="1">
        <f t="array" ref="H34">IF($B34="","",_xlfn.LET(_xlpm.n,INDEX(Properties!$P$6:$P$15,$B34),_xlpm.v,_xlpm.n/(1-INDEX(Input!$I$80:$I$89,$B34))*(1+INDEX(Input!$G$80:$G$89,$B34))^(H$29/12),_xlpm.g,_xlpm.v*(1-Input!$C$15),_xlpm.tax,Input!$C$26,_xlpm.noi,INDEX(Properties!$X$6:$X$15,$B34)*MAX(0,H$29-INDEX(Properties!$R$6:$R$15,$B34))/12*(1-Input!$C$25),_xlpm.ownfx,_xlpm.n*INDEX(Input!$C$80:$C$89,$B34)+(INDEX(Input!$D$80:$D$89,$B34)+INDEX(Input!$E$80:$E$89,$B34))*12*1000000/Input!$C$5,_xlpm.wrk,_xlpm.ownfx*MIN(H$29,INDEX(Properties!$R$6:$R$15,$B34))/12*(1-Input!$C$25),((_xlpm.g-(_xlpm.g-_xlpm.n)*_xlpm.tax+_xlpm.noi-_xlpm.wrk)/_xlpm.n)^(12/H$29)-1))</f>
        <v>0.22268018527968225</v>
      </c>
      <c r="I34" s="134" cm="1">
        <f t="array" ref="I34">IF($B34="","",_xlfn.LET(_xlpm.n,INDEX(Properties!$P$6:$P$15,$B34),_xlpm.v,_xlpm.n/(1-INDEX(Input!$I$80:$I$89,$B34))*(1+INDEX(Input!$G$80:$G$89,$B34))^(I$29/12),_xlpm.g,_xlpm.v*(1-Input!$C$15),_xlpm.tax,Input!$C$26,_xlpm.noi,INDEX(Properties!$X$6:$X$15,$B34)*MAX(0,I$29-INDEX(Properties!$R$6:$R$15,$B34))/12*(1-Input!$C$25),_xlpm.ownfx,_xlpm.n*INDEX(Input!$C$80:$C$89,$B34)+(INDEX(Input!$D$80:$D$89,$B34)+INDEX(Input!$E$80:$E$89,$B34))*12*1000000/Input!$C$5,_xlpm.wrk,_xlpm.ownfx*MIN(I$29,INDEX(Properties!$R$6:$R$15,$B34))/12*(1-Input!$C$25),((_xlpm.g-(_xlpm.g-_xlpm.n)*_xlpm.tax+_xlpm.noi-_xlpm.wrk)/_xlpm.n)^(12/I$29)-1))</f>
        <v>0.1689809034483285</v>
      </c>
      <c r="J34" s="135">
        <f t="shared" si="0"/>
        <v>6</v>
      </c>
      <c r="K34" s="135" cm="1">
        <f t="array" ref="K34">IF($B34="","",INDEX(Properties!$Q$6:$Q$15,$B34)+$J34)</f>
        <v>11</v>
      </c>
    </row>
    <row r="35" spans="1:14" ht="18" customHeight="1" x14ac:dyDescent="0.3">
      <c r="A35" s="9"/>
      <c r="B35" s="137"/>
      <c r="C35" s="136" t="str" cm="1">
        <f t="array" ref="C35">IF($B35="","",INDEX(Properties!$E$6:$E$15,$B35))</f>
        <v/>
      </c>
      <c r="D35" s="134" t="str" cm="1">
        <f t="array" ref="D35">IF($B35="","",_xlfn.LET(_xlpm.n,INDEX(Properties!$P$6:$P$15,$B35),_xlpm.v,_xlpm.n/(1-INDEX(Input!$I$80:$I$89,$B35))*(1+INDEX(Input!$G$80:$G$89,$B35))^(D$29/12),_xlpm.g,_xlpm.v*(1-Input!$C$15),_xlpm.tax,Input!$C$26,_xlpm.noi,INDEX(Properties!$X$6:$X$15,$B35)*MAX(0,D$29-INDEX(Properties!$R$6:$R$15,$B35))/12*(1-Input!$C$25),_xlpm.ownfx,_xlpm.n*INDEX(Input!$C$80:$C$89,$B35)+(INDEX(Input!$D$80:$D$89,$B35)+INDEX(Input!$E$80:$E$89,$B35))*12*1000000/Input!$C$5,_xlpm.wrk,_xlpm.ownfx*MIN(D$29,INDEX(Properties!$R$6:$R$15,$B35))/12*(1-Input!$C$25),((_xlpm.g-(_xlpm.g-_xlpm.n)*_xlpm.tax+_xlpm.noi-_xlpm.wrk)/_xlpm.n)^(12/D$29)-1))</f>
        <v/>
      </c>
      <c r="E35" s="134" t="str" cm="1">
        <f t="array" ref="E35">IF($B35="","",_xlfn.LET(_xlpm.n,INDEX(Properties!$P$6:$P$15,$B35),_xlpm.v,_xlpm.n/(1-INDEX(Input!$I$80:$I$89,$B35))*(1+INDEX(Input!$G$80:$G$89,$B35))^(E$29/12),_xlpm.g,_xlpm.v*(1-Input!$C$15),_xlpm.tax,Input!$C$26,_xlpm.noi,INDEX(Properties!$X$6:$X$15,$B35)*MAX(0,E$29-INDEX(Properties!$R$6:$R$15,$B35))/12*(1-Input!$C$25),_xlpm.ownfx,_xlpm.n*INDEX(Input!$C$80:$C$89,$B35)+(INDEX(Input!$D$80:$D$89,$B35)+INDEX(Input!$E$80:$E$89,$B35))*12*1000000/Input!$C$5,_xlpm.wrk,_xlpm.ownfx*MIN(E$29,INDEX(Properties!$R$6:$R$15,$B35))/12*(1-Input!$C$25),((_xlpm.g-(_xlpm.g-_xlpm.n)*_xlpm.tax+_xlpm.noi-_xlpm.wrk)/_xlpm.n)^(12/E$29)-1))</f>
        <v/>
      </c>
      <c r="F35" s="134" t="str" cm="1">
        <f t="array" ref="F35">IF($B35="","",_xlfn.LET(_xlpm.n,INDEX(Properties!$P$6:$P$15,$B35),_xlpm.v,_xlpm.n/(1-INDEX(Input!$I$80:$I$89,$B35))*(1+INDEX(Input!$G$80:$G$89,$B35))^(F$29/12),_xlpm.g,_xlpm.v*(1-Input!$C$15),_xlpm.tax,Input!$C$26,_xlpm.noi,INDEX(Properties!$X$6:$X$15,$B35)*MAX(0,F$29-INDEX(Properties!$R$6:$R$15,$B35))/12*(1-Input!$C$25),_xlpm.ownfx,_xlpm.n*INDEX(Input!$C$80:$C$89,$B35)+(INDEX(Input!$D$80:$D$89,$B35)+INDEX(Input!$E$80:$E$89,$B35))*12*1000000/Input!$C$5,_xlpm.wrk,_xlpm.ownfx*MIN(F$29,INDEX(Properties!$R$6:$R$15,$B35))/12*(1-Input!$C$25),((_xlpm.g-(_xlpm.g-_xlpm.n)*_xlpm.tax+_xlpm.noi-_xlpm.wrk)/_xlpm.n)^(12/F$29)-1))</f>
        <v/>
      </c>
      <c r="G35" s="134" t="str" cm="1">
        <f t="array" ref="G35">IF($B35="","",_xlfn.LET(_xlpm.n,INDEX(Properties!$P$6:$P$15,$B35),_xlpm.v,_xlpm.n/(1-INDEX(Input!$I$80:$I$89,$B35))*(1+INDEX(Input!$G$80:$G$89,$B35))^(G$29/12),_xlpm.g,_xlpm.v*(1-Input!$C$15),_xlpm.tax,Input!$C$26,_xlpm.noi,INDEX(Properties!$X$6:$X$15,$B35)*MAX(0,G$29-INDEX(Properties!$R$6:$R$15,$B35))/12*(1-Input!$C$25),_xlpm.ownfx,_xlpm.n*INDEX(Input!$C$80:$C$89,$B35)+(INDEX(Input!$D$80:$D$89,$B35)+INDEX(Input!$E$80:$E$89,$B35))*12*1000000/Input!$C$5,_xlpm.wrk,_xlpm.ownfx*MIN(G$29,INDEX(Properties!$R$6:$R$15,$B35))/12*(1-Input!$C$25),((_xlpm.g-(_xlpm.g-_xlpm.n)*_xlpm.tax+_xlpm.noi-_xlpm.wrk)/_xlpm.n)^(12/G$29)-1))</f>
        <v/>
      </c>
      <c r="H35" s="134" t="str" cm="1">
        <f t="array" ref="H35">IF($B35="","",_xlfn.LET(_xlpm.n,INDEX(Properties!$P$6:$P$15,$B35),_xlpm.v,_xlpm.n/(1-INDEX(Input!$I$80:$I$89,$B35))*(1+INDEX(Input!$G$80:$G$89,$B35))^(H$29/12),_xlpm.g,_xlpm.v*(1-Input!$C$15),_xlpm.tax,Input!$C$26,_xlpm.noi,INDEX(Properties!$X$6:$X$15,$B35)*MAX(0,H$29-INDEX(Properties!$R$6:$R$15,$B35))/12*(1-Input!$C$25),_xlpm.ownfx,_xlpm.n*INDEX(Input!$C$80:$C$89,$B35)+(INDEX(Input!$D$80:$D$89,$B35)+INDEX(Input!$E$80:$E$89,$B35))*12*1000000/Input!$C$5,_xlpm.wrk,_xlpm.ownfx*MIN(H$29,INDEX(Properties!$R$6:$R$15,$B35))/12*(1-Input!$C$25),((_xlpm.g-(_xlpm.g-_xlpm.n)*_xlpm.tax+_xlpm.noi-_xlpm.wrk)/_xlpm.n)^(12/H$29)-1))</f>
        <v/>
      </c>
      <c r="I35" s="134" t="str" cm="1">
        <f t="array" ref="I35">IF($B35="","",_xlfn.LET(_xlpm.n,INDEX(Properties!$P$6:$P$15,$B35),_xlpm.v,_xlpm.n/(1-INDEX(Input!$I$80:$I$89,$B35))*(1+INDEX(Input!$G$80:$G$89,$B35))^(I$29/12),_xlpm.g,_xlpm.v*(1-Input!$C$15),_xlpm.tax,Input!$C$26,_xlpm.noi,INDEX(Properties!$X$6:$X$15,$B35)*MAX(0,I$29-INDEX(Properties!$R$6:$R$15,$B35))/12*(1-Input!$C$25),_xlpm.ownfx,_xlpm.n*INDEX(Input!$C$80:$C$89,$B35)+(INDEX(Input!$D$80:$D$89,$B35)+INDEX(Input!$E$80:$E$89,$B35))*12*1000000/Input!$C$5,_xlpm.wrk,_xlpm.ownfx*MIN(I$29,INDEX(Properties!$R$6:$R$15,$B35))/12*(1-Input!$C$25),((_xlpm.g-(_xlpm.g-_xlpm.n)*_xlpm.tax+_xlpm.noi-_xlpm.wrk)/_xlpm.n)^(12/I$29)-1))</f>
        <v/>
      </c>
      <c r="J35" s="135" t="str">
        <f t="shared" si="0"/>
        <v/>
      </c>
      <c r="K35" s="135" t="str" cm="1">
        <f t="array" ref="K35">IF($B35="","",INDEX(Properties!$Q$6:$Q$15,$B35)+$J35)</f>
        <v/>
      </c>
    </row>
    <row r="36" spans="1:14" ht="18" customHeight="1" x14ac:dyDescent="0.3">
      <c r="A36" s="9"/>
      <c r="B36" s="137"/>
      <c r="C36" s="136" t="str" cm="1">
        <f t="array" ref="C36">IF($B36="","",INDEX(Properties!$E$6:$E$15,$B36))</f>
        <v/>
      </c>
      <c r="D36" s="134" t="str" cm="1">
        <f t="array" ref="D36">IF($B36="","",_xlfn.LET(_xlpm.n,INDEX(Properties!$P$6:$P$15,$B36),_xlpm.v,_xlpm.n/(1-INDEX(Input!$I$80:$I$89,$B36))*(1+INDEX(Input!$G$80:$G$89,$B36))^(D$29/12),_xlpm.g,_xlpm.v*(1-Input!$C$15),_xlpm.tax,Input!$C$26,_xlpm.noi,INDEX(Properties!$X$6:$X$15,$B36)*MAX(0,D$29-INDEX(Properties!$R$6:$R$15,$B36))/12*(1-Input!$C$25),_xlpm.ownfx,_xlpm.n*INDEX(Input!$C$80:$C$89,$B36)+(INDEX(Input!$D$80:$D$89,$B36)+INDEX(Input!$E$80:$E$89,$B36))*12*1000000/Input!$C$5,_xlpm.wrk,_xlpm.ownfx*MIN(D$29,INDEX(Properties!$R$6:$R$15,$B36))/12*(1-Input!$C$25),((_xlpm.g-(_xlpm.g-_xlpm.n)*_xlpm.tax+_xlpm.noi-_xlpm.wrk)/_xlpm.n)^(12/D$29)-1))</f>
        <v/>
      </c>
      <c r="E36" s="134" t="str" cm="1">
        <f t="array" ref="E36">IF($B36="","",_xlfn.LET(_xlpm.n,INDEX(Properties!$P$6:$P$15,$B36),_xlpm.v,_xlpm.n/(1-INDEX(Input!$I$80:$I$89,$B36))*(1+INDEX(Input!$G$80:$G$89,$B36))^(E$29/12),_xlpm.g,_xlpm.v*(1-Input!$C$15),_xlpm.tax,Input!$C$26,_xlpm.noi,INDEX(Properties!$X$6:$X$15,$B36)*MAX(0,E$29-INDEX(Properties!$R$6:$R$15,$B36))/12*(1-Input!$C$25),_xlpm.ownfx,_xlpm.n*INDEX(Input!$C$80:$C$89,$B36)+(INDEX(Input!$D$80:$D$89,$B36)+INDEX(Input!$E$80:$E$89,$B36))*12*1000000/Input!$C$5,_xlpm.wrk,_xlpm.ownfx*MIN(E$29,INDEX(Properties!$R$6:$R$15,$B36))/12*(1-Input!$C$25),((_xlpm.g-(_xlpm.g-_xlpm.n)*_xlpm.tax+_xlpm.noi-_xlpm.wrk)/_xlpm.n)^(12/E$29)-1))</f>
        <v/>
      </c>
      <c r="F36" s="134" t="str" cm="1">
        <f t="array" ref="F36">IF($B36="","",_xlfn.LET(_xlpm.n,INDEX(Properties!$P$6:$P$15,$B36),_xlpm.v,_xlpm.n/(1-INDEX(Input!$I$80:$I$89,$B36))*(1+INDEX(Input!$G$80:$G$89,$B36))^(F$29/12),_xlpm.g,_xlpm.v*(1-Input!$C$15),_xlpm.tax,Input!$C$26,_xlpm.noi,INDEX(Properties!$X$6:$X$15,$B36)*MAX(0,F$29-INDEX(Properties!$R$6:$R$15,$B36))/12*(1-Input!$C$25),_xlpm.ownfx,_xlpm.n*INDEX(Input!$C$80:$C$89,$B36)+(INDEX(Input!$D$80:$D$89,$B36)+INDEX(Input!$E$80:$E$89,$B36))*12*1000000/Input!$C$5,_xlpm.wrk,_xlpm.ownfx*MIN(F$29,INDEX(Properties!$R$6:$R$15,$B36))/12*(1-Input!$C$25),((_xlpm.g-(_xlpm.g-_xlpm.n)*_xlpm.tax+_xlpm.noi-_xlpm.wrk)/_xlpm.n)^(12/F$29)-1))</f>
        <v/>
      </c>
      <c r="G36" s="134" t="str" cm="1">
        <f t="array" ref="G36">IF($B36="","",_xlfn.LET(_xlpm.n,INDEX(Properties!$P$6:$P$15,$B36),_xlpm.v,_xlpm.n/(1-INDEX(Input!$I$80:$I$89,$B36))*(1+INDEX(Input!$G$80:$G$89,$B36))^(G$29/12),_xlpm.g,_xlpm.v*(1-Input!$C$15),_xlpm.tax,Input!$C$26,_xlpm.noi,INDEX(Properties!$X$6:$X$15,$B36)*MAX(0,G$29-INDEX(Properties!$R$6:$R$15,$B36))/12*(1-Input!$C$25),_xlpm.ownfx,_xlpm.n*INDEX(Input!$C$80:$C$89,$B36)+(INDEX(Input!$D$80:$D$89,$B36)+INDEX(Input!$E$80:$E$89,$B36))*12*1000000/Input!$C$5,_xlpm.wrk,_xlpm.ownfx*MIN(G$29,INDEX(Properties!$R$6:$R$15,$B36))/12*(1-Input!$C$25),((_xlpm.g-(_xlpm.g-_xlpm.n)*_xlpm.tax+_xlpm.noi-_xlpm.wrk)/_xlpm.n)^(12/G$29)-1))</f>
        <v/>
      </c>
      <c r="H36" s="134" t="str" cm="1">
        <f t="array" ref="H36">IF($B36="","",_xlfn.LET(_xlpm.n,INDEX(Properties!$P$6:$P$15,$B36),_xlpm.v,_xlpm.n/(1-INDEX(Input!$I$80:$I$89,$B36))*(1+INDEX(Input!$G$80:$G$89,$B36))^(H$29/12),_xlpm.g,_xlpm.v*(1-Input!$C$15),_xlpm.tax,Input!$C$26,_xlpm.noi,INDEX(Properties!$X$6:$X$15,$B36)*MAX(0,H$29-INDEX(Properties!$R$6:$R$15,$B36))/12*(1-Input!$C$25),_xlpm.ownfx,_xlpm.n*INDEX(Input!$C$80:$C$89,$B36)+(INDEX(Input!$D$80:$D$89,$B36)+INDEX(Input!$E$80:$E$89,$B36))*12*1000000/Input!$C$5,_xlpm.wrk,_xlpm.ownfx*MIN(H$29,INDEX(Properties!$R$6:$R$15,$B36))/12*(1-Input!$C$25),((_xlpm.g-(_xlpm.g-_xlpm.n)*_xlpm.tax+_xlpm.noi-_xlpm.wrk)/_xlpm.n)^(12/H$29)-1))</f>
        <v/>
      </c>
      <c r="I36" s="134" t="str" cm="1">
        <f t="array" ref="I36">IF($B36="","",_xlfn.LET(_xlpm.n,INDEX(Properties!$P$6:$P$15,$B36),_xlpm.v,_xlpm.n/(1-INDEX(Input!$I$80:$I$89,$B36))*(1+INDEX(Input!$G$80:$G$89,$B36))^(I$29/12),_xlpm.g,_xlpm.v*(1-Input!$C$15),_xlpm.tax,Input!$C$26,_xlpm.noi,INDEX(Properties!$X$6:$X$15,$B36)*MAX(0,I$29-INDEX(Properties!$R$6:$R$15,$B36))/12*(1-Input!$C$25),_xlpm.ownfx,_xlpm.n*INDEX(Input!$C$80:$C$89,$B36)+(INDEX(Input!$D$80:$D$89,$B36)+INDEX(Input!$E$80:$E$89,$B36))*12*1000000/Input!$C$5,_xlpm.wrk,_xlpm.ownfx*MIN(I$29,INDEX(Properties!$R$6:$R$15,$B36))/12*(1-Input!$C$25),((_xlpm.g-(_xlpm.g-_xlpm.n)*_xlpm.tax+_xlpm.noi-_xlpm.wrk)/_xlpm.n)^(12/I$29)-1))</f>
        <v/>
      </c>
      <c r="J36" s="135" t="str">
        <f t="shared" si="0"/>
        <v/>
      </c>
      <c r="K36" s="135" t="str" cm="1">
        <f t="array" ref="K36">IF($B36="","",INDEX(Properties!$Q$6:$Q$15,$B36)+$J36)</f>
        <v/>
      </c>
    </row>
    <row r="37" spans="1:14" ht="18" customHeight="1" x14ac:dyDescent="0.3">
      <c r="A37" s="9"/>
      <c r="B37" s="137"/>
      <c r="C37" s="136" t="str" cm="1">
        <f t="array" ref="C37">IF($B37="","",INDEX(Properties!$E$6:$E$15,$B37))</f>
        <v/>
      </c>
      <c r="D37" s="134" t="str" cm="1">
        <f t="array" ref="D37">IF($B37="","",_xlfn.LET(_xlpm.n,INDEX(Properties!$P$6:$P$15,$B37),_xlpm.v,_xlpm.n/(1-INDEX(Input!$I$80:$I$89,$B37))*(1+INDEX(Input!$G$80:$G$89,$B37))^(D$29/12),_xlpm.g,_xlpm.v*(1-Input!$C$15),_xlpm.tax,Input!$C$26,_xlpm.noi,INDEX(Properties!$X$6:$X$15,$B37)*MAX(0,D$29-INDEX(Properties!$R$6:$R$15,$B37))/12*(1-Input!$C$25),_xlpm.ownfx,_xlpm.n*INDEX(Input!$C$80:$C$89,$B37)+(INDEX(Input!$D$80:$D$89,$B37)+INDEX(Input!$E$80:$E$89,$B37))*12*1000000/Input!$C$5,_xlpm.wrk,_xlpm.ownfx*MIN(D$29,INDEX(Properties!$R$6:$R$15,$B37))/12*(1-Input!$C$25),((_xlpm.g-(_xlpm.g-_xlpm.n)*_xlpm.tax+_xlpm.noi-_xlpm.wrk)/_xlpm.n)^(12/D$29)-1))</f>
        <v/>
      </c>
      <c r="E37" s="134" t="str" cm="1">
        <f t="array" ref="E37">IF($B37="","",_xlfn.LET(_xlpm.n,INDEX(Properties!$P$6:$P$15,$B37),_xlpm.v,_xlpm.n/(1-INDEX(Input!$I$80:$I$89,$B37))*(1+INDEX(Input!$G$80:$G$89,$B37))^(E$29/12),_xlpm.g,_xlpm.v*(1-Input!$C$15),_xlpm.tax,Input!$C$26,_xlpm.noi,INDEX(Properties!$X$6:$X$15,$B37)*MAX(0,E$29-INDEX(Properties!$R$6:$R$15,$B37))/12*(1-Input!$C$25),_xlpm.ownfx,_xlpm.n*INDEX(Input!$C$80:$C$89,$B37)+(INDEX(Input!$D$80:$D$89,$B37)+INDEX(Input!$E$80:$E$89,$B37))*12*1000000/Input!$C$5,_xlpm.wrk,_xlpm.ownfx*MIN(E$29,INDEX(Properties!$R$6:$R$15,$B37))/12*(1-Input!$C$25),((_xlpm.g-(_xlpm.g-_xlpm.n)*_xlpm.tax+_xlpm.noi-_xlpm.wrk)/_xlpm.n)^(12/E$29)-1))</f>
        <v/>
      </c>
      <c r="F37" s="134" t="str" cm="1">
        <f t="array" ref="F37">IF($B37="","",_xlfn.LET(_xlpm.n,INDEX(Properties!$P$6:$P$15,$B37),_xlpm.v,_xlpm.n/(1-INDEX(Input!$I$80:$I$89,$B37))*(1+INDEX(Input!$G$80:$G$89,$B37))^(F$29/12),_xlpm.g,_xlpm.v*(1-Input!$C$15),_xlpm.tax,Input!$C$26,_xlpm.noi,INDEX(Properties!$X$6:$X$15,$B37)*MAX(0,F$29-INDEX(Properties!$R$6:$R$15,$B37))/12*(1-Input!$C$25),_xlpm.ownfx,_xlpm.n*INDEX(Input!$C$80:$C$89,$B37)+(INDEX(Input!$D$80:$D$89,$B37)+INDEX(Input!$E$80:$E$89,$B37))*12*1000000/Input!$C$5,_xlpm.wrk,_xlpm.ownfx*MIN(F$29,INDEX(Properties!$R$6:$R$15,$B37))/12*(1-Input!$C$25),((_xlpm.g-(_xlpm.g-_xlpm.n)*_xlpm.tax+_xlpm.noi-_xlpm.wrk)/_xlpm.n)^(12/F$29)-1))</f>
        <v/>
      </c>
      <c r="G37" s="134" t="str" cm="1">
        <f t="array" ref="G37">IF($B37="","",_xlfn.LET(_xlpm.n,INDEX(Properties!$P$6:$P$15,$B37),_xlpm.v,_xlpm.n/(1-INDEX(Input!$I$80:$I$89,$B37))*(1+INDEX(Input!$G$80:$G$89,$B37))^(G$29/12),_xlpm.g,_xlpm.v*(1-Input!$C$15),_xlpm.tax,Input!$C$26,_xlpm.noi,INDEX(Properties!$X$6:$X$15,$B37)*MAX(0,G$29-INDEX(Properties!$R$6:$R$15,$B37))/12*(1-Input!$C$25),_xlpm.ownfx,_xlpm.n*INDEX(Input!$C$80:$C$89,$B37)+(INDEX(Input!$D$80:$D$89,$B37)+INDEX(Input!$E$80:$E$89,$B37))*12*1000000/Input!$C$5,_xlpm.wrk,_xlpm.ownfx*MIN(G$29,INDEX(Properties!$R$6:$R$15,$B37))/12*(1-Input!$C$25),((_xlpm.g-(_xlpm.g-_xlpm.n)*_xlpm.tax+_xlpm.noi-_xlpm.wrk)/_xlpm.n)^(12/G$29)-1))</f>
        <v/>
      </c>
      <c r="H37" s="134" t="str" cm="1">
        <f t="array" ref="H37">IF($B37="","",_xlfn.LET(_xlpm.n,INDEX(Properties!$P$6:$P$15,$B37),_xlpm.v,_xlpm.n/(1-INDEX(Input!$I$80:$I$89,$B37))*(1+INDEX(Input!$G$80:$G$89,$B37))^(H$29/12),_xlpm.g,_xlpm.v*(1-Input!$C$15),_xlpm.tax,Input!$C$26,_xlpm.noi,INDEX(Properties!$X$6:$X$15,$B37)*MAX(0,H$29-INDEX(Properties!$R$6:$R$15,$B37))/12*(1-Input!$C$25),_xlpm.ownfx,_xlpm.n*INDEX(Input!$C$80:$C$89,$B37)+(INDEX(Input!$D$80:$D$89,$B37)+INDEX(Input!$E$80:$E$89,$B37))*12*1000000/Input!$C$5,_xlpm.wrk,_xlpm.ownfx*MIN(H$29,INDEX(Properties!$R$6:$R$15,$B37))/12*(1-Input!$C$25),((_xlpm.g-(_xlpm.g-_xlpm.n)*_xlpm.tax+_xlpm.noi-_xlpm.wrk)/_xlpm.n)^(12/H$29)-1))</f>
        <v/>
      </c>
      <c r="I37" s="134" t="str" cm="1">
        <f t="array" ref="I37">IF($B37="","",_xlfn.LET(_xlpm.n,INDEX(Properties!$P$6:$P$15,$B37),_xlpm.v,_xlpm.n/(1-INDEX(Input!$I$80:$I$89,$B37))*(1+INDEX(Input!$G$80:$G$89,$B37))^(I$29/12),_xlpm.g,_xlpm.v*(1-Input!$C$15),_xlpm.tax,Input!$C$26,_xlpm.noi,INDEX(Properties!$X$6:$X$15,$B37)*MAX(0,I$29-INDEX(Properties!$R$6:$R$15,$B37))/12*(1-Input!$C$25),_xlpm.ownfx,_xlpm.n*INDEX(Input!$C$80:$C$89,$B37)+(INDEX(Input!$D$80:$D$89,$B37)+INDEX(Input!$E$80:$E$89,$B37))*12*1000000/Input!$C$5,_xlpm.wrk,_xlpm.ownfx*MIN(I$29,INDEX(Properties!$R$6:$R$15,$B37))/12*(1-Input!$C$25),((_xlpm.g-(_xlpm.g-_xlpm.n)*_xlpm.tax+_xlpm.noi-_xlpm.wrk)/_xlpm.n)^(12/I$29)-1))</f>
        <v/>
      </c>
      <c r="J37" s="135" t="str">
        <f t="shared" si="0"/>
        <v/>
      </c>
      <c r="K37" s="135" t="str" cm="1">
        <f t="array" ref="K37">IF($B37="","",INDEX(Properties!$Q$6:$Q$15,$B37)+$J37)</f>
        <v/>
      </c>
    </row>
    <row r="38" spans="1:14" ht="18" customHeight="1" x14ac:dyDescent="0.3">
      <c r="A38" s="9"/>
      <c r="B38" s="137"/>
      <c r="C38" s="136" t="str" cm="1">
        <f t="array" ref="C38">IF($B38="","",INDEX(Properties!$E$6:$E$15,$B38))</f>
        <v/>
      </c>
      <c r="D38" s="134" t="str" cm="1">
        <f t="array" ref="D38">IF($B38="","",_xlfn.LET(_xlpm.n,INDEX(Properties!$P$6:$P$15,$B38),_xlpm.v,_xlpm.n/(1-INDEX(Input!$I$80:$I$89,$B38))*(1+INDEX(Input!$G$80:$G$89,$B38))^(D$29/12),_xlpm.g,_xlpm.v*(1-Input!$C$15),_xlpm.tax,Input!$C$26,_xlpm.noi,INDEX(Properties!$X$6:$X$15,$B38)*MAX(0,D$29-INDEX(Properties!$R$6:$R$15,$B38))/12*(1-Input!$C$25),_xlpm.ownfx,_xlpm.n*INDEX(Input!$C$80:$C$89,$B38)+(INDEX(Input!$D$80:$D$89,$B38)+INDEX(Input!$E$80:$E$89,$B38))*12*1000000/Input!$C$5,_xlpm.wrk,_xlpm.ownfx*MIN(D$29,INDEX(Properties!$R$6:$R$15,$B38))/12*(1-Input!$C$25),((_xlpm.g-(_xlpm.g-_xlpm.n)*_xlpm.tax+_xlpm.noi-_xlpm.wrk)/_xlpm.n)^(12/D$29)-1))</f>
        <v/>
      </c>
      <c r="E38" s="134" t="str" cm="1">
        <f t="array" ref="E38">IF($B38="","",_xlfn.LET(_xlpm.n,INDEX(Properties!$P$6:$P$15,$B38),_xlpm.v,_xlpm.n/(1-INDEX(Input!$I$80:$I$89,$B38))*(1+INDEX(Input!$G$80:$G$89,$B38))^(E$29/12),_xlpm.g,_xlpm.v*(1-Input!$C$15),_xlpm.tax,Input!$C$26,_xlpm.noi,INDEX(Properties!$X$6:$X$15,$B38)*MAX(0,E$29-INDEX(Properties!$R$6:$R$15,$B38))/12*(1-Input!$C$25),_xlpm.ownfx,_xlpm.n*INDEX(Input!$C$80:$C$89,$B38)+(INDEX(Input!$D$80:$D$89,$B38)+INDEX(Input!$E$80:$E$89,$B38))*12*1000000/Input!$C$5,_xlpm.wrk,_xlpm.ownfx*MIN(E$29,INDEX(Properties!$R$6:$R$15,$B38))/12*(1-Input!$C$25),((_xlpm.g-(_xlpm.g-_xlpm.n)*_xlpm.tax+_xlpm.noi-_xlpm.wrk)/_xlpm.n)^(12/E$29)-1))</f>
        <v/>
      </c>
      <c r="F38" s="134" t="str" cm="1">
        <f t="array" ref="F38">IF($B38="","",_xlfn.LET(_xlpm.n,INDEX(Properties!$P$6:$P$15,$B38),_xlpm.v,_xlpm.n/(1-INDEX(Input!$I$80:$I$89,$B38))*(1+INDEX(Input!$G$80:$G$89,$B38))^(F$29/12),_xlpm.g,_xlpm.v*(1-Input!$C$15),_xlpm.tax,Input!$C$26,_xlpm.noi,INDEX(Properties!$X$6:$X$15,$B38)*MAX(0,F$29-INDEX(Properties!$R$6:$R$15,$B38))/12*(1-Input!$C$25),_xlpm.ownfx,_xlpm.n*INDEX(Input!$C$80:$C$89,$B38)+(INDEX(Input!$D$80:$D$89,$B38)+INDEX(Input!$E$80:$E$89,$B38))*12*1000000/Input!$C$5,_xlpm.wrk,_xlpm.ownfx*MIN(F$29,INDEX(Properties!$R$6:$R$15,$B38))/12*(1-Input!$C$25),((_xlpm.g-(_xlpm.g-_xlpm.n)*_xlpm.tax+_xlpm.noi-_xlpm.wrk)/_xlpm.n)^(12/F$29)-1))</f>
        <v/>
      </c>
      <c r="G38" s="134" t="str" cm="1">
        <f t="array" ref="G38">IF($B38="","",_xlfn.LET(_xlpm.n,INDEX(Properties!$P$6:$P$15,$B38),_xlpm.v,_xlpm.n/(1-INDEX(Input!$I$80:$I$89,$B38))*(1+INDEX(Input!$G$80:$G$89,$B38))^(G$29/12),_xlpm.g,_xlpm.v*(1-Input!$C$15),_xlpm.tax,Input!$C$26,_xlpm.noi,INDEX(Properties!$X$6:$X$15,$B38)*MAX(0,G$29-INDEX(Properties!$R$6:$R$15,$B38))/12*(1-Input!$C$25),_xlpm.ownfx,_xlpm.n*INDEX(Input!$C$80:$C$89,$B38)+(INDEX(Input!$D$80:$D$89,$B38)+INDEX(Input!$E$80:$E$89,$B38))*12*1000000/Input!$C$5,_xlpm.wrk,_xlpm.ownfx*MIN(G$29,INDEX(Properties!$R$6:$R$15,$B38))/12*(1-Input!$C$25),((_xlpm.g-(_xlpm.g-_xlpm.n)*_xlpm.tax+_xlpm.noi-_xlpm.wrk)/_xlpm.n)^(12/G$29)-1))</f>
        <v/>
      </c>
      <c r="H38" s="134" t="str" cm="1">
        <f t="array" ref="H38">IF($B38="","",_xlfn.LET(_xlpm.n,INDEX(Properties!$P$6:$P$15,$B38),_xlpm.v,_xlpm.n/(1-INDEX(Input!$I$80:$I$89,$B38))*(1+INDEX(Input!$G$80:$G$89,$B38))^(H$29/12),_xlpm.g,_xlpm.v*(1-Input!$C$15),_xlpm.tax,Input!$C$26,_xlpm.noi,INDEX(Properties!$X$6:$X$15,$B38)*MAX(0,H$29-INDEX(Properties!$R$6:$R$15,$B38))/12*(1-Input!$C$25),_xlpm.ownfx,_xlpm.n*INDEX(Input!$C$80:$C$89,$B38)+(INDEX(Input!$D$80:$D$89,$B38)+INDEX(Input!$E$80:$E$89,$B38))*12*1000000/Input!$C$5,_xlpm.wrk,_xlpm.ownfx*MIN(H$29,INDEX(Properties!$R$6:$R$15,$B38))/12*(1-Input!$C$25),((_xlpm.g-(_xlpm.g-_xlpm.n)*_xlpm.tax+_xlpm.noi-_xlpm.wrk)/_xlpm.n)^(12/H$29)-1))</f>
        <v/>
      </c>
      <c r="I38" s="134" t="str" cm="1">
        <f t="array" ref="I38">IF($B38="","",_xlfn.LET(_xlpm.n,INDEX(Properties!$P$6:$P$15,$B38),_xlpm.v,_xlpm.n/(1-INDEX(Input!$I$80:$I$89,$B38))*(1+INDEX(Input!$G$80:$G$89,$B38))^(I$29/12),_xlpm.g,_xlpm.v*(1-Input!$C$15),_xlpm.tax,Input!$C$26,_xlpm.noi,INDEX(Properties!$X$6:$X$15,$B38)*MAX(0,I$29-INDEX(Properties!$R$6:$R$15,$B38))/12*(1-Input!$C$25),_xlpm.ownfx,_xlpm.n*INDEX(Input!$C$80:$C$89,$B38)+(INDEX(Input!$D$80:$D$89,$B38)+INDEX(Input!$E$80:$E$89,$B38))*12*1000000/Input!$C$5,_xlpm.wrk,_xlpm.ownfx*MIN(I$29,INDEX(Properties!$R$6:$R$15,$B38))/12*(1-Input!$C$25),((_xlpm.g-(_xlpm.g-_xlpm.n)*_xlpm.tax+_xlpm.noi-_xlpm.wrk)/_xlpm.n)^(12/I$29)-1))</f>
        <v/>
      </c>
      <c r="J38" s="135" t="str">
        <f t="shared" si="0"/>
        <v/>
      </c>
      <c r="K38" s="135" t="str" cm="1">
        <f t="array" ref="K38">IF($B38="","",INDEX(Properties!$Q$6:$Q$15,$B38)+$J38)</f>
        <v/>
      </c>
    </row>
    <row r="39" spans="1:14" ht="18" customHeight="1" x14ac:dyDescent="0.3">
      <c r="A39" s="9"/>
      <c r="B39" s="137"/>
      <c r="C39" s="136" t="str" cm="1">
        <f t="array" ref="C39">IF($B39="","",INDEX(Properties!$E$6:$E$15,$B39))</f>
        <v/>
      </c>
      <c r="D39" s="134" t="str" cm="1">
        <f t="array" ref="D39">IF($B39="","",_xlfn.LET(_xlpm.n,INDEX(Properties!$P$6:$P$15,$B39),_xlpm.v,_xlpm.n/(1-INDEX(Input!$I$80:$I$89,$B39))*(1+INDEX(Input!$G$80:$G$89,$B39))^(D$29/12),_xlpm.g,_xlpm.v*(1-Input!$C$15),_xlpm.tax,Input!$C$26,_xlpm.noi,INDEX(Properties!$X$6:$X$15,$B39)*MAX(0,D$29-INDEX(Properties!$R$6:$R$15,$B39))/12*(1-Input!$C$25),_xlpm.ownfx,_xlpm.n*INDEX(Input!$C$80:$C$89,$B39)+(INDEX(Input!$D$80:$D$89,$B39)+INDEX(Input!$E$80:$E$89,$B39))*12*1000000/Input!$C$5,_xlpm.wrk,_xlpm.ownfx*MIN(D$29,INDEX(Properties!$R$6:$R$15,$B39))/12*(1-Input!$C$25),((_xlpm.g-(_xlpm.g-_xlpm.n)*_xlpm.tax+_xlpm.noi-_xlpm.wrk)/_xlpm.n)^(12/D$29)-1))</f>
        <v/>
      </c>
      <c r="E39" s="134" t="str" cm="1">
        <f t="array" ref="E39">IF($B39="","",_xlfn.LET(_xlpm.n,INDEX(Properties!$P$6:$P$15,$B39),_xlpm.v,_xlpm.n/(1-INDEX(Input!$I$80:$I$89,$B39))*(1+INDEX(Input!$G$80:$G$89,$B39))^(E$29/12),_xlpm.g,_xlpm.v*(1-Input!$C$15),_xlpm.tax,Input!$C$26,_xlpm.noi,INDEX(Properties!$X$6:$X$15,$B39)*MAX(0,E$29-INDEX(Properties!$R$6:$R$15,$B39))/12*(1-Input!$C$25),_xlpm.ownfx,_xlpm.n*INDEX(Input!$C$80:$C$89,$B39)+(INDEX(Input!$D$80:$D$89,$B39)+INDEX(Input!$E$80:$E$89,$B39))*12*1000000/Input!$C$5,_xlpm.wrk,_xlpm.ownfx*MIN(E$29,INDEX(Properties!$R$6:$R$15,$B39))/12*(1-Input!$C$25),((_xlpm.g-(_xlpm.g-_xlpm.n)*_xlpm.tax+_xlpm.noi-_xlpm.wrk)/_xlpm.n)^(12/E$29)-1))</f>
        <v/>
      </c>
      <c r="F39" s="134" t="str" cm="1">
        <f t="array" ref="F39">IF($B39="","",_xlfn.LET(_xlpm.n,INDEX(Properties!$P$6:$P$15,$B39),_xlpm.v,_xlpm.n/(1-INDEX(Input!$I$80:$I$89,$B39))*(1+INDEX(Input!$G$80:$G$89,$B39))^(F$29/12),_xlpm.g,_xlpm.v*(1-Input!$C$15),_xlpm.tax,Input!$C$26,_xlpm.noi,INDEX(Properties!$X$6:$X$15,$B39)*MAX(0,F$29-INDEX(Properties!$R$6:$R$15,$B39))/12*(1-Input!$C$25),_xlpm.ownfx,_xlpm.n*INDEX(Input!$C$80:$C$89,$B39)+(INDEX(Input!$D$80:$D$89,$B39)+INDEX(Input!$E$80:$E$89,$B39))*12*1000000/Input!$C$5,_xlpm.wrk,_xlpm.ownfx*MIN(F$29,INDEX(Properties!$R$6:$R$15,$B39))/12*(1-Input!$C$25),((_xlpm.g-(_xlpm.g-_xlpm.n)*_xlpm.tax+_xlpm.noi-_xlpm.wrk)/_xlpm.n)^(12/F$29)-1))</f>
        <v/>
      </c>
      <c r="G39" s="134" t="str" cm="1">
        <f t="array" ref="G39">IF($B39="","",_xlfn.LET(_xlpm.n,INDEX(Properties!$P$6:$P$15,$B39),_xlpm.v,_xlpm.n/(1-INDEX(Input!$I$80:$I$89,$B39))*(1+INDEX(Input!$G$80:$G$89,$B39))^(G$29/12),_xlpm.g,_xlpm.v*(1-Input!$C$15),_xlpm.tax,Input!$C$26,_xlpm.noi,INDEX(Properties!$X$6:$X$15,$B39)*MAX(0,G$29-INDEX(Properties!$R$6:$R$15,$B39))/12*(1-Input!$C$25),_xlpm.ownfx,_xlpm.n*INDEX(Input!$C$80:$C$89,$B39)+(INDEX(Input!$D$80:$D$89,$B39)+INDEX(Input!$E$80:$E$89,$B39))*12*1000000/Input!$C$5,_xlpm.wrk,_xlpm.ownfx*MIN(G$29,INDEX(Properties!$R$6:$R$15,$B39))/12*(1-Input!$C$25),((_xlpm.g-(_xlpm.g-_xlpm.n)*_xlpm.tax+_xlpm.noi-_xlpm.wrk)/_xlpm.n)^(12/G$29)-1))</f>
        <v/>
      </c>
      <c r="H39" s="134" t="str" cm="1">
        <f t="array" ref="H39">IF($B39="","",_xlfn.LET(_xlpm.n,INDEX(Properties!$P$6:$P$15,$B39),_xlpm.v,_xlpm.n/(1-INDEX(Input!$I$80:$I$89,$B39))*(1+INDEX(Input!$G$80:$G$89,$B39))^(H$29/12),_xlpm.g,_xlpm.v*(1-Input!$C$15),_xlpm.tax,Input!$C$26,_xlpm.noi,INDEX(Properties!$X$6:$X$15,$B39)*MAX(0,H$29-INDEX(Properties!$R$6:$R$15,$B39))/12*(1-Input!$C$25),_xlpm.ownfx,_xlpm.n*INDEX(Input!$C$80:$C$89,$B39)+(INDEX(Input!$D$80:$D$89,$B39)+INDEX(Input!$E$80:$E$89,$B39))*12*1000000/Input!$C$5,_xlpm.wrk,_xlpm.ownfx*MIN(H$29,INDEX(Properties!$R$6:$R$15,$B39))/12*(1-Input!$C$25),((_xlpm.g-(_xlpm.g-_xlpm.n)*_xlpm.tax+_xlpm.noi-_xlpm.wrk)/_xlpm.n)^(12/H$29)-1))</f>
        <v/>
      </c>
      <c r="I39" s="134" t="str" cm="1">
        <f t="array" ref="I39">IF($B39="","",_xlfn.LET(_xlpm.n,INDEX(Properties!$P$6:$P$15,$B39),_xlpm.v,_xlpm.n/(1-INDEX(Input!$I$80:$I$89,$B39))*(1+INDEX(Input!$G$80:$G$89,$B39))^(I$29/12),_xlpm.g,_xlpm.v*(1-Input!$C$15),_xlpm.tax,Input!$C$26,_xlpm.noi,INDEX(Properties!$X$6:$X$15,$B39)*MAX(0,I$29-INDEX(Properties!$R$6:$R$15,$B39))/12*(1-Input!$C$25),_xlpm.ownfx,_xlpm.n*INDEX(Input!$C$80:$C$89,$B39)+(INDEX(Input!$D$80:$D$89,$B39)+INDEX(Input!$E$80:$E$89,$B39))*12*1000000/Input!$C$5,_xlpm.wrk,_xlpm.ownfx*MIN(I$29,INDEX(Properties!$R$6:$R$15,$B39))/12*(1-Input!$C$25),((_xlpm.g-(_xlpm.g-_xlpm.n)*_xlpm.tax+_xlpm.noi-_xlpm.wrk)/_xlpm.n)^(12/I$29)-1))</f>
        <v/>
      </c>
      <c r="J39" s="135" t="str">
        <f t="shared" si="0"/>
        <v/>
      </c>
      <c r="K39" s="135" t="str" cm="1">
        <f t="array" ref="K39">IF($B39="","",INDEX(Properties!$Q$6:$Q$15,$B39)+$J39)</f>
        <v/>
      </c>
    </row>
    <row r="40" spans="1:14" ht="48" customHeight="1" x14ac:dyDescent="0.3">
      <c r="A40" s="9"/>
      <c r="B40" s="532" t="str" cm="1">
        <f t="array" ref="B40">"Takeaway: optimal hold is "&amp;TEXT($J$30,"0")&amp;" months for every active property — sell at works completion. Annualized net return falls from "&amp;TEXT($D$30,"0.0%")&amp;" at "&amp;TEXT($D$29,"0")&amp;" months to "&amp;TEXT($H$30,"0.0%")&amp;" at "&amp;TEXT($H$29,"0")&amp;" months: the "&amp;TEXT(INDEX(Input!$I$80:$I$89,$B30),"0%")&amp;" entry discount is a one-time uplift earned by the renovation, and annualizing it over a longer hold dilutes it faster than "&amp;TEXT(Input!$C$55,"0.0%")&amp;"/yr appreciation can replace. The capital-gains cliff is visible — "&amp;TEXT($H$29,"0")&amp;" months beats "&amp;TEXT($G$29,"0")&amp;" months because the rate drops from "&amp;TEXT(Input!$C$25,"0%")&amp;" to "&amp;TEXT(Input!$C$26,"0%")&amp;" — but it does not offset the dilution. The modelled schedule follows this logic without assuming an instant sale: each property lists at works completion and carries a marketing lag of "&amp;TEXT($H$74,"0")&amp;"–"&amp;TEXT($I$74,"0")&amp;" quarters, giving actual holds of "&amp;TEXT(_xlfn.MINIFS(Properties!$S$6:$S$15,Properties!$D$6:$D$15,1)*3,"0")&amp;" to "&amp;TEXT(_xlfn.MAXIFS(Properties!$S$6:$S$15,Properties!$D$6:$D$15,1)*3,"0")&amp;" months — all short of the 24-month threshold, so gains are taxed at "&amp;TEXT(Input!$C$25,"0%")&amp;"."</f>
        <v>Takeaway: optimal hold is 6 months for every active property — sell at works completion. Annualized net return falls from 84.8% at 6 months to 24.0% at 24 months: the 30% entry discount is a one-time uplift earned by the renovation, and annualizing it over a longer hold dilutes it faster than 7.8%/yr appreciation can replace. The capital-gains cliff is visible — 24 months beats 18 months because the rate drops from 15% to 15% — but it does not offset the dilution. The modelled schedule follows this logic without assuming an instant sale: each property lists at works completion and carries a marketing lag of 18–30 quarters, giving actual holds of 75 to 105 months — all short of the 24-month threshold, so gains are taxed at 15%.</v>
      </c>
      <c r="C40" s="532"/>
      <c r="D40" s="532"/>
      <c r="E40" s="532"/>
      <c r="F40" s="532"/>
      <c r="G40" s="532"/>
      <c r="H40" s="532"/>
      <c r="I40" s="532"/>
      <c r="J40" s="532"/>
      <c r="K40" s="532"/>
      <c r="L40" s="125"/>
      <c r="M40" s="125"/>
    </row>
    <row r="41" spans="1:14" ht="9" customHeight="1" x14ac:dyDescent="0.3">
      <c r="A41"/>
      <c r="B41"/>
      <c r="C41"/>
      <c r="D41"/>
      <c r="E41"/>
      <c r="F41"/>
      <c r="G41"/>
      <c r="H41"/>
      <c r="I41"/>
      <c r="J41"/>
      <c r="K41"/>
      <c r="L41"/>
      <c r="M41"/>
      <c r="N41"/>
    </row>
    <row r="42" spans="1:14" ht="22.05" customHeight="1" x14ac:dyDescent="0.3">
      <c r="A42" s="40"/>
      <c r="B42" s="40" t="s">
        <v>929</v>
      </c>
      <c r="C42" s="40"/>
      <c r="D42" s="40"/>
      <c r="E42" s="40"/>
      <c r="F42" s="40"/>
      <c r="G42" s="40"/>
      <c r="H42" s="40"/>
      <c r="I42" s="281"/>
      <c r="J42" s="281"/>
      <c r="K42" s="281"/>
      <c r="M42"/>
      <c r="N42"/>
    </row>
    <row r="43" spans="1:14" ht="28.8" customHeight="1" x14ac:dyDescent="0.3">
      <c r="A43" s="9"/>
      <c r="B43" s="115" t="s">
        <v>26</v>
      </c>
      <c r="C43" s="115" t="s">
        <v>27</v>
      </c>
      <c r="D43" s="132">
        <f>$D$27</f>
        <v>6</v>
      </c>
      <c r="E43" s="132">
        <f>$E$27</f>
        <v>9</v>
      </c>
      <c r="F43" s="132">
        <f>$F$27</f>
        <v>12</v>
      </c>
      <c r="G43" s="132">
        <f>$G$27</f>
        <v>18</v>
      </c>
      <c r="H43" s="132">
        <f>$H$27</f>
        <v>24</v>
      </c>
      <c r="I43" s="132">
        <f>$I$27</f>
        <v>36</v>
      </c>
      <c r="J43" s="115" t="s">
        <v>387</v>
      </c>
      <c r="K43" s="115" t="s">
        <v>1077</v>
      </c>
      <c r="M43"/>
      <c r="N43"/>
    </row>
    <row r="44" spans="1:14" ht="18" customHeight="1" x14ac:dyDescent="0.3">
      <c r="A44" s="9"/>
      <c r="B44" s="137" cm="1">
        <f t="array" ref="B44:B48">_xlfn._xlws.FILTER(Properties!$A$6:$A$15,Properties!$D$6:$D$15=1)</f>
        <v>1</v>
      </c>
      <c r="C44" s="136" t="str" cm="1">
        <f t="array" ref="C44">IF($B44="","",INDEX(Properties!$E$6:$E$15,$B44))</f>
        <v>Aires de Campestre Apto 801 (Penthouse)</v>
      </c>
      <c r="D44" s="134" cm="1">
        <f t="array" ref="D44">IF($B44="","",_xlfn.LET(_xlpm.n,INDEX(Properties!$P$6:$P$15,$B44),_xlpm.buy,INDEX(Properties!$M$6:$M$15,$B44)+INDEX(Properties!$O$6:$O$15,$B44),_xlpm.cap,INDEX(Properties!$N$6:$N$15,$B44),_xlpm.w,INDEX(Properties!$R$6:$R$15,$B44),_xlpm.m,D$43,_xlpm.k,_xlfn.SEQUENCE(_xlpm.m+1,1,0,1),_xlpm.v,_xlpm.n/(1-INDEX(Input!$I$80:$I$89,$B44))*(1+INDEX(Input!$G$80:$G$89,$B44))^(_xlpm.m/12),_xlpm.gs,_xlpm.v*(1-Input!$C$15),_xlpm.tax,Input!$C$26,_xlpm.noim,INDEX(Properties!$X$6:$X$15,$B44)/12*(1-Input!$C$25),_xlpm.ownm,(_xlpm.n*INDEX(Input!$C$80:$C$89,$B44)+(INDEX(Input!$D$80:$D$89,$B44)+INDEX(Input!$E$80:$E$89,$B44))*12*1000000/Input!$C$5)/12*(1-Input!$C$25),_xlpm.cf,-(_xlpm.k=0)*_xlpm.buy-(_xlpm.k&gt;=1)*(_xlpm.k&lt;=_xlpm.w)*(_xlpm.cap/_xlpm.w+_xlpm.ownm)+(_xlpm.k&gt;_xlpm.w)*_xlpm.noim+(_xlpm.k=_xlpm.m)*(_xlpm.gs-(_xlpm.gs-_xlpm.n)*_xlpm.tax),XIRR(_xlpm.cf,EOMONTH(Input!$C$7,_xlpm.k))))</f>
        <v>1.2083466649055483</v>
      </c>
      <c r="E44" s="134" cm="1">
        <f t="array" ref="E44">IF($B44="","",_xlfn.LET(_xlpm.n,INDEX(Properties!$P$6:$P$15,$B44),_xlpm.buy,INDEX(Properties!$M$6:$M$15,$B44)+INDEX(Properties!$O$6:$O$15,$B44),_xlpm.cap,INDEX(Properties!$N$6:$N$15,$B44),_xlpm.w,INDEX(Properties!$R$6:$R$15,$B44),_xlpm.m,E$43,_xlpm.k,_xlfn.SEQUENCE(_xlpm.m+1,1,0,1),_xlpm.v,_xlpm.n/(1-INDEX(Input!$I$80:$I$89,$B44))*(1+INDEX(Input!$G$80:$G$89,$B44))^(_xlpm.m/12),_xlpm.gs,_xlpm.v*(1-Input!$C$15),_xlpm.tax,Input!$C$26,_xlpm.noim,INDEX(Properties!$X$6:$X$15,$B44)/12*(1-Input!$C$25),_xlpm.ownm,(_xlpm.n*INDEX(Input!$C$80:$C$89,$B44)+(INDEX(Input!$D$80:$D$89,$B44)+INDEX(Input!$E$80:$E$89,$B44))*12*1000000/Input!$C$5)/12*(1-Input!$C$25),_xlpm.cf,-(_xlpm.k=0)*_xlpm.buy-(_xlpm.k&gt;=1)*(_xlpm.k&lt;=_xlpm.w)*(_xlpm.cap/_xlpm.w+_xlpm.ownm)+(_xlpm.k&gt;_xlpm.w)*_xlpm.noim+(_xlpm.k=_xlpm.m)*(_xlpm.gs-(_xlpm.gs-_xlpm.n)*_xlpm.tax),XIRR(_xlpm.cf,EOMONTH(Input!$C$7,_xlpm.k))))</f>
        <v>0.67262226939201353</v>
      </c>
      <c r="F44" s="134" cm="1">
        <f t="array" ref="F44">IF($B44="","",_xlfn.LET(_xlpm.n,INDEX(Properties!$P$6:$P$15,$B44),_xlpm.buy,INDEX(Properties!$M$6:$M$15,$B44)+INDEX(Properties!$O$6:$O$15,$B44),_xlpm.cap,INDEX(Properties!$N$6:$N$15,$B44),_xlpm.w,INDEX(Properties!$R$6:$R$15,$B44),_xlpm.m,F$43,_xlpm.k,_xlfn.SEQUENCE(_xlpm.m+1,1,0,1),_xlpm.v,_xlpm.n/(1-INDEX(Input!$I$80:$I$89,$B44))*(1+INDEX(Input!$G$80:$G$89,$B44))^(_xlpm.m/12),_xlpm.gs,_xlpm.v*(1-Input!$C$15),_xlpm.tax,Input!$C$26,_xlpm.noim,INDEX(Properties!$X$6:$X$15,$B44)/12*(1-Input!$C$25),_xlpm.ownm,(_xlpm.n*INDEX(Input!$C$80:$C$89,$B44)+(INDEX(Input!$D$80:$D$89,$B44)+INDEX(Input!$E$80:$E$89,$B44))*12*1000000/Input!$C$5)/12*(1-Input!$C$25),_xlpm.cf,-(_xlpm.k=0)*_xlpm.buy-(_xlpm.k&gt;=1)*(_xlpm.k&lt;=_xlpm.w)*(_xlpm.cap/_xlpm.w+_xlpm.ownm)+(_xlpm.k&gt;_xlpm.w)*_xlpm.noim+(_xlpm.k=_xlpm.m)*(_xlpm.gs-(_xlpm.gs-_xlpm.n)*_xlpm.tax),XIRR(_xlpm.cf,EOMONTH(Input!$C$7,_xlpm.k))))</f>
        <v>0.48041886687278745</v>
      </c>
      <c r="G44" s="134" cm="1">
        <f t="array" ref="G44">IF($B44="","",_xlfn.LET(_xlpm.n,INDEX(Properties!$P$6:$P$15,$B44),_xlpm.buy,INDEX(Properties!$M$6:$M$15,$B44)+INDEX(Properties!$O$6:$O$15,$B44),_xlpm.cap,INDEX(Properties!$N$6:$N$15,$B44),_xlpm.w,INDEX(Properties!$R$6:$R$15,$B44),_xlpm.m,G$43,_xlpm.k,_xlfn.SEQUENCE(_xlpm.m+1,1,0,1),_xlpm.v,_xlpm.n/(1-INDEX(Input!$I$80:$I$89,$B44))*(1+INDEX(Input!$G$80:$G$89,$B44))^(_xlpm.m/12),_xlpm.gs,_xlpm.v*(1-Input!$C$15),_xlpm.tax,Input!$C$26,_xlpm.noim,INDEX(Properties!$X$6:$X$15,$B44)/12*(1-Input!$C$25),_xlpm.ownm,(_xlpm.n*INDEX(Input!$C$80:$C$89,$B44)+(INDEX(Input!$D$80:$D$89,$B44)+INDEX(Input!$E$80:$E$89,$B44))*12*1000000/Input!$C$5)/12*(1-Input!$C$25),_xlpm.cf,-(_xlpm.k=0)*_xlpm.buy-(_xlpm.k&gt;=1)*(_xlpm.k&lt;=_xlpm.w)*(_xlpm.cap/_xlpm.w+_xlpm.ownm)+(_xlpm.k&gt;_xlpm.w)*_xlpm.noim+(_xlpm.k=_xlpm.m)*(_xlpm.gs-(_xlpm.gs-_xlpm.n)*_xlpm.tax),XIRR(_xlpm.cf,EOMONTH(Input!$C$7,_xlpm.k))))</f>
        <v>0.32506588101387035</v>
      </c>
      <c r="H44" s="134" cm="1">
        <f t="array" ref="H44">IF($B44="","",_xlfn.LET(_xlpm.n,INDEX(Properties!$P$6:$P$15,$B44),_xlpm.buy,INDEX(Properties!$M$6:$M$15,$B44)+INDEX(Properties!$O$6:$O$15,$B44),_xlpm.cap,INDEX(Properties!$N$6:$N$15,$B44),_xlpm.w,INDEX(Properties!$R$6:$R$15,$B44),_xlpm.m,H$43,_xlpm.k,_xlfn.SEQUENCE(_xlpm.m+1,1,0,1),_xlpm.v,_xlpm.n/(1-INDEX(Input!$I$80:$I$89,$B44))*(1+INDEX(Input!$G$80:$G$89,$B44))^(_xlpm.m/12),_xlpm.gs,_xlpm.v*(1-Input!$C$15),_xlpm.tax,Input!$C$26,_xlpm.noim,INDEX(Properties!$X$6:$X$15,$B44)/12*(1-Input!$C$25),_xlpm.ownm,(_xlpm.n*INDEX(Input!$C$80:$C$89,$B44)+(INDEX(Input!$D$80:$D$89,$B44)+INDEX(Input!$E$80:$E$89,$B44))*12*1000000/Input!$C$5)/12*(1-Input!$C$25),_xlpm.cf,-(_xlpm.k=0)*_xlpm.buy-(_xlpm.k&gt;=1)*(_xlpm.k&lt;=_xlpm.w)*(_xlpm.cap/_xlpm.w+_xlpm.ownm)+(_xlpm.k&gt;_xlpm.w)*_xlpm.noim+(_xlpm.k=_xlpm.m)*(_xlpm.gs-(_xlpm.gs-_xlpm.n)*_xlpm.tax),XIRR(_xlpm.cf,EOMONTH(Input!$C$7,_xlpm.k))))</f>
        <v>0.25677147507667542</v>
      </c>
      <c r="I44" s="134" cm="1">
        <f t="array" ref="I44">IF($B44="","",_xlfn.LET(_xlpm.n,INDEX(Properties!$P$6:$P$15,$B44),_xlpm.buy,INDEX(Properties!$M$6:$M$15,$B44)+INDEX(Properties!$O$6:$O$15,$B44),_xlpm.cap,INDEX(Properties!$N$6:$N$15,$B44),_xlpm.w,INDEX(Properties!$R$6:$R$15,$B44),_xlpm.m,I$43,_xlpm.k,_xlfn.SEQUENCE(_xlpm.m+1,1,0,1),_xlpm.v,_xlpm.n/(1-INDEX(Input!$I$80:$I$89,$B44))*(1+INDEX(Input!$G$80:$G$89,$B44))^(_xlpm.m/12),_xlpm.gs,_xlpm.v*(1-Input!$C$15),_xlpm.tax,Input!$C$26,_xlpm.noim,INDEX(Properties!$X$6:$X$15,$B44)/12*(1-Input!$C$25),_xlpm.ownm,(_xlpm.n*INDEX(Input!$C$80:$C$89,$B44)+(INDEX(Input!$D$80:$D$89,$B44)+INDEX(Input!$E$80:$E$89,$B44))*12*1000000/Input!$C$5)/12*(1-Input!$C$25),_xlpm.cf,-(_xlpm.k=0)*_xlpm.buy-(_xlpm.k&gt;=1)*(_xlpm.k&lt;=_xlpm.w)*(_xlpm.cap/_xlpm.w+_xlpm.ownm)+(_xlpm.k&gt;_xlpm.w)*_xlpm.noim+(_xlpm.k=_xlpm.m)*(_xlpm.gs-(_xlpm.gs-_xlpm.n)*_xlpm.tax),XIRR(_xlpm.cf,EOMONTH(Input!$C$7,_xlpm.k))))</f>
        <v>0.19534539580345156</v>
      </c>
      <c r="J44" s="135">
        <f t="shared" ref="J44:J53" si="1">IF($B44="","",INDEX($D$43:$I$43,MATCH(MAX(D44:I44),D44:I44,0)))</f>
        <v>6</v>
      </c>
      <c r="K44" s="135" cm="1">
        <f t="array" ref="K44">IF($B44="","",INDEX(Properties!$Q$6:$Q$15,$B44)+$J44)</f>
        <v>8</v>
      </c>
      <c r="M44"/>
      <c r="N44"/>
    </row>
    <row r="45" spans="1:14" ht="18" customHeight="1" x14ac:dyDescent="0.3">
      <c r="A45" s="9"/>
      <c r="B45" s="137">
        <v>2</v>
      </c>
      <c r="C45" s="136" t="str" cm="1">
        <f t="array" ref="C45">IF($B45="","",INDEX(Properties!$E$6:$E$15,$B45))</f>
        <v>Fontanar Apto 201 (Penthouse)</v>
      </c>
      <c r="D45" s="134" cm="1">
        <f t="array" ref="D45">IF($B45="","",_xlfn.LET(_xlpm.n,INDEX(Properties!$P$6:$P$15,$B45),_xlpm.buy,INDEX(Properties!$M$6:$M$15,$B45)+INDEX(Properties!$O$6:$O$15,$B45),_xlpm.cap,INDEX(Properties!$N$6:$N$15,$B45),_xlpm.w,INDEX(Properties!$R$6:$R$15,$B45),_xlpm.m,D$43,_xlpm.k,_xlfn.SEQUENCE(_xlpm.m+1,1,0,1),_xlpm.v,_xlpm.n/(1-INDEX(Input!$I$80:$I$89,$B45))*(1+INDEX(Input!$G$80:$G$89,$B45))^(_xlpm.m/12),_xlpm.gs,_xlpm.v*(1-Input!$C$15),_xlpm.tax,Input!$C$26,_xlpm.noim,INDEX(Properties!$X$6:$X$15,$B45)/12*(1-Input!$C$25),_xlpm.ownm,(_xlpm.n*INDEX(Input!$C$80:$C$89,$B45)+(INDEX(Input!$D$80:$D$89,$B45)+INDEX(Input!$E$80:$E$89,$B45))*12*1000000/Input!$C$5)/12*(1-Input!$C$25),_xlpm.cf,-(_xlpm.k=0)*_xlpm.buy-(_xlpm.k&gt;=1)*(_xlpm.k&lt;=_xlpm.w)*(_xlpm.cap/_xlpm.w+_xlpm.ownm)+(_xlpm.k&gt;_xlpm.w)*_xlpm.noim+(_xlpm.k=_xlpm.m)*(_xlpm.gs-(_xlpm.gs-_xlpm.n)*_xlpm.tax),XIRR(_xlpm.cf,EOMONTH(Input!$C$7,_xlpm.k))))</f>
        <v>0.9877419590950014</v>
      </c>
      <c r="E45" s="134" cm="1">
        <f t="array" ref="E45">IF($B45="","",_xlfn.LET(_xlpm.n,INDEX(Properties!$P$6:$P$15,$B45),_xlpm.buy,INDEX(Properties!$M$6:$M$15,$B45)+INDEX(Properties!$O$6:$O$15,$B45),_xlpm.cap,INDEX(Properties!$N$6:$N$15,$B45),_xlpm.w,INDEX(Properties!$R$6:$R$15,$B45),_xlpm.m,E$43,_xlpm.k,_xlfn.SEQUENCE(_xlpm.m+1,1,0,1),_xlpm.v,_xlpm.n/(1-INDEX(Input!$I$80:$I$89,$B45))*(1+INDEX(Input!$G$80:$G$89,$B45))^(_xlpm.m/12),_xlpm.gs,_xlpm.v*(1-Input!$C$15),_xlpm.tax,Input!$C$26,_xlpm.noim,INDEX(Properties!$X$6:$X$15,$B45)/12*(1-Input!$C$25),_xlpm.ownm,(_xlpm.n*INDEX(Input!$C$80:$C$89,$B45)+(INDEX(Input!$D$80:$D$89,$B45)+INDEX(Input!$E$80:$E$89,$B45))*12*1000000/Input!$C$5)/12*(1-Input!$C$25),_xlpm.cf,-(_xlpm.k=0)*_xlpm.buy-(_xlpm.k&gt;=1)*(_xlpm.k&lt;=_xlpm.w)*(_xlpm.cap/_xlpm.w+_xlpm.ownm)+(_xlpm.k&gt;_xlpm.w)*_xlpm.noim+(_xlpm.k=_xlpm.m)*(_xlpm.gs-(_xlpm.gs-_xlpm.n)*_xlpm.tax),XIRR(_xlpm.cf,EOMONTH(Input!$C$7,_xlpm.k))))</f>
        <v>0.59777755141258238</v>
      </c>
      <c r="F45" s="134" cm="1">
        <f t="array" ref="F45">IF($B45="","",_xlfn.LET(_xlpm.n,INDEX(Properties!$P$6:$P$15,$B45),_xlpm.buy,INDEX(Properties!$M$6:$M$15,$B45)+INDEX(Properties!$O$6:$O$15,$B45),_xlpm.cap,INDEX(Properties!$N$6:$N$15,$B45),_xlpm.w,INDEX(Properties!$R$6:$R$15,$B45),_xlpm.m,F$43,_xlpm.k,_xlfn.SEQUENCE(_xlpm.m+1,1,0,1),_xlpm.v,_xlpm.n/(1-INDEX(Input!$I$80:$I$89,$B45))*(1+INDEX(Input!$G$80:$G$89,$B45))^(_xlpm.m/12),_xlpm.gs,_xlpm.v*(1-Input!$C$15),_xlpm.tax,Input!$C$26,_xlpm.noim,INDEX(Properties!$X$6:$X$15,$B45)/12*(1-Input!$C$25),_xlpm.ownm,(_xlpm.n*INDEX(Input!$C$80:$C$89,$B45)+(INDEX(Input!$D$80:$D$89,$B45)+INDEX(Input!$E$80:$E$89,$B45))*12*1000000/Input!$C$5)/12*(1-Input!$C$25),_xlpm.cf,-(_xlpm.k=0)*_xlpm.buy-(_xlpm.k&gt;=1)*(_xlpm.k&lt;=_xlpm.w)*(_xlpm.cap/_xlpm.w+_xlpm.ownm)+(_xlpm.k&gt;_xlpm.w)*_xlpm.noim+(_xlpm.k=_xlpm.m)*(_xlpm.gs-(_xlpm.gs-_xlpm.n)*_xlpm.tax),XIRR(_xlpm.cf,EOMONTH(Input!$C$7,_xlpm.k))))</f>
        <v>0.44154610037803643</v>
      </c>
      <c r="G45" s="134" cm="1">
        <f t="array" ref="G45">IF($B45="","",_xlfn.LET(_xlpm.n,INDEX(Properties!$P$6:$P$15,$B45),_xlpm.buy,INDEX(Properties!$M$6:$M$15,$B45)+INDEX(Properties!$O$6:$O$15,$B45),_xlpm.cap,INDEX(Properties!$N$6:$N$15,$B45),_xlpm.w,INDEX(Properties!$R$6:$R$15,$B45),_xlpm.m,G$43,_xlpm.k,_xlfn.SEQUENCE(_xlpm.m+1,1,0,1),_xlpm.v,_xlpm.n/(1-INDEX(Input!$I$80:$I$89,$B45))*(1+INDEX(Input!$G$80:$G$89,$B45))^(_xlpm.m/12),_xlpm.gs,_xlpm.v*(1-Input!$C$15),_xlpm.tax,Input!$C$26,_xlpm.noim,INDEX(Properties!$X$6:$X$15,$B45)/12*(1-Input!$C$25),_xlpm.ownm,(_xlpm.n*INDEX(Input!$C$80:$C$89,$B45)+(INDEX(Input!$D$80:$D$89,$B45)+INDEX(Input!$E$80:$E$89,$B45))*12*1000000/Input!$C$5)/12*(1-Input!$C$25),_xlpm.cf,-(_xlpm.k=0)*_xlpm.buy-(_xlpm.k&gt;=1)*(_xlpm.k&lt;=_xlpm.w)*(_xlpm.cap/_xlpm.w+_xlpm.ownm)+(_xlpm.k&gt;_xlpm.w)*_xlpm.noim+(_xlpm.k=_xlpm.m)*(_xlpm.gs-(_xlpm.gs-_xlpm.n)*_xlpm.tax),XIRR(_xlpm.cf,EOMONTH(Input!$C$7,_xlpm.k))))</f>
        <v>0.30726220011711125</v>
      </c>
      <c r="H45" s="134" cm="1">
        <f t="array" ref="H45">IF($B45="","",_xlfn.LET(_xlpm.n,INDEX(Properties!$P$6:$P$15,$B45),_xlpm.buy,INDEX(Properties!$M$6:$M$15,$B45)+INDEX(Properties!$O$6:$O$15,$B45),_xlpm.cap,INDEX(Properties!$N$6:$N$15,$B45),_xlpm.w,INDEX(Properties!$R$6:$R$15,$B45),_xlpm.m,H$43,_xlpm.k,_xlfn.SEQUENCE(_xlpm.m+1,1,0,1),_xlpm.v,_xlpm.n/(1-INDEX(Input!$I$80:$I$89,$B45))*(1+INDEX(Input!$G$80:$G$89,$B45))^(_xlpm.m/12),_xlpm.gs,_xlpm.v*(1-Input!$C$15),_xlpm.tax,Input!$C$26,_xlpm.noim,INDEX(Properties!$X$6:$X$15,$B45)/12*(1-Input!$C$25),_xlpm.ownm,(_xlpm.n*INDEX(Input!$C$80:$C$89,$B45)+(INDEX(Input!$D$80:$D$89,$B45)+INDEX(Input!$E$80:$E$89,$B45))*12*1000000/Input!$C$5)/12*(1-Input!$C$25),_xlpm.cf,-(_xlpm.k=0)*_xlpm.buy-(_xlpm.k&gt;=1)*(_xlpm.k&lt;=_xlpm.w)*(_xlpm.cap/_xlpm.w+_xlpm.ownm)+(_xlpm.k&gt;_xlpm.w)*_xlpm.noim+(_xlpm.k=_xlpm.m)*(_xlpm.gs-(_xlpm.gs-_xlpm.n)*_xlpm.tax),XIRR(_xlpm.cf,EOMONTH(Input!$C$7,_xlpm.k))))</f>
        <v>0.24565634131431582</v>
      </c>
      <c r="I45" s="134" cm="1">
        <f t="array" ref="I45">IF($B45="","",_xlfn.LET(_xlpm.n,INDEX(Properties!$P$6:$P$15,$B45),_xlpm.buy,INDEX(Properties!$M$6:$M$15,$B45)+INDEX(Properties!$O$6:$O$15,$B45),_xlpm.cap,INDEX(Properties!$N$6:$N$15,$B45),_xlpm.w,INDEX(Properties!$R$6:$R$15,$B45),_xlpm.m,I$43,_xlpm.k,_xlfn.SEQUENCE(_xlpm.m+1,1,0,1),_xlpm.v,_xlpm.n/(1-INDEX(Input!$I$80:$I$89,$B45))*(1+INDEX(Input!$G$80:$G$89,$B45))^(_xlpm.m/12),_xlpm.gs,_xlpm.v*(1-Input!$C$15),_xlpm.tax,Input!$C$26,_xlpm.noim,INDEX(Properties!$X$6:$X$15,$B45)/12*(1-Input!$C$25),_xlpm.ownm,(_xlpm.n*INDEX(Input!$C$80:$C$89,$B45)+(INDEX(Input!$D$80:$D$89,$B45)+INDEX(Input!$E$80:$E$89,$B45))*12*1000000/Input!$C$5)/12*(1-Input!$C$25),_xlpm.cf,-(_xlpm.k=0)*_xlpm.buy-(_xlpm.k&gt;=1)*(_xlpm.k&lt;=_xlpm.w)*(_xlpm.cap/_xlpm.w+_xlpm.ownm)+(_xlpm.k&gt;_xlpm.w)*_xlpm.noim+(_xlpm.k=_xlpm.m)*(_xlpm.gs-(_xlpm.gs-_xlpm.n)*_xlpm.tax),XIRR(_xlpm.cf,EOMONTH(Input!$C$7,_xlpm.k))))</f>
        <v>0.1888198673725128</v>
      </c>
      <c r="J45" s="135">
        <f t="shared" si="1"/>
        <v>6</v>
      </c>
      <c r="K45" s="135" cm="1">
        <f t="array" ref="K45">IF($B45="","",INDEX(Properties!$Q$6:$Q$15,$B45)+$J45)</f>
        <v>7</v>
      </c>
      <c r="M45"/>
      <c r="N45"/>
    </row>
    <row r="46" spans="1:14" ht="18" customHeight="1" x14ac:dyDescent="0.3">
      <c r="A46" s="9"/>
      <c r="B46" s="137">
        <v>3</v>
      </c>
      <c r="C46" s="136" t="str" cm="1">
        <f t="array" ref="C46">IF($B46="","",INDEX(Properties!$E$6:$E$15,$B46))</f>
        <v>San Lucas Apto 101</v>
      </c>
      <c r="D46" s="134" cm="1">
        <f t="array" ref="D46">IF($B46="","",_xlfn.LET(_xlpm.n,INDEX(Properties!$P$6:$P$15,$B46),_xlpm.buy,INDEX(Properties!$M$6:$M$15,$B46)+INDEX(Properties!$O$6:$O$15,$B46),_xlpm.cap,INDEX(Properties!$N$6:$N$15,$B46),_xlpm.w,INDEX(Properties!$R$6:$R$15,$B46),_xlpm.m,D$43,_xlpm.k,_xlfn.SEQUENCE(_xlpm.m+1,1,0,1),_xlpm.v,_xlpm.n/(1-INDEX(Input!$I$80:$I$89,$B46))*(1+INDEX(Input!$G$80:$G$89,$B46))^(_xlpm.m/12),_xlpm.gs,_xlpm.v*(1-Input!$C$15),_xlpm.tax,Input!$C$26,_xlpm.noim,INDEX(Properties!$X$6:$X$15,$B46)/12*(1-Input!$C$25),_xlpm.ownm,(_xlpm.n*INDEX(Input!$C$80:$C$89,$B46)+(INDEX(Input!$D$80:$D$89,$B46)+INDEX(Input!$E$80:$E$89,$B46))*12*1000000/Input!$C$5)/12*(1-Input!$C$25),_xlpm.cf,-(_xlpm.k=0)*_xlpm.buy-(_xlpm.k&gt;=1)*(_xlpm.k&lt;=_xlpm.w)*(_xlpm.cap/_xlpm.w+_xlpm.ownm)+(_xlpm.k&gt;_xlpm.w)*_xlpm.noim+(_xlpm.k=_xlpm.m)*(_xlpm.gs-(_xlpm.gs-_xlpm.n)*_xlpm.tax),XIRR(_xlpm.cf,EOMONTH(Input!$C$7,_xlpm.k))))</f>
        <v>1.174885213375092</v>
      </c>
      <c r="E46" s="134" cm="1">
        <f t="array" ref="E46">IF($B46="","",_xlfn.LET(_xlpm.n,INDEX(Properties!$P$6:$P$15,$B46),_xlpm.buy,INDEX(Properties!$M$6:$M$15,$B46)+INDEX(Properties!$O$6:$O$15,$B46),_xlpm.cap,INDEX(Properties!$N$6:$N$15,$B46),_xlpm.w,INDEX(Properties!$R$6:$R$15,$B46),_xlpm.m,E$43,_xlpm.k,_xlfn.SEQUENCE(_xlpm.m+1,1,0,1),_xlpm.v,_xlpm.n/(1-INDEX(Input!$I$80:$I$89,$B46))*(1+INDEX(Input!$G$80:$G$89,$B46))^(_xlpm.m/12),_xlpm.gs,_xlpm.v*(1-Input!$C$15),_xlpm.tax,Input!$C$26,_xlpm.noim,INDEX(Properties!$X$6:$X$15,$B46)/12*(1-Input!$C$25),_xlpm.ownm,(_xlpm.n*INDEX(Input!$C$80:$C$89,$B46)+(INDEX(Input!$D$80:$D$89,$B46)+INDEX(Input!$E$80:$E$89,$B46))*12*1000000/Input!$C$5)/12*(1-Input!$C$25),_xlpm.cf,-(_xlpm.k=0)*_xlpm.buy-(_xlpm.k&gt;=1)*(_xlpm.k&lt;=_xlpm.w)*(_xlpm.cap/_xlpm.w+_xlpm.ownm)+(_xlpm.k&gt;_xlpm.w)*_xlpm.noim+(_xlpm.k=_xlpm.m)*(_xlpm.gs-(_xlpm.gs-_xlpm.n)*_xlpm.tax),XIRR(_xlpm.cf,EOMONTH(Input!$C$7,_xlpm.k))))</f>
        <v>0.66827527880668636</v>
      </c>
      <c r="F46" s="134" cm="1">
        <f t="array" ref="F46">IF($B46="","",_xlfn.LET(_xlpm.n,INDEX(Properties!$P$6:$P$15,$B46),_xlpm.buy,INDEX(Properties!$M$6:$M$15,$B46)+INDEX(Properties!$O$6:$O$15,$B46),_xlpm.cap,INDEX(Properties!$N$6:$N$15,$B46),_xlpm.w,INDEX(Properties!$R$6:$R$15,$B46),_xlpm.m,F$43,_xlpm.k,_xlfn.SEQUENCE(_xlpm.m+1,1,0,1),_xlpm.v,_xlpm.n/(1-INDEX(Input!$I$80:$I$89,$B46))*(1+INDEX(Input!$G$80:$G$89,$B46))^(_xlpm.m/12),_xlpm.gs,_xlpm.v*(1-Input!$C$15),_xlpm.tax,Input!$C$26,_xlpm.noim,INDEX(Properties!$X$6:$X$15,$B46)/12*(1-Input!$C$25),_xlpm.ownm,(_xlpm.n*INDEX(Input!$C$80:$C$89,$B46)+(INDEX(Input!$D$80:$D$89,$B46)+INDEX(Input!$E$80:$E$89,$B46))*12*1000000/Input!$C$5)/12*(1-Input!$C$25),_xlpm.cf,-(_xlpm.k=0)*_xlpm.buy-(_xlpm.k&gt;=1)*(_xlpm.k&lt;=_xlpm.w)*(_xlpm.cap/_xlpm.w+_xlpm.ownm)+(_xlpm.k&gt;_xlpm.w)*_xlpm.noim+(_xlpm.k=_xlpm.m)*(_xlpm.gs-(_xlpm.gs-_xlpm.n)*_xlpm.tax),XIRR(_xlpm.cf,EOMONTH(Input!$C$7,_xlpm.k))))</f>
        <v>0.48348699212074286</v>
      </c>
      <c r="G46" s="134" cm="1">
        <f t="array" ref="G46">IF($B46="","",_xlfn.LET(_xlpm.n,INDEX(Properties!$P$6:$P$15,$B46),_xlpm.buy,INDEX(Properties!$M$6:$M$15,$B46)+INDEX(Properties!$O$6:$O$15,$B46),_xlpm.cap,INDEX(Properties!$N$6:$N$15,$B46),_xlpm.w,INDEX(Properties!$R$6:$R$15,$B46),_xlpm.m,G$43,_xlpm.k,_xlfn.SEQUENCE(_xlpm.m+1,1,0,1),_xlpm.v,_xlpm.n/(1-INDEX(Input!$I$80:$I$89,$B46))*(1+INDEX(Input!$G$80:$G$89,$B46))^(_xlpm.m/12),_xlpm.gs,_xlpm.v*(1-Input!$C$15),_xlpm.tax,Input!$C$26,_xlpm.noim,INDEX(Properties!$X$6:$X$15,$B46)/12*(1-Input!$C$25),_xlpm.ownm,(_xlpm.n*INDEX(Input!$C$80:$C$89,$B46)+(INDEX(Input!$D$80:$D$89,$B46)+INDEX(Input!$E$80:$E$89,$B46))*12*1000000/Input!$C$5)/12*(1-Input!$C$25),_xlpm.cf,-(_xlpm.k=0)*_xlpm.buy-(_xlpm.k&gt;=1)*(_xlpm.k&lt;=_xlpm.w)*(_xlpm.cap/_xlpm.w+_xlpm.ownm)+(_xlpm.k&gt;_xlpm.w)*_xlpm.noim+(_xlpm.k=_xlpm.m)*(_xlpm.gs-(_xlpm.gs-_xlpm.n)*_xlpm.tax),XIRR(_xlpm.cf,EOMONTH(Input!$C$7,_xlpm.k))))</f>
        <v>0.33272399306297307</v>
      </c>
      <c r="H46" s="134" cm="1">
        <f t="array" ref="H46">IF($B46="","",_xlfn.LET(_xlpm.n,INDEX(Properties!$P$6:$P$15,$B46),_xlpm.buy,INDEX(Properties!$M$6:$M$15,$B46)+INDEX(Properties!$O$6:$O$15,$B46),_xlpm.cap,INDEX(Properties!$N$6:$N$15,$B46),_xlpm.w,INDEX(Properties!$R$6:$R$15,$B46),_xlpm.m,H$43,_xlpm.k,_xlfn.SEQUENCE(_xlpm.m+1,1,0,1),_xlpm.v,_xlpm.n/(1-INDEX(Input!$I$80:$I$89,$B46))*(1+INDEX(Input!$G$80:$G$89,$B46))^(_xlpm.m/12),_xlpm.gs,_xlpm.v*(1-Input!$C$15),_xlpm.tax,Input!$C$26,_xlpm.noim,INDEX(Properties!$X$6:$X$15,$B46)/12*(1-Input!$C$25),_xlpm.ownm,(_xlpm.n*INDEX(Input!$C$80:$C$89,$B46)+(INDEX(Input!$D$80:$D$89,$B46)+INDEX(Input!$E$80:$E$89,$B46))*12*1000000/Input!$C$5)/12*(1-Input!$C$25),_xlpm.cf,-(_xlpm.k=0)*_xlpm.buy-(_xlpm.k&gt;=1)*(_xlpm.k&lt;=_xlpm.w)*(_xlpm.cap/_xlpm.w+_xlpm.ownm)+(_xlpm.k&gt;_xlpm.w)*_xlpm.noim+(_xlpm.k=_xlpm.m)*(_xlpm.gs-(_xlpm.gs-_xlpm.n)*_xlpm.tax),XIRR(_xlpm.cf,EOMONTH(Input!$C$7,_xlpm.k))))</f>
        <v>0.26587914824485781</v>
      </c>
      <c r="I46" s="134" cm="1">
        <f t="array" ref="I46">IF($B46="","",_xlfn.LET(_xlpm.n,INDEX(Properties!$P$6:$P$15,$B46),_xlpm.buy,INDEX(Properties!$M$6:$M$15,$B46)+INDEX(Properties!$O$6:$O$15,$B46),_xlpm.cap,INDEX(Properties!$N$6:$N$15,$B46),_xlpm.w,INDEX(Properties!$R$6:$R$15,$B46),_xlpm.m,I$43,_xlpm.k,_xlfn.SEQUENCE(_xlpm.m+1,1,0,1),_xlpm.v,_xlpm.n/(1-INDEX(Input!$I$80:$I$89,$B46))*(1+INDEX(Input!$G$80:$G$89,$B46))^(_xlpm.m/12),_xlpm.gs,_xlpm.v*(1-Input!$C$15),_xlpm.tax,Input!$C$26,_xlpm.noim,INDEX(Properties!$X$6:$X$15,$B46)/12*(1-Input!$C$25),_xlpm.ownm,(_xlpm.n*INDEX(Input!$C$80:$C$89,$B46)+(INDEX(Input!$D$80:$D$89,$B46)+INDEX(Input!$E$80:$E$89,$B46))*12*1000000/Input!$C$5)/12*(1-Input!$C$25),_xlpm.cf,-(_xlpm.k=0)*_xlpm.buy-(_xlpm.k&gt;=1)*(_xlpm.k&lt;=_xlpm.w)*(_xlpm.cap/_xlpm.w+_xlpm.ownm)+(_xlpm.k&gt;_xlpm.w)*_xlpm.noim+(_xlpm.k=_xlpm.m)*(_xlpm.gs-(_xlpm.gs-_xlpm.n)*_xlpm.tax),XIRR(_xlpm.cf,EOMONTH(Input!$C$7,_xlpm.k))))</f>
        <v>0.20535758137702942</v>
      </c>
      <c r="J46" s="135">
        <f t="shared" si="1"/>
        <v>6</v>
      </c>
      <c r="K46" s="135" cm="1">
        <f t="array" ref="K46">IF($B46="","",INDEX(Properties!$Q$6:$Q$15,$B46)+$J46)</f>
        <v>9</v>
      </c>
      <c r="M46"/>
      <c r="N46"/>
    </row>
    <row r="47" spans="1:14" ht="18" customHeight="1" x14ac:dyDescent="0.3">
      <c r="A47" s="9"/>
      <c r="B47" s="137">
        <v>4</v>
      </c>
      <c r="C47" s="136" t="str" cm="1">
        <f t="array" ref="C47">IF($B47="","",INDEX(Properties!$E$6:$E$15,$B47))</f>
        <v>Casa Montana Lote 2 (Samuel Gaviria House)</v>
      </c>
      <c r="D47" s="134" cm="1">
        <f t="array" ref="D47">IF($B47="","",_xlfn.LET(_xlpm.n,INDEX(Properties!$P$6:$P$15,$B47),_xlpm.buy,INDEX(Properties!$M$6:$M$15,$B47)+INDEX(Properties!$O$6:$O$15,$B47),_xlpm.cap,INDEX(Properties!$N$6:$N$15,$B47),_xlpm.w,INDEX(Properties!$R$6:$R$15,$B47),_xlpm.m,D$43,_xlpm.k,_xlfn.SEQUENCE(_xlpm.m+1,1,0,1),_xlpm.v,_xlpm.n/(1-INDEX(Input!$I$80:$I$89,$B47))*(1+INDEX(Input!$G$80:$G$89,$B47))^(_xlpm.m/12),_xlpm.gs,_xlpm.v*(1-Input!$C$15),_xlpm.tax,Input!$C$26,_xlpm.noim,INDEX(Properties!$X$6:$X$15,$B47)/12*(1-Input!$C$25),_xlpm.ownm,(_xlpm.n*INDEX(Input!$C$80:$C$89,$B47)+(INDEX(Input!$D$80:$D$89,$B47)+INDEX(Input!$E$80:$E$89,$B47))*12*1000000/Input!$C$5)/12*(1-Input!$C$25),_xlpm.cf,-(_xlpm.k=0)*_xlpm.buy-(_xlpm.k&gt;=1)*(_xlpm.k&lt;=_xlpm.w)*(_xlpm.cap/_xlpm.w+_xlpm.ownm)+(_xlpm.k&gt;_xlpm.w)*_xlpm.noim+(_xlpm.k=_xlpm.m)*(_xlpm.gs-(_xlpm.gs-_xlpm.n)*_xlpm.tax),XIRR(_xlpm.cf,EOMONTH(Input!$C$7,_xlpm.k))))</f>
        <v>1.0846777081489567</v>
      </c>
      <c r="E47" s="134" cm="1">
        <f t="array" ref="E47">IF($B47="","",_xlfn.LET(_xlpm.n,INDEX(Properties!$P$6:$P$15,$B47),_xlpm.buy,INDEX(Properties!$M$6:$M$15,$B47)+INDEX(Properties!$O$6:$O$15,$B47),_xlpm.cap,INDEX(Properties!$N$6:$N$15,$B47),_xlpm.w,INDEX(Properties!$R$6:$R$15,$B47),_xlpm.m,E$43,_xlpm.k,_xlfn.SEQUENCE(_xlpm.m+1,1,0,1),_xlpm.v,_xlpm.n/(1-INDEX(Input!$I$80:$I$89,$B47))*(1+INDEX(Input!$G$80:$G$89,$B47))^(_xlpm.m/12),_xlpm.gs,_xlpm.v*(1-Input!$C$15),_xlpm.tax,Input!$C$26,_xlpm.noim,INDEX(Properties!$X$6:$X$15,$B47)/12*(1-Input!$C$25),_xlpm.ownm,(_xlpm.n*INDEX(Input!$C$80:$C$89,$B47)+(INDEX(Input!$D$80:$D$89,$B47)+INDEX(Input!$E$80:$E$89,$B47))*12*1000000/Input!$C$5)/12*(1-Input!$C$25),_xlpm.cf,-(_xlpm.k=0)*_xlpm.buy-(_xlpm.k&gt;=1)*(_xlpm.k&lt;=_xlpm.w)*(_xlpm.cap/_xlpm.w+_xlpm.ownm)+(_xlpm.k&gt;_xlpm.w)*_xlpm.noim+(_xlpm.k=_xlpm.m)*(_xlpm.gs-(_xlpm.gs-_xlpm.n)*_xlpm.tax),XIRR(_xlpm.cf,EOMONTH(Input!$C$7,_xlpm.k))))</f>
        <v>0.62230115532875085</v>
      </c>
      <c r="F47" s="134" cm="1">
        <f t="array" ref="F47">IF($B47="","",_xlfn.LET(_xlpm.n,INDEX(Properties!$P$6:$P$15,$B47),_xlpm.buy,INDEX(Properties!$M$6:$M$15,$B47)+INDEX(Properties!$O$6:$O$15,$B47),_xlpm.cap,INDEX(Properties!$N$6:$N$15,$B47),_xlpm.w,INDEX(Properties!$R$6:$R$15,$B47),_xlpm.m,F$43,_xlpm.k,_xlfn.SEQUENCE(_xlpm.m+1,1,0,1),_xlpm.v,_xlpm.n/(1-INDEX(Input!$I$80:$I$89,$B47))*(1+INDEX(Input!$G$80:$G$89,$B47))^(_xlpm.m/12),_xlpm.gs,_xlpm.v*(1-Input!$C$15),_xlpm.tax,Input!$C$26,_xlpm.noim,INDEX(Properties!$X$6:$X$15,$B47)/12*(1-Input!$C$25),_xlpm.ownm,(_xlpm.n*INDEX(Input!$C$80:$C$89,$B47)+(INDEX(Input!$D$80:$D$89,$B47)+INDEX(Input!$E$80:$E$89,$B47))*12*1000000/Input!$C$5)/12*(1-Input!$C$25),_xlpm.cf,-(_xlpm.k=0)*_xlpm.buy-(_xlpm.k&gt;=1)*(_xlpm.k&lt;=_xlpm.w)*(_xlpm.cap/_xlpm.w+_xlpm.ownm)+(_xlpm.k&gt;_xlpm.w)*_xlpm.noim+(_xlpm.k=_xlpm.m)*(_xlpm.gs-(_xlpm.gs-_xlpm.n)*_xlpm.tax),XIRR(_xlpm.cf,EOMONTH(Input!$C$7,_xlpm.k))))</f>
        <v>0.44792092442512521</v>
      </c>
      <c r="G47" s="134" cm="1">
        <f t="array" ref="G47">IF($B47="","",_xlfn.LET(_xlpm.n,INDEX(Properties!$P$6:$P$15,$B47),_xlpm.buy,INDEX(Properties!$M$6:$M$15,$B47)+INDEX(Properties!$O$6:$O$15,$B47),_xlpm.cap,INDEX(Properties!$N$6:$N$15,$B47),_xlpm.w,INDEX(Properties!$R$6:$R$15,$B47),_xlpm.m,G$43,_xlpm.k,_xlfn.SEQUENCE(_xlpm.m+1,1,0,1),_xlpm.v,_xlpm.n/(1-INDEX(Input!$I$80:$I$89,$B47))*(1+INDEX(Input!$G$80:$G$89,$B47))^(_xlpm.m/12),_xlpm.gs,_xlpm.v*(1-Input!$C$15),_xlpm.tax,Input!$C$26,_xlpm.noim,INDEX(Properties!$X$6:$X$15,$B47)/12*(1-Input!$C$25),_xlpm.ownm,(_xlpm.n*INDEX(Input!$C$80:$C$89,$B47)+(INDEX(Input!$D$80:$D$89,$B47)+INDEX(Input!$E$80:$E$89,$B47))*12*1000000/Input!$C$5)/12*(1-Input!$C$25),_xlpm.cf,-(_xlpm.k=0)*_xlpm.buy-(_xlpm.k&gt;=1)*(_xlpm.k&lt;=_xlpm.w)*(_xlpm.cap/_xlpm.w+_xlpm.ownm)+(_xlpm.k&gt;_xlpm.w)*_xlpm.noim+(_xlpm.k=_xlpm.m)*(_xlpm.gs-(_xlpm.gs-_xlpm.n)*_xlpm.tax),XIRR(_xlpm.cf,EOMONTH(Input!$C$7,_xlpm.k))))</f>
        <v>0.30303980708122258</v>
      </c>
      <c r="H47" s="134" cm="1">
        <f t="array" ref="H47">IF($B47="","",_xlfn.LET(_xlpm.n,INDEX(Properties!$P$6:$P$15,$B47),_xlpm.buy,INDEX(Properties!$M$6:$M$15,$B47)+INDEX(Properties!$O$6:$O$15,$B47),_xlpm.cap,INDEX(Properties!$N$6:$N$15,$B47),_xlpm.w,INDEX(Properties!$R$6:$R$15,$B47),_xlpm.m,H$43,_xlpm.k,_xlfn.SEQUENCE(_xlpm.m+1,1,0,1),_xlpm.v,_xlpm.n/(1-INDEX(Input!$I$80:$I$89,$B47))*(1+INDEX(Input!$G$80:$G$89,$B47))^(_xlpm.m/12),_xlpm.gs,_xlpm.v*(1-Input!$C$15),_xlpm.tax,Input!$C$26,_xlpm.noim,INDEX(Properties!$X$6:$X$15,$B47)/12*(1-Input!$C$25),_xlpm.ownm,(_xlpm.n*INDEX(Input!$C$80:$C$89,$B47)+(INDEX(Input!$D$80:$D$89,$B47)+INDEX(Input!$E$80:$E$89,$B47))*12*1000000/Input!$C$5)/12*(1-Input!$C$25),_xlpm.cf,-(_xlpm.k=0)*_xlpm.buy-(_xlpm.k&gt;=1)*(_xlpm.k&lt;=_xlpm.w)*(_xlpm.cap/_xlpm.w+_xlpm.ownm)+(_xlpm.k&gt;_xlpm.w)*_xlpm.noim+(_xlpm.k=_xlpm.m)*(_xlpm.gs-(_xlpm.gs-_xlpm.n)*_xlpm.tax),XIRR(_xlpm.cf,EOMONTH(Input!$C$7,_xlpm.k))))</f>
        <v>0.23819519877433781</v>
      </c>
      <c r="I47" s="134" cm="1">
        <f t="array" ref="I47">IF($B47="","",_xlfn.LET(_xlpm.n,INDEX(Properties!$P$6:$P$15,$B47),_xlpm.buy,INDEX(Properties!$M$6:$M$15,$B47)+INDEX(Properties!$O$6:$O$15,$B47),_xlpm.cap,INDEX(Properties!$N$6:$N$15,$B47),_xlpm.w,INDEX(Properties!$R$6:$R$15,$B47),_xlpm.m,I$43,_xlpm.k,_xlfn.SEQUENCE(_xlpm.m+1,1,0,1),_xlpm.v,_xlpm.n/(1-INDEX(Input!$I$80:$I$89,$B47))*(1+INDEX(Input!$G$80:$G$89,$B47))^(_xlpm.m/12),_xlpm.gs,_xlpm.v*(1-Input!$C$15),_xlpm.tax,Input!$C$26,_xlpm.noim,INDEX(Properties!$X$6:$X$15,$B47)/12*(1-Input!$C$25),_xlpm.ownm,(_xlpm.n*INDEX(Input!$C$80:$C$89,$B47)+(INDEX(Input!$D$80:$D$89,$B47)+INDEX(Input!$E$80:$E$89,$B47))*12*1000000/Input!$C$5)/12*(1-Input!$C$25),_xlpm.cf,-(_xlpm.k=0)*_xlpm.buy-(_xlpm.k&gt;=1)*(_xlpm.k&lt;=_xlpm.w)*(_xlpm.cap/_xlpm.w+_xlpm.ownm)+(_xlpm.k&gt;_xlpm.w)*_xlpm.noim+(_xlpm.k=_xlpm.m)*(_xlpm.gs-(_xlpm.gs-_xlpm.n)*_xlpm.tax),XIRR(_xlpm.cf,EOMONTH(Input!$C$7,_xlpm.k))))</f>
        <v>0.17918156981468203</v>
      </c>
      <c r="J47" s="135">
        <f t="shared" si="1"/>
        <v>6</v>
      </c>
      <c r="K47" s="135" cm="1">
        <f t="array" ref="K47">IF($B47="","",INDEX(Properties!$Q$6:$Q$15,$B47)+$J47)</f>
        <v>14</v>
      </c>
      <c r="M47"/>
      <c r="N47"/>
    </row>
    <row r="48" spans="1:14" ht="18" customHeight="1" x14ac:dyDescent="0.3">
      <c r="A48" s="9"/>
      <c r="B48" s="137">
        <v>5</v>
      </c>
      <c r="C48" s="136" t="str" cm="1">
        <f t="array" ref="C48">IF($B48="","",INDEX(Properties!$E$6:$E$15,$B48))</f>
        <v>Casa Monte Sereno</v>
      </c>
      <c r="D48" s="134" cm="1">
        <f t="array" ref="D48">IF($B48="","",_xlfn.LET(_xlpm.n,INDEX(Properties!$P$6:$P$15,$B48),_xlpm.buy,INDEX(Properties!$M$6:$M$15,$B48)+INDEX(Properties!$O$6:$O$15,$B48),_xlpm.cap,INDEX(Properties!$N$6:$N$15,$B48),_xlpm.w,INDEX(Properties!$R$6:$R$15,$B48),_xlpm.m,D$43,_xlpm.k,_xlfn.SEQUENCE(_xlpm.m+1,1,0,1),_xlpm.v,_xlpm.n/(1-INDEX(Input!$I$80:$I$89,$B48))*(1+INDEX(Input!$G$80:$G$89,$B48))^(_xlpm.m/12),_xlpm.gs,_xlpm.v*(1-Input!$C$15),_xlpm.tax,Input!$C$26,_xlpm.noim,INDEX(Properties!$X$6:$X$15,$B48)/12*(1-Input!$C$25),_xlpm.ownm,(_xlpm.n*INDEX(Input!$C$80:$C$89,$B48)+(INDEX(Input!$D$80:$D$89,$B48)+INDEX(Input!$E$80:$E$89,$B48))*12*1000000/Input!$C$5)/12*(1-Input!$C$25),_xlpm.cf,-(_xlpm.k=0)*_xlpm.buy-(_xlpm.k&gt;=1)*(_xlpm.k&lt;=_xlpm.w)*(_xlpm.cap/_xlpm.w+_xlpm.ownm)+(_xlpm.k&gt;_xlpm.w)*_xlpm.noim+(_xlpm.k=_xlpm.m)*(_xlpm.gs-(_xlpm.gs-_xlpm.n)*_xlpm.tax),XIRR(_xlpm.cf,EOMONTH(Input!$C$7,_xlpm.k))))</f>
        <v>0.97138839960098267</v>
      </c>
      <c r="E48" s="134" cm="1">
        <f t="array" ref="E48">IF($B48="","",_xlfn.LET(_xlpm.n,INDEX(Properties!$P$6:$P$15,$B48),_xlpm.buy,INDEX(Properties!$M$6:$M$15,$B48)+INDEX(Properties!$O$6:$O$15,$B48),_xlpm.cap,INDEX(Properties!$N$6:$N$15,$B48),_xlpm.w,INDEX(Properties!$R$6:$R$15,$B48),_xlpm.m,E$43,_xlpm.k,_xlfn.SEQUENCE(_xlpm.m+1,1,0,1),_xlpm.v,_xlpm.n/(1-INDEX(Input!$I$80:$I$89,$B48))*(1+INDEX(Input!$G$80:$G$89,$B48))^(_xlpm.m/12),_xlpm.gs,_xlpm.v*(1-Input!$C$15),_xlpm.tax,Input!$C$26,_xlpm.noim,INDEX(Properties!$X$6:$X$15,$B48)/12*(1-Input!$C$25),_xlpm.ownm,(_xlpm.n*INDEX(Input!$C$80:$C$89,$B48)+(INDEX(Input!$D$80:$D$89,$B48)+INDEX(Input!$E$80:$E$89,$B48))*12*1000000/Input!$C$5)/12*(1-Input!$C$25),_xlpm.cf,-(_xlpm.k=0)*_xlpm.buy-(_xlpm.k&gt;=1)*(_xlpm.k&lt;=_xlpm.w)*(_xlpm.cap/_xlpm.w+_xlpm.ownm)+(_xlpm.k&gt;_xlpm.w)*_xlpm.noim+(_xlpm.k=_xlpm.m)*(_xlpm.gs-(_xlpm.gs-_xlpm.n)*_xlpm.tax),XIRR(_xlpm.cf,EOMONTH(Input!$C$7,_xlpm.k))))</f>
        <v>0.58043412566185015</v>
      </c>
      <c r="F48" s="134" cm="1">
        <f t="array" ref="F48">IF($B48="","",_xlfn.LET(_xlpm.n,INDEX(Properties!$P$6:$P$15,$B48),_xlpm.buy,INDEX(Properties!$M$6:$M$15,$B48)+INDEX(Properties!$O$6:$O$15,$B48),_xlpm.cap,INDEX(Properties!$N$6:$N$15,$B48),_xlpm.w,INDEX(Properties!$R$6:$R$15,$B48),_xlpm.m,F$43,_xlpm.k,_xlfn.SEQUENCE(_xlpm.m+1,1,0,1),_xlpm.v,_xlpm.n/(1-INDEX(Input!$I$80:$I$89,$B48))*(1+INDEX(Input!$G$80:$G$89,$B48))^(_xlpm.m/12),_xlpm.gs,_xlpm.v*(1-Input!$C$15),_xlpm.tax,Input!$C$26,_xlpm.noim,INDEX(Properties!$X$6:$X$15,$B48)/12*(1-Input!$C$25),_xlpm.ownm,(_xlpm.n*INDEX(Input!$C$80:$C$89,$B48)+(INDEX(Input!$D$80:$D$89,$B48)+INDEX(Input!$E$80:$E$89,$B48))*12*1000000/Input!$C$5)/12*(1-Input!$C$25),_xlpm.cf,-(_xlpm.k=0)*_xlpm.buy-(_xlpm.k&gt;=1)*(_xlpm.k&lt;=_xlpm.w)*(_xlpm.cap/_xlpm.w+_xlpm.ownm)+(_xlpm.k&gt;_xlpm.w)*_xlpm.noim+(_xlpm.k=_xlpm.m)*(_xlpm.gs-(_xlpm.gs-_xlpm.n)*_xlpm.tax),XIRR(_xlpm.cf,EOMONTH(Input!$C$7,_xlpm.k))))</f>
        <v>0.42427462935447702</v>
      </c>
      <c r="G48" s="134" cm="1">
        <f t="array" ref="G48">IF($B48="","",_xlfn.LET(_xlpm.n,INDEX(Properties!$P$6:$P$15,$B48),_xlpm.buy,INDEX(Properties!$M$6:$M$15,$B48)+INDEX(Properties!$O$6:$O$15,$B48),_xlpm.cap,INDEX(Properties!$N$6:$N$15,$B48),_xlpm.w,INDEX(Properties!$R$6:$R$15,$B48),_xlpm.m,G$43,_xlpm.k,_xlfn.SEQUENCE(_xlpm.m+1,1,0,1),_xlpm.v,_xlpm.n/(1-INDEX(Input!$I$80:$I$89,$B48))*(1+INDEX(Input!$G$80:$G$89,$B48))^(_xlpm.m/12),_xlpm.gs,_xlpm.v*(1-Input!$C$15),_xlpm.tax,Input!$C$26,_xlpm.noim,INDEX(Properties!$X$6:$X$15,$B48)/12*(1-Input!$C$25),_xlpm.ownm,(_xlpm.n*INDEX(Input!$C$80:$C$89,$B48)+(INDEX(Input!$D$80:$D$89,$B48)+INDEX(Input!$E$80:$E$89,$B48))*12*1000000/Input!$C$5)/12*(1-Input!$C$25),_xlpm.cf,-(_xlpm.k=0)*_xlpm.buy-(_xlpm.k&gt;=1)*(_xlpm.k&lt;=_xlpm.w)*(_xlpm.cap/_xlpm.w+_xlpm.ownm)+(_xlpm.k&gt;_xlpm.w)*_xlpm.noim+(_xlpm.k=_xlpm.m)*(_xlpm.gs-(_xlpm.gs-_xlpm.n)*_xlpm.tax),XIRR(_xlpm.cf,EOMONTH(Input!$C$7,_xlpm.k))))</f>
        <v>0.29023678898811345</v>
      </c>
      <c r="H48" s="134" cm="1">
        <f t="array" ref="H48">IF($B48="","",_xlfn.LET(_xlpm.n,INDEX(Properties!$P$6:$P$15,$B48),_xlpm.buy,INDEX(Properties!$M$6:$M$15,$B48)+INDEX(Properties!$O$6:$O$15,$B48),_xlpm.cap,INDEX(Properties!$N$6:$N$15,$B48),_xlpm.w,INDEX(Properties!$R$6:$R$15,$B48),_xlpm.m,H$43,_xlpm.k,_xlfn.SEQUENCE(_xlpm.m+1,1,0,1),_xlpm.v,_xlpm.n/(1-INDEX(Input!$I$80:$I$89,$B48))*(1+INDEX(Input!$G$80:$G$89,$B48))^(_xlpm.m/12),_xlpm.gs,_xlpm.v*(1-Input!$C$15),_xlpm.tax,Input!$C$26,_xlpm.noim,INDEX(Properties!$X$6:$X$15,$B48)/12*(1-Input!$C$25),_xlpm.ownm,(_xlpm.n*INDEX(Input!$C$80:$C$89,$B48)+(INDEX(Input!$D$80:$D$89,$B48)+INDEX(Input!$E$80:$E$89,$B48))*12*1000000/Input!$C$5)/12*(1-Input!$C$25),_xlpm.cf,-(_xlpm.k=0)*_xlpm.buy-(_xlpm.k&gt;=1)*(_xlpm.k&lt;=_xlpm.w)*(_xlpm.cap/_xlpm.w+_xlpm.ownm)+(_xlpm.k&gt;_xlpm.w)*_xlpm.noim+(_xlpm.k=_xlpm.m)*(_xlpm.gs-(_xlpm.gs-_xlpm.n)*_xlpm.tax),XIRR(_xlpm.cf,EOMONTH(Input!$C$7,_xlpm.k))))</f>
        <v>0.22889613509178167</v>
      </c>
      <c r="I48" s="134" cm="1">
        <f t="array" ref="I48">IF($B48="","",_xlfn.LET(_xlpm.n,INDEX(Properties!$P$6:$P$15,$B48),_xlpm.buy,INDEX(Properties!$M$6:$M$15,$B48)+INDEX(Properties!$O$6:$O$15,$B48),_xlpm.cap,INDEX(Properties!$N$6:$N$15,$B48),_xlpm.w,INDEX(Properties!$R$6:$R$15,$B48),_xlpm.m,I$43,_xlpm.k,_xlfn.SEQUENCE(_xlpm.m+1,1,0,1),_xlpm.v,_xlpm.n/(1-INDEX(Input!$I$80:$I$89,$B48))*(1+INDEX(Input!$G$80:$G$89,$B48))^(_xlpm.m/12),_xlpm.gs,_xlpm.v*(1-Input!$C$15),_xlpm.tax,Input!$C$26,_xlpm.noim,INDEX(Properties!$X$6:$X$15,$B48)/12*(1-Input!$C$25),_xlpm.ownm,(_xlpm.n*INDEX(Input!$C$80:$C$89,$B48)+(INDEX(Input!$D$80:$D$89,$B48)+INDEX(Input!$E$80:$E$89,$B48))*12*1000000/Input!$C$5)/12*(1-Input!$C$25),_xlpm.cf,-(_xlpm.k=0)*_xlpm.buy-(_xlpm.k&gt;=1)*(_xlpm.k&lt;=_xlpm.w)*(_xlpm.cap/_xlpm.w+_xlpm.ownm)+(_xlpm.k&gt;_xlpm.w)*_xlpm.noim+(_xlpm.k=_xlpm.m)*(_xlpm.gs-(_xlpm.gs-_xlpm.n)*_xlpm.tax),XIRR(_xlpm.cf,EOMONTH(Input!$C$7,_xlpm.k))))</f>
        <v>0.17233789563179014</v>
      </c>
      <c r="J48" s="135">
        <f t="shared" si="1"/>
        <v>6</v>
      </c>
      <c r="K48" s="135" cm="1">
        <f t="array" ref="K48">IF($B48="","",INDEX(Properties!$Q$6:$Q$15,$B48)+$J48)</f>
        <v>11</v>
      </c>
      <c r="M48"/>
      <c r="N48"/>
    </row>
    <row r="49" spans="1:15" ht="18" customHeight="1" x14ac:dyDescent="0.3">
      <c r="A49" s="9"/>
      <c r="B49" s="137"/>
      <c r="C49" s="136" t="str" cm="1">
        <f t="array" ref="C49">IF($B49="","",INDEX(Properties!$E$6:$E$15,$B49))</f>
        <v/>
      </c>
      <c r="D49" s="134" t="str" cm="1">
        <f t="array" ref="D49">IF($B49="","",_xlfn.LET(_xlpm.n,INDEX(Properties!$P$6:$P$15,$B49),_xlpm.buy,INDEX(Properties!$M$6:$M$15,$B49)+INDEX(Properties!$O$6:$O$15,$B49),_xlpm.cap,INDEX(Properties!$N$6:$N$15,$B49),_xlpm.w,INDEX(Properties!$R$6:$R$15,$B49),_xlpm.m,D$43,_xlpm.k,_xlfn.SEQUENCE(_xlpm.m+1,1,0,1),_xlpm.v,_xlpm.n/(1-INDEX(Input!$I$80:$I$89,$B49))*(1+INDEX(Input!$G$80:$G$89,$B49))^(_xlpm.m/12),_xlpm.gs,_xlpm.v*(1-Input!$C$15),_xlpm.tax,Input!$C$26,_xlpm.noim,INDEX(Properties!$X$6:$X$15,$B49)/12*(1-Input!$C$25),_xlpm.ownm,(_xlpm.n*INDEX(Input!$C$80:$C$89,$B49)+(INDEX(Input!$D$80:$D$89,$B49)+INDEX(Input!$E$80:$E$89,$B49))*12*1000000/Input!$C$5)/12*(1-Input!$C$25),_xlpm.cf,-(_xlpm.k=0)*_xlpm.buy-(_xlpm.k&gt;=1)*(_xlpm.k&lt;=_xlpm.w)*(_xlpm.cap/_xlpm.w+_xlpm.ownm)+(_xlpm.k&gt;_xlpm.w)*_xlpm.noim+(_xlpm.k=_xlpm.m)*(_xlpm.gs-(_xlpm.gs-_xlpm.n)*_xlpm.tax),XIRR(_xlpm.cf,EOMONTH(Input!$C$7,_xlpm.k))))</f>
        <v/>
      </c>
      <c r="E49" s="134" t="str" cm="1">
        <f t="array" ref="E49">IF($B49="","",_xlfn.LET(_xlpm.n,INDEX(Properties!$P$6:$P$15,$B49),_xlpm.buy,INDEX(Properties!$M$6:$M$15,$B49)+INDEX(Properties!$O$6:$O$15,$B49),_xlpm.cap,INDEX(Properties!$N$6:$N$15,$B49),_xlpm.w,INDEX(Properties!$R$6:$R$15,$B49),_xlpm.m,E$43,_xlpm.k,_xlfn.SEQUENCE(_xlpm.m+1,1,0,1),_xlpm.v,_xlpm.n/(1-INDEX(Input!$I$80:$I$89,$B49))*(1+INDEX(Input!$G$80:$G$89,$B49))^(_xlpm.m/12),_xlpm.gs,_xlpm.v*(1-Input!$C$15),_xlpm.tax,Input!$C$26,_xlpm.noim,INDEX(Properties!$X$6:$X$15,$B49)/12*(1-Input!$C$25),_xlpm.ownm,(_xlpm.n*INDEX(Input!$C$80:$C$89,$B49)+(INDEX(Input!$D$80:$D$89,$B49)+INDEX(Input!$E$80:$E$89,$B49))*12*1000000/Input!$C$5)/12*(1-Input!$C$25),_xlpm.cf,-(_xlpm.k=0)*_xlpm.buy-(_xlpm.k&gt;=1)*(_xlpm.k&lt;=_xlpm.w)*(_xlpm.cap/_xlpm.w+_xlpm.ownm)+(_xlpm.k&gt;_xlpm.w)*_xlpm.noim+(_xlpm.k=_xlpm.m)*(_xlpm.gs-(_xlpm.gs-_xlpm.n)*_xlpm.tax),XIRR(_xlpm.cf,EOMONTH(Input!$C$7,_xlpm.k))))</f>
        <v/>
      </c>
      <c r="F49" s="134" t="str" cm="1">
        <f t="array" ref="F49">IF($B49="","",_xlfn.LET(_xlpm.n,INDEX(Properties!$P$6:$P$15,$B49),_xlpm.buy,INDEX(Properties!$M$6:$M$15,$B49)+INDEX(Properties!$O$6:$O$15,$B49),_xlpm.cap,INDEX(Properties!$N$6:$N$15,$B49),_xlpm.w,INDEX(Properties!$R$6:$R$15,$B49),_xlpm.m,F$43,_xlpm.k,_xlfn.SEQUENCE(_xlpm.m+1,1,0,1),_xlpm.v,_xlpm.n/(1-INDEX(Input!$I$80:$I$89,$B49))*(1+INDEX(Input!$G$80:$G$89,$B49))^(_xlpm.m/12),_xlpm.gs,_xlpm.v*(1-Input!$C$15),_xlpm.tax,Input!$C$26,_xlpm.noim,INDEX(Properties!$X$6:$X$15,$B49)/12*(1-Input!$C$25),_xlpm.ownm,(_xlpm.n*INDEX(Input!$C$80:$C$89,$B49)+(INDEX(Input!$D$80:$D$89,$B49)+INDEX(Input!$E$80:$E$89,$B49))*12*1000000/Input!$C$5)/12*(1-Input!$C$25),_xlpm.cf,-(_xlpm.k=0)*_xlpm.buy-(_xlpm.k&gt;=1)*(_xlpm.k&lt;=_xlpm.w)*(_xlpm.cap/_xlpm.w+_xlpm.ownm)+(_xlpm.k&gt;_xlpm.w)*_xlpm.noim+(_xlpm.k=_xlpm.m)*(_xlpm.gs-(_xlpm.gs-_xlpm.n)*_xlpm.tax),XIRR(_xlpm.cf,EOMONTH(Input!$C$7,_xlpm.k))))</f>
        <v/>
      </c>
      <c r="G49" s="134" t="str" cm="1">
        <f t="array" ref="G49">IF($B49="","",_xlfn.LET(_xlpm.n,INDEX(Properties!$P$6:$P$15,$B49),_xlpm.buy,INDEX(Properties!$M$6:$M$15,$B49)+INDEX(Properties!$O$6:$O$15,$B49),_xlpm.cap,INDEX(Properties!$N$6:$N$15,$B49),_xlpm.w,INDEX(Properties!$R$6:$R$15,$B49),_xlpm.m,G$43,_xlpm.k,_xlfn.SEQUENCE(_xlpm.m+1,1,0,1),_xlpm.v,_xlpm.n/(1-INDEX(Input!$I$80:$I$89,$B49))*(1+INDEX(Input!$G$80:$G$89,$B49))^(_xlpm.m/12),_xlpm.gs,_xlpm.v*(1-Input!$C$15),_xlpm.tax,Input!$C$26,_xlpm.noim,INDEX(Properties!$X$6:$X$15,$B49)/12*(1-Input!$C$25),_xlpm.ownm,(_xlpm.n*INDEX(Input!$C$80:$C$89,$B49)+(INDEX(Input!$D$80:$D$89,$B49)+INDEX(Input!$E$80:$E$89,$B49))*12*1000000/Input!$C$5)/12*(1-Input!$C$25),_xlpm.cf,-(_xlpm.k=0)*_xlpm.buy-(_xlpm.k&gt;=1)*(_xlpm.k&lt;=_xlpm.w)*(_xlpm.cap/_xlpm.w+_xlpm.ownm)+(_xlpm.k&gt;_xlpm.w)*_xlpm.noim+(_xlpm.k=_xlpm.m)*(_xlpm.gs-(_xlpm.gs-_xlpm.n)*_xlpm.tax),XIRR(_xlpm.cf,EOMONTH(Input!$C$7,_xlpm.k))))</f>
        <v/>
      </c>
      <c r="H49" s="134" t="str" cm="1">
        <f t="array" ref="H49">IF($B49="","",_xlfn.LET(_xlpm.n,INDEX(Properties!$P$6:$P$15,$B49),_xlpm.buy,INDEX(Properties!$M$6:$M$15,$B49)+INDEX(Properties!$O$6:$O$15,$B49),_xlpm.cap,INDEX(Properties!$N$6:$N$15,$B49),_xlpm.w,INDEX(Properties!$R$6:$R$15,$B49),_xlpm.m,H$43,_xlpm.k,_xlfn.SEQUENCE(_xlpm.m+1,1,0,1),_xlpm.v,_xlpm.n/(1-INDEX(Input!$I$80:$I$89,$B49))*(1+INDEX(Input!$G$80:$G$89,$B49))^(_xlpm.m/12),_xlpm.gs,_xlpm.v*(1-Input!$C$15),_xlpm.tax,Input!$C$26,_xlpm.noim,INDEX(Properties!$X$6:$X$15,$B49)/12*(1-Input!$C$25),_xlpm.ownm,(_xlpm.n*INDEX(Input!$C$80:$C$89,$B49)+(INDEX(Input!$D$80:$D$89,$B49)+INDEX(Input!$E$80:$E$89,$B49))*12*1000000/Input!$C$5)/12*(1-Input!$C$25),_xlpm.cf,-(_xlpm.k=0)*_xlpm.buy-(_xlpm.k&gt;=1)*(_xlpm.k&lt;=_xlpm.w)*(_xlpm.cap/_xlpm.w+_xlpm.ownm)+(_xlpm.k&gt;_xlpm.w)*_xlpm.noim+(_xlpm.k=_xlpm.m)*(_xlpm.gs-(_xlpm.gs-_xlpm.n)*_xlpm.tax),XIRR(_xlpm.cf,EOMONTH(Input!$C$7,_xlpm.k))))</f>
        <v/>
      </c>
      <c r="I49" s="134" t="str" cm="1">
        <f t="array" ref="I49">IF($B49="","",_xlfn.LET(_xlpm.n,INDEX(Properties!$P$6:$P$15,$B49),_xlpm.buy,INDEX(Properties!$M$6:$M$15,$B49)+INDEX(Properties!$O$6:$O$15,$B49),_xlpm.cap,INDEX(Properties!$N$6:$N$15,$B49),_xlpm.w,INDEX(Properties!$R$6:$R$15,$B49),_xlpm.m,I$43,_xlpm.k,_xlfn.SEQUENCE(_xlpm.m+1,1,0,1),_xlpm.v,_xlpm.n/(1-INDEX(Input!$I$80:$I$89,$B49))*(1+INDEX(Input!$G$80:$G$89,$B49))^(_xlpm.m/12),_xlpm.gs,_xlpm.v*(1-Input!$C$15),_xlpm.tax,Input!$C$26,_xlpm.noim,INDEX(Properties!$X$6:$X$15,$B49)/12*(1-Input!$C$25),_xlpm.ownm,(_xlpm.n*INDEX(Input!$C$80:$C$89,$B49)+(INDEX(Input!$D$80:$D$89,$B49)+INDEX(Input!$E$80:$E$89,$B49))*12*1000000/Input!$C$5)/12*(1-Input!$C$25),_xlpm.cf,-(_xlpm.k=0)*_xlpm.buy-(_xlpm.k&gt;=1)*(_xlpm.k&lt;=_xlpm.w)*(_xlpm.cap/_xlpm.w+_xlpm.ownm)+(_xlpm.k&gt;_xlpm.w)*_xlpm.noim+(_xlpm.k=_xlpm.m)*(_xlpm.gs-(_xlpm.gs-_xlpm.n)*_xlpm.tax),XIRR(_xlpm.cf,EOMONTH(Input!$C$7,_xlpm.k))))</f>
        <v/>
      </c>
      <c r="J49" s="135" t="str">
        <f t="shared" si="1"/>
        <v/>
      </c>
      <c r="K49" s="135" t="str" cm="1">
        <f t="array" ref="K49">IF($B49="","",INDEX(Properties!$Q$6:$Q$15,$B49)+$J49)</f>
        <v/>
      </c>
      <c r="M49"/>
      <c r="N49"/>
    </row>
    <row r="50" spans="1:15" ht="18" customHeight="1" x14ac:dyDescent="0.3">
      <c r="A50" s="9"/>
      <c r="B50" s="137"/>
      <c r="C50" s="136" t="str" cm="1">
        <f t="array" ref="C50">IF($B50="","",INDEX(Properties!$E$6:$E$15,$B50))</f>
        <v/>
      </c>
      <c r="D50" s="134" t="str" cm="1">
        <f t="array" ref="D50">IF($B50="","",_xlfn.LET(_xlpm.n,INDEX(Properties!$P$6:$P$15,$B50),_xlpm.buy,INDEX(Properties!$M$6:$M$15,$B50)+INDEX(Properties!$O$6:$O$15,$B50),_xlpm.cap,INDEX(Properties!$N$6:$N$15,$B50),_xlpm.w,INDEX(Properties!$R$6:$R$15,$B50),_xlpm.m,D$43,_xlpm.k,_xlfn.SEQUENCE(_xlpm.m+1,1,0,1),_xlpm.v,_xlpm.n/(1-INDEX(Input!$I$80:$I$89,$B50))*(1+INDEX(Input!$G$80:$G$89,$B50))^(_xlpm.m/12),_xlpm.gs,_xlpm.v*(1-Input!$C$15),_xlpm.tax,Input!$C$26,_xlpm.noim,INDEX(Properties!$X$6:$X$15,$B50)/12*(1-Input!$C$25),_xlpm.ownm,(_xlpm.n*INDEX(Input!$C$80:$C$89,$B50)+(INDEX(Input!$D$80:$D$89,$B50)+INDEX(Input!$E$80:$E$89,$B50))*12*1000000/Input!$C$5)/12*(1-Input!$C$25),_xlpm.cf,-(_xlpm.k=0)*_xlpm.buy-(_xlpm.k&gt;=1)*(_xlpm.k&lt;=_xlpm.w)*(_xlpm.cap/_xlpm.w+_xlpm.ownm)+(_xlpm.k&gt;_xlpm.w)*_xlpm.noim+(_xlpm.k=_xlpm.m)*(_xlpm.gs-(_xlpm.gs-_xlpm.n)*_xlpm.tax),XIRR(_xlpm.cf,EOMONTH(Input!$C$7,_xlpm.k))))</f>
        <v/>
      </c>
      <c r="E50" s="134" t="str" cm="1">
        <f t="array" ref="E50">IF($B50="","",_xlfn.LET(_xlpm.n,INDEX(Properties!$P$6:$P$15,$B50),_xlpm.buy,INDEX(Properties!$M$6:$M$15,$B50)+INDEX(Properties!$O$6:$O$15,$B50),_xlpm.cap,INDEX(Properties!$N$6:$N$15,$B50),_xlpm.w,INDEX(Properties!$R$6:$R$15,$B50),_xlpm.m,E$43,_xlpm.k,_xlfn.SEQUENCE(_xlpm.m+1,1,0,1),_xlpm.v,_xlpm.n/(1-INDEX(Input!$I$80:$I$89,$B50))*(1+INDEX(Input!$G$80:$G$89,$B50))^(_xlpm.m/12),_xlpm.gs,_xlpm.v*(1-Input!$C$15),_xlpm.tax,Input!$C$26,_xlpm.noim,INDEX(Properties!$X$6:$X$15,$B50)/12*(1-Input!$C$25),_xlpm.ownm,(_xlpm.n*INDEX(Input!$C$80:$C$89,$B50)+(INDEX(Input!$D$80:$D$89,$B50)+INDEX(Input!$E$80:$E$89,$B50))*12*1000000/Input!$C$5)/12*(1-Input!$C$25),_xlpm.cf,-(_xlpm.k=0)*_xlpm.buy-(_xlpm.k&gt;=1)*(_xlpm.k&lt;=_xlpm.w)*(_xlpm.cap/_xlpm.w+_xlpm.ownm)+(_xlpm.k&gt;_xlpm.w)*_xlpm.noim+(_xlpm.k=_xlpm.m)*(_xlpm.gs-(_xlpm.gs-_xlpm.n)*_xlpm.tax),XIRR(_xlpm.cf,EOMONTH(Input!$C$7,_xlpm.k))))</f>
        <v/>
      </c>
      <c r="F50" s="134" t="str" cm="1">
        <f t="array" ref="F50">IF($B50="","",_xlfn.LET(_xlpm.n,INDEX(Properties!$P$6:$P$15,$B50),_xlpm.buy,INDEX(Properties!$M$6:$M$15,$B50)+INDEX(Properties!$O$6:$O$15,$B50),_xlpm.cap,INDEX(Properties!$N$6:$N$15,$B50),_xlpm.w,INDEX(Properties!$R$6:$R$15,$B50),_xlpm.m,F$43,_xlpm.k,_xlfn.SEQUENCE(_xlpm.m+1,1,0,1),_xlpm.v,_xlpm.n/(1-INDEX(Input!$I$80:$I$89,$B50))*(1+INDEX(Input!$G$80:$G$89,$B50))^(_xlpm.m/12),_xlpm.gs,_xlpm.v*(1-Input!$C$15),_xlpm.tax,Input!$C$26,_xlpm.noim,INDEX(Properties!$X$6:$X$15,$B50)/12*(1-Input!$C$25),_xlpm.ownm,(_xlpm.n*INDEX(Input!$C$80:$C$89,$B50)+(INDEX(Input!$D$80:$D$89,$B50)+INDEX(Input!$E$80:$E$89,$B50))*12*1000000/Input!$C$5)/12*(1-Input!$C$25),_xlpm.cf,-(_xlpm.k=0)*_xlpm.buy-(_xlpm.k&gt;=1)*(_xlpm.k&lt;=_xlpm.w)*(_xlpm.cap/_xlpm.w+_xlpm.ownm)+(_xlpm.k&gt;_xlpm.w)*_xlpm.noim+(_xlpm.k=_xlpm.m)*(_xlpm.gs-(_xlpm.gs-_xlpm.n)*_xlpm.tax),XIRR(_xlpm.cf,EOMONTH(Input!$C$7,_xlpm.k))))</f>
        <v/>
      </c>
      <c r="G50" s="134" t="str" cm="1">
        <f t="array" ref="G50">IF($B50="","",_xlfn.LET(_xlpm.n,INDEX(Properties!$P$6:$P$15,$B50),_xlpm.buy,INDEX(Properties!$M$6:$M$15,$B50)+INDEX(Properties!$O$6:$O$15,$B50),_xlpm.cap,INDEX(Properties!$N$6:$N$15,$B50),_xlpm.w,INDEX(Properties!$R$6:$R$15,$B50),_xlpm.m,G$43,_xlpm.k,_xlfn.SEQUENCE(_xlpm.m+1,1,0,1),_xlpm.v,_xlpm.n/(1-INDEX(Input!$I$80:$I$89,$B50))*(1+INDEX(Input!$G$80:$G$89,$B50))^(_xlpm.m/12),_xlpm.gs,_xlpm.v*(1-Input!$C$15),_xlpm.tax,Input!$C$26,_xlpm.noim,INDEX(Properties!$X$6:$X$15,$B50)/12*(1-Input!$C$25),_xlpm.ownm,(_xlpm.n*INDEX(Input!$C$80:$C$89,$B50)+(INDEX(Input!$D$80:$D$89,$B50)+INDEX(Input!$E$80:$E$89,$B50))*12*1000000/Input!$C$5)/12*(1-Input!$C$25),_xlpm.cf,-(_xlpm.k=0)*_xlpm.buy-(_xlpm.k&gt;=1)*(_xlpm.k&lt;=_xlpm.w)*(_xlpm.cap/_xlpm.w+_xlpm.ownm)+(_xlpm.k&gt;_xlpm.w)*_xlpm.noim+(_xlpm.k=_xlpm.m)*(_xlpm.gs-(_xlpm.gs-_xlpm.n)*_xlpm.tax),XIRR(_xlpm.cf,EOMONTH(Input!$C$7,_xlpm.k))))</f>
        <v/>
      </c>
      <c r="H50" s="134" t="str" cm="1">
        <f t="array" ref="H50">IF($B50="","",_xlfn.LET(_xlpm.n,INDEX(Properties!$P$6:$P$15,$B50),_xlpm.buy,INDEX(Properties!$M$6:$M$15,$B50)+INDEX(Properties!$O$6:$O$15,$B50),_xlpm.cap,INDEX(Properties!$N$6:$N$15,$B50),_xlpm.w,INDEX(Properties!$R$6:$R$15,$B50),_xlpm.m,H$43,_xlpm.k,_xlfn.SEQUENCE(_xlpm.m+1,1,0,1),_xlpm.v,_xlpm.n/(1-INDEX(Input!$I$80:$I$89,$B50))*(1+INDEX(Input!$G$80:$G$89,$B50))^(_xlpm.m/12),_xlpm.gs,_xlpm.v*(1-Input!$C$15),_xlpm.tax,Input!$C$26,_xlpm.noim,INDEX(Properties!$X$6:$X$15,$B50)/12*(1-Input!$C$25),_xlpm.ownm,(_xlpm.n*INDEX(Input!$C$80:$C$89,$B50)+(INDEX(Input!$D$80:$D$89,$B50)+INDEX(Input!$E$80:$E$89,$B50))*12*1000000/Input!$C$5)/12*(1-Input!$C$25),_xlpm.cf,-(_xlpm.k=0)*_xlpm.buy-(_xlpm.k&gt;=1)*(_xlpm.k&lt;=_xlpm.w)*(_xlpm.cap/_xlpm.w+_xlpm.ownm)+(_xlpm.k&gt;_xlpm.w)*_xlpm.noim+(_xlpm.k=_xlpm.m)*(_xlpm.gs-(_xlpm.gs-_xlpm.n)*_xlpm.tax),XIRR(_xlpm.cf,EOMONTH(Input!$C$7,_xlpm.k))))</f>
        <v/>
      </c>
      <c r="I50" s="134" t="str" cm="1">
        <f t="array" ref="I50">IF($B50="","",_xlfn.LET(_xlpm.n,INDEX(Properties!$P$6:$P$15,$B50),_xlpm.buy,INDEX(Properties!$M$6:$M$15,$B50)+INDEX(Properties!$O$6:$O$15,$B50),_xlpm.cap,INDEX(Properties!$N$6:$N$15,$B50),_xlpm.w,INDEX(Properties!$R$6:$R$15,$B50),_xlpm.m,I$43,_xlpm.k,_xlfn.SEQUENCE(_xlpm.m+1,1,0,1),_xlpm.v,_xlpm.n/(1-INDEX(Input!$I$80:$I$89,$B50))*(1+INDEX(Input!$G$80:$G$89,$B50))^(_xlpm.m/12),_xlpm.gs,_xlpm.v*(1-Input!$C$15),_xlpm.tax,Input!$C$26,_xlpm.noim,INDEX(Properties!$X$6:$X$15,$B50)/12*(1-Input!$C$25),_xlpm.ownm,(_xlpm.n*INDEX(Input!$C$80:$C$89,$B50)+(INDEX(Input!$D$80:$D$89,$B50)+INDEX(Input!$E$80:$E$89,$B50))*12*1000000/Input!$C$5)/12*(1-Input!$C$25),_xlpm.cf,-(_xlpm.k=0)*_xlpm.buy-(_xlpm.k&gt;=1)*(_xlpm.k&lt;=_xlpm.w)*(_xlpm.cap/_xlpm.w+_xlpm.ownm)+(_xlpm.k&gt;_xlpm.w)*_xlpm.noim+(_xlpm.k=_xlpm.m)*(_xlpm.gs-(_xlpm.gs-_xlpm.n)*_xlpm.tax),XIRR(_xlpm.cf,EOMONTH(Input!$C$7,_xlpm.k))))</f>
        <v/>
      </c>
      <c r="J50" s="135" t="str">
        <f t="shared" si="1"/>
        <v/>
      </c>
      <c r="K50" s="135" t="str" cm="1">
        <f t="array" ref="K50">IF($B50="","",INDEX(Properties!$Q$6:$Q$15,$B50)+$J50)</f>
        <v/>
      </c>
      <c r="M50"/>
      <c r="N50"/>
    </row>
    <row r="51" spans="1:15" ht="18" customHeight="1" x14ac:dyDescent="0.3">
      <c r="A51" s="9"/>
      <c r="B51" s="137"/>
      <c r="C51" s="136" t="str" cm="1">
        <f t="array" ref="C51">IF($B51="","",INDEX(Properties!$E$6:$E$15,$B51))</f>
        <v/>
      </c>
      <c r="D51" s="134" t="str" cm="1">
        <f t="array" ref="D51">IF($B51="","",_xlfn.LET(_xlpm.n,INDEX(Properties!$P$6:$P$15,$B51),_xlpm.buy,INDEX(Properties!$M$6:$M$15,$B51)+INDEX(Properties!$O$6:$O$15,$B51),_xlpm.cap,INDEX(Properties!$N$6:$N$15,$B51),_xlpm.w,INDEX(Properties!$R$6:$R$15,$B51),_xlpm.m,D$43,_xlpm.k,_xlfn.SEQUENCE(_xlpm.m+1,1,0,1),_xlpm.v,_xlpm.n/(1-INDEX(Input!$I$80:$I$89,$B51))*(1+INDEX(Input!$G$80:$G$89,$B51))^(_xlpm.m/12),_xlpm.gs,_xlpm.v*(1-Input!$C$15),_xlpm.tax,Input!$C$26,_xlpm.noim,INDEX(Properties!$X$6:$X$15,$B51)/12*(1-Input!$C$25),_xlpm.ownm,(_xlpm.n*INDEX(Input!$C$80:$C$89,$B51)+(INDEX(Input!$D$80:$D$89,$B51)+INDEX(Input!$E$80:$E$89,$B51))*12*1000000/Input!$C$5)/12*(1-Input!$C$25),_xlpm.cf,-(_xlpm.k=0)*_xlpm.buy-(_xlpm.k&gt;=1)*(_xlpm.k&lt;=_xlpm.w)*(_xlpm.cap/_xlpm.w+_xlpm.ownm)+(_xlpm.k&gt;_xlpm.w)*_xlpm.noim+(_xlpm.k=_xlpm.m)*(_xlpm.gs-(_xlpm.gs-_xlpm.n)*_xlpm.tax),XIRR(_xlpm.cf,EOMONTH(Input!$C$7,_xlpm.k))))</f>
        <v/>
      </c>
      <c r="E51" s="134" t="str" cm="1">
        <f t="array" ref="E51">IF($B51="","",_xlfn.LET(_xlpm.n,INDEX(Properties!$P$6:$P$15,$B51),_xlpm.buy,INDEX(Properties!$M$6:$M$15,$B51)+INDEX(Properties!$O$6:$O$15,$B51),_xlpm.cap,INDEX(Properties!$N$6:$N$15,$B51),_xlpm.w,INDEX(Properties!$R$6:$R$15,$B51),_xlpm.m,E$43,_xlpm.k,_xlfn.SEQUENCE(_xlpm.m+1,1,0,1),_xlpm.v,_xlpm.n/(1-INDEX(Input!$I$80:$I$89,$B51))*(1+INDEX(Input!$G$80:$G$89,$B51))^(_xlpm.m/12),_xlpm.gs,_xlpm.v*(1-Input!$C$15),_xlpm.tax,Input!$C$26,_xlpm.noim,INDEX(Properties!$X$6:$X$15,$B51)/12*(1-Input!$C$25),_xlpm.ownm,(_xlpm.n*INDEX(Input!$C$80:$C$89,$B51)+(INDEX(Input!$D$80:$D$89,$B51)+INDEX(Input!$E$80:$E$89,$B51))*12*1000000/Input!$C$5)/12*(1-Input!$C$25),_xlpm.cf,-(_xlpm.k=0)*_xlpm.buy-(_xlpm.k&gt;=1)*(_xlpm.k&lt;=_xlpm.w)*(_xlpm.cap/_xlpm.w+_xlpm.ownm)+(_xlpm.k&gt;_xlpm.w)*_xlpm.noim+(_xlpm.k=_xlpm.m)*(_xlpm.gs-(_xlpm.gs-_xlpm.n)*_xlpm.tax),XIRR(_xlpm.cf,EOMONTH(Input!$C$7,_xlpm.k))))</f>
        <v/>
      </c>
      <c r="F51" s="134" t="str" cm="1">
        <f t="array" ref="F51">IF($B51="","",_xlfn.LET(_xlpm.n,INDEX(Properties!$P$6:$P$15,$B51),_xlpm.buy,INDEX(Properties!$M$6:$M$15,$B51)+INDEX(Properties!$O$6:$O$15,$B51),_xlpm.cap,INDEX(Properties!$N$6:$N$15,$B51),_xlpm.w,INDEX(Properties!$R$6:$R$15,$B51),_xlpm.m,F$43,_xlpm.k,_xlfn.SEQUENCE(_xlpm.m+1,1,0,1),_xlpm.v,_xlpm.n/(1-INDEX(Input!$I$80:$I$89,$B51))*(1+INDEX(Input!$G$80:$G$89,$B51))^(_xlpm.m/12),_xlpm.gs,_xlpm.v*(1-Input!$C$15),_xlpm.tax,Input!$C$26,_xlpm.noim,INDEX(Properties!$X$6:$X$15,$B51)/12*(1-Input!$C$25),_xlpm.ownm,(_xlpm.n*INDEX(Input!$C$80:$C$89,$B51)+(INDEX(Input!$D$80:$D$89,$B51)+INDEX(Input!$E$80:$E$89,$B51))*12*1000000/Input!$C$5)/12*(1-Input!$C$25),_xlpm.cf,-(_xlpm.k=0)*_xlpm.buy-(_xlpm.k&gt;=1)*(_xlpm.k&lt;=_xlpm.w)*(_xlpm.cap/_xlpm.w+_xlpm.ownm)+(_xlpm.k&gt;_xlpm.w)*_xlpm.noim+(_xlpm.k=_xlpm.m)*(_xlpm.gs-(_xlpm.gs-_xlpm.n)*_xlpm.tax),XIRR(_xlpm.cf,EOMONTH(Input!$C$7,_xlpm.k))))</f>
        <v/>
      </c>
      <c r="G51" s="134" t="str" cm="1">
        <f t="array" ref="G51">IF($B51="","",_xlfn.LET(_xlpm.n,INDEX(Properties!$P$6:$P$15,$B51),_xlpm.buy,INDEX(Properties!$M$6:$M$15,$B51)+INDEX(Properties!$O$6:$O$15,$B51),_xlpm.cap,INDEX(Properties!$N$6:$N$15,$B51),_xlpm.w,INDEX(Properties!$R$6:$R$15,$B51),_xlpm.m,G$43,_xlpm.k,_xlfn.SEQUENCE(_xlpm.m+1,1,0,1),_xlpm.v,_xlpm.n/(1-INDEX(Input!$I$80:$I$89,$B51))*(1+INDEX(Input!$G$80:$G$89,$B51))^(_xlpm.m/12),_xlpm.gs,_xlpm.v*(1-Input!$C$15),_xlpm.tax,Input!$C$26,_xlpm.noim,INDEX(Properties!$X$6:$X$15,$B51)/12*(1-Input!$C$25),_xlpm.ownm,(_xlpm.n*INDEX(Input!$C$80:$C$89,$B51)+(INDEX(Input!$D$80:$D$89,$B51)+INDEX(Input!$E$80:$E$89,$B51))*12*1000000/Input!$C$5)/12*(1-Input!$C$25),_xlpm.cf,-(_xlpm.k=0)*_xlpm.buy-(_xlpm.k&gt;=1)*(_xlpm.k&lt;=_xlpm.w)*(_xlpm.cap/_xlpm.w+_xlpm.ownm)+(_xlpm.k&gt;_xlpm.w)*_xlpm.noim+(_xlpm.k=_xlpm.m)*(_xlpm.gs-(_xlpm.gs-_xlpm.n)*_xlpm.tax),XIRR(_xlpm.cf,EOMONTH(Input!$C$7,_xlpm.k))))</f>
        <v/>
      </c>
      <c r="H51" s="134" t="str" cm="1">
        <f t="array" ref="H51">IF($B51="","",_xlfn.LET(_xlpm.n,INDEX(Properties!$P$6:$P$15,$B51),_xlpm.buy,INDEX(Properties!$M$6:$M$15,$B51)+INDEX(Properties!$O$6:$O$15,$B51),_xlpm.cap,INDEX(Properties!$N$6:$N$15,$B51),_xlpm.w,INDEX(Properties!$R$6:$R$15,$B51),_xlpm.m,H$43,_xlpm.k,_xlfn.SEQUENCE(_xlpm.m+1,1,0,1),_xlpm.v,_xlpm.n/(1-INDEX(Input!$I$80:$I$89,$B51))*(1+INDEX(Input!$G$80:$G$89,$B51))^(_xlpm.m/12),_xlpm.gs,_xlpm.v*(1-Input!$C$15),_xlpm.tax,Input!$C$26,_xlpm.noim,INDEX(Properties!$X$6:$X$15,$B51)/12*(1-Input!$C$25),_xlpm.ownm,(_xlpm.n*INDEX(Input!$C$80:$C$89,$B51)+(INDEX(Input!$D$80:$D$89,$B51)+INDEX(Input!$E$80:$E$89,$B51))*12*1000000/Input!$C$5)/12*(1-Input!$C$25),_xlpm.cf,-(_xlpm.k=0)*_xlpm.buy-(_xlpm.k&gt;=1)*(_xlpm.k&lt;=_xlpm.w)*(_xlpm.cap/_xlpm.w+_xlpm.ownm)+(_xlpm.k&gt;_xlpm.w)*_xlpm.noim+(_xlpm.k=_xlpm.m)*(_xlpm.gs-(_xlpm.gs-_xlpm.n)*_xlpm.tax),XIRR(_xlpm.cf,EOMONTH(Input!$C$7,_xlpm.k))))</f>
        <v/>
      </c>
      <c r="I51" s="134" t="str" cm="1">
        <f t="array" ref="I51">IF($B51="","",_xlfn.LET(_xlpm.n,INDEX(Properties!$P$6:$P$15,$B51),_xlpm.buy,INDEX(Properties!$M$6:$M$15,$B51)+INDEX(Properties!$O$6:$O$15,$B51),_xlpm.cap,INDEX(Properties!$N$6:$N$15,$B51),_xlpm.w,INDEX(Properties!$R$6:$R$15,$B51),_xlpm.m,I$43,_xlpm.k,_xlfn.SEQUENCE(_xlpm.m+1,1,0,1),_xlpm.v,_xlpm.n/(1-INDEX(Input!$I$80:$I$89,$B51))*(1+INDEX(Input!$G$80:$G$89,$B51))^(_xlpm.m/12),_xlpm.gs,_xlpm.v*(1-Input!$C$15),_xlpm.tax,Input!$C$26,_xlpm.noim,INDEX(Properties!$X$6:$X$15,$B51)/12*(1-Input!$C$25),_xlpm.ownm,(_xlpm.n*INDEX(Input!$C$80:$C$89,$B51)+(INDEX(Input!$D$80:$D$89,$B51)+INDEX(Input!$E$80:$E$89,$B51))*12*1000000/Input!$C$5)/12*(1-Input!$C$25),_xlpm.cf,-(_xlpm.k=0)*_xlpm.buy-(_xlpm.k&gt;=1)*(_xlpm.k&lt;=_xlpm.w)*(_xlpm.cap/_xlpm.w+_xlpm.ownm)+(_xlpm.k&gt;_xlpm.w)*_xlpm.noim+(_xlpm.k=_xlpm.m)*(_xlpm.gs-(_xlpm.gs-_xlpm.n)*_xlpm.tax),XIRR(_xlpm.cf,EOMONTH(Input!$C$7,_xlpm.k))))</f>
        <v/>
      </c>
      <c r="J51" s="135" t="str">
        <f t="shared" si="1"/>
        <v/>
      </c>
      <c r="K51" s="135" t="str" cm="1">
        <f t="array" ref="K51">IF($B51="","",INDEX(Properties!$Q$6:$Q$15,$B51)+$J51)</f>
        <v/>
      </c>
      <c r="M51"/>
      <c r="N51"/>
    </row>
    <row r="52" spans="1:15" ht="18" customHeight="1" x14ac:dyDescent="0.3">
      <c r="A52" s="9"/>
      <c r="B52" s="137"/>
      <c r="C52" s="136" t="str" cm="1">
        <f t="array" ref="C52">IF($B52="","",INDEX(Properties!$E$6:$E$15,$B52))</f>
        <v/>
      </c>
      <c r="D52" s="134" t="str" cm="1">
        <f t="array" ref="D52">IF($B52="","",_xlfn.LET(_xlpm.n,INDEX(Properties!$P$6:$P$15,$B52),_xlpm.buy,INDEX(Properties!$M$6:$M$15,$B52)+INDEX(Properties!$O$6:$O$15,$B52),_xlpm.cap,INDEX(Properties!$N$6:$N$15,$B52),_xlpm.w,INDEX(Properties!$R$6:$R$15,$B52),_xlpm.m,D$43,_xlpm.k,_xlfn.SEQUENCE(_xlpm.m+1,1,0,1),_xlpm.v,_xlpm.n/(1-INDEX(Input!$I$80:$I$89,$B52))*(1+INDEX(Input!$G$80:$G$89,$B52))^(_xlpm.m/12),_xlpm.gs,_xlpm.v*(1-Input!$C$15),_xlpm.tax,Input!$C$26,_xlpm.noim,INDEX(Properties!$X$6:$X$15,$B52)/12*(1-Input!$C$25),_xlpm.ownm,(_xlpm.n*INDEX(Input!$C$80:$C$89,$B52)+(INDEX(Input!$D$80:$D$89,$B52)+INDEX(Input!$E$80:$E$89,$B52))*12*1000000/Input!$C$5)/12*(1-Input!$C$25),_xlpm.cf,-(_xlpm.k=0)*_xlpm.buy-(_xlpm.k&gt;=1)*(_xlpm.k&lt;=_xlpm.w)*(_xlpm.cap/_xlpm.w+_xlpm.ownm)+(_xlpm.k&gt;_xlpm.w)*_xlpm.noim+(_xlpm.k=_xlpm.m)*(_xlpm.gs-(_xlpm.gs-_xlpm.n)*_xlpm.tax),XIRR(_xlpm.cf,EOMONTH(Input!$C$7,_xlpm.k))))</f>
        <v/>
      </c>
      <c r="E52" s="134" t="str" cm="1">
        <f t="array" ref="E52">IF($B52="","",_xlfn.LET(_xlpm.n,INDEX(Properties!$P$6:$P$15,$B52),_xlpm.buy,INDEX(Properties!$M$6:$M$15,$B52)+INDEX(Properties!$O$6:$O$15,$B52),_xlpm.cap,INDEX(Properties!$N$6:$N$15,$B52),_xlpm.w,INDEX(Properties!$R$6:$R$15,$B52),_xlpm.m,E$43,_xlpm.k,_xlfn.SEQUENCE(_xlpm.m+1,1,0,1),_xlpm.v,_xlpm.n/(1-INDEX(Input!$I$80:$I$89,$B52))*(1+INDEX(Input!$G$80:$G$89,$B52))^(_xlpm.m/12),_xlpm.gs,_xlpm.v*(1-Input!$C$15),_xlpm.tax,Input!$C$26,_xlpm.noim,INDEX(Properties!$X$6:$X$15,$B52)/12*(1-Input!$C$25),_xlpm.ownm,(_xlpm.n*INDEX(Input!$C$80:$C$89,$B52)+(INDEX(Input!$D$80:$D$89,$B52)+INDEX(Input!$E$80:$E$89,$B52))*12*1000000/Input!$C$5)/12*(1-Input!$C$25),_xlpm.cf,-(_xlpm.k=0)*_xlpm.buy-(_xlpm.k&gt;=1)*(_xlpm.k&lt;=_xlpm.w)*(_xlpm.cap/_xlpm.w+_xlpm.ownm)+(_xlpm.k&gt;_xlpm.w)*_xlpm.noim+(_xlpm.k=_xlpm.m)*(_xlpm.gs-(_xlpm.gs-_xlpm.n)*_xlpm.tax),XIRR(_xlpm.cf,EOMONTH(Input!$C$7,_xlpm.k))))</f>
        <v/>
      </c>
      <c r="F52" s="134" t="str" cm="1">
        <f t="array" ref="F52">IF($B52="","",_xlfn.LET(_xlpm.n,INDEX(Properties!$P$6:$P$15,$B52),_xlpm.buy,INDEX(Properties!$M$6:$M$15,$B52)+INDEX(Properties!$O$6:$O$15,$B52),_xlpm.cap,INDEX(Properties!$N$6:$N$15,$B52),_xlpm.w,INDEX(Properties!$R$6:$R$15,$B52),_xlpm.m,F$43,_xlpm.k,_xlfn.SEQUENCE(_xlpm.m+1,1,0,1),_xlpm.v,_xlpm.n/(1-INDEX(Input!$I$80:$I$89,$B52))*(1+INDEX(Input!$G$80:$G$89,$B52))^(_xlpm.m/12),_xlpm.gs,_xlpm.v*(1-Input!$C$15),_xlpm.tax,Input!$C$26,_xlpm.noim,INDEX(Properties!$X$6:$X$15,$B52)/12*(1-Input!$C$25),_xlpm.ownm,(_xlpm.n*INDEX(Input!$C$80:$C$89,$B52)+(INDEX(Input!$D$80:$D$89,$B52)+INDEX(Input!$E$80:$E$89,$B52))*12*1000000/Input!$C$5)/12*(1-Input!$C$25),_xlpm.cf,-(_xlpm.k=0)*_xlpm.buy-(_xlpm.k&gt;=1)*(_xlpm.k&lt;=_xlpm.w)*(_xlpm.cap/_xlpm.w+_xlpm.ownm)+(_xlpm.k&gt;_xlpm.w)*_xlpm.noim+(_xlpm.k=_xlpm.m)*(_xlpm.gs-(_xlpm.gs-_xlpm.n)*_xlpm.tax),XIRR(_xlpm.cf,EOMONTH(Input!$C$7,_xlpm.k))))</f>
        <v/>
      </c>
      <c r="G52" s="134" t="str" cm="1">
        <f t="array" ref="G52">IF($B52="","",_xlfn.LET(_xlpm.n,INDEX(Properties!$P$6:$P$15,$B52),_xlpm.buy,INDEX(Properties!$M$6:$M$15,$B52)+INDEX(Properties!$O$6:$O$15,$B52),_xlpm.cap,INDEX(Properties!$N$6:$N$15,$B52),_xlpm.w,INDEX(Properties!$R$6:$R$15,$B52),_xlpm.m,G$43,_xlpm.k,_xlfn.SEQUENCE(_xlpm.m+1,1,0,1),_xlpm.v,_xlpm.n/(1-INDEX(Input!$I$80:$I$89,$B52))*(1+INDEX(Input!$G$80:$G$89,$B52))^(_xlpm.m/12),_xlpm.gs,_xlpm.v*(1-Input!$C$15),_xlpm.tax,Input!$C$26,_xlpm.noim,INDEX(Properties!$X$6:$X$15,$B52)/12*(1-Input!$C$25),_xlpm.ownm,(_xlpm.n*INDEX(Input!$C$80:$C$89,$B52)+(INDEX(Input!$D$80:$D$89,$B52)+INDEX(Input!$E$80:$E$89,$B52))*12*1000000/Input!$C$5)/12*(1-Input!$C$25),_xlpm.cf,-(_xlpm.k=0)*_xlpm.buy-(_xlpm.k&gt;=1)*(_xlpm.k&lt;=_xlpm.w)*(_xlpm.cap/_xlpm.w+_xlpm.ownm)+(_xlpm.k&gt;_xlpm.w)*_xlpm.noim+(_xlpm.k=_xlpm.m)*(_xlpm.gs-(_xlpm.gs-_xlpm.n)*_xlpm.tax),XIRR(_xlpm.cf,EOMONTH(Input!$C$7,_xlpm.k))))</f>
        <v/>
      </c>
      <c r="H52" s="134" t="str" cm="1">
        <f t="array" ref="H52">IF($B52="","",_xlfn.LET(_xlpm.n,INDEX(Properties!$P$6:$P$15,$B52),_xlpm.buy,INDEX(Properties!$M$6:$M$15,$B52)+INDEX(Properties!$O$6:$O$15,$B52),_xlpm.cap,INDEX(Properties!$N$6:$N$15,$B52),_xlpm.w,INDEX(Properties!$R$6:$R$15,$B52),_xlpm.m,H$43,_xlpm.k,_xlfn.SEQUENCE(_xlpm.m+1,1,0,1),_xlpm.v,_xlpm.n/(1-INDEX(Input!$I$80:$I$89,$B52))*(1+INDEX(Input!$G$80:$G$89,$B52))^(_xlpm.m/12),_xlpm.gs,_xlpm.v*(1-Input!$C$15),_xlpm.tax,Input!$C$26,_xlpm.noim,INDEX(Properties!$X$6:$X$15,$B52)/12*(1-Input!$C$25),_xlpm.ownm,(_xlpm.n*INDEX(Input!$C$80:$C$89,$B52)+(INDEX(Input!$D$80:$D$89,$B52)+INDEX(Input!$E$80:$E$89,$B52))*12*1000000/Input!$C$5)/12*(1-Input!$C$25),_xlpm.cf,-(_xlpm.k=0)*_xlpm.buy-(_xlpm.k&gt;=1)*(_xlpm.k&lt;=_xlpm.w)*(_xlpm.cap/_xlpm.w+_xlpm.ownm)+(_xlpm.k&gt;_xlpm.w)*_xlpm.noim+(_xlpm.k=_xlpm.m)*(_xlpm.gs-(_xlpm.gs-_xlpm.n)*_xlpm.tax),XIRR(_xlpm.cf,EOMONTH(Input!$C$7,_xlpm.k))))</f>
        <v/>
      </c>
      <c r="I52" s="134" t="str" cm="1">
        <f t="array" ref="I52">IF($B52="","",_xlfn.LET(_xlpm.n,INDEX(Properties!$P$6:$P$15,$B52),_xlpm.buy,INDEX(Properties!$M$6:$M$15,$B52)+INDEX(Properties!$O$6:$O$15,$B52),_xlpm.cap,INDEX(Properties!$N$6:$N$15,$B52),_xlpm.w,INDEX(Properties!$R$6:$R$15,$B52),_xlpm.m,I$43,_xlpm.k,_xlfn.SEQUENCE(_xlpm.m+1,1,0,1),_xlpm.v,_xlpm.n/(1-INDEX(Input!$I$80:$I$89,$B52))*(1+INDEX(Input!$G$80:$G$89,$B52))^(_xlpm.m/12),_xlpm.gs,_xlpm.v*(1-Input!$C$15),_xlpm.tax,Input!$C$26,_xlpm.noim,INDEX(Properties!$X$6:$X$15,$B52)/12*(1-Input!$C$25),_xlpm.ownm,(_xlpm.n*INDEX(Input!$C$80:$C$89,$B52)+(INDEX(Input!$D$80:$D$89,$B52)+INDEX(Input!$E$80:$E$89,$B52))*12*1000000/Input!$C$5)/12*(1-Input!$C$25),_xlpm.cf,-(_xlpm.k=0)*_xlpm.buy-(_xlpm.k&gt;=1)*(_xlpm.k&lt;=_xlpm.w)*(_xlpm.cap/_xlpm.w+_xlpm.ownm)+(_xlpm.k&gt;_xlpm.w)*_xlpm.noim+(_xlpm.k=_xlpm.m)*(_xlpm.gs-(_xlpm.gs-_xlpm.n)*_xlpm.tax),XIRR(_xlpm.cf,EOMONTH(Input!$C$7,_xlpm.k))))</f>
        <v/>
      </c>
      <c r="J52" s="135" t="str">
        <f t="shared" si="1"/>
        <v/>
      </c>
      <c r="K52" s="135" t="str" cm="1">
        <f t="array" ref="K52">IF($B52="","",INDEX(Properties!$Q$6:$Q$15,$B52)+$J52)</f>
        <v/>
      </c>
      <c r="M52"/>
      <c r="N52"/>
    </row>
    <row r="53" spans="1:15" ht="18" customHeight="1" x14ac:dyDescent="0.3">
      <c r="A53" s="9"/>
      <c r="B53" s="137"/>
      <c r="C53" s="136" t="str" cm="1">
        <f t="array" ref="C53">IF($B53="","",INDEX(Properties!$E$6:$E$15,$B53))</f>
        <v/>
      </c>
      <c r="D53" s="134" t="str" cm="1">
        <f t="array" ref="D53">IF($B53="","",_xlfn.LET(_xlpm.n,INDEX(Properties!$P$6:$P$15,$B53),_xlpm.buy,INDEX(Properties!$M$6:$M$15,$B53)+INDEX(Properties!$O$6:$O$15,$B53),_xlpm.cap,INDEX(Properties!$N$6:$N$15,$B53),_xlpm.w,INDEX(Properties!$R$6:$R$15,$B53),_xlpm.m,D$43,_xlpm.k,_xlfn.SEQUENCE(_xlpm.m+1,1,0,1),_xlpm.v,_xlpm.n/(1-INDEX(Input!$I$80:$I$89,$B53))*(1+INDEX(Input!$G$80:$G$89,$B53))^(_xlpm.m/12),_xlpm.gs,_xlpm.v*(1-Input!$C$15),_xlpm.tax,Input!$C$26,_xlpm.noim,INDEX(Properties!$X$6:$X$15,$B53)/12*(1-Input!$C$25),_xlpm.ownm,(_xlpm.n*INDEX(Input!$C$80:$C$89,$B53)+(INDEX(Input!$D$80:$D$89,$B53)+INDEX(Input!$E$80:$E$89,$B53))*12*1000000/Input!$C$5)/12*(1-Input!$C$25),_xlpm.cf,-(_xlpm.k=0)*_xlpm.buy-(_xlpm.k&gt;=1)*(_xlpm.k&lt;=_xlpm.w)*(_xlpm.cap/_xlpm.w+_xlpm.ownm)+(_xlpm.k&gt;_xlpm.w)*_xlpm.noim+(_xlpm.k=_xlpm.m)*(_xlpm.gs-(_xlpm.gs-_xlpm.n)*_xlpm.tax),XIRR(_xlpm.cf,EOMONTH(Input!$C$7,_xlpm.k))))</f>
        <v/>
      </c>
      <c r="E53" s="134" t="str" cm="1">
        <f t="array" ref="E53">IF($B53="","",_xlfn.LET(_xlpm.n,INDEX(Properties!$P$6:$P$15,$B53),_xlpm.buy,INDEX(Properties!$M$6:$M$15,$B53)+INDEX(Properties!$O$6:$O$15,$B53),_xlpm.cap,INDEX(Properties!$N$6:$N$15,$B53),_xlpm.w,INDEX(Properties!$R$6:$R$15,$B53),_xlpm.m,E$43,_xlpm.k,_xlfn.SEQUENCE(_xlpm.m+1,1,0,1),_xlpm.v,_xlpm.n/(1-INDEX(Input!$I$80:$I$89,$B53))*(1+INDEX(Input!$G$80:$G$89,$B53))^(_xlpm.m/12),_xlpm.gs,_xlpm.v*(1-Input!$C$15),_xlpm.tax,Input!$C$26,_xlpm.noim,INDEX(Properties!$X$6:$X$15,$B53)/12*(1-Input!$C$25),_xlpm.ownm,(_xlpm.n*INDEX(Input!$C$80:$C$89,$B53)+(INDEX(Input!$D$80:$D$89,$B53)+INDEX(Input!$E$80:$E$89,$B53))*12*1000000/Input!$C$5)/12*(1-Input!$C$25),_xlpm.cf,-(_xlpm.k=0)*_xlpm.buy-(_xlpm.k&gt;=1)*(_xlpm.k&lt;=_xlpm.w)*(_xlpm.cap/_xlpm.w+_xlpm.ownm)+(_xlpm.k&gt;_xlpm.w)*_xlpm.noim+(_xlpm.k=_xlpm.m)*(_xlpm.gs-(_xlpm.gs-_xlpm.n)*_xlpm.tax),XIRR(_xlpm.cf,EOMONTH(Input!$C$7,_xlpm.k))))</f>
        <v/>
      </c>
      <c r="F53" s="134" t="str" cm="1">
        <f t="array" ref="F53">IF($B53="","",_xlfn.LET(_xlpm.n,INDEX(Properties!$P$6:$P$15,$B53),_xlpm.buy,INDEX(Properties!$M$6:$M$15,$B53)+INDEX(Properties!$O$6:$O$15,$B53),_xlpm.cap,INDEX(Properties!$N$6:$N$15,$B53),_xlpm.w,INDEX(Properties!$R$6:$R$15,$B53),_xlpm.m,F$43,_xlpm.k,_xlfn.SEQUENCE(_xlpm.m+1,1,0,1),_xlpm.v,_xlpm.n/(1-INDEX(Input!$I$80:$I$89,$B53))*(1+INDEX(Input!$G$80:$G$89,$B53))^(_xlpm.m/12),_xlpm.gs,_xlpm.v*(1-Input!$C$15),_xlpm.tax,Input!$C$26,_xlpm.noim,INDEX(Properties!$X$6:$X$15,$B53)/12*(1-Input!$C$25),_xlpm.ownm,(_xlpm.n*INDEX(Input!$C$80:$C$89,$B53)+(INDEX(Input!$D$80:$D$89,$B53)+INDEX(Input!$E$80:$E$89,$B53))*12*1000000/Input!$C$5)/12*(1-Input!$C$25),_xlpm.cf,-(_xlpm.k=0)*_xlpm.buy-(_xlpm.k&gt;=1)*(_xlpm.k&lt;=_xlpm.w)*(_xlpm.cap/_xlpm.w+_xlpm.ownm)+(_xlpm.k&gt;_xlpm.w)*_xlpm.noim+(_xlpm.k=_xlpm.m)*(_xlpm.gs-(_xlpm.gs-_xlpm.n)*_xlpm.tax),XIRR(_xlpm.cf,EOMONTH(Input!$C$7,_xlpm.k))))</f>
        <v/>
      </c>
      <c r="G53" s="134" t="str" cm="1">
        <f t="array" ref="G53">IF($B53="","",_xlfn.LET(_xlpm.n,INDEX(Properties!$P$6:$P$15,$B53),_xlpm.buy,INDEX(Properties!$M$6:$M$15,$B53)+INDEX(Properties!$O$6:$O$15,$B53),_xlpm.cap,INDEX(Properties!$N$6:$N$15,$B53),_xlpm.w,INDEX(Properties!$R$6:$R$15,$B53),_xlpm.m,G$43,_xlpm.k,_xlfn.SEQUENCE(_xlpm.m+1,1,0,1),_xlpm.v,_xlpm.n/(1-INDEX(Input!$I$80:$I$89,$B53))*(1+INDEX(Input!$G$80:$G$89,$B53))^(_xlpm.m/12),_xlpm.gs,_xlpm.v*(1-Input!$C$15),_xlpm.tax,Input!$C$26,_xlpm.noim,INDEX(Properties!$X$6:$X$15,$B53)/12*(1-Input!$C$25),_xlpm.ownm,(_xlpm.n*INDEX(Input!$C$80:$C$89,$B53)+(INDEX(Input!$D$80:$D$89,$B53)+INDEX(Input!$E$80:$E$89,$B53))*12*1000000/Input!$C$5)/12*(1-Input!$C$25),_xlpm.cf,-(_xlpm.k=0)*_xlpm.buy-(_xlpm.k&gt;=1)*(_xlpm.k&lt;=_xlpm.w)*(_xlpm.cap/_xlpm.w+_xlpm.ownm)+(_xlpm.k&gt;_xlpm.w)*_xlpm.noim+(_xlpm.k=_xlpm.m)*(_xlpm.gs-(_xlpm.gs-_xlpm.n)*_xlpm.tax),XIRR(_xlpm.cf,EOMONTH(Input!$C$7,_xlpm.k))))</f>
        <v/>
      </c>
      <c r="H53" s="134" t="str" cm="1">
        <f t="array" ref="H53">IF($B53="","",_xlfn.LET(_xlpm.n,INDEX(Properties!$P$6:$P$15,$B53),_xlpm.buy,INDEX(Properties!$M$6:$M$15,$B53)+INDEX(Properties!$O$6:$O$15,$B53),_xlpm.cap,INDEX(Properties!$N$6:$N$15,$B53),_xlpm.w,INDEX(Properties!$R$6:$R$15,$B53),_xlpm.m,H$43,_xlpm.k,_xlfn.SEQUENCE(_xlpm.m+1,1,0,1),_xlpm.v,_xlpm.n/(1-INDEX(Input!$I$80:$I$89,$B53))*(1+INDEX(Input!$G$80:$G$89,$B53))^(_xlpm.m/12),_xlpm.gs,_xlpm.v*(1-Input!$C$15),_xlpm.tax,Input!$C$26,_xlpm.noim,INDEX(Properties!$X$6:$X$15,$B53)/12*(1-Input!$C$25),_xlpm.ownm,(_xlpm.n*INDEX(Input!$C$80:$C$89,$B53)+(INDEX(Input!$D$80:$D$89,$B53)+INDEX(Input!$E$80:$E$89,$B53))*12*1000000/Input!$C$5)/12*(1-Input!$C$25),_xlpm.cf,-(_xlpm.k=0)*_xlpm.buy-(_xlpm.k&gt;=1)*(_xlpm.k&lt;=_xlpm.w)*(_xlpm.cap/_xlpm.w+_xlpm.ownm)+(_xlpm.k&gt;_xlpm.w)*_xlpm.noim+(_xlpm.k=_xlpm.m)*(_xlpm.gs-(_xlpm.gs-_xlpm.n)*_xlpm.tax),XIRR(_xlpm.cf,EOMONTH(Input!$C$7,_xlpm.k))))</f>
        <v/>
      </c>
      <c r="I53" s="134" t="str" cm="1">
        <f t="array" ref="I53">IF($B53="","",_xlfn.LET(_xlpm.n,INDEX(Properties!$P$6:$P$15,$B53),_xlpm.buy,INDEX(Properties!$M$6:$M$15,$B53)+INDEX(Properties!$O$6:$O$15,$B53),_xlpm.cap,INDEX(Properties!$N$6:$N$15,$B53),_xlpm.w,INDEX(Properties!$R$6:$R$15,$B53),_xlpm.m,I$43,_xlpm.k,_xlfn.SEQUENCE(_xlpm.m+1,1,0,1),_xlpm.v,_xlpm.n/(1-INDEX(Input!$I$80:$I$89,$B53))*(1+INDEX(Input!$G$80:$G$89,$B53))^(_xlpm.m/12),_xlpm.gs,_xlpm.v*(1-Input!$C$15),_xlpm.tax,Input!$C$26,_xlpm.noim,INDEX(Properties!$X$6:$X$15,$B53)/12*(1-Input!$C$25),_xlpm.ownm,(_xlpm.n*INDEX(Input!$C$80:$C$89,$B53)+(INDEX(Input!$D$80:$D$89,$B53)+INDEX(Input!$E$80:$E$89,$B53))*12*1000000/Input!$C$5)/12*(1-Input!$C$25),_xlpm.cf,-(_xlpm.k=0)*_xlpm.buy-(_xlpm.k&gt;=1)*(_xlpm.k&lt;=_xlpm.w)*(_xlpm.cap/_xlpm.w+_xlpm.ownm)+(_xlpm.k&gt;_xlpm.w)*_xlpm.noim+(_xlpm.k=_xlpm.m)*(_xlpm.gs-(_xlpm.gs-_xlpm.n)*_xlpm.tax),XIRR(_xlpm.cf,EOMONTH(Input!$C$7,_xlpm.k))))</f>
        <v/>
      </c>
      <c r="J53" s="135" t="str">
        <f t="shared" si="1"/>
        <v/>
      </c>
      <c r="K53" s="135" t="str" cm="1">
        <f t="array" ref="K53">IF($B53="","",INDEX(Properties!$Q$6:$Q$15,$B53)+$J53)</f>
        <v/>
      </c>
      <c r="M53"/>
      <c r="N53"/>
    </row>
    <row r="54" spans="1:15" ht="34.049999999999997" customHeight="1" x14ac:dyDescent="0.3">
      <c r="A54" s="9"/>
      <c r="B54" s="532" t="str">
        <f>"Takeaway: on dated monthly flows the ranking is unchanged — optimal hold is "&amp;TEXT($J$44,"0")&amp;" months for every active property. XIRR runs above the annualized-return grid at short holds ("&amp;TEXT($D$44,"0.0%")&amp;" vs "&amp;TEXT($D$30,"0.0%")&amp;" at "&amp;TEXT($D$43,"0")&amp;" months for the first property) because works spend and ownership costs land month by month rather than on day one; the two converge by "&amp;TEXT($H$43,"0")&amp;" months ("&amp;TEXT($H$44,"0.0%")&amp;" vs "&amp;TEXT($H$30,"0.0%")&amp;")."</f>
        <v>Takeaway: on dated monthly flows the ranking is unchanged — optimal hold is 6 months for every active property. XIRR runs above the annualized-return grid at short holds (120.8% vs 84.8% at 6 months for the first property) because works spend and ownership costs land month by month rather than on day one; the two converge by 24 months (25.7% vs 24.0%).</v>
      </c>
      <c r="C54" s="532"/>
      <c r="D54" s="532"/>
      <c r="E54" s="532"/>
      <c r="F54" s="532"/>
      <c r="G54" s="532"/>
      <c r="H54" s="532"/>
      <c r="I54" s="532"/>
      <c r="J54" s="532"/>
      <c r="K54" s="532"/>
      <c r="L54" s="125"/>
      <c r="M54" s="125"/>
      <c r="N54"/>
    </row>
    <row r="55" spans="1:15" ht="9" customHeight="1" x14ac:dyDescent="0.3">
      <c r="A55"/>
      <c r="B55"/>
      <c r="C55"/>
      <c r="D55"/>
      <c r="E55"/>
      <c r="F55"/>
      <c r="G55"/>
      <c r="H55"/>
      <c r="I55"/>
      <c r="J55"/>
      <c r="K55"/>
      <c r="L55"/>
      <c r="M55"/>
      <c r="N55"/>
    </row>
    <row r="56" spans="1:15" ht="22.05" customHeight="1" x14ac:dyDescent="0.3">
      <c r="B56" s="130" t="s">
        <v>892</v>
      </c>
      <c r="C56" s="281"/>
      <c r="D56" s="281"/>
      <c r="E56" s="281"/>
      <c r="F56" s="281"/>
      <c r="G56" s="281"/>
      <c r="H56" s="281"/>
      <c r="I56" s="281"/>
      <c r="J56" s="281"/>
      <c r="K56" s="281"/>
    </row>
    <row r="57" spans="1:15" ht="18" customHeight="1" x14ac:dyDescent="0.3">
      <c r="B57" s="282" t="str">
        <f>"Closing sequence for the "&amp;COUNT($B$61:$B$70)&amp;" active properties. Fontanar and Aires are fixed anchors; each later closing follows the previous one by a deterministic ladder (left) or a normally distributed gap (right), assigned by stratified percentile so the set conforms to the curve."</f>
        <v>Closing sequence for the 5 active properties. Fontanar and Aires are fixed anchors; each later closing follows the previous one by a deterministic ladder (left) or a normally distributed gap (right), assigned by stratified percentile so the set conforms to the curve.</v>
      </c>
    </row>
    <row r="58" spans="1:15" ht="18" customHeight="1" x14ac:dyDescent="0.3">
      <c r="B58" s="283" t="s">
        <v>893</v>
      </c>
      <c r="H58" s="284">
        <v>30</v>
      </c>
      <c r="I58" s="284">
        <v>45</v>
      </c>
      <c r="J58" s="284">
        <v>60</v>
      </c>
      <c r="K58" s="284">
        <v>90</v>
      </c>
    </row>
    <row r="59" spans="1:15" ht="18" customHeight="1" x14ac:dyDescent="0.3">
      <c r="B59" s="283" t="s">
        <v>894</v>
      </c>
      <c r="H59" s="284">
        <v>30</v>
      </c>
      <c r="I59" s="284">
        <v>90</v>
      </c>
      <c r="J59" s="285">
        <f>AVERAGE($H$59,$I$59)</f>
        <v>60</v>
      </c>
      <c r="K59" s="285">
        <f>($I$59-$H$59)/3</f>
        <v>20</v>
      </c>
    </row>
    <row r="60" spans="1:15" ht="30" customHeight="1" x14ac:dyDescent="0.3">
      <c r="B60" s="131" t="s">
        <v>895</v>
      </c>
      <c r="C60" s="131" t="s">
        <v>27</v>
      </c>
      <c r="D60" s="131" t="s">
        <v>896</v>
      </c>
      <c r="E60" s="131" t="s">
        <v>897</v>
      </c>
      <c r="F60" s="131" t="s">
        <v>898</v>
      </c>
      <c r="G60" s="131" t="s">
        <v>1069</v>
      </c>
      <c r="H60" s="131" t="s">
        <v>899</v>
      </c>
      <c r="I60" s="131" t="s">
        <v>900</v>
      </c>
      <c r="J60" s="131" t="s">
        <v>901</v>
      </c>
      <c r="K60" s="131" t="s">
        <v>1069</v>
      </c>
      <c r="O60" s="294" t="str">
        <f>IF(AND(COUNT($B$61:$B$70)=Properties!$B$21,COUNT($B$76:$B$85)=Properties!$B$21),"✓ Sequence matches active portfolio","✗ Sequence ≠ active properties — add/remove rows")</f>
        <v>✓ Sequence matches active portfolio</v>
      </c>
    </row>
    <row r="61" spans="1:15" ht="18" customHeight="1" x14ac:dyDescent="0.3">
      <c r="B61" s="117">
        <v>2</v>
      </c>
      <c r="C61" s="136" t="str" cm="1">
        <f t="array" ref="C61">IF($B61="","",INDEX(Properties!$E$6:$E$15,$B61))</f>
        <v>Fontanar Apto 201 (Penthouse)</v>
      </c>
      <c r="D61" s="286">
        <f>DATE(YEAR(Input!$C$7),MONTH(Input!$C$7),15)</f>
        <v>46310</v>
      </c>
      <c r="F61" s="286">
        <f>$D61</f>
        <v>46310</v>
      </c>
      <c r="G61" s="166">
        <f>IF($F61="","",MAX(1,DATEDIF(Input!$C$7,$F61,"m")+1))</f>
        <v>1</v>
      </c>
      <c r="J61" s="286">
        <f>$D61</f>
        <v>46310</v>
      </c>
      <c r="K61" s="166">
        <f>IF($J61="","",MAX(1,DATEDIF(Input!$C$7,$J61,"m")+1))</f>
        <v>1</v>
      </c>
    </row>
    <row r="62" spans="1:15" ht="18" customHeight="1" x14ac:dyDescent="0.3">
      <c r="B62" s="117">
        <v>1</v>
      </c>
      <c r="C62" s="136" t="str" cm="1">
        <f t="array" ref="C62">IF($B62="","",INDEX(Properties!$E$6:$E$15,$B62))</f>
        <v>Aires de Campestre Apto 801 (Penthouse)</v>
      </c>
      <c r="D62" s="287">
        <v>46341</v>
      </c>
      <c r="F62" s="286">
        <f>$D62</f>
        <v>46341</v>
      </c>
      <c r="G62" s="166">
        <f>IF($F62="","",MAX(1,DATEDIF(Input!$C$7,$F62,"m")+1))</f>
        <v>2</v>
      </c>
      <c r="J62" s="286">
        <f>$D62</f>
        <v>46341</v>
      </c>
      <c r="K62" s="166">
        <f>IF($J62="","",MAX(1,DATEDIF(Input!$C$7,$J62,"m")+1))</f>
        <v>2</v>
      </c>
    </row>
    <row r="63" spans="1:15" ht="18" customHeight="1" x14ac:dyDescent="0.3">
      <c r="B63" s="117">
        <v>3</v>
      </c>
      <c r="C63" s="136" t="str" cm="1">
        <f t="array" ref="C63">IF($B63="","",INDEX(Properties!$E$6:$E$15,$B63))</f>
        <v>San Lucas Apto 101</v>
      </c>
      <c r="E63" s="288">
        <f>IF($B63="","",$H$58)</f>
        <v>30</v>
      </c>
      <c r="F63" s="286">
        <f t="shared" ref="F63:F70" si="2">IF($B63="","",F62+$E63)</f>
        <v>46371</v>
      </c>
      <c r="G63" s="166">
        <f>IF($F63="","",MAX(1,DATEDIF(Input!$C$7,$F63,"m")+1))</f>
        <v>3</v>
      </c>
      <c r="H63" s="289">
        <f t="shared" ref="H63:H70" si="3">IF($B63="","",(ROW()-ROW($H$62)-0.5)/COUNT($B$63:$B$70))</f>
        <v>0.16666666666666666</v>
      </c>
      <c r="I63" s="288">
        <f t="shared" ref="I63:I70" si="4">IF($B63="","",ROUND(MEDIAN($H$59,$I$59,_xlfn.NORM.INV($H63,$J$59,$K$59)),0))</f>
        <v>41</v>
      </c>
      <c r="J63" s="286">
        <f t="shared" ref="J63:J70" si="5">IF($B63="","",J62+$I63)</f>
        <v>46382</v>
      </c>
      <c r="K63" s="166">
        <f>IF($J63="","",MAX(1,DATEDIF(Input!$C$7,$J63,"m")+1))</f>
        <v>3</v>
      </c>
    </row>
    <row r="64" spans="1:15" ht="18" customHeight="1" x14ac:dyDescent="0.3">
      <c r="B64" s="117">
        <v>5</v>
      </c>
      <c r="C64" s="136" t="str" cm="1">
        <f t="array" ref="C64">IF($B64="","",INDEX(Properties!$E$6:$E$15,$B64))</f>
        <v>Casa Monte Sereno</v>
      </c>
      <c r="E64" s="288">
        <f>IF($B64="","",$I$58)</f>
        <v>45</v>
      </c>
      <c r="F64" s="286">
        <f t="shared" si="2"/>
        <v>46416</v>
      </c>
      <c r="G64" s="166">
        <f>IF($F64="","",MAX(1,DATEDIF(Input!$C$7,$F64,"m")+1))</f>
        <v>4</v>
      </c>
      <c r="H64" s="289">
        <f t="shared" si="3"/>
        <v>0.5</v>
      </c>
      <c r="I64" s="288">
        <f t="shared" si="4"/>
        <v>60</v>
      </c>
      <c r="J64" s="286">
        <f t="shared" si="5"/>
        <v>46442</v>
      </c>
      <c r="K64" s="166">
        <f>IF($J64="","",MAX(1,DATEDIF(Input!$C$7,$J64,"m")+1))</f>
        <v>5</v>
      </c>
    </row>
    <row r="65" spans="1:14" ht="18" customHeight="1" x14ac:dyDescent="0.3">
      <c r="B65" s="117">
        <v>4</v>
      </c>
      <c r="C65" s="136" t="str" cm="1">
        <f t="array" ref="C65">IF($B65="","",INDEX(Properties!$E$6:$E$15,$B65))</f>
        <v>Casa Montana Lote 2 (Samuel Gaviria House)</v>
      </c>
      <c r="E65" s="288">
        <f>IF($B65="","",$J$58)</f>
        <v>60</v>
      </c>
      <c r="F65" s="286">
        <f t="shared" si="2"/>
        <v>46476</v>
      </c>
      <c r="G65" s="166">
        <f>IF($F65="","",MAX(1,DATEDIF(Input!$C$7,$F65,"m")+1))</f>
        <v>6</v>
      </c>
      <c r="H65" s="289">
        <f t="shared" si="3"/>
        <v>0.83333333333333337</v>
      </c>
      <c r="I65" s="288">
        <f t="shared" si="4"/>
        <v>79</v>
      </c>
      <c r="J65" s="286">
        <f t="shared" si="5"/>
        <v>46521</v>
      </c>
      <c r="K65" s="166">
        <f>IF($J65="","",MAX(1,DATEDIF(Input!$C$7,$J65,"m")+1))</f>
        <v>8</v>
      </c>
    </row>
    <row r="66" spans="1:14" ht="18" customHeight="1" x14ac:dyDescent="0.3">
      <c r="B66" s="117"/>
      <c r="C66" s="136" t="str" cm="1">
        <f t="array" ref="C66">IF($B66="","",INDEX(Properties!$E$6:$E$15,$B66))</f>
        <v/>
      </c>
      <c r="E66" s="288" t="str">
        <f>IF($B66="","",$K$58)</f>
        <v/>
      </c>
      <c r="F66" s="286" t="str">
        <f t="shared" si="2"/>
        <v/>
      </c>
      <c r="G66" s="166" t="str">
        <f>IF($F66="","",MAX(1,DATEDIF(Input!$C$7,$F66,"m")+1))</f>
        <v/>
      </c>
      <c r="H66" s="289" t="str">
        <f t="shared" si="3"/>
        <v/>
      </c>
      <c r="I66" s="288" t="str">
        <f t="shared" si="4"/>
        <v/>
      </c>
      <c r="J66" s="286" t="str">
        <f t="shared" si="5"/>
        <v/>
      </c>
      <c r="K66" s="166" t="str">
        <f>IF($J66="","",MAX(1,DATEDIF(Input!$C$7,$J66,"m")+1))</f>
        <v/>
      </c>
    </row>
    <row r="67" spans="1:14" ht="18" customHeight="1" x14ac:dyDescent="0.3">
      <c r="B67" s="117"/>
      <c r="C67" s="136" t="str" cm="1">
        <f t="array" ref="C67">IF($B67="","",INDEX(Properties!$E$6:$E$15,$B67))</f>
        <v/>
      </c>
      <c r="E67" s="288" t="str">
        <f>IF($B67="","",$K$58)</f>
        <v/>
      </c>
      <c r="F67" s="286" t="str">
        <f t="shared" si="2"/>
        <v/>
      </c>
      <c r="G67" s="166" t="str">
        <f>IF($F67="","",MAX(1,DATEDIF(Input!$C$7,$F67,"m")+1))</f>
        <v/>
      </c>
      <c r="H67" s="289" t="str">
        <f t="shared" si="3"/>
        <v/>
      </c>
      <c r="I67" s="288" t="str">
        <f t="shared" si="4"/>
        <v/>
      </c>
      <c r="J67" s="286" t="str">
        <f t="shared" si="5"/>
        <v/>
      </c>
      <c r="K67" s="166" t="str">
        <f>IF($J67="","",MAX(1,DATEDIF(Input!$C$7,$J67,"m")+1))</f>
        <v/>
      </c>
    </row>
    <row r="68" spans="1:14" ht="18" customHeight="1" x14ac:dyDescent="0.3">
      <c r="B68" s="117"/>
      <c r="C68" s="136" t="str" cm="1">
        <f t="array" ref="C68">IF($B68="","",INDEX(Properties!$E$6:$E$15,$B68))</f>
        <v/>
      </c>
      <c r="E68" s="288" t="str">
        <f>IF($B68="","",$K$58)</f>
        <v/>
      </c>
      <c r="F68" s="286" t="str">
        <f t="shared" si="2"/>
        <v/>
      </c>
      <c r="G68" s="166" t="str">
        <f>IF($F68="","",MAX(1,DATEDIF(Input!$C$7,$F68,"m")+1))</f>
        <v/>
      </c>
      <c r="H68" s="289" t="str">
        <f t="shared" si="3"/>
        <v/>
      </c>
      <c r="I68" s="288" t="str">
        <f t="shared" si="4"/>
        <v/>
      </c>
      <c r="J68" s="286" t="str">
        <f t="shared" si="5"/>
        <v/>
      </c>
      <c r="K68" s="166" t="str">
        <f>IF($J68="","",MAX(1,DATEDIF(Input!$C$7,$J68,"m")+1))</f>
        <v/>
      </c>
    </row>
    <row r="69" spans="1:14" ht="18" customHeight="1" x14ac:dyDescent="0.3">
      <c r="B69" s="117"/>
      <c r="C69" s="136" t="str" cm="1">
        <f t="array" ref="C69">IF($B69="","",INDEX(Properties!$E$6:$E$15,$B69))</f>
        <v/>
      </c>
      <c r="E69" s="288" t="str">
        <f>IF($B69="","",$K$58)</f>
        <v/>
      </c>
      <c r="F69" s="286" t="str">
        <f t="shared" si="2"/>
        <v/>
      </c>
      <c r="G69" s="166" t="str">
        <f>IF($F69="","",MAX(1,DATEDIF(Input!$C$7,$F69,"m")+1))</f>
        <v/>
      </c>
      <c r="H69" s="289" t="str">
        <f t="shared" si="3"/>
        <v/>
      </c>
      <c r="I69" s="288" t="str">
        <f t="shared" si="4"/>
        <v/>
      </c>
      <c r="J69" s="286" t="str">
        <f t="shared" si="5"/>
        <v/>
      </c>
      <c r="K69" s="166" t="str">
        <f>IF($J69="","",MAX(1,DATEDIF(Input!$C$7,$J69,"m")+1))</f>
        <v/>
      </c>
    </row>
    <row r="70" spans="1:14" ht="18" customHeight="1" x14ac:dyDescent="0.3">
      <c r="B70" s="117"/>
      <c r="C70" s="136" t="str" cm="1">
        <f t="array" ref="C70">IF($B70="","",INDEX(Properties!$E$6:$E$15,$B70))</f>
        <v/>
      </c>
      <c r="E70" s="288" t="str">
        <f>IF($B70="","",$K$58)</f>
        <v/>
      </c>
      <c r="F70" s="286" t="str">
        <f t="shared" si="2"/>
        <v/>
      </c>
      <c r="G70" s="166" t="str">
        <f>IF($F70="","",MAX(1,DATEDIF(Input!$C$7,$F70,"m")+1))</f>
        <v/>
      </c>
      <c r="H70" s="289" t="str">
        <f t="shared" si="3"/>
        <v/>
      </c>
      <c r="I70" s="288" t="str">
        <f t="shared" si="4"/>
        <v/>
      </c>
      <c r="J70" s="286" t="str">
        <f t="shared" si="5"/>
        <v/>
      </c>
      <c r="K70" s="166" t="str">
        <f>IF($J70="","",MAX(1,DATEDIF(Input!$C$7,$J70,"m")+1))</f>
        <v/>
      </c>
    </row>
    <row r="71" spans="1:14" ht="9" customHeight="1" x14ac:dyDescent="0.3">
      <c r="A71"/>
      <c r="B71"/>
      <c r="C71"/>
      <c r="D71"/>
      <c r="E71"/>
      <c r="F71"/>
      <c r="G71"/>
      <c r="H71"/>
      <c r="I71"/>
      <c r="J71"/>
      <c r="K71"/>
      <c r="L71"/>
      <c r="M71"/>
      <c r="N71"/>
    </row>
    <row r="72" spans="1:14" ht="22.05" customHeight="1" x14ac:dyDescent="0.3">
      <c r="B72" s="130" t="s">
        <v>905</v>
      </c>
      <c r="C72" s="281"/>
      <c r="D72" s="281"/>
      <c r="E72" s="281"/>
      <c r="F72" s="281"/>
      <c r="G72" s="281"/>
      <c r="H72" s="281"/>
      <c r="I72" s="281"/>
      <c r="J72" s="281"/>
      <c r="K72" s="281"/>
      <c r="L72" s="281"/>
      <c r="M72" s="281"/>
    </row>
    <row r="73" spans="1:14" ht="18" customHeight="1" x14ac:dyDescent="0.3">
      <c r="B73" s="282" t="str">
        <f>"Marketing lag measured from works completion, distributed across the "&amp;COUNT($B$76:$B$85)&amp;" active properties by liquidity — smallest and most liquid clears first. Closing dates come from the block above; renovation length is the per-property input on Properties."</f>
        <v>Marketing lag measured from works completion, distributed across the 5 active properties by liquidity — smallest and most liquid clears first. Closing dates come from the block above; renovation length is the per-property input on Properties.</v>
      </c>
    </row>
    <row r="74" spans="1:14" ht="18" customHeight="1" x14ac:dyDescent="0.3">
      <c r="B74" s="283" t="s">
        <v>1070</v>
      </c>
      <c r="H74" s="290">
        <v>18</v>
      </c>
      <c r="I74" s="290">
        <v>30</v>
      </c>
      <c r="J74" s="291">
        <f>AVERAGE($H$74,$I$74)</f>
        <v>24</v>
      </c>
      <c r="K74" s="291">
        <f>($I$74-$H$74)/3</f>
        <v>4</v>
      </c>
    </row>
    <row r="75" spans="1:14" ht="30" customHeight="1" x14ac:dyDescent="0.3">
      <c r="B75" s="115" t="s">
        <v>895</v>
      </c>
      <c r="C75" s="115" t="s">
        <v>27</v>
      </c>
      <c r="D75" s="115" t="s">
        <v>906</v>
      </c>
      <c r="E75" s="115" t="s">
        <v>899</v>
      </c>
      <c r="F75" s="115" t="s">
        <v>907</v>
      </c>
      <c r="G75" s="115" t="s">
        <v>908</v>
      </c>
      <c r="H75" s="115" t="s">
        <v>1071</v>
      </c>
      <c r="I75" s="115" t="s">
        <v>1072</v>
      </c>
      <c r="J75" s="115" t="s">
        <v>909</v>
      </c>
      <c r="K75" s="115" t="s">
        <v>910</v>
      </c>
      <c r="L75" s="115" t="s">
        <v>911</v>
      </c>
      <c r="M75" s="115" t="s">
        <v>1073</v>
      </c>
    </row>
    <row r="76" spans="1:14" ht="18" customHeight="1" x14ac:dyDescent="0.3">
      <c r="B76" s="117">
        <v>3</v>
      </c>
      <c r="C76" s="136" t="str" cm="1">
        <f t="array" ref="C76">IF($B76="","",INDEX(Properties!$E$6:$E$15,$B76))</f>
        <v>San Lucas Apto 101</v>
      </c>
      <c r="D76" s="286">
        <f>IF($B76="","",EDATE(INDEX($J$61:$J$70,MATCH($B76,$B$61:$B$70,0)),INDEX(Properties!$R$6:$R$15,$B76)))</f>
        <v>46564</v>
      </c>
      <c r="E76" s="289">
        <f t="shared" ref="E76:E85" si="6">IF($B76="","",(ROW()-ROW($E$75)-0.5)/COUNT($B$76:$B$85))</f>
        <v>0.1</v>
      </c>
      <c r="F76" s="292">
        <f t="shared" ref="F76:F85" si="7">IF($B76="","",IF($M76&lt;&gt;"",$M76,ROUND(MEDIAN($H$74,$I$74,_xlfn.NORM.INV($E76,$J$74,$K$74)),0)))</f>
        <v>19</v>
      </c>
      <c r="G76" s="286">
        <f t="shared" ref="G76:G85" si="8">IF($B76="","",EDATE($D76,$F76))</f>
        <v>47144</v>
      </c>
      <c r="H76" s="166" cm="1">
        <f t="array" ref="H76">IF($B76="","",INDEX(Properties!$R$6:$R$15,$B76)+$F76)</f>
        <v>25</v>
      </c>
      <c r="I76" s="166">
        <f>IF($B76="","",MAX(1,DATEDIF(Input!$C$7,$G76,"m")+1))</f>
        <v>28</v>
      </c>
      <c r="J76" s="166">
        <f t="shared" ref="J76:J85" si="9">IF($B76="","",$H76)</f>
        <v>25</v>
      </c>
      <c r="K76" s="134" cm="1">
        <f t="array" ref="K76">IF($B76="","",_xlfn.LET(_xlpm.n,INDEX(Properties!$P$6:$P$15,$B76),_xlpm.v,_xlpm.n/(1-INDEX(Input!$I$80:$I$89,$B76))*(1+INDEX(Input!$G$80:$G$89,$B76))^($J76/12),_xlpm.g,_xlpm.v*(1-Input!$C$15),_xlpm.tax,Input!$C$26,_xlpm.noi,INDEX(Properties!$X$6:$X$15,$B76)*MAX(0,$J76-INDEX(Properties!$R$6:$R$15,$B76))/12*(1-Input!$C$25),_xlpm.ownfx,_xlpm.n*INDEX(Input!$C$80:$C$89,$B76)+(INDEX(Input!$D$80:$D$89,$B76)+INDEX(Input!$E$80:$E$89,$B76))*12*1000000/Input!$C$5,_xlpm.wrk,_xlpm.ownfx*MIN($J76,INDEX(Properties!$R$6:$R$15,$B76))/12*(1-Input!$C$25),((_xlpm.g-(_xlpm.g-_xlpm.n)*_xlpm.tax+_xlpm.noi-_xlpm.wrk)/_xlpm.n)^(12/$J76)-1))</f>
        <v>0.24188833547594424</v>
      </c>
      <c r="L76" s="293">
        <f>IF($B76="","",Input!$C$26)</f>
        <v>0.15</v>
      </c>
      <c r="M76" s="300"/>
    </row>
    <row r="77" spans="1:14" ht="18" customHeight="1" x14ac:dyDescent="0.3">
      <c r="B77" s="117">
        <v>1</v>
      </c>
      <c r="C77" s="136" t="str" cm="1">
        <f t="array" ref="C77">IF($B77="","",INDEX(Properties!$E$6:$E$15,$B77))</f>
        <v>Aires de Campestre Apto 801 (Penthouse)</v>
      </c>
      <c r="D77" s="286">
        <f>IF($B77="","",EDATE(INDEX($J$61:$J$70,MATCH($B77,$B$61:$B$70,0)),INDEX(Properties!$R$6:$R$15,$B77)))</f>
        <v>46522</v>
      </c>
      <c r="E77" s="289">
        <f t="shared" si="6"/>
        <v>0.3</v>
      </c>
      <c r="F77" s="292">
        <f t="shared" si="7"/>
        <v>22</v>
      </c>
      <c r="G77" s="286">
        <f t="shared" si="8"/>
        <v>47192</v>
      </c>
      <c r="H77" s="166" cm="1">
        <f t="array" ref="H77">IF($B77="","",INDEX(Properties!$R$6:$R$15,$B77)+$F77)</f>
        <v>28</v>
      </c>
      <c r="I77" s="166">
        <f>IF($B77="","",MAX(1,DATEDIF(Input!$C$7,$G77,"m")+1))</f>
        <v>30</v>
      </c>
      <c r="J77" s="166">
        <f t="shared" si="9"/>
        <v>28</v>
      </c>
      <c r="K77" s="134" cm="1">
        <f t="array" ref="K77">IF($B77="","",_xlfn.LET(_xlpm.n,INDEX(Properties!$P$6:$P$15,$B77),_xlpm.v,_xlpm.n/(1-INDEX(Input!$I$80:$I$89,$B77))*(1+INDEX(Input!$G$80:$G$89,$B77))^($J77/12),_xlpm.g,_xlpm.v*(1-Input!$C$15),_xlpm.tax,Input!$C$26,_xlpm.noi,INDEX(Properties!$X$6:$X$15,$B77)*MAX(0,$J77-INDEX(Properties!$R$6:$R$15,$B77))/12*(1-Input!$C$25),_xlpm.ownfx,_xlpm.n*INDEX(Input!$C$80:$C$89,$B77)+(INDEX(Input!$D$80:$D$89,$B77)+INDEX(Input!$E$80:$E$89,$B77))*12*1000000/Input!$C$5,_xlpm.wrk,_xlpm.ownfx*MIN($J77,INDEX(Properties!$R$6:$R$15,$B77))/12*(1-Input!$C$25),((_xlpm.g-(_xlpm.g-_xlpm.n)*_xlpm.tax+_xlpm.noi-_xlpm.wrk)/_xlpm.n)^(12/$J77)-1))</f>
        <v>0.21689812790439511</v>
      </c>
      <c r="L77" s="293">
        <f>IF($B77="","",Input!$C$26)</f>
        <v>0.15</v>
      </c>
      <c r="M77" s="300"/>
    </row>
    <row r="78" spans="1:14" ht="18" customHeight="1" x14ac:dyDescent="0.3">
      <c r="B78" s="117">
        <v>2</v>
      </c>
      <c r="C78" s="136" t="str" cm="1">
        <f t="array" ref="C78">IF($B78="","",INDEX(Properties!$E$6:$E$15,$B78))</f>
        <v>Fontanar Apto 201 (Penthouse)</v>
      </c>
      <c r="D78" s="286">
        <f>IF($B78="","",EDATE(INDEX($J$61:$J$70,MATCH($B78,$B$61:$B$70,0)),INDEX(Properties!$R$6:$R$15,$B78)))</f>
        <v>46492</v>
      </c>
      <c r="E78" s="289">
        <f t="shared" si="6"/>
        <v>0.5</v>
      </c>
      <c r="F78" s="292">
        <f t="shared" si="7"/>
        <v>24</v>
      </c>
      <c r="G78" s="286">
        <f t="shared" si="8"/>
        <v>47223</v>
      </c>
      <c r="H78" s="166" cm="1">
        <f t="array" ref="H78">IF($B78="","",INDEX(Properties!$R$6:$R$15,$B78)+$F78)</f>
        <v>30</v>
      </c>
      <c r="I78" s="166">
        <f>IF($B78="","",MAX(1,DATEDIF(Input!$C$7,$G78,"m")+1))</f>
        <v>31</v>
      </c>
      <c r="J78" s="166">
        <f t="shared" si="9"/>
        <v>30</v>
      </c>
      <c r="K78" s="134" cm="1">
        <f t="array" ref="K78">IF($B78="","",_xlfn.LET(_xlpm.n,INDEX(Properties!$P$6:$P$15,$B78),_xlpm.v,_xlpm.n/(1-INDEX(Input!$I$80:$I$89,$B78))*(1+INDEX(Input!$G$80:$G$89,$B78))^($J78/12),_xlpm.g,_xlpm.v*(1-Input!$C$15),_xlpm.tax,Input!$C$26,_xlpm.noi,INDEX(Properties!$X$6:$X$15,$B78)*MAX(0,$J78-INDEX(Properties!$R$6:$R$15,$B78))/12*(1-Input!$C$25),_xlpm.ownfx,_xlpm.n*INDEX(Input!$C$80:$C$89,$B78)+(INDEX(Input!$D$80:$D$89,$B78)+INDEX(Input!$E$80:$E$89,$B78))*12*1000000/Input!$C$5,_xlpm.wrk,_xlpm.ownfx*MIN($J78,INDEX(Properties!$R$6:$R$15,$B78))/12*(1-Input!$C$25),((_xlpm.g-(_xlpm.g-_xlpm.n)*_xlpm.tax+_xlpm.noi-_xlpm.wrk)/_xlpm.n)^(12/$J78)-1))</f>
        <v>0.20612291716035647</v>
      </c>
      <c r="L78" s="293">
        <f>IF($B78="","",Input!$C$26)</f>
        <v>0.15</v>
      </c>
      <c r="M78" s="300"/>
    </row>
    <row r="79" spans="1:14" ht="18" customHeight="1" x14ac:dyDescent="0.3">
      <c r="B79" s="117">
        <v>5</v>
      </c>
      <c r="C79" s="136" t="str" cm="1">
        <f t="array" ref="C79">IF($B79="","",INDEX(Properties!$E$6:$E$15,$B79))</f>
        <v>Casa Monte Sereno</v>
      </c>
      <c r="D79" s="286">
        <f>IF($B79="","",EDATE(INDEX($J$61:$J$70,MATCH($B79,$B$61:$B$70,0)),INDEX(Properties!$R$6:$R$15,$B79)))</f>
        <v>46623</v>
      </c>
      <c r="E79" s="289">
        <f t="shared" si="6"/>
        <v>0.7</v>
      </c>
      <c r="F79" s="292">
        <f t="shared" si="7"/>
        <v>26</v>
      </c>
      <c r="G79" s="286">
        <f t="shared" si="8"/>
        <v>47415</v>
      </c>
      <c r="H79" s="166" cm="1">
        <f t="array" ref="H79">IF($B79="","",INDEX(Properties!$R$6:$R$15,$B79)+$F79)</f>
        <v>32</v>
      </c>
      <c r="I79" s="166">
        <f>IF($B79="","",MAX(1,DATEDIF(Input!$C$7,$G79,"m")+1))</f>
        <v>37</v>
      </c>
      <c r="J79" s="166">
        <f t="shared" si="9"/>
        <v>32</v>
      </c>
      <c r="K79" s="134" cm="1">
        <f t="array" ref="K79">IF($B79="","",_xlfn.LET(_xlpm.n,INDEX(Properties!$P$6:$P$15,$B79),_xlpm.v,_xlpm.n/(1-INDEX(Input!$I$80:$I$89,$B79))*(1+INDEX(Input!$G$80:$G$89,$B79))^($J79/12),_xlpm.g,_xlpm.v*(1-Input!$C$15),_xlpm.tax,Input!$C$26,_xlpm.noi,INDEX(Properties!$X$6:$X$15,$B79)*MAX(0,$J79-INDEX(Properties!$R$6:$R$15,$B79))/12*(1-Input!$C$25),_xlpm.ownfx,_xlpm.n*INDEX(Input!$C$80:$C$89,$B79)+(INDEX(Input!$D$80:$D$89,$B79)+INDEX(Input!$E$80:$E$89,$B79))*12*1000000/Input!$C$5,_xlpm.wrk,_xlpm.ownfx*MIN($J79,INDEX(Properties!$R$6:$R$15,$B79))/12*(1-Input!$C$25),((_xlpm.g-(_xlpm.g-_xlpm.n)*_xlpm.tax+_xlpm.noi-_xlpm.wrk)/_xlpm.n)^(12/$J79)-1))</f>
        <v>0.18218591669070294</v>
      </c>
      <c r="L79" s="293">
        <f>IF($B79="","",Input!$C$26)</f>
        <v>0.15</v>
      </c>
      <c r="M79" s="300"/>
    </row>
    <row r="80" spans="1:14" ht="18" customHeight="1" x14ac:dyDescent="0.3">
      <c r="B80" s="117">
        <v>4</v>
      </c>
      <c r="C80" s="136" t="str" cm="1">
        <f t="array" ref="C80">IF($B80="","",INDEX(Properties!$E$6:$E$15,$B80))</f>
        <v>Casa Montana Lote 2 (Samuel Gaviria House)</v>
      </c>
      <c r="D80" s="286">
        <f>IF($B80="","",EDATE(INDEX($J$61:$J$70,MATCH($B80,$B$61:$B$70,0)),INDEX(Properties!$R$6:$R$15,$B80)))</f>
        <v>46705</v>
      </c>
      <c r="E80" s="289">
        <f t="shared" si="6"/>
        <v>0.9</v>
      </c>
      <c r="F80" s="292">
        <f t="shared" si="7"/>
        <v>29</v>
      </c>
      <c r="G80" s="286">
        <f t="shared" si="8"/>
        <v>47587</v>
      </c>
      <c r="H80" s="166" cm="1">
        <f t="array" ref="H80">IF($B80="","",INDEX(Properties!$R$6:$R$15,$B80)+$F80)</f>
        <v>35</v>
      </c>
      <c r="I80" s="166">
        <f>IF($B80="","",MAX(1,DATEDIF(Input!$C$7,$G80,"m")+1))</f>
        <v>43</v>
      </c>
      <c r="J80" s="166">
        <f t="shared" si="9"/>
        <v>35</v>
      </c>
      <c r="K80" s="134" cm="1">
        <f t="array" ref="K80">IF($B80="","",_xlfn.LET(_xlpm.n,INDEX(Properties!$P$6:$P$15,$B80),_xlpm.v,_xlpm.n/(1-INDEX(Input!$I$80:$I$89,$B80))*(1+INDEX(Input!$G$80:$G$89,$B80))^($J80/12),_xlpm.g,_xlpm.v*(1-Input!$C$15),_xlpm.tax,Input!$C$26,_xlpm.noi,INDEX(Properties!$X$6:$X$15,$B80)*MAX(0,$J80-INDEX(Properties!$R$6:$R$15,$B80))/12*(1-Input!$C$25),_xlpm.ownfx,_xlpm.n*INDEX(Input!$C$80:$C$89,$B80)+(INDEX(Input!$D$80:$D$89,$B80)+INDEX(Input!$E$80:$E$89,$B80))*12*1000000/Input!$C$5,_xlpm.wrk,_xlpm.ownfx*MIN($J80,INDEX(Properties!$R$6:$R$15,$B80))/12*(1-Input!$C$25),((_xlpm.g-(_xlpm.g-_xlpm.n)*_xlpm.tax+_xlpm.noi-_xlpm.wrk)/_xlpm.n)^(12/$J80)-1))</f>
        <v>0.17554546855306907</v>
      </c>
      <c r="L80" s="293">
        <f>IF($B80="","",Input!$C$26)</f>
        <v>0.15</v>
      </c>
      <c r="M80" s="300"/>
    </row>
    <row r="81" spans="2:13" ht="18" customHeight="1" x14ac:dyDescent="0.3">
      <c r="B81" s="117"/>
      <c r="C81" s="136" t="str" cm="1">
        <f t="array" ref="C81">IF($B81="","",INDEX(Properties!$E$6:$E$15,$B81))</f>
        <v/>
      </c>
      <c r="D81" s="286" t="str">
        <f>IF($B81="","",EDATE(INDEX($J$61:$J$70,MATCH($B81,$B$61:$B$70,0)),INDEX(Properties!$R$6:$R$15,$B81)))</f>
        <v/>
      </c>
      <c r="E81" s="289" t="str">
        <f t="shared" si="6"/>
        <v/>
      </c>
      <c r="F81" s="292" t="str">
        <f t="shared" si="7"/>
        <v/>
      </c>
      <c r="G81" s="286" t="str">
        <f t="shared" si="8"/>
        <v/>
      </c>
      <c r="H81" s="166" t="str" cm="1">
        <f t="array" ref="H81">IF($B81="","",INDEX(Properties!$R$6:$R$15,$B81)+$F81)</f>
        <v/>
      </c>
      <c r="I81" s="166" t="str">
        <f>IF($B81="","",MAX(1,DATEDIF(Input!$C$7,$G81,"m")+1))</f>
        <v/>
      </c>
      <c r="J81" s="166" t="str">
        <f t="shared" si="9"/>
        <v/>
      </c>
      <c r="K81" s="134" t="str" cm="1">
        <f t="array" ref="K81">IF($B81="","",_xlfn.LET(_xlpm.n,INDEX(Properties!$P$6:$P$15,$B81),_xlpm.v,_xlpm.n/(1-INDEX(Input!$I$80:$I$89,$B81))*(1+INDEX(Input!$G$80:$G$89,$B81))^($J81/12),_xlpm.g,_xlpm.v*(1-Input!$C$15),_xlpm.tax,Input!$C$26,_xlpm.noi,INDEX(Properties!$X$6:$X$15,$B81)*MAX(0,$J81-INDEX(Properties!$R$6:$R$15,$B81))/12*(1-Input!$C$25),_xlpm.ownfx,_xlpm.n*INDEX(Input!$C$80:$C$89,$B81)+(INDEX(Input!$D$80:$D$89,$B81)+INDEX(Input!$E$80:$E$89,$B81))*12*1000000/Input!$C$5,_xlpm.wrk,_xlpm.ownfx*MIN($J81,INDEX(Properties!$R$6:$R$15,$B81))/12*(1-Input!$C$25),((_xlpm.g-(_xlpm.g-_xlpm.n)*_xlpm.tax+_xlpm.noi-_xlpm.wrk)/_xlpm.n)^(12/$J81)-1))</f>
        <v/>
      </c>
      <c r="L81" s="293" t="str">
        <f>IF($B81="","",Input!$C$26)</f>
        <v/>
      </c>
      <c r="M81" s="300"/>
    </row>
    <row r="82" spans="2:13" ht="18" customHeight="1" x14ac:dyDescent="0.3">
      <c r="B82" s="117"/>
      <c r="C82" s="136" t="str" cm="1">
        <f t="array" ref="C82">IF($B82="","",INDEX(Properties!$E$6:$E$15,$B82))</f>
        <v/>
      </c>
      <c r="D82" s="286" t="str">
        <f>IF($B82="","",EDATE(INDEX($J$61:$J$70,MATCH($B82,$B$61:$B$70,0)),INDEX(Properties!$R$6:$R$15,$B82)))</f>
        <v/>
      </c>
      <c r="E82" s="289" t="str">
        <f t="shared" si="6"/>
        <v/>
      </c>
      <c r="F82" s="292" t="str">
        <f t="shared" si="7"/>
        <v/>
      </c>
      <c r="G82" s="286" t="str">
        <f t="shared" si="8"/>
        <v/>
      </c>
      <c r="H82" s="166" t="str" cm="1">
        <f t="array" ref="H82">IF($B82="","",INDEX(Properties!$R$6:$R$15,$B82)+$F82)</f>
        <v/>
      </c>
      <c r="I82" s="166" t="str">
        <f>IF($B82="","",MAX(1,DATEDIF(Input!$C$7,$G82,"m")+1))</f>
        <v/>
      </c>
      <c r="J82" s="166" t="str">
        <f t="shared" si="9"/>
        <v/>
      </c>
      <c r="K82" s="134" t="str" cm="1">
        <f t="array" ref="K82">IF($B82="","",_xlfn.LET(_xlpm.n,INDEX(Properties!$P$6:$P$15,$B82),_xlpm.v,_xlpm.n/(1-INDEX(Input!$I$80:$I$89,$B82))*(1+INDEX(Input!$G$80:$G$89,$B82))^($J82/12),_xlpm.g,_xlpm.v*(1-Input!$C$15),_xlpm.tax,Input!$C$26,_xlpm.noi,INDEX(Properties!$X$6:$X$15,$B82)*MAX(0,$J82-INDEX(Properties!$R$6:$R$15,$B82))/12*(1-Input!$C$25),_xlpm.ownfx,_xlpm.n*INDEX(Input!$C$80:$C$89,$B82)+(INDEX(Input!$D$80:$D$89,$B82)+INDEX(Input!$E$80:$E$89,$B82))*12*1000000/Input!$C$5,_xlpm.wrk,_xlpm.ownfx*MIN($J82,INDEX(Properties!$R$6:$R$15,$B82))/12*(1-Input!$C$25),((_xlpm.g-(_xlpm.g-_xlpm.n)*_xlpm.tax+_xlpm.noi-_xlpm.wrk)/_xlpm.n)^(12/$J82)-1))</f>
        <v/>
      </c>
      <c r="L82" s="293" t="str">
        <f>IF($B82="","",Input!$C$26)</f>
        <v/>
      </c>
      <c r="M82" s="300"/>
    </row>
    <row r="83" spans="2:13" ht="18" customHeight="1" x14ac:dyDescent="0.3">
      <c r="B83" s="117"/>
      <c r="C83" s="136" t="str" cm="1">
        <f t="array" ref="C83">IF($B83="","",INDEX(Properties!$E$6:$E$15,$B83))</f>
        <v/>
      </c>
      <c r="D83" s="286" t="str">
        <f>IF($B83="","",EDATE(INDEX($J$61:$J$70,MATCH($B83,$B$61:$B$70,0)),INDEX(Properties!$R$6:$R$15,$B83)))</f>
        <v/>
      </c>
      <c r="E83" s="289" t="str">
        <f t="shared" si="6"/>
        <v/>
      </c>
      <c r="F83" s="292" t="str">
        <f t="shared" si="7"/>
        <v/>
      </c>
      <c r="G83" s="286" t="str">
        <f t="shared" si="8"/>
        <v/>
      </c>
      <c r="H83" s="166" t="str" cm="1">
        <f t="array" ref="H83">IF($B83="","",INDEX(Properties!$R$6:$R$15,$B83)+$F83)</f>
        <v/>
      </c>
      <c r="I83" s="166" t="str">
        <f>IF($B83="","",MAX(1,DATEDIF(Input!$C$7,$G83,"m")+1))</f>
        <v/>
      </c>
      <c r="J83" s="166" t="str">
        <f t="shared" si="9"/>
        <v/>
      </c>
      <c r="K83" s="134" t="str" cm="1">
        <f t="array" ref="K83">IF($B83="","",_xlfn.LET(_xlpm.n,INDEX(Properties!$P$6:$P$15,$B83),_xlpm.v,_xlpm.n/(1-INDEX(Input!$I$80:$I$89,$B83))*(1+INDEX(Input!$G$80:$G$89,$B83))^($J83/12),_xlpm.g,_xlpm.v*(1-Input!$C$15),_xlpm.tax,Input!$C$26,_xlpm.noi,INDEX(Properties!$X$6:$X$15,$B83)*MAX(0,$J83-INDEX(Properties!$R$6:$R$15,$B83))/12*(1-Input!$C$25),_xlpm.ownfx,_xlpm.n*INDEX(Input!$C$80:$C$89,$B83)+(INDEX(Input!$D$80:$D$89,$B83)+INDEX(Input!$E$80:$E$89,$B83))*12*1000000/Input!$C$5,_xlpm.wrk,_xlpm.ownfx*MIN($J83,INDEX(Properties!$R$6:$R$15,$B83))/12*(1-Input!$C$25),((_xlpm.g-(_xlpm.g-_xlpm.n)*_xlpm.tax+_xlpm.noi-_xlpm.wrk)/_xlpm.n)^(12/$J83)-1))</f>
        <v/>
      </c>
      <c r="L83" s="293" t="str">
        <f>IF($B83="","",Input!$C$26)</f>
        <v/>
      </c>
      <c r="M83" s="300"/>
    </row>
    <row r="84" spans="2:13" ht="18" customHeight="1" x14ac:dyDescent="0.3">
      <c r="B84" s="117"/>
      <c r="C84" s="136" t="str" cm="1">
        <f t="array" ref="C84">IF($B84="","",INDEX(Properties!$E$6:$E$15,$B84))</f>
        <v/>
      </c>
      <c r="D84" s="286" t="str">
        <f>IF($B84="","",EDATE(INDEX($J$61:$J$70,MATCH($B84,$B$61:$B$70,0)),INDEX(Properties!$R$6:$R$15,$B84)))</f>
        <v/>
      </c>
      <c r="E84" s="289" t="str">
        <f t="shared" si="6"/>
        <v/>
      </c>
      <c r="F84" s="292" t="str">
        <f t="shared" si="7"/>
        <v/>
      </c>
      <c r="G84" s="286" t="str">
        <f t="shared" si="8"/>
        <v/>
      </c>
      <c r="H84" s="166" t="str" cm="1">
        <f t="array" ref="H84">IF($B84="","",INDEX(Properties!$R$6:$R$15,$B84)+$F84)</f>
        <v/>
      </c>
      <c r="I84" s="166" t="str">
        <f>IF($B84="","",MAX(1,DATEDIF(Input!$C$7,$G84,"m")+1))</f>
        <v/>
      </c>
      <c r="J84" s="166" t="str">
        <f t="shared" si="9"/>
        <v/>
      </c>
      <c r="K84" s="134" t="str" cm="1">
        <f t="array" ref="K84">IF($B84="","",_xlfn.LET(_xlpm.n,INDEX(Properties!$P$6:$P$15,$B84),_xlpm.v,_xlpm.n/(1-INDEX(Input!$I$80:$I$89,$B84))*(1+INDEX(Input!$G$80:$G$89,$B84))^($J84/12),_xlpm.g,_xlpm.v*(1-Input!$C$15),_xlpm.tax,Input!$C$26,_xlpm.noi,INDEX(Properties!$X$6:$X$15,$B84)*MAX(0,$J84-INDEX(Properties!$R$6:$R$15,$B84))/12*(1-Input!$C$25),_xlpm.ownfx,_xlpm.n*INDEX(Input!$C$80:$C$89,$B84)+(INDEX(Input!$D$80:$D$89,$B84)+INDEX(Input!$E$80:$E$89,$B84))*12*1000000/Input!$C$5,_xlpm.wrk,_xlpm.ownfx*MIN($J84,INDEX(Properties!$R$6:$R$15,$B84))/12*(1-Input!$C$25),((_xlpm.g-(_xlpm.g-_xlpm.n)*_xlpm.tax+_xlpm.noi-_xlpm.wrk)/_xlpm.n)^(12/$J84)-1))</f>
        <v/>
      </c>
      <c r="L84" s="293" t="str">
        <f>IF($B84="","",Input!$C$26)</f>
        <v/>
      </c>
      <c r="M84" s="300"/>
    </row>
    <row r="85" spans="2:13" ht="18" customHeight="1" x14ac:dyDescent="0.3">
      <c r="B85" s="117"/>
      <c r="C85" s="136" t="str" cm="1">
        <f t="array" ref="C85">IF($B85="","",INDEX(Properties!$E$6:$E$15,$B85))</f>
        <v/>
      </c>
      <c r="D85" s="286" t="str">
        <f>IF($B85="","",EDATE(INDEX($J$61:$J$70,MATCH($B85,$B$61:$B$70,0)),INDEX(Properties!$R$6:$R$15,$B85)))</f>
        <v/>
      </c>
      <c r="E85" s="289" t="str">
        <f t="shared" si="6"/>
        <v/>
      </c>
      <c r="F85" s="292" t="str">
        <f t="shared" si="7"/>
        <v/>
      </c>
      <c r="G85" s="286" t="str">
        <f t="shared" si="8"/>
        <v/>
      </c>
      <c r="H85" s="166" t="str" cm="1">
        <f t="array" ref="H85">IF($B85="","",INDEX(Properties!$R$6:$R$15,$B85)+$F85)</f>
        <v/>
      </c>
      <c r="I85" s="166" t="str">
        <f>IF($B85="","",MAX(1,DATEDIF(Input!$C$7,$G85,"m")+1))</f>
        <v/>
      </c>
      <c r="J85" s="166" t="str">
        <f t="shared" si="9"/>
        <v/>
      </c>
      <c r="K85" s="134" t="str" cm="1">
        <f t="array" ref="K85">IF($B85="","",_xlfn.LET(_xlpm.n,INDEX(Properties!$P$6:$P$15,$B85),_xlpm.v,_xlpm.n/(1-INDEX(Input!$I$80:$I$89,$B85))*(1+INDEX(Input!$G$80:$G$89,$B85))^($J85/12),_xlpm.g,_xlpm.v*(1-Input!$C$15),_xlpm.tax,Input!$C$26,_xlpm.noi,INDEX(Properties!$X$6:$X$15,$B85)*MAX(0,$J85-INDEX(Properties!$R$6:$R$15,$B85))/12*(1-Input!$C$25),_xlpm.ownfx,_xlpm.n*INDEX(Input!$C$80:$C$89,$B85)+(INDEX(Input!$D$80:$D$89,$B85)+INDEX(Input!$E$80:$E$89,$B85))*12*1000000/Input!$C$5,_xlpm.wrk,_xlpm.ownfx*MIN($J85,INDEX(Properties!$R$6:$R$15,$B85))/12*(1-Input!$C$25),((_xlpm.g-(_xlpm.g-_xlpm.n)*_xlpm.tax+_xlpm.noi-_xlpm.wrk)/_xlpm.n)^(12/$J85)-1))</f>
        <v/>
      </c>
      <c r="L85" s="293" t="str">
        <f>IF($B85="","",Input!$C$26)</f>
        <v/>
      </c>
      <c r="M85" s="300"/>
    </row>
    <row r="87" spans="2:13" ht="21" customHeight="1" x14ac:dyDescent="0.3">
      <c r="B87" s="553" t="s">
        <v>988</v>
      </c>
      <c r="C87" s="553"/>
      <c r="D87" s="553"/>
      <c r="E87" s="553"/>
      <c r="F87" s="553"/>
      <c r="G87" s="553"/>
      <c r="H87" s="553"/>
      <c r="I87" s="553"/>
      <c r="J87" s="553"/>
      <c r="K87" s="553"/>
    </row>
    <row r="88" spans="2:13" ht="48" customHeight="1" x14ac:dyDescent="0.3">
      <c r="B88" s="548" t="s">
        <v>1018</v>
      </c>
      <c r="C88" s="548"/>
      <c r="D88" s="548"/>
      <c r="E88" s="548"/>
      <c r="F88" s="548"/>
      <c r="G88" s="548"/>
      <c r="H88" s="548"/>
      <c r="I88" s="548"/>
      <c r="J88" s="548"/>
      <c r="K88" s="548"/>
      <c r="L88" s="510"/>
      <c r="M88" s="510"/>
    </row>
    <row r="89" spans="2:13" ht="34.049999999999997" customHeight="1" x14ac:dyDescent="0.3">
      <c r="B89" s="548" t="s">
        <v>989</v>
      </c>
      <c r="C89" s="548"/>
      <c r="D89" s="548"/>
      <c r="E89" s="548"/>
      <c r="F89" s="548"/>
      <c r="G89" s="548"/>
      <c r="H89" s="548"/>
      <c r="I89" s="548"/>
      <c r="J89" s="548"/>
      <c r="K89" s="548"/>
      <c r="L89" s="510"/>
      <c r="M89" s="510"/>
    </row>
    <row r="90" spans="2:13" ht="23.55" customHeight="1" x14ac:dyDescent="0.3">
      <c r="B90" s="548" t="s">
        <v>990</v>
      </c>
      <c r="C90" s="549"/>
      <c r="D90" s="549"/>
      <c r="E90" s="549"/>
      <c r="F90" s="549"/>
      <c r="G90" s="549"/>
      <c r="H90" s="549"/>
      <c r="I90" s="549"/>
      <c r="J90" s="549"/>
      <c r="K90" s="549"/>
    </row>
    <row r="91" spans="2:13" ht="23.55" customHeight="1" x14ac:dyDescent="0.3">
      <c r="B91" s="548" t="s">
        <v>991</v>
      </c>
      <c r="C91" s="549"/>
      <c r="D91" s="549"/>
      <c r="E91" s="549"/>
      <c r="F91" s="549"/>
      <c r="G91" s="549"/>
      <c r="H91" s="549"/>
      <c r="I91" s="549"/>
      <c r="J91" s="549"/>
      <c r="K91" s="549"/>
    </row>
    <row r="92" spans="2:13" ht="23.55" customHeight="1" x14ac:dyDescent="0.3">
      <c r="B92" s="548" t="s">
        <v>992</v>
      </c>
      <c r="C92" s="549"/>
      <c r="D92" s="549"/>
      <c r="E92" s="549"/>
      <c r="F92" s="549"/>
      <c r="G92" s="549"/>
      <c r="H92" s="549"/>
      <c r="I92" s="549"/>
      <c r="J92" s="549"/>
      <c r="K92" s="549"/>
    </row>
    <row r="93" spans="2:13" ht="23.55" customHeight="1" x14ac:dyDescent="0.3">
      <c r="B93" s="548" t="s">
        <v>993</v>
      </c>
      <c r="C93" s="549"/>
      <c r="D93" s="549"/>
      <c r="E93" s="549"/>
      <c r="F93" s="549"/>
      <c r="G93" s="549"/>
      <c r="H93" s="549"/>
      <c r="I93" s="549"/>
      <c r="J93" s="549"/>
      <c r="K93" s="549"/>
    </row>
    <row r="94" spans="2:13" ht="76.95" customHeight="1" x14ac:dyDescent="0.3">
      <c r="B94" s="548" t="str">
        <f>_xlfn._LONGTEXT("N7 (row 13) — XIRR on 120 dated monthly portfolio cash flows: purchase and closing at the acquisition month, renovation capex spread across the works months, ownership costs (predial, administración/HOA, utilities) from acquisition to sale, insurance and ","maintenance reserve from rental start (the contractor insures the works), rental-linked charges and rental income from the rental-start month, and net sale proceeds at the exit month. Rows 9-11 above remain a simplified single-cycle illustration only and ","no longer drive this line. INCLUDES, inside operating income: Property Management &amp; Housekeeping ")&amp;TEXT(Input!$C$31,"0%")&amp;" of gross rent, maintenance reserve "&amp;TEXT(Input!$C$19,"0.0%")&amp;", insurance "&amp;TEXT(Input!$C$18,"0.00%")&amp;", predial, administración/HOA, utilities, ICA, vacancy per property, and selling costs "&amp;TEXT(Input!$C$15,"0.0%")&amp;" at exit. EXCLUDES: asset management fee "&amp;TEXT(Input!$C$30,"0.0%")&amp;"/yr of basis, Dulcinea legal/accounting/admin, GMF, income and capital gains tax, investor capital-call timing, and the ServCo fees not charged (acquisition "&amp;TEXT(Input!$C$94,"0%")&amp;", renovation management "&amp;TEXT(Input!$C$95,"0%")&amp;", disposition "&amp;TEXT(Input!$C$96,"0.0%")&amp;", flat property service fee $"&amp;TEXT(Input!$C$32,"0")&amp;"/property/month)."</f>
        <v>N7 (row 13) — XIRR on 120 dated monthly portfolio cash flows: purchase and closing at the acquisition month, renovation capex spread across the works months, ownership costs (predial, administración/HOA, utilities) from acquisition to sale, insurance and maintenance reserve from rental start (the contractor insures the works), rental-linked charges and rental income from the rental-start month, and net sale proceeds at the exit month. Rows 9-11 above remain a simplified single-cycle illustration only and no longer drive this line. INCLUDES, inside operating income: Property Management &amp; Housekeeping 20% of gross rent, maintenance reserve 0.5%, insurance 0.15%, predial, administración/HOA, utilities, ICA, vacancy per property, and selling costs 3.8% at exit. EXCLUDES: asset management fee 1.0%/yr of basis, Dulcinea legal/accounting/admin, GMF, income and capital gains tax, investor capital-call timing, and the ServCo fees not charged (acquisition 1%, renovation management 5%, disposition 0.5%, flat property service fee $0/property/month).</v>
      </c>
      <c r="C94" s="548"/>
      <c r="D94" s="548"/>
      <c r="E94" s="548"/>
      <c r="F94" s="548"/>
      <c r="G94" s="548"/>
      <c r="H94" s="548"/>
      <c r="I94" s="548"/>
      <c r="J94" s="548"/>
      <c r="K94" s="548"/>
      <c r="L94" s="510"/>
      <c r="M94" s="510"/>
    </row>
    <row r="95" spans="2:13" ht="34.049999999999997" customHeight="1" x14ac:dyDescent="0.3">
      <c r="B95" s="548" t="s">
        <v>1078</v>
      </c>
      <c r="C95" s="548"/>
      <c r="D95" s="548"/>
      <c r="E95" s="548"/>
      <c r="F95" s="548"/>
      <c r="G95" s="548"/>
      <c r="H95" s="548"/>
      <c r="I95" s="548"/>
      <c r="J95" s="548"/>
      <c r="K95" s="548"/>
      <c r="L95" s="510"/>
      <c r="M95" s="510"/>
    </row>
    <row r="96" spans="2:13" ht="19.95" customHeight="1" x14ac:dyDescent="0.3">
      <c r="B96" s="548" t="s">
        <v>994</v>
      </c>
      <c r="C96" s="548"/>
      <c r="D96" s="548"/>
      <c r="E96" s="548"/>
      <c r="F96" s="548"/>
      <c r="G96" s="548"/>
      <c r="H96" s="548"/>
      <c r="I96" s="548"/>
      <c r="J96" s="548"/>
      <c r="K96" s="548"/>
      <c r="L96" s="510"/>
      <c r="M96" s="510"/>
    </row>
    <row r="97" spans="2:13" ht="23.55" customHeight="1" x14ac:dyDescent="0.3">
      <c r="B97" s="548" t="s">
        <v>1019</v>
      </c>
      <c r="C97" s="549"/>
      <c r="D97" s="549"/>
      <c r="E97" s="549"/>
      <c r="F97" s="549"/>
      <c r="G97" s="549"/>
      <c r="H97" s="549"/>
      <c r="I97" s="549"/>
      <c r="J97" s="549"/>
      <c r="K97" s="549"/>
    </row>
    <row r="98" spans="2:13" ht="34.049999999999997" customHeight="1" x14ac:dyDescent="0.3">
      <c r="B98" s="548" t="s">
        <v>1354</v>
      </c>
      <c r="C98" s="548"/>
      <c r="D98" s="548"/>
      <c r="E98" s="548"/>
      <c r="F98" s="548"/>
      <c r="G98" s="548"/>
      <c r="H98" s="548"/>
      <c r="I98" s="548"/>
      <c r="J98" s="548"/>
      <c r="K98" s="548"/>
      <c r="L98" s="510"/>
      <c r="M98" s="510"/>
    </row>
    <row r="101" spans="2:13" ht="34.049999999999997" customHeight="1" x14ac:dyDescent="0.3">
      <c r="B101" s="550" t="s">
        <v>1355</v>
      </c>
      <c r="C101" s="551"/>
      <c r="D101" s="551"/>
      <c r="E101" s="551"/>
      <c r="F101" s="551"/>
      <c r="G101" s="551"/>
      <c r="H101" s="551"/>
    </row>
    <row r="102" spans="2:13" ht="31.05" customHeight="1" x14ac:dyDescent="0.3">
      <c r="B102" s="552" t="str">
        <f>_xlfn._LONGTEXT("Analyst-level material kept off the core tabs: the cap rate discussion (per-property trailing-12-month rates, the rent-to-NOI bridge, Equity Investor KPIs, cost sensitivities, the exit price reverse-calculated into the buyer's yields) and the Portfolio An","alysis secondary tables (IRR sensitivity grids and the per-property rent card). All figures live from Properties, Input and the statements — ")&amp;TEXT(SUM(Properties!$D$6:$D$15),"0")&amp;" active properties. Nothing on this tab feeds the model; it reads from it."</f>
        <v>Analyst-level material kept off the core tabs: the cap rate discussion (per-property trailing-12-month rates, the rent-to-NOI bridge, Equity Investor KPIs, cost sensitivities, the exit price reverse-calculated into the buyer's yields) and the Portfolio Analysis secondary tables (IRR sensitivity grids and the per-property rent card). All figures live from Properties, Input and the statements — 5 active properties. Nothing on this tab feeds the model; it reads from it.</v>
      </c>
      <c r="C102" s="552"/>
      <c r="D102" s="552"/>
      <c r="E102" s="552"/>
      <c r="F102" s="552"/>
      <c r="G102" s="552"/>
      <c r="H102" s="552"/>
      <c r="I102" s="552"/>
      <c r="J102" s="552"/>
      <c r="K102" s="552"/>
      <c r="L102" s="511"/>
      <c r="M102" s="511"/>
    </row>
    <row r="103" spans="2:13" ht="10.050000000000001" customHeight="1" x14ac:dyDescent="0.3">
      <c r="B103"/>
      <c r="C103"/>
      <c r="D103"/>
      <c r="E103"/>
      <c r="F103"/>
      <c r="G103"/>
      <c r="H103"/>
    </row>
    <row r="104" spans="2:13" ht="19.95" customHeight="1" x14ac:dyDescent="0.3">
      <c r="B104" s="40" t="s">
        <v>706</v>
      </c>
      <c r="C104" s="40"/>
      <c r="D104" s="40"/>
      <c r="E104" s="40"/>
      <c r="F104" s="40"/>
      <c r="G104" s="40"/>
      <c r="H104" s="40"/>
    </row>
    <row r="105" spans="2:13" ht="28.8" customHeight="1" x14ac:dyDescent="0.3">
      <c r="B105" s="115" t="s">
        <v>26</v>
      </c>
      <c r="C105" s="115" t="s">
        <v>27</v>
      </c>
      <c r="D105" s="115" t="s">
        <v>29</v>
      </c>
      <c r="E105" s="115" t="s">
        <v>764</v>
      </c>
      <c r="F105" s="115" t="s">
        <v>707</v>
      </c>
      <c r="G105" s="115" t="s">
        <v>4</v>
      </c>
      <c r="H105" s="115" t="s">
        <v>708</v>
      </c>
    </row>
    <row r="106" spans="2:13" ht="23.55" customHeight="1" x14ac:dyDescent="0.3">
      <c r="B106" s="137">
        <v>1</v>
      </c>
      <c r="C106" s="136" t="str" cm="1">
        <f t="array" ref="C106">INDEX(Properties!$E$6:$E$15,$B106)</f>
        <v>Aires de Campestre Apto 801 (Penthouse)</v>
      </c>
      <c r="D106" s="137" t="str" cm="1">
        <f t="array" ref="D106">IF(INDEX(Properties!$D$6:$D$15,$B106)=1,"Active","Inactive")</f>
        <v>Active</v>
      </c>
      <c r="E106" s="240" cm="1">
        <f t="array" ref="E106">INDEX(Properties!$AK$6:$AK$15,$B106)</f>
        <v>20322.292306423144</v>
      </c>
      <c r="F106" s="240" cm="1">
        <f t="array" ref="F106">INDEX(Properties!$W$6:$W$15,$B106)</f>
        <v>2019763.3569386934</v>
      </c>
      <c r="G106" s="241" cm="1">
        <f t="array" ref="G106">INDEX(Properties!$AH$6:$AH$15,$B106)</f>
        <v>1.0061719476496074E-2</v>
      </c>
      <c r="H106" s="241" cm="1">
        <f t="array" ref="H106">INDEX(Properties!$AI$6:$AI$15,$B106)</f>
        <v>1.7387756673639072E-2</v>
      </c>
    </row>
    <row r="107" spans="2:13" ht="23.55" customHeight="1" x14ac:dyDescent="0.3">
      <c r="B107" s="137">
        <v>2</v>
      </c>
      <c r="C107" s="136" t="str" cm="1">
        <f t="array" ref="C107">INDEX(Properties!$E$6:$E$15,$B107)</f>
        <v>Fontanar Apto 201 (Penthouse)</v>
      </c>
      <c r="D107" s="137" t="str" cm="1">
        <f t="array" ref="D107">IF(INDEX(Properties!$D$6:$D$15,$B107)=1,"Active","Inactive")</f>
        <v>Active</v>
      </c>
      <c r="E107" s="240" cm="1">
        <f t="array" ref="E107">INDEX(Properties!$AK$6:$AK$15,$B107)</f>
        <v>20311.816301837225</v>
      </c>
      <c r="F107" s="240" cm="1">
        <f t="array" ref="F107">INDEX(Properties!$W$6:$W$15,$B107)</f>
        <v>2261281.5704204938</v>
      </c>
      <c r="G107" s="241" cm="1">
        <f t="array" ref="G107">INDEX(Properties!$AH$6:$AH$15,$B107)</f>
        <v>8.9824356982046091E-3</v>
      </c>
      <c r="H107" s="241" cm="1">
        <f t="array" ref="H107">INDEX(Properties!$AI$6:$AI$15,$B107)</f>
        <v>1.5735133155168165E-2</v>
      </c>
    </row>
    <row r="108" spans="2:13" ht="23.55" customHeight="1" x14ac:dyDescent="0.3">
      <c r="B108" s="137">
        <v>3</v>
      </c>
      <c r="C108" s="136" t="str" cm="1">
        <f t="array" ref="C108">INDEX(Properties!$E$6:$E$15,$B108)</f>
        <v>San Lucas Apto 101</v>
      </c>
      <c r="D108" s="137" t="str" cm="1">
        <f t="array" ref="D108">IF(INDEX(Properties!$D$6:$D$15,$B108)=1,"Active","Inactive")</f>
        <v>Active</v>
      </c>
      <c r="E108" s="240" cm="1">
        <f t="array" ref="E108">INDEX(Properties!$AK$6:$AK$15,$B108)</f>
        <v>26603.365077067145</v>
      </c>
      <c r="F108" s="240" cm="1">
        <f t="array" ref="F108">INDEX(Properties!$W$6:$W$15,$B108)</f>
        <v>1265464.2924150538</v>
      </c>
      <c r="G108" s="241" cm="1">
        <f t="array" ref="G108">INDEX(Properties!$AH$6:$AH$15,$B108)</f>
        <v>2.1022612203696719E-2</v>
      </c>
      <c r="H108" s="241" cm="1">
        <f t="array" ref="H108">INDEX(Properties!$AI$6:$AI$15,$B108)</f>
        <v>3.559595045765087E-2</v>
      </c>
    </row>
    <row r="109" spans="2:13" ht="23.55" customHeight="1" x14ac:dyDescent="0.3">
      <c r="B109" s="137">
        <v>4</v>
      </c>
      <c r="C109" s="136" t="str" cm="1">
        <f t="array" ref="C109">INDEX(Properties!$E$6:$E$15,$B109)</f>
        <v>Casa Montana Lote 2 (Samuel Gaviria House)</v>
      </c>
      <c r="D109" s="137" t="str" cm="1">
        <f t="array" ref="D109">IF(INDEX(Properties!$D$6:$D$15,$B109)=1,"Active","Inactive")</f>
        <v>Active</v>
      </c>
      <c r="E109" s="240" cm="1">
        <f t="array" ref="E109">INDEX(Properties!$AK$6:$AK$15,$B109)</f>
        <v>29974.781292961281</v>
      </c>
      <c r="F109" s="240" cm="1">
        <f t="array" ref="F109">INDEX(Properties!$W$6:$W$15,$B109)</f>
        <v>2995795.1883356264</v>
      </c>
      <c r="G109" s="241" cm="1">
        <f t="array" ref="G109">INDEX(Properties!$AH$6:$AH$15,$B109)</f>
        <v>1.0005617676959542E-2</v>
      </c>
      <c r="H109" s="241" cm="1">
        <f t="array" ref="H109">INDEX(Properties!$AI$6:$AI$15,$B109)</f>
        <v>1.7483285205087132E-2</v>
      </c>
    </row>
    <row r="110" spans="2:13" ht="23.55" customHeight="1" x14ac:dyDescent="0.3">
      <c r="B110" s="137">
        <v>5</v>
      </c>
      <c r="C110" s="136" t="str" cm="1">
        <f t="array" ref="C110">INDEX(Properties!$E$6:$E$15,$B110)</f>
        <v>Casa Monte Sereno</v>
      </c>
      <c r="D110" s="137" t="str" cm="1">
        <f t="array" ref="D110">IF(INDEX(Properties!$D$6:$D$15,$B110)=1,"Active","Inactive")</f>
        <v>Active</v>
      </c>
      <c r="E110" s="240" cm="1">
        <f t="array" ref="E110">INDEX(Properties!$AK$6:$AK$15,$B110)</f>
        <v>17182.925543059471</v>
      </c>
      <c r="F110" s="240" cm="1">
        <f t="array" ref="F110">INDEX(Properties!$W$6:$W$15,$B110)</f>
        <v>2834606.5805107774</v>
      </c>
      <c r="G110" s="241" cm="1">
        <f t="array" ref="G110">INDEX(Properties!$AH$6:$AH$15,$B110)</f>
        <v>6.061837879443299E-3</v>
      </c>
      <c r="H110" s="241" cm="1">
        <f t="array" ref="H110">INDEX(Properties!$AI$6:$AI$15,$B110)</f>
        <v>1.0410831358441916E-2</v>
      </c>
    </row>
    <row r="111" spans="2:13" ht="23.55" customHeight="1" x14ac:dyDescent="0.3">
      <c r="B111" s="137">
        <v>6</v>
      </c>
      <c r="C111" s="136" cm="1">
        <f t="array" ref="C111">INDEX(Properties!$E$6:$E$15,$B111)</f>
        <v>0</v>
      </c>
      <c r="D111" s="137" t="str" cm="1">
        <f t="array" ref="D111">IF(INDEX(Properties!$D$6:$D$15,$B111)=1,"Active","Inactive")</f>
        <v>Inactive</v>
      </c>
      <c r="E111" s="240" cm="1">
        <f t="array" ref="E111">INDEX(Properties!$AK$6:$AK$15,$B111)</f>
        <v>0</v>
      </c>
      <c r="F111" s="240" cm="1">
        <f t="array" ref="F111">INDEX(Properties!$W$6:$W$15,$B111)</f>
        <v>0</v>
      </c>
      <c r="G111" s="241" t="str" cm="1">
        <f t="array" ref="G111">INDEX(Properties!$AH$6:$AH$15,$B111)</f>
        <v/>
      </c>
      <c r="H111" s="241" t="str" cm="1">
        <f t="array" ref="H111">INDEX(Properties!$AI$6:$AI$15,$B111)</f>
        <v/>
      </c>
    </row>
    <row r="112" spans="2:13" ht="23.55" customHeight="1" x14ac:dyDescent="0.3">
      <c r="B112" s="137">
        <v>7</v>
      </c>
      <c r="C112" s="136" cm="1">
        <f t="array" ref="C112">INDEX(Properties!$E$6:$E$15,$B112)</f>
        <v>0</v>
      </c>
      <c r="D112" s="137" t="str" cm="1">
        <f t="array" ref="D112">IF(INDEX(Properties!$D$6:$D$15,$B112)=1,"Active","Inactive")</f>
        <v>Inactive</v>
      </c>
      <c r="E112" s="240" cm="1">
        <f t="array" ref="E112">INDEX(Properties!$AK$6:$AK$15,$B112)</f>
        <v>0</v>
      </c>
      <c r="F112" s="240" cm="1">
        <f t="array" ref="F112">INDEX(Properties!$W$6:$W$15,$B112)</f>
        <v>0</v>
      </c>
      <c r="G112" s="241" t="str" cm="1">
        <f t="array" ref="G112">INDEX(Properties!$AH$6:$AH$15,$B112)</f>
        <v/>
      </c>
      <c r="H112" s="241" t="str" cm="1">
        <f t="array" ref="H112">INDEX(Properties!$AI$6:$AI$15,$B112)</f>
        <v/>
      </c>
    </row>
    <row r="113" spans="2:8" ht="23.55" customHeight="1" x14ac:dyDescent="0.3">
      <c r="B113" s="137">
        <v>8</v>
      </c>
      <c r="C113" s="136" cm="1">
        <f t="array" ref="C113">INDEX(Properties!$E$6:$E$15,$B113)</f>
        <v>0</v>
      </c>
      <c r="D113" s="137" t="str" cm="1">
        <f t="array" ref="D113">IF(INDEX(Properties!$D$6:$D$15,$B113)=1,"Active","Inactive")</f>
        <v>Inactive</v>
      </c>
      <c r="E113" s="240" cm="1">
        <f t="array" ref="E113">INDEX(Properties!$AK$6:$AK$15,$B113)</f>
        <v>0</v>
      </c>
      <c r="F113" s="240" cm="1">
        <f t="array" ref="F113">INDEX(Properties!$W$6:$W$15,$B113)</f>
        <v>0</v>
      </c>
      <c r="G113" s="241" t="str" cm="1">
        <f t="array" ref="G113">INDEX(Properties!$AH$6:$AH$15,$B113)</f>
        <v/>
      </c>
      <c r="H113" s="241" t="str" cm="1">
        <f t="array" ref="H113">INDEX(Properties!$AI$6:$AI$15,$B113)</f>
        <v/>
      </c>
    </row>
    <row r="114" spans="2:8" ht="23.55" customHeight="1" x14ac:dyDescent="0.3">
      <c r="B114" s="137">
        <v>9</v>
      </c>
      <c r="C114" s="136" cm="1">
        <f t="array" ref="C114">INDEX(Properties!$E$6:$E$15,$B114)</f>
        <v>0</v>
      </c>
      <c r="D114" s="137" t="str" cm="1">
        <f t="array" ref="D114">IF(INDEX(Properties!$D$6:$D$15,$B114)=1,"Active","Inactive")</f>
        <v>Inactive</v>
      </c>
      <c r="E114" s="240" cm="1">
        <f t="array" ref="E114">INDEX(Properties!$AK$6:$AK$15,$B114)</f>
        <v>0</v>
      </c>
      <c r="F114" s="240" cm="1">
        <f t="array" ref="F114">INDEX(Properties!$W$6:$W$15,$B114)</f>
        <v>0</v>
      </c>
      <c r="G114" s="241" t="str" cm="1">
        <f t="array" ref="G114">INDEX(Properties!$AH$6:$AH$15,$B114)</f>
        <v/>
      </c>
      <c r="H114" s="241" t="str" cm="1">
        <f t="array" ref="H114">INDEX(Properties!$AI$6:$AI$15,$B114)</f>
        <v/>
      </c>
    </row>
    <row r="115" spans="2:8" ht="23.55" customHeight="1" x14ac:dyDescent="0.3">
      <c r="B115" s="137">
        <v>10</v>
      </c>
      <c r="C115" s="136" cm="1">
        <f t="array" ref="C115">INDEX(Properties!$E$6:$E$15,$B115)</f>
        <v>0</v>
      </c>
      <c r="D115" s="137" t="str" cm="1">
        <f t="array" ref="D115">IF(INDEX(Properties!$D$6:$D$15,$B115)=1,"Active","Inactive")</f>
        <v>Inactive</v>
      </c>
      <c r="E115" s="240" cm="1">
        <f t="array" ref="E115">INDEX(Properties!$AK$6:$AK$15,$B115)</f>
        <v>0</v>
      </c>
      <c r="F115" s="240" cm="1">
        <f t="array" ref="F115">INDEX(Properties!$W$6:$W$15,$B115)</f>
        <v>0</v>
      </c>
      <c r="G115" s="241" t="str" cm="1">
        <f t="array" ref="G115">INDEX(Properties!$AH$6:$AH$15,$B115)</f>
        <v/>
      </c>
      <c r="H115" s="241" t="str" cm="1">
        <f t="array" ref="H115">INDEX(Properties!$AI$6:$AI$15,$B115)</f>
        <v/>
      </c>
    </row>
    <row r="116" spans="2:8" ht="23.55" customHeight="1" x14ac:dyDescent="0.3">
      <c r="B116" s="234"/>
      <c r="C116" s="235" t="str">
        <f>"Active portfolio — "&amp;TEXT(SUM(Properties!$D$6:$D$15),"0")&amp;" properties"</f>
        <v>Active portfolio — 5 properties</v>
      </c>
      <c r="D116" s="234"/>
      <c r="E116" s="236">
        <f>Properties!$AK$21</f>
        <v>114395.18052134826</v>
      </c>
      <c r="F116" s="236">
        <f>Properties!$W$21</f>
        <v>11376910.988620643</v>
      </c>
      <c r="G116" s="237">
        <f>Properties!$AH$21</f>
        <v>1.0055029931742284E-2</v>
      </c>
      <c r="H116" s="237">
        <f>Properties!$AI$21</f>
        <v>1.7406538649676097E-2</v>
      </c>
    </row>
    <row r="117" spans="2:8" ht="23.55" customHeight="1" x14ac:dyDescent="0.3">
      <c r="C117" s="230"/>
    </row>
    <row r="118" spans="2:8" ht="15.45" customHeight="1" x14ac:dyDescent="0.3">
      <c r="B118" s="40" t="s">
        <v>1125</v>
      </c>
      <c r="C118" s="130"/>
      <c r="D118" s="40"/>
      <c r="E118" s="40"/>
      <c r="F118" s="40"/>
      <c r="G118" s="40"/>
      <c r="H118" s="40"/>
    </row>
    <row r="119" spans="2:8" ht="19.95" customHeight="1" x14ac:dyDescent="0.3">
      <c r="B119" s="137"/>
      <c r="C119" s="528" t="s">
        <v>1126</v>
      </c>
      <c r="D119" s="528"/>
      <c r="E119" s="240" cm="1">
        <f t="array" ref="E119">SUMPRODUCT(Properties!$D$6:$D$15,_Seasonality!$O$50:$O$59/(1-Input!$H$80:$H$89))</f>
        <v>512151.51642857149</v>
      </c>
      <c r="F119" s="232"/>
      <c r="G119" s="233"/>
      <c r="H119" s="232"/>
    </row>
    <row r="120" spans="2:8" ht="19.95" customHeight="1" x14ac:dyDescent="0.3">
      <c r="B120" s="137"/>
      <c r="C120" s="528" t="str">
        <f>"Less vacancy at "&amp;TEXT(SUMPRODUCT(Properties!$D$6:$D$15,Properties!$I$6:$I$15,Input!$H$80:$H$89)/SUMPRODUCT(Properties!$D$6:$D$15,Properties!$I$6:$I$15),"0.0%")&amp;" (m²-weighted)"</f>
        <v>Less vacancy at 40.0% (m²-weighted)</v>
      </c>
      <c r="D120" s="528"/>
      <c r="E120" s="240">
        <f>SUMPRODUCT(Properties!$D$6:$D$15,Properties!$Y$6:$Y$15)-$E$119</f>
        <v>-204860.60657142865</v>
      </c>
      <c r="F120" s="232"/>
      <c r="G120" s="233"/>
      <c r="H120" s="232"/>
    </row>
    <row r="121" spans="2:8" ht="19.95" customHeight="1" x14ac:dyDescent="0.3">
      <c r="B121" s="137"/>
      <c r="C121" s="528" t="s">
        <v>1127</v>
      </c>
      <c r="D121" s="528"/>
      <c r="E121" s="209">
        <f>$E$119+$E$120</f>
        <v>307290.90985714283</v>
      </c>
      <c r="F121" s="232"/>
      <c r="G121" s="233"/>
      <c r="H121" s="232"/>
    </row>
    <row r="122" spans="2:8" ht="34.049999999999997" customHeight="1" x14ac:dyDescent="0.3">
      <c r="B122" s="137"/>
      <c r="C122" s="528" t="str">
        <f>"Less rent-linked costs — property management "&amp;TEXT(Input!$C$31,"0.0%")&amp;", housekeeping &amp; turnover "&amp;TEXT(Input!$C$20,"0.0%")&amp;", ICA "&amp;TEXT(Input!$C$21,"0.0%")</f>
        <v>Less rent-linked costs — property management 20.0%, housekeeping &amp; turnover 0.0%, ICA 1.3%</v>
      </c>
      <c r="D122" s="528"/>
      <c r="E122" s="240">
        <f>-$E$121*(Input!$C$31+Input!$C$20+Input!$C$21)</f>
        <v>-65299.318344642859</v>
      </c>
      <c r="F122" s="232"/>
      <c r="G122" s="233"/>
      <c r="H122" s="232"/>
    </row>
    <row r="123" spans="2:8" ht="34.049999999999997" customHeight="1" x14ac:dyDescent="0.3">
      <c r="B123" s="137"/>
      <c r="C123" s="528" t="str">
        <f>"Less basis-linked costs — predial (per property), insurance "&amp;TEXT(Input!$C$18,"0.00%")&amp;", maintenance reserve "&amp;TEXT(Input!$C$19,"0.0%")</f>
        <v>Less basis-linked costs — predial (per property), insurance 0.15%, maintenance reserve 0.5%</v>
      </c>
      <c r="D123" s="528"/>
      <c r="E123" s="240" cm="1">
        <f t="array" ref="E123">-SUMPRODUCT(Properties!$D$6:$D$15,Properties!$P$6:$P$15,Input!$C$80:$C$89+Input!$C$18+Input!$C$19)</f>
        <v>-79129.429611650485</v>
      </c>
      <c r="F123" s="232"/>
      <c r="G123" s="233"/>
      <c r="H123" s="232"/>
    </row>
    <row r="124" spans="2:8" ht="19.95" customHeight="1" x14ac:dyDescent="0.3">
      <c r="B124" s="137"/>
      <c r="C124" s="528" t="s">
        <v>709</v>
      </c>
      <c r="D124" s="528"/>
      <c r="E124" s="240" cm="1">
        <f t="array" ref="E124">-SUMPRODUCT(Properties!$D$6:$D$15,Input!$D$80:$D$89+Input!$E$80:$E$89)*12*1000000/Input!$C$5</f>
        <v>-65242.718446601953</v>
      </c>
      <c r="F124" s="232"/>
      <c r="G124" s="233"/>
      <c r="H124" s="232"/>
    </row>
    <row r="125" spans="2:8" ht="33" customHeight="1" x14ac:dyDescent="0.3">
      <c r="B125" s="137"/>
      <c r="C125" s="528" t="str">
        <f>"Less ServCo property service fee — eliminated as duplicative (see Glossary)"</f>
        <v>Less ServCo property service fee — eliminated as duplicative (see Glossary)</v>
      </c>
      <c r="D125" s="528"/>
      <c r="E125" s="240">
        <f>-SUM(Properties!$D$6:$D$15)*Input!$C$32*12</f>
        <v>0</v>
      </c>
      <c r="F125" s="232"/>
      <c r="G125" s="233"/>
      <c r="H125" s="232"/>
    </row>
    <row r="126" spans="2:8" ht="19.95" customHeight="1" x14ac:dyDescent="0.3">
      <c r="B126" s="234"/>
      <c r="C126" s="547" t="s">
        <v>197</v>
      </c>
      <c r="D126" s="547"/>
      <c r="E126" s="236">
        <f>SUM($E$121:$E$125)</f>
        <v>97619.443454247536</v>
      </c>
      <c r="F126" s="238"/>
      <c r="G126" s="239"/>
      <c r="H126" s="238"/>
    </row>
    <row r="127" spans="2:8" ht="34.049999999999997" customHeight="1" x14ac:dyDescent="0.3">
      <c r="B127" s="137"/>
      <c r="C127" s="528" t="s">
        <v>956</v>
      </c>
      <c r="D127" s="528"/>
      <c r="E127" s="240">
        <f>(Properties!$AL$21-$E$121)*(1-Input!$C$31-Input!$C$20-Input!$C$21)</f>
        <v>8670.9433777802697</v>
      </c>
      <c r="F127" s="232"/>
      <c r="G127" s="233"/>
      <c r="H127" s="232"/>
    </row>
    <row r="128" spans="2:8" ht="34.049999999999997" customHeight="1" x14ac:dyDescent="0.3">
      <c r="B128" s="137"/>
      <c r="C128" s="528" t="s">
        <v>957</v>
      </c>
      <c r="D128" s="528"/>
      <c r="E128" s="240">
        <f>-($E$123+$E$124+$E$125)-(Properties!$AL$21*(1-Input!$C$31-Input!$C$20-Input!$C$21)-Properties!$AK$21)</f>
        <v>8104.7936893204169</v>
      </c>
      <c r="F128" s="232"/>
      <c r="G128" s="233"/>
      <c r="H128" s="232"/>
    </row>
    <row r="129" spans="2:13" ht="33" customHeight="1" x14ac:dyDescent="0.3">
      <c r="B129" s="260"/>
      <c r="C129" s="547" t="s">
        <v>763</v>
      </c>
      <c r="D129" s="547"/>
      <c r="E129" s="261">
        <f>$E$126+$E$127+$E$128</f>
        <v>114395.18052134823</v>
      </c>
      <c r="F129" s="260"/>
      <c r="G129" s="260"/>
      <c r="H129" s="260"/>
    </row>
    <row r="130" spans="2:13" ht="34.049999999999997" customHeight="1" x14ac:dyDescent="0.3">
      <c r="C130" s="545" t="s">
        <v>958</v>
      </c>
      <c r="D130" s="545"/>
      <c r="E130" s="1" t="str">
        <f>IF(ABS($E$129-Properties!$AK$21)&lt;1,"OK","CHECK")</f>
        <v>OK</v>
      </c>
    </row>
    <row r="131" spans="2:13" ht="14.55" customHeight="1" x14ac:dyDescent="0.3"/>
    <row r="132" spans="2:13" ht="76.95" customHeight="1" x14ac:dyDescent="0.3">
      <c r="B132" s="543" t="str">
        <f>"The exit cap rate uses the FULL TRAILING TWELVE MONTHS of NOI immediately before each sale — "&amp;TEXT($E$129,"$#,##0")&amp;" across the active portfolio — divided by the exit value, never a single month annualised. It reconciles to the year-one stabilized figure of "&amp;TEXT($E$126,"$#,##0")&amp;" in two steps: "&amp;TEXT($E$127,"$#,##0")&amp;" because rent actually collected inside that window is reduced by works and ramp months, and "&amp;TEXT($E$128,"$#,##0")&amp;" because fixed costs are charged only for the months each property is owned within it. On that basis the active portfolio prices out at a "&amp;TEXT($G$116,"0.00%")&amp;" exit cap rate and a "&amp;TEXT($H$116,"0.00%")&amp;" yield on cost. The level comes from the assumption set, not the period convention: effective gross rent of "&amp;TEXT($E$121,"$#,##0")&amp;" carries "&amp;TEXT(-SUM($E$122:$E$125),"$#,##0")&amp;" of operating cost, of which "&amp;TEXT(-$E$122,"$#,##0")&amp;" is rent-linked management, housekeeping and ICA, and a further "&amp;TEXT(-$E$120,"$#,##0")&amp;" is taken out above it as the vacancy allowance. The estate properties carry the portfolio's lowest rents at "&amp;TEXT(_xlfn.MINIFS(Input!$J$80:$J$89,Properties!$D$6:$D$15,1),"$#,##0")&amp;"/m² against an active-portfolio average of "&amp;TEXT(SUMPRODUCT(Properties!$D$6:$D$15,Input!$J$80:$J$89)/SUM(Properties!$D$6:$D$15),"$#,##0")&amp;_xlfn._LONGTEXT("/m², and the fixed per-property load — administración, utilities and predial — does not clear at that rent. The return is built at purchase and at exit rather than from income: exit value is priced off comparables at the entry discount plus appreciation, ","which is what produces the ")&amp;TEXT('Portfolio Analysis'!$E$13,"0.0%")&amp;" deal-level XIRR."</f>
        <v>The exit cap rate uses the FULL TRAILING TWELVE MONTHS of NOI immediately before each sale — $114,395 across the active portfolio — divided by the exit value, never a single month annualised. It reconciles to the year-one stabilized figure of $97,619 in two steps: $8,671 because rent actually collected inside that window is reduced by works and ramp months, and $8,105 because fixed costs are charged only for the months each property is owned within it. On that basis the active portfolio prices out at a 1.01% exit cap rate and a 1.74% yield on cost. The level comes from the assumption set, not the period convention: effective gross rent of $307,291 carries $209,671 of operating cost, of which $65,299 is rent-linked management, housekeeping and ICA, and a further $204,861 is taken out above it as the vacancy allowance. The estate properties carry the portfolio's lowest rents at $250/m² against an active-portfolio average of $280/m², and the fixed per-property load — administración, utilities and predial — does not clear at that rent. The return is built at purchase and at exit rather than from income: exit value is priced off comparables at the entry discount plus appreciation, which is what produces the 23.4% deal-level XIRR.</v>
      </c>
      <c r="C132" s="543"/>
      <c r="D132" s="543"/>
      <c r="E132" s="543"/>
      <c r="F132" s="543"/>
      <c r="G132" s="543"/>
      <c r="H132" s="543"/>
      <c r="I132" s="543"/>
      <c r="J132" s="543"/>
      <c r="K132" s="543"/>
      <c r="L132" s="512"/>
      <c r="M132" s="512"/>
    </row>
    <row r="133" spans="2:13" ht="14.55" customHeight="1" x14ac:dyDescent="0.3"/>
    <row r="134" spans="2:13" ht="19.95" customHeight="1" x14ac:dyDescent="0.3">
      <c r="B134" s="40" t="s">
        <v>1356</v>
      </c>
      <c r="C134" s="40"/>
      <c r="D134" s="40"/>
      <c r="E134" s="40"/>
      <c r="F134" s="40"/>
      <c r="G134" s="40"/>
      <c r="H134" s="40"/>
    </row>
    <row r="135" spans="2:13" ht="23.55" customHeight="1" x14ac:dyDescent="0.3">
      <c r="B135" s="115" t="s">
        <v>26</v>
      </c>
      <c r="C135" s="546" t="s">
        <v>768</v>
      </c>
      <c r="D135" s="546"/>
      <c r="E135" s="115" t="s">
        <v>769</v>
      </c>
      <c r="F135" s="546" t="s">
        <v>1357</v>
      </c>
      <c r="G135" s="546"/>
      <c r="H135" s="546"/>
    </row>
    <row r="136" spans="2:13" ht="37.049999999999997" customHeight="1" x14ac:dyDescent="0.3">
      <c r="B136" s="137">
        <v>1</v>
      </c>
      <c r="C136" s="528" t="s">
        <v>770</v>
      </c>
      <c r="D136" s="528"/>
      <c r="E136" s="262">
        <f>SUMPRODUCT(Properties!$D$6:$D$15,Input!$I$80:$I$89)/SUM(Properties!$D$6:$D$15)</f>
        <v>0.3</v>
      </c>
      <c r="F136" s="542" t="s">
        <v>771</v>
      </c>
      <c r="G136" s="542"/>
      <c r="H136" s="542"/>
    </row>
    <row r="137" spans="2:13" ht="37.049999999999997" customHeight="1" x14ac:dyDescent="0.3">
      <c r="B137" s="137">
        <v>2</v>
      </c>
      <c r="C137" s="528" t="s">
        <v>772</v>
      </c>
      <c r="D137" s="528"/>
      <c r="E137" s="240" cm="1">
        <f t="array" ref="E137">SUMPRODUCT(Properties!$D$6:$D$15,Properties!$P$6:$P$15/(1-Input!$I$80:$I$89))</f>
        <v>9388522.8848821092</v>
      </c>
      <c r="F137" s="542" t="s">
        <v>773</v>
      </c>
      <c r="G137" s="542"/>
      <c r="H137" s="542"/>
    </row>
    <row r="138" spans="2:13" ht="37.049999999999997" customHeight="1" x14ac:dyDescent="0.3">
      <c r="B138" s="137">
        <v>3</v>
      </c>
      <c r="C138" s="528" t="s">
        <v>774</v>
      </c>
      <c r="D138" s="528"/>
      <c r="E138" s="265">
        <f>'Portfolio Analysis'!$D$4/$E$137</f>
        <v>0.7</v>
      </c>
      <c r="F138" s="542" t="s">
        <v>775</v>
      </c>
      <c r="G138" s="542"/>
      <c r="H138" s="542"/>
    </row>
    <row r="139" spans="2:13" ht="37.049999999999997" customHeight="1" x14ac:dyDescent="0.3">
      <c r="B139" s="137">
        <v>4</v>
      </c>
      <c r="C139" s="528" t="s">
        <v>776</v>
      </c>
      <c r="D139" s="528"/>
      <c r="E139" s="262">
        <f>Input!$C$12</f>
        <v>0.73112748224907387</v>
      </c>
      <c r="F139" s="542" t="s">
        <v>777</v>
      </c>
      <c r="G139" s="542"/>
      <c r="H139" s="542"/>
    </row>
    <row r="140" spans="2:13" ht="37.049999999999997" customHeight="1" x14ac:dyDescent="0.3">
      <c r="B140" s="137">
        <v>5</v>
      </c>
      <c r="C140" s="528" t="s">
        <v>320</v>
      </c>
      <c r="D140" s="528"/>
      <c r="E140" s="263">
        <f>Properties!$W$21/Properties!$P$21</f>
        <v>1.7311274822490739</v>
      </c>
      <c r="F140" s="542" t="s">
        <v>778</v>
      </c>
      <c r="G140" s="542"/>
      <c r="H140" s="542"/>
    </row>
    <row r="141" spans="2:13" ht="37.049999999999997" customHeight="1" x14ac:dyDescent="0.3">
      <c r="B141" s="137">
        <v>6</v>
      </c>
      <c r="C141" s="528" t="s">
        <v>779</v>
      </c>
      <c r="D141" s="528"/>
      <c r="E141" s="264">
        <f>SUMPRODUCT(Properties!$D$6:$D$15,Properties!$S$6:$S$15)/SUM(Properties!$D$6:$D$15)*'_IRR Engine'!$Q$8</f>
        <v>90</v>
      </c>
      <c r="F141" s="542" t="s">
        <v>780</v>
      </c>
      <c r="G141" s="542"/>
      <c r="H141" s="542"/>
    </row>
    <row r="142" spans="2:13" ht="34.049999999999997" customHeight="1" x14ac:dyDescent="0.3">
      <c r="B142" s="137">
        <v>7</v>
      </c>
      <c r="C142" s="528" t="s">
        <v>1358</v>
      </c>
      <c r="D142" s="528"/>
      <c r="E142" s="262">
        <f>'Investor Return'!$C$20/(Properties!$W$21*(1-Input!$C$15)*(1-Input!$C$26))</f>
        <v>0.31459806332111284</v>
      </c>
      <c r="F142" s="542" t="s">
        <v>781</v>
      </c>
      <c r="G142" s="542"/>
      <c r="H142" s="542"/>
    </row>
    <row r="143" spans="2:13" ht="37.049999999999997" customHeight="1" x14ac:dyDescent="0.3">
      <c r="B143" s="137">
        <v>8</v>
      </c>
      <c r="C143" s="528" t="s">
        <v>782</v>
      </c>
      <c r="D143" s="528"/>
      <c r="E143" s="263">
        <f>Properties!$AL$21/(Properties!$AL$21*(Input!$C$31+Input!$C$20+Input!$C$21)-$E$123-$E$124-$E$125)</f>
        <v>1.5013431572697562</v>
      </c>
      <c r="F143" s="542" t="s">
        <v>783</v>
      </c>
      <c r="G143" s="542"/>
      <c r="H143" s="542"/>
    </row>
    <row r="144" spans="2:13" ht="37.049999999999997" customHeight="1" x14ac:dyDescent="0.3">
      <c r="B144" s="137">
        <v>9</v>
      </c>
      <c r="C144" s="528" t="s">
        <v>784</v>
      </c>
      <c r="D144" s="528"/>
      <c r="E144" s="240" t="s">
        <v>785</v>
      </c>
      <c r="F144" s="542" t="s">
        <v>786</v>
      </c>
      <c r="G144" s="542"/>
      <c r="H144" s="542"/>
    </row>
    <row r="145" spans="2:13" ht="23.55" customHeight="1" x14ac:dyDescent="0.3">
      <c r="B145" s="137">
        <v>10</v>
      </c>
      <c r="C145" s="528" t="s">
        <v>1352</v>
      </c>
      <c r="D145" s="528"/>
      <c r="E145" s="263">
        <f>'Investor Return'!$C$21</f>
        <v>1.4355299643519444</v>
      </c>
      <c r="F145" s="542" t="s">
        <v>787</v>
      </c>
      <c r="G145" s="542"/>
      <c r="H145" s="542"/>
    </row>
    <row r="146" spans="2:13" ht="23.55" customHeight="1" x14ac:dyDescent="0.3">
      <c r="B146" s="137">
        <v>11</v>
      </c>
      <c r="C146" s="528" t="s">
        <v>1359</v>
      </c>
      <c r="D146" s="528"/>
      <c r="E146" s="262">
        <f>'Investor Return'!$C$22</f>
        <v>0.15722407698631283</v>
      </c>
      <c r="F146" s="542" t="s">
        <v>788</v>
      </c>
      <c r="G146" s="542"/>
      <c r="H146" s="542"/>
    </row>
    <row r="147" spans="2:13" ht="23.55" customHeight="1" x14ac:dyDescent="0.3">
      <c r="B147" s="137">
        <v>12</v>
      </c>
      <c r="C147" s="528" t="s">
        <v>789</v>
      </c>
      <c r="D147" s="528"/>
      <c r="E147" s="134">
        <f>'Portfolio Analysis'!$E$13</f>
        <v>0.23396413922309875</v>
      </c>
      <c r="F147" s="542" t="s">
        <v>790</v>
      </c>
      <c r="G147" s="542"/>
      <c r="H147" s="542"/>
    </row>
    <row r="148" spans="2:13" ht="19.95" customHeight="1" x14ac:dyDescent="0.3">
      <c r="B148" s="137">
        <v>13</v>
      </c>
      <c r="C148" s="528" t="s">
        <v>791</v>
      </c>
      <c r="D148" s="528"/>
      <c r="E148" s="241">
        <f>Properties!$AH$21</f>
        <v>1.0055029931742284E-2</v>
      </c>
      <c r="F148" s="544" t="s">
        <v>792</v>
      </c>
      <c r="G148" s="544"/>
      <c r="H148" s="544"/>
      <c r="I148" s="544"/>
      <c r="J148" s="544"/>
      <c r="K148" s="544"/>
      <c r="L148" s="513"/>
      <c r="M148" s="513"/>
    </row>
    <row r="149" spans="2:13" ht="37.049999999999997" customHeight="1" x14ac:dyDescent="0.3">
      <c r="B149" s="137">
        <v>14</v>
      </c>
      <c r="C149" s="528" t="s">
        <v>793</v>
      </c>
      <c r="D149" s="528"/>
      <c r="E149" s="241">
        <f>Properties!$AM$21</f>
        <v>4.8433243669588941E-2</v>
      </c>
      <c r="F149" s="542" t="s">
        <v>794</v>
      </c>
      <c r="G149" s="542"/>
      <c r="H149" s="542"/>
    </row>
    <row r="150" spans="2:13" ht="10.050000000000001" customHeight="1" x14ac:dyDescent="0.3"/>
    <row r="151" spans="2:13" ht="63" customHeight="1" x14ac:dyDescent="0.3">
      <c r="B151" s="543" t="str">
        <f>"The argument to an Equity Investor: this is a discount-capture trade, not a yield vehicle — cap rate is the metric for a stabilized income asset held on a lender's clock, and nothing here is that. Dulcinea pays "&amp;TEXT($E$138,"$0.00")&amp;" for a dollar of comparable value, holds "&amp;TEXT($E$141,"0")&amp;" months while rent covers the running costs "&amp;TEXT($E$143,"0.00")&amp;"x over, and sells into the residential comp market — the exit buyer is a family paying comparable value, not an investor demanding a yield, which is exactly why the asset can be bought at a "&amp;TEXT($E$136,"0%")&amp;" discount from a seller who values liquidity. The Equity Investor's protection is structural: exit values can fall "&amp;TEXT($E$142,"0.0%")&amp;" before capital is impaired, there is no leverage, and the position self-liquidates. Lead with MOIC "&amp;TEXT($E$145,"0.00")&amp;"x, XIRR "&amp;TEXT($E$146,"0.0%")&amp;" net and the "&amp;TEXT($E$142,"0.0%")&amp;" margin of safety; quote the exit cap rate only to explain why income is not the thesis."</f>
        <v>The argument to an Equity Investor: this is a discount-capture trade, not a yield vehicle — cap rate is the metric for a stabilized income asset held on a lender's clock, and nothing here is that. Dulcinea pays $0.70 for a dollar of comparable value, holds 90 months while rent covers the running costs 1.50x over, and sells into the residential comp market — the exit buyer is a family paying comparable value, not an investor demanding a yield, which is exactly why the asset can be bought at a 30% discount from a seller who values liquidity. The Equity Investor's protection is structural: exit values can fall 31.5% before capital is impaired, there is no leverage, and the position self-liquidates. Lead with MOIC 1.44x, XIRR 15.7% net and the 31.5% margin of safety; quote the exit cap rate only to explain why income is not the thesis.</v>
      </c>
      <c r="C151" s="543"/>
      <c r="D151" s="543"/>
      <c r="E151" s="543"/>
      <c r="F151" s="543"/>
      <c r="G151" s="543"/>
      <c r="H151" s="543"/>
      <c r="I151" s="543"/>
      <c r="J151" s="543"/>
      <c r="K151" s="543"/>
      <c r="L151" s="512"/>
      <c r="M151" s="512"/>
    </row>
    <row r="152" spans="2:13" ht="14.55" customHeight="1" x14ac:dyDescent="0.3"/>
    <row r="153" spans="2:13" ht="15.45" customHeight="1" x14ac:dyDescent="0.3">
      <c r="B153" s="40" t="s">
        <v>974</v>
      </c>
      <c r="C153" s="40"/>
      <c r="D153" s="40"/>
      <c r="E153" s="40"/>
      <c r="F153" s="40"/>
      <c r="G153" s="40"/>
      <c r="H153" s="40"/>
    </row>
    <row r="154" spans="2:13" ht="14.55" customHeight="1" x14ac:dyDescent="0.3">
      <c r="C154" s="152" t="s">
        <v>795</v>
      </c>
      <c r="D154" s="273">
        <f>Input!$C$152</f>
        <v>0.05</v>
      </c>
      <c r="E154" s="152" t="s">
        <v>976</v>
      </c>
      <c r="F154" s="274">
        <f>Input!$C$153</f>
        <v>2.5000000000000001E-2</v>
      </c>
    </row>
    <row r="155" spans="2:13" ht="14.55" customHeight="1" x14ac:dyDescent="0.3">
      <c r="C155" s="153" t="s">
        <v>975</v>
      </c>
      <c r="D155" s="207">
        <f>Input!$C$31-2*$F$154</f>
        <v>0.15000000000000002</v>
      </c>
      <c r="E155" s="207">
        <f>Input!$C$31-$F$154</f>
        <v>0.17500000000000002</v>
      </c>
      <c r="F155" s="207">
        <f>Input!$C$31</f>
        <v>0.2</v>
      </c>
      <c r="G155" s="373">
        <f>Input!$C$31+$F$154</f>
        <v>0.22500000000000001</v>
      </c>
      <c r="H155" s="207">
        <f>Input!$C$31+2*$F$154</f>
        <v>0.25</v>
      </c>
    </row>
    <row r="156" spans="2:13" ht="14.55" customHeight="1" x14ac:dyDescent="0.3">
      <c r="C156" s="155">
        <f>Input!$C$10-2*$D$154</f>
        <v>0.30000000000000004</v>
      </c>
      <c r="D156" s="231">
        <f>(Properties!$AK$21+Properties!$AL$21*(((1-$C156)/(1-Input!$C$10))*(1-D$155-Input!$C$20-Input!$C$21)-(1-Input!$C$31-Input!$C$20-Input!$C$21)))/Properties!$W$21</f>
        <v>1.5359166035628083E-2</v>
      </c>
      <c r="E156" s="231">
        <f>(Properties!$AK$21+Properties!$AL$21*(((1-$C156)/(1-Input!$C$10))*(1-E$155-Input!$C$20-Input!$C$21)-(1-Input!$C$31-Input!$C$20-Input!$C$21)))/Properties!$W$21</f>
        <v>1.4543145096568729E-2</v>
      </c>
      <c r="F156" s="231">
        <f>(Properties!$AK$21+Properties!$AL$21*(((1-$C156)/(1-Input!$C$10))*(1-F$155-Input!$C$20-Input!$C$21)-(1-Input!$C$31-Input!$C$20-Input!$C$21)))/Properties!$W$21</f>
        <v>1.3727124157509377E-2</v>
      </c>
      <c r="G156" s="231">
        <f>(Properties!$AK$21+Properties!$AL$21*(((1-$C156)/(1-Input!$C$10))*(1-G$155-Input!$C$20-Input!$C$21)-(1-Input!$C$31-Input!$C$20-Input!$C$21)))/Properties!$W$21</f>
        <v>1.2911103218450026E-2</v>
      </c>
      <c r="H156" s="231">
        <f>(Properties!$AK$21+Properties!$AL$21*(((1-$C156)/(1-Input!$C$10))*(1-H$155-Input!$C$20-Input!$C$21)-(1-Input!$C$31-Input!$C$20-Input!$C$21)))/Properties!$W$21</f>
        <v>1.2095082279390667E-2</v>
      </c>
    </row>
    <row r="157" spans="2:13" ht="14.55" customHeight="1" x14ac:dyDescent="0.3">
      <c r="C157" s="155">
        <f>Input!$C$10-$D$154</f>
        <v>0.35000000000000003</v>
      </c>
      <c r="D157" s="231">
        <f>(Properties!$AK$21+Properties!$AL$21*(((1-$C157)/(1-Input!$C$10))*(1-D$155-Input!$C$20-Input!$C$21)-(1-Input!$C$31-Input!$C$20-Input!$C$21)))/Properties!$W$21</f>
        <v>1.340654450287891E-2</v>
      </c>
      <c r="E157" s="231">
        <f>(Properties!$AK$21+Properties!$AL$21*(((1-$C157)/(1-Input!$C$10))*(1-E$155-Input!$C$20-Input!$C$21)-(1-Input!$C$31-Input!$C$20-Input!$C$21)))/Properties!$W$21</f>
        <v>1.2648810773752368E-2</v>
      </c>
      <c r="F157" s="231">
        <f>(Properties!$AK$21+Properties!$AL$21*(((1-$C157)/(1-Input!$C$10))*(1-F$155-Input!$C$20-Input!$C$21)-(1-Input!$C$31-Input!$C$20-Input!$C$21)))/Properties!$W$21</f>
        <v>1.1891077044625827E-2</v>
      </c>
      <c r="G157" s="231">
        <f>(Properties!$AK$21+Properties!$AL$21*(((1-$C157)/(1-Input!$C$10))*(1-G$155-Input!$C$20-Input!$C$21)-(1-Input!$C$31-Input!$C$20-Input!$C$21)))/Properties!$W$21</f>
        <v>1.1133343315499283E-2</v>
      </c>
      <c r="H157" s="231">
        <f>(Properties!$AK$21+Properties!$AL$21*(((1-$C157)/(1-Input!$C$10))*(1-H$155-Input!$C$20-Input!$C$21)-(1-Input!$C$31-Input!$C$20-Input!$C$21)))/Properties!$W$21</f>
        <v>1.0375609586372741E-2</v>
      </c>
    </row>
    <row r="158" spans="2:13" ht="14.55" customHeight="1" x14ac:dyDescent="0.3">
      <c r="C158" s="155">
        <f>Input!$C$10</f>
        <v>0.4</v>
      </c>
      <c r="D158" s="231">
        <f>(Properties!$AK$21+Properties!$AL$21*(((1-$C158)/(1-Input!$C$10))*(1-D$155-Input!$C$20-Input!$C$21)-(1-Input!$C$31-Input!$C$20-Input!$C$21)))/Properties!$W$21</f>
        <v>1.1453922970129746E-2</v>
      </c>
      <c r="E158" s="231">
        <f>(Properties!$AK$21+Properties!$AL$21*(((1-$C158)/(1-Input!$C$10))*(1-E$155-Input!$C$20-Input!$C$21)-(1-Input!$C$31-Input!$C$20-Input!$C$21)))/Properties!$W$21</f>
        <v>1.0754476450936013E-2</v>
      </c>
      <c r="F158" s="266">
        <f>(Properties!$AK$21+Properties!$AL$21*(((1-$C158)/(1-Input!$C$10))*(1-F$155-Input!$C$20-Input!$C$21)-(1-Input!$C$31-Input!$C$20-Input!$C$21)))/Properties!$W$21</f>
        <v>1.0055029931742284E-2</v>
      </c>
      <c r="G158" s="231">
        <f>(Properties!$AK$21+Properties!$AL$21*(((1-$C158)/(1-Input!$C$10))*(1-G$155-Input!$C$20-Input!$C$21)-(1-Input!$C$31-Input!$C$20-Input!$C$21)))/Properties!$W$21</f>
        <v>9.3555834125485515E-3</v>
      </c>
      <c r="H158" s="231">
        <f>(Properties!$AK$21+Properties!$AL$21*(((1-$C158)/(1-Input!$C$10))*(1-H$155-Input!$C$20-Input!$C$21)-(1-Input!$C$31-Input!$C$20-Input!$C$21)))/Properties!$W$21</f>
        <v>8.656136893354819E-3</v>
      </c>
    </row>
    <row r="159" spans="2:13" ht="14.55" customHeight="1" x14ac:dyDescent="0.3">
      <c r="C159" s="155">
        <f>Input!$C$10+$D$154</f>
        <v>0.45</v>
      </c>
      <c r="D159" s="231">
        <f>(Properties!$AK$21+Properties!$AL$21*(((1-$C159)/(1-Input!$C$10))*(1-D$155-Input!$C$20-Input!$C$21)-(1-Input!$C$31-Input!$C$20-Input!$C$21)))/Properties!$W$21</f>
        <v>9.5013014373805799E-3</v>
      </c>
      <c r="E159" s="231">
        <f>(Properties!$AK$21+Properties!$AL$21*(((1-$C159)/(1-Input!$C$10))*(1-E$155-Input!$C$20-Input!$C$21)-(1-Input!$C$31-Input!$C$20-Input!$C$21)))/Properties!$W$21</f>
        <v>8.8601421281196586E-3</v>
      </c>
      <c r="F159" s="231">
        <f>(Properties!$AK$21+Properties!$AL$21*(((1-$C159)/(1-Input!$C$10))*(1-F$155-Input!$C$20-Input!$C$21)-(1-Input!$C$31-Input!$C$20-Input!$C$21)))/Properties!$W$21</f>
        <v>8.2189828188587392E-3</v>
      </c>
      <c r="G159" s="231">
        <f>(Properties!$AK$21+Properties!$AL$21*(((1-$C159)/(1-Input!$C$10))*(1-G$155-Input!$C$20-Input!$C$21)-(1-Input!$C$31-Input!$C$20-Input!$C$21)))/Properties!$W$21</f>
        <v>7.577823509597818E-3</v>
      </c>
      <c r="H159" s="231">
        <f>(Properties!$AK$21+Properties!$AL$21*(((1-$C159)/(1-Input!$C$10))*(1-H$155-Input!$C$20-Input!$C$21)-(1-Input!$C$31-Input!$C$20-Input!$C$21)))/Properties!$W$21</f>
        <v>6.936664200336895E-3</v>
      </c>
    </row>
    <row r="160" spans="2:13" ht="14.55" customHeight="1" x14ac:dyDescent="0.3">
      <c r="C160" s="155">
        <f>Input!$C$10+2*$D$154</f>
        <v>0.5</v>
      </c>
      <c r="D160" s="231">
        <f>(Properties!$AK$21+Properties!$AL$21*(((1-$C160)/(1-Input!$C$10))*(1-D$155-Input!$C$20-Input!$C$21)-(1-Input!$C$31-Input!$C$20-Input!$C$21)))/Properties!$W$21</f>
        <v>7.5486799046314114E-3</v>
      </c>
      <c r="E160" s="231">
        <f>(Properties!$AK$21+Properties!$AL$21*(((1-$C160)/(1-Input!$C$10))*(1-E$155-Input!$C$20-Input!$C$21)-(1-Input!$C$31-Input!$C$20-Input!$C$21)))/Properties!$W$21</f>
        <v>6.9658078053032989E-3</v>
      </c>
      <c r="F160" s="231">
        <f>(Properties!$AK$21+Properties!$AL$21*(((1-$C160)/(1-Input!$C$10))*(1-F$155-Input!$C$20-Input!$C$21)-(1-Input!$C$31-Input!$C$20-Input!$C$21)))/Properties!$W$21</f>
        <v>6.3829357059751917E-3</v>
      </c>
      <c r="G160" s="231">
        <f>(Properties!$AK$21+Properties!$AL$21*(((1-$C160)/(1-Input!$C$10))*(1-G$155-Input!$C$20-Input!$C$21)-(1-Input!$C$31-Input!$C$20-Input!$C$21)))/Properties!$W$21</f>
        <v>5.8000636066470827E-3</v>
      </c>
      <c r="H160" s="231">
        <f>(Properties!$AK$21+Properties!$AL$21*(((1-$C160)/(1-Input!$C$10))*(1-H$155-Input!$C$20-Input!$C$21)-(1-Input!$C$31-Input!$C$20-Input!$C$21)))/Properties!$W$21</f>
        <v>5.217191507318971E-3</v>
      </c>
    </row>
    <row r="161" spans="2:13" ht="14.55" customHeight="1" x14ac:dyDescent="0.3"/>
    <row r="162" spans="2:13" ht="34.049999999999997" customHeight="1" x14ac:dyDescent="0.3">
      <c r="B162" s="543" t="str">
        <f>"Takeaway: the two most questionable cost assumptions move the cap rate materially but do not change the thesis. Cutting vacancy from "&amp;TEXT(Input!$C$10,"0%")&amp;" to "&amp;TEXT($C$156,"0%")&amp;" lifts the exit cap rate from "&amp;TEXT($F$158,"0.00%")&amp;" to "&amp;TEXT($F$156,"0.00%")&amp;"; cutting property management from "&amp;TEXT(Input!$C$31,"0.0%")&amp;" to "&amp;TEXT($D$155,"0.0%")&amp;" of gross rent adds about "&amp;TEXT($D$158-$F$158,"0.00%")&amp;". Both together reach "&amp;TEXT($D$156,"0.00%")&amp;" — still an order of magnitude below the "&amp;TEXT($E$147,"0.0%")&amp;" deal-level XIRR, which is the point: income assumptions move the cap rate, not the return. The return lives in the entry discount and the exit comp."</f>
        <v>Takeaway: the two most questionable cost assumptions move the cap rate materially but do not change the thesis. Cutting vacancy from 40% to 30% lifts the exit cap rate from 1.01% to 1.37%; cutting property management from 20.0% to 15.0% of gross rent adds about 0.14%. Both together reach 1.54% — still an order of magnitude below the 23.4% deal-level XIRR, which is the point: income assumptions move the cap rate, not the return. The return lives in the entry discount and the exit comp.</v>
      </c>
      <c r="C162" s="543"/>
      <c r="D162" s="543"/>
      <c r="E162" s="543"/>
      <c r="F162" s="543"/>
      <c r="G162" s="543"/>
      <c r="H162" s="543"/>
      <c r="I162" s="543"/>
      <c r="J162" s="543"/>
      <c r="K162" s="543"/>
      <c r="L162" s="512"/>
      <c r="M162" s="512"/>
    </row>
    <row r="163" spans="2:13" ht="14.55" customHeight="1" x14ac:dyDescent="0.3"/>
    <row r="164" spans="2:13" ht="19.95" customHeight="1" x14ac:dyDescent="0.3">
      <c r="B164" s="40" t="s">
        <v>797</v>
      </c>
      <c r="C164" s="40"/>
      <c r="D164" s="40"/>
      <c r="E164" s="40"/>
      <c r="F164" s="40"/>
      <c r="G164" s="40"/>
      <c r="H164" s="40"/>
    </row>
    <row r="165" spans="2:13" ht="23.55" customHeight="1" x14ac:dyDescent="0.3">
      <c r="B165" s="137"/>
      <c r="C165" s="528" t="s">
        <v>798</v>
      </c>
      <c r="D165" s="528"/>
      <c r="E165" s="240">
        <f>Properties!$W$21</f>
        <v>11376910.988620643</v>
      </c>
      <c r="F165" s="542" t="s">
        <v>799</v>
      </c>
      <c r="G165" s="542"/>
      <c r="H165" s="542"/>
    </row>
    <row r="166" spans="2:13" ht="19.95" customHeight="1" x14ac:dyDescent="0.3">
      <c r="B166" s="137"/>
      <c r="C166" s="528" t="s">
        <v>800</v>
      </c>
      <c r="D166" s="528"/>
      <c r="E166" s="233">
        <f>Properties!$W$21/SUMPRODUCT(Properties!$D$6:$D$15,Properties!$I$6:$I$15)</f>
        <v>5138.6228494221514</v>
      </c>
      <c r="F166" s="544" t="s">
        <v>801</v>
      </c>
      <c r="G166" s="544"/>
      <c r="H166" s="544"/>
      <c r="I166" s="544"/>
      <c r="J166" s="544"/>
      <c r="K166" s="544"/>
      <c r="L166" s="513"/>
      <c r="M166" s="513"/>
    </row>
    <row r="167" spans="2:13" ht="37.049999999999997" customHeight="1" x14ac:dyDescent="0.3">
      <c r="B167" s="137"/>
      <c r="C167" s="528" t="s">
        <v>802</v>
      </c>
      <c r="D167" s="528"/>
      <c r="E167" s="267">
        <f>$E$166*Input!$C$5/'_IRR Engine'!$Q$9</f>
        <v>15.878344604714448</v>
      </c>
      <c r="F167" s="542" t="s">
        <v>803</v>
      </c>
      <c r="G167" s="542"/>
      <c r="H167" s="542"/>
    </row>
    <row r="168" spans="2:13" ht="37.049999999999997" customHeight="1" x14ac:dyDescent="0.3">
      <c r="B168" s="137"/>
      <c r="C168" s="528" t="s">
        <v>804</v>
      </c>
      <c r="D168" s="528"/>
      <c r="E168" s="231" cm="1">
        <f t="array" ref="E168">SUMPRODUCT(Properties!$D$6:$D$15,Properties!$AL$6:$AL$15/(1-Input!$H$80:$H$89))/Properties!$W$21</f>
        <v>4.662976794624879E-2</v>
      </c>
      <c r="F168" s="542" t="s">
        <v>805</v>
      </c>
      <c r="G168" s="542"/>
      <c r="H168" s="542"/>
    </row>
    <row r="169" spans="2:13" ht="37.049999999999997" customHeight="1" x14ac:dyDescent="0.3">
      <c r="B169" s="137"/>
      <c r="C169" s="528" t="str">
        <f>"Buyer's gross yield at Dulcinea's "&amp;TEXT(Input!$C$10,"0%")&amp;" vacancy assumption"</f>
        <v>Buyer's gross yield at Dulcinea's 40% vacancy assumption</v>
      </c>
      <c r="D169" s="528"/>
      <c r="E169" s="241">
        <f>Properties!$AJ$21</f>
        <v>2.7977860767749274E-2</v>
      </c>
      <c r="F169" s="542" t="s">
        <v>806</v>
      </c>
      <c r="G169" s="542"/>
      <c r="H169" s="542"/>
    </row>
    <row r="170" spans="2:13" ht="37.049999999999997" customHeight="1" x14ac:dyDescent="0.3">
      <c r="B170" s="137"/>
      <c r="C170" s="528" t="s">
        <v>977</v>
      </c>
      <c r="D170" s="528"/>
      <c r="E170" s="231">
        <f>(Properties!$AK$21+Properties!$AL$21*Input!$C$31+Input!$C$32*'_IRR Engine'!$Q$7*SUM(Properties!$D$6:$D$15))/Properties!$W$21</f>
        <v>1.5650602085292138E-2</v>
      </c>
      <c r="F170" s="542" t="s">
        <v>807</v>
      </c>
      <c r="G170" s="542"/>
      <c r="H170" s="542"/>
    </row>
    <row r="171" spans="2:13" ht="37.049999999999997" customHeight="1" x14ac:dyDescent="0.3">
      <c r="B171" s="137"/>
      <c r="C171" s="528" t="s">
        <v>808</v>
      </c>
      <c r="D171" s="528"/>
      <c r="E171" s="241">
        <f>Properties!$AH$21</f>
        <v>1.0055029931742284E-2</v>
      </c>
      <c r="F171" s="542" t="s">
        <v>809</v>
      </c>
      <c r="G171" s="542"/>
      <c r="H171" s="542"/>
    </row>
    <row r="172" spans="2:13" ht="10.050000000000001" customHeight="1" x14ac:dyDescent="0.3"/>
    <row r="173" spans="2:13" ht="48" customHeight="1" x14ac:dyDescent="0.3">
      <c r="B173" s="543" t="str">
        <f>"Read the ladder from the buyer's side down to ours: at the modeled exit price of "&amp;TEXT($E$166,"$#,##0")&amp;"/m² ("&amp;TEXT($E$167,"0.0")&amp;"M COP/m²), a buyer underwriting full asking rents sees a "&amp;TEXT($E$168,"0.00%")&amp;" gross yield — ordinary residential pricing, not a bubble price. The same price yields "&amp;TEXT($E$169,"0.00%")&amp;" gross at our "&amp;TEXT(Input!$C$10,"0%")&amp;" vacancy, "&amp;TEXT($E$170,"0.00%")&amp;" net to a self-managing owner, and "&amp;TEXT($E$171,"0.00%")&amp;_xlfn._LONGTEXT(" only under Dulcinea's full fund cost stack. The 0.65% is therefore not a statement about the asset or the price — it is the arithmetic of running a family home as a fee-loaded fund asset for two years. The exit price itself is defensible on the buyer's o","wn yield maths, which is what the Equity Investor needs to believe for the ")&amp;TEXT($E$140,"0.00")&amp;"x exit multiple to be real."</f>
        <v>Read the ladder from the buyer's side down to ours: at the modeled exit price of $5,139/m² (15.9M COP/m²), a buyer underwriting full asking rents sees a 4.66% gross yield — ordinary residential pricing, not a bubble price. The same price yields 2.80% gross at our 40% vacancy, 1.57% net to a self-managing owner, and 1.01% only under Dulcinea's full fund cost stack. The 0.65% is therefore not a statement about the asset or the price — it is the arithmetic of running a family home as a fee-loaded fund asset for two years. The exit price itself is defensible on the buyer's own yield maths, which is what the Equity Investor needs to believe for the 1.73x exit multiple to be real.</v>
      </c>
      <c r="C173" s="543"/>
      <c r="D173" s="543"/>
      <c r="E173" s="543"/>
      <c r="F173" s="543"/>
      <c r="G173" s="543"/>
      <c r="H173" s="543"/>
      <c r="I173" s="543"/>
      <c r="J173" s="543"/>
      <c r="K173" s="543"/>
      <c r="L173" s="512"/>
      <c r="M173" s="512"/>
    </row>
    <row r="174" spans="2:13" ht="14.55" customHeight="1" x14ac:dyDescent="0.3">
      <c r="B174"/>
      <c r="C174"/>
      <c r="D174"/>
      <c r="E174"/>
      <c r="F174"/>
      <c r="G174"/>
      <c r="H174"/>
    </row>
    <row r="175" spans="2:13" ht="14.55" customHeight="1" x14ac:dyDescent="0.3">
      <c r="B175"/>
      <c r="C175"/>
      <c r="D175"/>
      <c r="E175"/>
      <c r="F175"/>
      <c r="G175"/>
      <c r="H175"/>
    </row>
    <row r="176" spans="2:13" ht="19.95" customHeight="1" x14ac:dyDescent="0.3">
      <c r="B176" s="40" t="s">
        <v>439</v>
      </c>
      <c r="C176" s="40"/>
      <c r="D176" s="40"/>
      <c r="E176" s="40"/>
      <c r="F176" s="40"/>
      <c r="G176" s="40"/>
      <c r="H176" s="40"/>
    </row>
    <row r="177" spans="2:13" ht="18" customHeight="1" x14ac:dyDescent="0.3">
      <c r="B177" s="115"/>
      <c r="C177" s="153" t="s">
        <v>440</v>
      </c>
      <c r="D177" s="207">
        <f>Input!$C$55-'Portfolio Analysis'!$D$3</f>
        <v>5.8087751371115118E-2</v>
      </c>
      <c r="E177" s="207">
        <f>Input!$C$55</f>
        <v>7.8087751371115122E-2</v>
      </c>
      <c r="F177" s="207">
        <f>Input!$C$55+'Portfolio Analysis'!$D$3</f>
        <v>9.8087751371115126E-2</v>
      </c>
      <c r="G177" s="154"/>
      <c r="H177" s="154"/>
    </row>
    <row r="178" spans="2:13" ht="18" customHeight="1" x14ac:dyDescent="0.3">
      <c r="B178" s="9"/>
      <c r="C178" s="155">
        <f>SUMPRODUCT(Properties!$D$6:$D$15,Input!$I$80:$I$89)/SUM(Properties!$D$6:$D$15)-2*'Portfolio Analysis'!$F$3</f>
        <v>0.19999999999999998</v>
      </c>
      <c r="D178" s="134" cm="1">
        <f t="array" ref="D178">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Engine'!$Q$9,_xlpm.zdisc,$C178,_xlpm.zgrow,D$177,_xlpm.zscale,1,_xlpm.zmon,_xlfn.SEQUENCE('_IRR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0.14870153069496159</v>
      </c>
      <c r="E178" s="134" cm="1">
        <f t="array" ref="E178">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Engine'!$Q$9,_xlpm.zdisc,$C178,_xlpm.zgrow,E$177,_xlpm.zscale,1,_xlpm.zmon,_xlfn.SEQUENCE('_IRR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0.1706218183040619</v>
      </c>
      <c r="F178" s="134" cm="1">
        <f t="array" ref="F178">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Engine'!$Q$9,_xlpm.zdisc,$C178,_xlpm.zgrow,F$177,_xlpm.zscale,1,_xlpm.zmon,_xlfn.SEQUENCE('_IRR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0.19255359768867494</v>
      </c>
      <c r="G178" s="9"/>
      <c r="H178" s="9"/>
    </row>
    <row r="179" spans="2:13" ht="18" customHeight="1" x14ac:dyDescent="0.3">
      <c r="B179" s="9"/>
      <c r="C179" s="155">
        <f>SUMPRODUCT(Properties!$D$6:$D$15,Input!$I$80:$I$89)/SUM(Properties!$D$6:$D$15)-'Portfolio Analysis'!$F$3</f>
        <v>0.25</v>
      </c>
      <c r="D179" s="134" cm="1">
        <f t="array" ref="D179">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Engine'!$Q$9,_xlpm.zdisc,$C179,_xlpm.zgrow,D$177,_xlpm.zscale,1,_xlpm.zmon,_xlfn.SEQUENCE('_IRR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0.17832141518592839</v>
      </c>
      <c r="E179" s="134" cm="1">
        <f t="array" ref="E179">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Engine'!$Q$9,_xlpm.zdisc,$C179,_xlpm.zgrow,E$177,_xlpm.zscale,1,_xlpm.zmon,_xlfn.SEQUENCE('_IRR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0.2008279025554657</v>
      </c>
      <c r="F179" s="134" cm="1">
        <f t="array" ref="F179">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Engine'!$Q$9,_xlpm.zdisc,$C179,_xlpm.zgrow,F$177,_xlpm.zscale,1,_xlpm.zmon,_xlfn.SEQUENCE('_IRR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0.22334609627723698</v>
      </c>
      <c r="G179" s="9"/>
      <c r="H179" s="9"/>
    </row>
    <row r="180" spans="2:13" ht="18" customHeight="1" x14ac:dyDescent="0.3">
      <c r="B180" s="9"/>
      <c r="C180" s="155">
        <f>SUMPRODUCT(Properties!$D$6:$D$15,Input!$I$80:$I$89)/SUM(Properties!$D$6:$D$15)</f>
        <v>0.3</v>
      </c>
      <c r="D180" s="134" cm="1">
        <f t="array" ref="D180">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Engine'!$Q$9,_xlpm.zdisc,$C180,_xlpm.zgrow,D$177,_xlpm.zscale,1,_xlpm.zmon,_xlfn.SEQUENCE('_IRR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0.21090171933174137</v>
      </c>
      <c r="E180" s="276" cm="1">
        <f t="array" ref="E180">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Engine'!$Q$9,_xlpm.zdisc,$C180,_xlpm.zgrow,E$177,_xlpm.zscale,1,_xlpm.zmon,_xlfn.SEQUENCE('_IRR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0.23405280709266665</v>
      </c>
      <c r="F180" s="134" cm="1">
        <f t="array" ref="F180">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Engine'!$Q$9,_xlpm.zdisc,$C180,_xlpm.zgrow,F$177,_xlpm.zscale,1,_xlpm.zmon,_xlfn.SEQUENCE('_IRR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0.2572158634662628</v>
      </c>
      <c r="G180" s="9"/>
      <c r="H180" s="9"/>
    </row>
    <row r="181" spans="2:13" ht="18" customHeight="1" x14ac:dyDescent="0.3">
      <c r="B181" s="9"/>
      <c r="C181" s="155">
        <f>SUMPRODUCT(Properties!$D$6:$D$15,Input!$I$80:$I$89)/SUM(Properties!$D$6:$D$15)+'Portfolio Analysis'!$F$3</f>
        <v>0.35</v>
      </c>
      <c r="D181" s="134" cm="1">
        <f t="array" ref="D181">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Engine'!$Q$9,_xlpm.zdisc,$C181,_xlpm.zgrow,D$177,_xlpm.zscale,1,_xlpm.zmon,_xlfn.SEQUENCE('_IRR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0.24698469042778015</v>
      </c>
      <c r="E181" s="134" cm="1">
        <f t="array" ref="E181">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Engine'!$Q$9,_xlpm.zdisc,$C181,_xlpm.zgrow,E$177,_xlpm.zscale,1,_xlpm.zmon,_xlfn.SEQUENCE('_IRR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0.27084949612617493</v>
      </c>
      <c r="F181" s="134" cm="1">
        <f t="array" ref="F181">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Engine'!$Q$9,_xlpm.zdisc,$C181,_xlpm.zgrow,F$177,_xlpm.zscale,1,_xlpm.zmon,_xlfn.SEQUENCE('_IRR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0.29472653269767768</v>
      </c>
      <c r="G181" s="9"/>
      <c r="H181" s="9"/>
    </row>
    <row r="182" spans="2:13" ht="18" customHeight="1" x14ac:dyDescent="0.3">
      <c r="B182" s="9"/>
      <c r="C182" s="155">
        <f>SUMPRODUCT(Properties!$D$6:$D$15,Input!$I$80:$I$89)/SUM(Properties!$D$6:$D$15)+2*'Portfolio Analysis'!$F$3</f>
        <v>0.4</v>
      </c>
      <c r="D182" s="134" cm="1">
        <f t="array" ref="D182">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Engine'!$Q$9,_xlpm.zdisc,$C182,_xlpm.zgrow,D$177,_xlpm.zscale,1,_xlpm.zmon,_xlfn.SEQUENCE('_IRR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0.28726440072059634</v>
      </c>
      <c r="E182" s="134" cm="1">
        <f t="array" ref="E182">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Engine'!$Q$9,_xlpm.zdisc,$C182,_xlpm.zgrow,E$177,_xlpm.zscale,1,_xlpm.zmon,_xlfn.SEQUENCE('_IRR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0.31192569136619575</v>
      </c>
      <c r="F182" s="134" cm="1">
        <f t="array" ref="F182">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Engine'!$Q$9,_xlpm.zdisc,$C182,_xlpm.zgrow,F$177,_xlpm.zscale,1,_xlpm.zmon,_xlfn.SEQUENCE('_IRR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0.33659954667091374</v>
      </c>
      <c r="G182" s="9"/>
      <c r="H182" s="9"/>
    </row>
    <row r="183" spans="2:13" ht="34.049999999999997" customHeight="1" x14ac:dyDescent="0.3">
      <c r="B183" s="532" t="str">
        <f>"Takeaway: at the base case ("&amp;TEXT(SUMPRODUCT(Properties!$D$6:$D$15,Input!$I$80:$I$89)/SUM(Properties!$D$6:$D$15),"0%")&amp;" entry discount, "&amp;TEXT(Input!$C$55,"0.0%")&amp;" appreciation) the portfolio clears "&amp;TEXT($E$180,"0.0%")&amp;" deal-level IRR. Per point of input, appreciation is the stronger lever: +1 point of appreciation adds about "&amp;TEXT(($F$180-$D$180)/(2*'Portfolio Analysis'!$D$3),"0.0")&amp;" points of IRR, against "&amp;TEXT(($E$182-$E$178)/(4*'Portfolio Analysis'!$F$3),"0.0")&amp;" points for +1 point of entry discount. The grid spans "&amp;TEXT($D$178,"0.0%")&amp;" to "&amp;TEXT($F$182,"0.0%")&amp;", so even the weakest corner holds a double-digit deal-level return — and the discount is the lever the team controls at purchase."</f>
        <v>Takeaway: at the base case (30% entry discount, 7.8% appreciation) the portfolio clears 23.4% deal-level IRR. Per point of input, appreciation is the stronger lever: +1 point of appreciation adds about 1.2 points of IRR, against 0.7 points for +1 point of entry discount. The grid spans 14.9% to 33.7%, so even the weakest corner holds a double-digit deal-level return — and the discount is the lever the team controls at purchase.</v>
      </c>
      <c r="C183" s="532"/>
      <c r="D183" s="532"/>
      <c r="E183" s="532"/>
      <c r="F183" s="532"/>
      <c r="G183" s="532"/>
      <c r="H183" s="532"/>
      <c r="I183" s="532"/>
      <c r="J183" s="532"/>
      <c r="K183" s="532"/>
      <c r="L183" s="125"/>
      <c r="M183" s="125"/>
    </row>
    <row r="184" spans="2:13" ht="14.55" customHeight="1" x14ac:dyDescent="0.3"/>
    <row r="185" spans="2:13" ht="19.95" customHeight="1" x14ac:dyDescent="0.3">
      <c r="B185" s="103" t="s">
        <v>589</v>
      </c>
      <c r="C185" s="103"/>
      <c r="D185" s="103"/>
      <c r="E185" s="103"/>
      <c r="F185" s="103"/>
      <c r="G185" s="103"/>
      <c r="H185" s="103"/>
    </row>
    <row r="186" spans="2:13" ht="18" customHeight="1" x14ac:dyDescent="0.3">
      <c r="C186" s="153" t="s">
        <v>590</v>
      </c>
      <c r="D186" s="154">
        <f>SUMPRODUCT(Properties!$D$6:$D$15,Input!$I$80:$I$89)/SUM(Properties!$D$6:$D$15)-'Portfolio Analysis'!$F$3</f>
        <v>0.25</v>
      </c>
      <c r="E186" s="154">
        <f>SUMPRODUCT(Properties!$D$6:$D$15,Input!$I$80:$I$89)/SUM(Properties!$D$6:$D$15)</f>
        <v>0.3</v>
      </c>
      <c r="F186" s="154">
        <f>SUMPRODUCT(Properties!$D$6:$D$15,Input!$I$80:$I$89)/SUM(Properties!$D$6:$D$15)+'Portfolio Analysis'!$F$3</f>
        <v>0.35</v>
      </c>
    </row>
    <row r="187" spans="2:13" ht="18" customHeight="1" x14ac:dyDescent="0.3">
      <c r="C187" s="197">
        <f>SUMPRODUCT(Properties!$D$6:$D$15,Properties!$I$6:$I$15,Input!$J$80:$J$89)/SUMPRODUCT(Properties!$D$6:$D$15,Properties!$I$6:$I$15)-2*'Portfolio Analysis'!$H$3</f>
        <v>281.74977416440834</v>
      </c>
      <c r="D187" s="134" cm="1">
        <f t="array" ref="D187">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Engine'!$Q$9,_xlpm.zdisc,D$186,_xlpm.zgrow,Input!$C$55,_xlpm.zscale,$C187/(SUMPRODUCT(Properties!$D$6:$D$15,Properties!$I$6:$I$15,Input!$J$80:$J$89)/SUMPRODUCT(Properties!$D$6:$D$15,Properties!$I$6:$I$15)),_xlpm.zmon,_xlfn.SEQUENCE('_IRR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0.20042856335639958</v>
      </c>
      <c r="E187" s="134" cm="1">
        <f t="array" ref="E187">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Engine'!$Q$9,_xlpm.zdisc,E$186,_xlpm.zgrow,Input!$C$55,_xlpm.zscale,$C187/(SUMPRODUCT(Properties!$D$6:$D$15,Properties!$I$6:$I$15,Input!$J$80:$J$89)/SUMPRODUCT(Properties!$D$6:$D$15,Properties!$I$6:$I$15)),_xlpm.zmon,_xlfn.SEQUENCE('_IRR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0.23365691304206848</v>
      </c>
      <c r="F187" s="134" cm="1">
        <f t="array" ref="F187">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Engine'!$Q$9,_xlpm.zdisc,F$186,_xlpm.zgrow,Input!$C$55,_xlpm.zscale,$C187/(SUMPRODUCT(Properties!$D$6:$D$15,Properties!$I$6:$I$15,Input!$J$80:$J$89)/SUMPRODUCT(Properties!$D$6:$D$15,Properties!$I$6:$I$15)),_xlpm.zmon,_xlfn.SEQUENCE('_IRR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0.27045714259147646</v>
      </c>
    </row>
    <row r="188" spans="2:13" ht="18" customHeight="1" x14ac:dyDescent="0.3">
      <c r="C188" s="197">
        <f>SUMPRODUCT(Properties!$D$6:$D$15,Properties!$I$6:$I$15,Input!$J$80:$J$89)/SUMPRODUCT(Properties!$D$6:$D$15,Properties!$I$6:$I$15)-'Portfolio Analysis'!$H$3</f>
        <v>283.74977416440834</v>
      </c>
      <c r="D188" s="134" cm="1">
        <f t="array" ref="D188">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Engine'!$Q$9,_xlpm.zdisc,D$186,_xlpm.zgrow,Input!$C$55,_xlpm.zscale,$C188/(SUMPRODUCT(Properties!$D$6:$D$15,Properties!$I$6:$I$15,Input!$J$80:$J$89)/SUMPRODUCT(Properties!$D$6:$D$15,Properties!$I$6:$I$15)),_xlpm.zmon,_xlfn.SEQUENCE('_IRR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0.20062821507453923</v>
      </c>
      <c r="E188" s="134" cm="1">
        <f t="array" ref="E188">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Engine'!$Q$9,_xlpm.zdisc,E$186,_xlpm.zgrow,Input!$C$55,_xlpm.zscale,$C188/(SUMPRODUCT(Properties!$D$6:$D$15,Properties!$I$6:$I$15,Input!$J$80:$J$89)/SUMPRODUCT(Properties!$D$6:$D$15,Properties!$I$6:$I$15)),_xlpm.zmon,_xlfn.SEQUENCE('_IRR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0.23385484814643859</v>
      </c>
      <c r="F188" s="134" cm="1">
        <f t="array" ref="F188">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Engine'!$Q$9,_xlpm.zdisc,F$186,_xlpm.zgrow,Input!$C$55,_xlpm.zscale,$C188/(SUMPRODUCT(Properties!$D$6:$D$15,Properties!$I$6:$I$15,Input!$J$80:$J$89)/SUMPRODUCT(Properties!$D$6:$D$15,Properties!$I$6:$I$15)),_xlpm.zmon,_xlfn.SEQUENCE('_IRR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0.27065330147743227</v>
      </c>
    </row>
    <row r="189" spans="2:13" ht="18" customHeight="1" x14ac:dyDescent="0.3">
      <c r="C189" s="197">
        <f>SUMPRODUCT(Properties!$D$6:$D$15,Properties!$I$6:$I$15,Input!$J$80:$J$89)/SUMPRODUCT(Properties!$D$6:$D$15,Properties!$I$6:$I$15)</f>
        <v>285.74977416440834</v>
      </c>
      <c r="D189" s="134" cm="1">
        <f t="array" ref="D189">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Engine'!$Q$9,_xlpm.zdisc,D$186,_xlpm.zgrow,Input!$C$55,_xlpm.zscale,$C189/(SUMPRODUCT(Properties!$D$6:$D$15,Properties!$I$6:$I$15,Input!$J$80:$J$89)/SUMPRODUCT(Properties!$D$6:$D$15,Properties!$I$6:$I$15)),_xlpm.zmon,_xlfn.SEQUENCE('_IRR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0.2008279025554657</v>
      </c>
      <c r="E189" s="134" cm="1">
        <f t="array" ref="E189">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Engine'!$Q$9,_xlpm.zdisc,E$186,_xlpm.zgrow,Input!$C$55,_xlpm.zscale,$C189/(SUMPRODUCT(Properties!$D$6:$D$15,Properties!$I$6:$I$15,Input!$J$80:$J$89)/SUMPRODUCT(Properties!$D$6:$D$15,Properties!$I$6:$I$15)),_xlpm.zmon,_xlfn.SEQUENCE('_IRR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0.23405280709266665</v>
      </c>
      <c r="F189" s="134" cm="1">
        <f t="array" ref="F189">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Engine'!$Q$9,_xlpm.zdisc,F$186,_xlpm.zgrow,Input!$C$55,_xlpm.zscale,$C189/(SUMPRODUCT(Properties!$D$6:$D$15,Properties!$I$6:$I$15,Input!$J$80:$J$89)/SUMPRODUCT(Properties!$D$6:$D$15,Properties!$I$6:$I$15)),_xlpm.zmon,_xlfn.SEQUENCE('_IRR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0.27084949612617493</v>
      </c>
    </row>
    <row r="190" spans="2:13" ht="18" customHeight="1" x14ac:dyDescent="0.3">
      <c r="C190" s="197">
        <f>SUMPRODUCT(Properties!$D$6:$D$15,Properties!$I$6:$I$15,Input!$J$80:$J$89)/SUMPRODUCT(Properties!$D$6:$D$15,Properties!$I$6:$I$15)+'Portfolio Analysis'!$H$3</f>
        <v>287.74977416440834</v>
      </c>
      <c r="D190" s="134" cm="1">
        <f t="array" ref="D190">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Engine'!$Q$9,_xlpm.zdisc,D$186,_xlpm.zgrow,Input!$C$55,_xlpm.zscale,$C190/(SUMPRODUCT(Properties!$D$6:$D$15,Properties!$I$6:$I$15,Input!$J$80:$J$89)/SUMPRODUCT(Properties!$D$6:$D$15,Properties!$I$6:$I$15)),_xlpm.zmon,_xlfn.SEQUENCE('_IRR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0.20102761387825016</v>
      </c>
      <c r="E190" s="134" cm="1">
        <f t="array" ref="E190">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Engine'!$Q$9,_xlpm.zdisc,E$186,_xlpm.zgrow,Input!$C$55,_xlpm.zscale,$C190/(SUMPRODUCT(Properties!$D$6:$D$15,Properties!$I$6:$I$15,Input!$J$80:$J$89)/SUMPRODUCT(Properties!$D$6:$D$15,Properties!$I$6:$I$15)),_xlpm.zmon,_xlfn.SEQUENCE('_IRR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0.23425080180168151</v>
      </c>
      <c r="F190" s="134" cm="1">
        <f t="array" ref="F190">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Engine'!$Q$9,_xlpm.zdisc,F$186,_xlpm.zgrow,Input!$C$55,_xlpm.zscale,$C190/(SUMPRODUCT(Properties!$D$6:$D$15,Properties!$I$6:$I$15,Input!$J$80:$J$89)/SUMPRODUCT(Properties!$D$6:$D$15,Properties!$I$6:$I$15)),_xlpm.zmon,_xlfn.SEQUENCE('_IRR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0.27104571461677551</v>
      </c>
    </row>
    <row r="191" spans="2:13" ht="18" customHeight="1" x14ac:dyDescent="0.3">
      <c r="C191" s="197">
        <f>SUMPRODUCT(Properties!$D$6:$D$15,Properties!$I$6:$I$15,Input!$J$80:$J$89)/SUMPRODUCT(Properties!$D$6:$D$15,Properties!$I$6:$I$15)+2*'Portfolio Analysis'!$H$3</f>
        <v>289.74977416440834</v>
      </c>
      <c r="D191" s="134" cm="1">
        <f t="array" ref="D191">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Engine'!$Q$9,_xlpm.zdisc,D$186,_xlpm.zgrow,Input!$C$55,_xlpm.zscale,$C191/(SUMPRODUCT(Properties!$D$6:$D$15,Properties!$I$6:$I$15,Input!$J$80:$J$89)/SUMPRODUCT(Properties!$D$6:$D$15,Properties!$I$6:$I$15)),_xlpm.zmon,_xlfn.SEQUENCE('_IRR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0.20122734904289247</v>
      </c>
      <c r="E191" s="134" cm="1">
        <f t="array" ref="E191">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Engine'!$Q$9,_xlpm.zdisc,E$186,_xlpm.zgrow,Input!$C$55,_xlpm.zscale,$C191/(SUMPRODUCT(Properties!$D$6:$D$15,Properties!$I$6:$I$15,Input!$J$80:$J$89)/SUMPRODUCT(Properties!$D$6:$D$15,Properties!$I$6:$I$15)),_xlpm.zmon,_xlfn.SEQUENCE('_IRR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0.23444880843162533</v>
      </c>
      <c r="F191" s="134" cm="1">
        <f t="array" ref="F191">_xlfn.LET(_xlpm.zact,TRANSPOSE(Properties!$D$6:$D$15),_xlpm.zqtr,TRANSPOSE(Properties!$Q$6:$Q$15),_xlpm.zwks,TRANSPOSE(Properties!$R$6:$R$15),_xlpm.zrst,TRANSPOSE(Properties!$T$6:$T$15),_xlpm.zsel,TRANSPOSE(Properties!$U$6:$U$15),_xlpm.zbas,TRANSPOSE(Properties!$P$6:$P$15),_xlpm.zcap,TRANSPOSE(Properties!$N$6:$N$15),_xlpm.zbuy,TRANSPOSE(Properties!$M$6:$M$15+Properties!$O$6:$O$15),_xlpm.zrnt,TRANSPOSE(Properties!$Y$6:$Y$15),_xlpm.zhld,TRANSPOSE(Properties!$V$6:$V$15),_xlpm.zpre,TRANSPOSE(Input!$C$80:$C$89),_xlpm.zhoa,TRANSPOSE(Input!$D$80:$D$89+Input!$E$80:$E$89),_xlpm.zmy,'_IRR Engine'!$Q$7,_xlpm.zmq,1,_xlpm.zcop,'_IRR Engine'!$Q$9,_xlpm.zdisc,F$186,_xlpm.zgrow,Input!$C$55,_xlpm.zscale,$C191/(SUMPRODUCT(Properties!$D$6:$D$15,Properties!$I$6:$I$15,Input!$J$80:$J$89)/SUMPRODUCT(Properties!$D$6:$D$15,Properties!$I$6:$I$15)),_xlpm.zmon,_xlfn.SEQUENCE('_IRR Engine'!$Q$5),_xlpm.zq,ROUNDUP(_xlpm.zmon/_xlpm.zmq,0),_xlpm.zy,ROUNDUP(_xlpm.zmon/_xlpm.zmy,0),_xlpm.zaccm,(_xlpm.zqtr-1)*_xlpm.zmq+1,_xlpm.zrentm,(_xlpm.zrst-1)*_xlpm.zmq+1,_xlpm.zsalem,(_xlpm.zsel-1)*_xlpm.zmq+1,_xlpm.zowned,(_xlpm.zmon&gt;=_xlpm.zaccm)*(_xlpm.zmon&lt;_xlpm.zsalem),_xlpm.zcapon,(_xlpm.zmon&gt;=_xlpm.zaccm)*(_xlpm.zmon&lt;=_xlpm.zaccm-1+_xlpm.zmq*_xlpm.zwks),_xlpm.zrenting,(_xlpm.zmon&gt;=_xlpm.zrentm)*(_xlpm.zmon&lt;_xlpm.zsalem),_xlpm.zratio,(_xlpm.zq-_xlpm.zrst+1)/Input!$C$11,_xlpm.zramp,_xlpm.zratio-(_xlpm.zratio-1)*(_xlpm.zratio&gt;1),_xlpm.zownfx,_xlpm.zbas*_xlpm.zpre+_xlpm.zhoa*_xlpm.zmy*_xlpm.zcop/Input!$C$5,_xlpm.zrentfx,_xlpm.zbas*(Input!$C$19+Input!$C$18)+Input!$C$32*_xlpm.zmy,_xlpm.zrentnet,_xlpm.zrnt*_xlpm.zscale*(1-Input!$C$20-Input!$C$21-Input!$C$31),_xlpm.znet,_xlpm.zbas/(1-_xlpm.zdisc)*(1+_xlpm.zgrow)^_xlpm.zhld*(1-Input!$C$15),_xlpm.zmat,_xlpm.zact*(-(_xlpm.zmon=_xlpm.zaccm)*_xlpm.zbuy-_xlpm.zcapon*_xlpm.zcap/(_xlpm.zmq*(_xlpm.zwks+(_xlpm.zwks=0)))+_xlpm.zrenting*_xlpm.zramp*_xlpm.zrentnet/_xlpm.zmy*(1+Input!$C$8)^(_xlpm.zy-1)-_xlpm.zowned*_xlpm.zownfx/_xlpm.zmy-_xlpm.zrenting*_xlpm.zrentfx/_xlpm.zmy+(_xlpm.zmon=_xlpm.zsalem)*_xlpm.znet),XIRR(MMULT(_xlpm.zmat,_xlfn.SEQUENCE('_IRR Engine'!$Q$6,1,1,0)),EOMONTH(Input!$C$7,_xlpm.zmon-1)))</f>
        <v>0.27124195694923403</v>
      </c>
    </row>
    <row r="192" spans="2:13" ht="34.049999999999997" customHeight="1" x14ac:dyDescent="0.3">
      <c r="B192" s="532" t="str">
        <f>"Takeaway: rent is a weak return lever in this structure. Moving market rent from "&amp;TEXT($C$187,"$#,##0.0")&amp;" to "&amp;TEXT($C$191,"$#,##0.0")&amp;"/m²/month — a "&amp;TEXT(($C$191/$C$187-1),"0%")&amp;" swing — changes deal-level IRR by about "&amp;TEXT(($E$191-$E$187)*100,"0.0")&amp;" points, because the exit is priced off comparables rather than income. The entry discount moves the same grid by "&amp;TEXT(($F$189-$D$189)*100,"0.0")&amp;" points across "&amp;TEXT($D$186,"0%")&amp;"-"&amp;TEXT($F$186,"0%")&amp;". Rent covers holding costs; the entry discount creates the return."</f>
        <v>Takeaway: rent is a weak return lever in this structure. Moving market rent from $281.7 to $289.7/m²/month — a 3% swing — changes deal-level IRR by about 0.1 points, because the exit is priced off comparables rather than income. The entry discount moves the same grid by 7.0 points across 25%-35%. Rent covers holding costs; the entry discount creates the return.</v>
      </c>
      <c r="C192" s="532"/>
      <c r="D192" s="532"/>
      <c r="E192" s="532"/>
      <c r="F192" s="532"/>
      <c r="G192" s="532"/>
      <c r="H192" s="532"/>
      <c r="I192" s="532"/>
      <c r="J192" s="532"/>
      <c r="K192" s="532"/>
      <c r="L192" s="125"/>
      <c r="M192" s="125"/>
    </row>
    <row r="193" spans="2:13" ht="14.55" customHeight="1" x14ac:dyDescent="0.3"/>
    <row r="194" spans="2:13" ht="19.95" customHeight="1" x14ac:dyDescent="0.3">
      <c r="B194" s="40" t="s">
        <v>592</v>
      </c>
      <c r="C194" s="40"/>
      <c r="D194" s="40"/>
      <c r="E194" s="40"/>
      <c r="F194" s="40"/>
      <c r="G194" s="40"/>
      <c r="H194" s="40"/>
    </row>
    <row r="195" spans="2:13" ht="28.8" customHeight="1" x14ac:dyDescent="0.3">
      <c r="B195" s="115" t="s">
        <v>26</v>
      </c>
      <c r="C195" s="115" t="s">
        <v>27</v>
      </c>
      <c r="D195" s="115" t="s">
        <v>29</v>
      </c>
      <c r="E195" s="115" t="s">
        <v>30</v>
      </c>
      <c r="F195" s="115" t="s">
        <v>593</v>
      </c>
      <c r="G195" s="115" t="s">
        <v>1033</v>
      </c>
      <c r="H195" s="115" t="s">
        <v>594</v>
      </c>
    </row>
    <row r="196" spans="2:13" ht="18" customHeight="1" x14ac:dyDescent="0.3">
      <c r="B196" s="17">
        <v>1</v>
      </c>
      <c r="C196" s="189" t="str" cm="1">
        <f t="array" ref="C196">INDEX(Properties!$E$6:$E$15,$B196)</f>
        <v>Aires de Campestre Apto 801 (Penthouse)</v>
      </c>
      <c r="D196" s="17" t="str" cm="1">
        <f t="array" ref="D196">IF(INDEX(Properties!$D$6:$D$15,$B196)=1,"Active","Inactive")</f>
        <v>Active</v>
      </c>
      <c r="E196" s="200" cm="1">
        <f t="array" ref="E196">INDEX(Properties!$I$6:$I$15,$B196)</f>
        <v>489</v>
      </c>
      <c r="F196" s="201" cm="1">
        <f t="array" ref="F196">INDEX(Input!$J$80:$J$89,$B196)</f>
        <v>270</v>
      </c>
      <c r="G196" s="202" cm="1">
        <f t="array" ref="G196">INDEX(Properties!$Z$6:$Z$15,$B196)</f>
        <v>7560</v>
      </c>
      <c r="H196" s="201" cm="1">
        <f t="array" ref="H196">IF(N(E196)=0,"",G196/E196*(1-INDEX(Input!$H$80:$H$89,$B196)))</f>
        <v>9.2760736196319016</v>
      </c>
    </row>
    <row r="197" spans="2:13" ht="18" customHeight="1" x14ac:dyDescent="0.3">
      <c r="B197" s="17">
        <v>2</v>
      </c>
      <c r="C197" s="189" t="str" cm="1">
        <f t="array" ref="C197">INDEX(Properties!$E$6:$E$15,$B197)</f>
        <v>Fontanar Apto 201 (Penthouse)</v>
      </c>
      <c r="D197" s="17" t="str" cm="1">
        <f t="array" ref="D197">IF(INDEX(Properties!$D$6:$D$15,$B197)=1,"Active","Inactive")</f>
        <v>Active</v>
      </c>
      <c r="E197" s="200" cm="1">
        <f t="array" ref="E197">INDEX(Properties!$I$6:$I$15,$B197)</f>
        <v>389</v>
      </c>
      <c r="F197" s="201" cm="1">
        <f t="array" ref="F197">INDEX(Input!$J$80:$J$89,$B197)</f>
        <v>270</v>
      </c>
      <c r="G197" s="202" cm="1">
        <f t="array" ref="G197">INDEX(Properties!$Z$6:$Z$15,$B197)</f>
        <v>7560</v>
      </c>
      <c r="H197" s="201" cm="1">
        <f t="array" ref="H197">IF(N(E197)=0,"",G197/E197*(1-INDEX(Input!$H$80:$H$89,$B197)))</f>
        <v>11.660668380462724</v>
      </c>
    </row>
    <row r="198" spans="2:13" ht="18" customHeight="1" x14ac:dyDescent="0.3">
      <c r="B198" s="17">
        <v>3</v>
      </c>
      <c r="C198" s="189" t="str" cm="1">
        <f t="array" ref="C198">INDEX(Properties!$E$6:$E$15,$B198)</f>
        <v>San Lucas Apto 101</v>
      </c>
      <c r="D198" s="17" t="str" cm="1">
        <f t="array" ref="D198">IF(INDEX(Properties!$D$6:$D$15,$B198)=1,"Active","Inactive")</f>
        <v>Active</v>
      </c>
      <c r="E198" s="200" cm="1">
        <f t="array" ref="E198">INDEX(Properties!$I$6:$I$15,$B198)</f>
        <v>325</v>
      </c>
      <c r="F198" s="201" cm="1">
        <f t="array" ref="F198">INDEX(Input!$J$80:$J$89,$B198)</f>
        <v>250</v>
      </c>
      <c r="G198" s="202" cm="1">
        <f t="array" ref="G198">INDEX(Properties!$Z$6:$Z$15,$B198)</f>
        <v>7000</v>
      </c>
      <c r="H198" s="201" cm="1">
        <f t="array" ref="H198">IF(N(E198)=0,"",G198/E198*(1-INDEX(Input!$H$80:$H$89,$B198)))</f>
        <v>12.923076923076923</v>
      </c>
    </row>
    <row r="199" spans="2:13" ht="18" customHeight="1" x14ac:dyDescent="0.3">
      <c r="B199" s="17">
        <v>4</v>
      </c>
      <c r="C199" s="189" t="str" cm="1">
        <f t="array" ref="C199">INDEX(Properties!$E$6:$E$15,$B199)</f>
        <v>Casa Montana Lote 2 (Samuel Gaviria House)</v>
      </c>
      <c r="D199" s="17" t="str" cm="1">
        <f t="array" ref="D199">IF(INDEX(Properties!$D$6:$D$15,$B199)=1,"Active","Inactive")</f>
        <v>Active</v>
      </c>
      <c r="E199" s="200" cm="1">
        <f t="array" ref="E199">INDEX(Properties!$I$6:$I$15,$B199)</f>
        <v>591</v>
      </c>
      <c r="F199" s="268" cm="1">
        <f t="array" ref="F199">INDEX(Input!$J$80:$J$89,$B199)</f>
        <v>340</v>
      </c>
      <c r="G199" s="202" cm="1">
        <f t="array" ref="G199">INDEX(Properties!$Z$6:$Z$15,$B199)</f>
        <v>9500</v>
      </c>
      <c r="H199" s="201" cm="1">
        <f t="array" ref="H199">IF(N(E199)=0,"",G199/E199*(1-INDEX(Input!$H$80:$H$89,$B199)))</f>
        <v>9.6446700507614214</v>
      </c>
    </row>
    <row r="200" spans="2:13" ht="18" customHeight="1" x14ac:dyDescent="0.3">
      <c r="B200" s="17">
        <v>5</v>
      </c>
      <c r="C200" s="189" t="str" cm="1">
        <f t="array" ref="C200">INDEX(Properties!$E$6:$E$15,$B200)</f>
        <v>Casa Monte Sereno</v>
      </c>
      <c r="D200" s="17" t="str" cm="1">
        <f t="array" ref="D200">IF(INDEX(Properties!$D$6:$D$15,$B200)=1,"Active","Inactive")</f>
        <v>Active</v>
      </c>
      <c r="E200" s="200" cm="1">
        <f t="array" ref="E200">INDEX(Properties!$I$6:$I$15,$B200)</f>
        <v>420</v>
      </c>
      <c r="F200" s="268" cm="1">
        <f t="array" ref="F200">INDEX(Input!$J$80:$J$89,$B200)</f>
        <v>270</v>
      </c>
      <c r="G200" s="202" cm="1">
        <f t="array" ref="G200">INDEX(Properties!$Z$6:$Z$15,$B200)</f>
        <v>7560</v>
      </c>
      <c r="H200" s="201" cm="1">
        <f t="array" ref="H200">IF(N(E200)=0,"",G200/E200*(1-INDEX(Input!$H$80:$H$89,$B200)))</f>
        <v>10.799999999999999</v>
      </c>
    </row>
    <row r="201" spans="2:13" ht="18" customHeight="1" x14ac:dyDescent="0.3">
      <c r="B201" s="17">
        <v>6</v>
      </c>
      <c r="C201" s="189" cm="1">
        <f t="array" ref="C201">INDEX(Properties!$E$6:$E$15,$B201)</f>
        <v>0</v>
      </c>
      <c r="D201" s="17" t="str" cm="1">
        <f t="array" ref="D201">IF(INDEX(Properties!$D$6:$D$15,$B201)=1,"Active","Inactive")</f>
        <v>Inactive</v>
      </c>
      <c r="E201" s="200" cm="1">
        <f t="array" ref="E201">INDEX(Properties!$I$6:$I$15,$B201)</f>
        <v>0</v>
      </c>
      <c r="F201" s="201" cm="1">
        <f t="array" ref="F201">INDEX(Input!$J$80:$J$89,$B201)</f>
        <v>0</v>
      </c>
      <c r="G201" s="202" cm="1">
        <f t="array" ref="G201">INDEX(Properties!$Z$6:$Z$15,$B201)</f>
        <v>0</v>
      </c>
      <c r="H201" s="201" t="str" cm="1">
        <f t="array" ref="H201">IF(N(E201)=0,"",G201/E201*(1-INDEX(Input!$H$80:$H$89,$B201)))</f>
        <v/>
      </c>
    </row>
    <row r="202" spans="2:13" ht="18" customHeight="1" x14ac:dyDescent="0.3">
      <c r="B202" s="17">
        <v>7</v>
      </c>
      <c r="C202" s="189" cm="1">
        <f t="array" ref="C202">INDEX(Properties!$E$6:$E$15,$B202)</f>
        <v>0</v>
      </c>
      <c r="D202" s="17" t="str" cm="1">
        <f t="array" ref="D202">IF(INDEX(Properties!$D$6:$D$15,$B202)=1,"Active","Inactive")</f>
        <v>Inactive</v>
      </c>
      <c r="E202" s="200" cm="1">
        <f t="array" ref="E202">INDEX(Properties!$I$6:$I$15,$B202)</f>
        <v>0</v>
      </c>
      <c r="F202" s="201" cm="1">
        <f t="array" ref="F202">INDEX(Input!$J$80:$J$89,$B202)</f>
        <v>0</v>
      </c>
      <c r="G202" s="202" cm="1">
        <f t="array" ref="G202">INDEX(Properties!$Z$6:$Z$15,$B202)</f>
        <v>0</v>
      </c>
      <c r="H202" s="201" t="str" cm="1">
        <f t="array" ref="H202">IF(N(E202)=0,"",G202/E202*(1-INDEX(Input!$H$80:$H$89,$B202)))</f>
        <v/>
      </c>
    </row>
    <row r="203" spans="2:13" ht="18" customHeight="1" x14ac:dyDescent="0.3">
      <c r="B203" s="17">
        <v>8</v>
      </c>
      <c r="C203" s="189" cm="1">
        <f t="array" ref="C203">INDEX(Properties!$E$6:$E$15,$B203)</f>
        <v>0</v>
      </c>
      <c r="D203" s="17" t="str" cm="1">
        <f t="array" ref="D203">IF(INDEX(Properties!$D$6:$D$15,$B203)=1,"Active","Inactive")</f>
        <v>Inactive</v>
      </c>
      <c r="E203" s="200" cm="1">
        <f t="array" ref="E203">INDEX(Properties!$I$6:$I$15,$B203)</f>
        <v>0</v>
      </c>
      <c r="F203" s="201" cm="1">
        <f t="array" ref="F203">INDEX(Input!$J$80:$J$89,$B203)</f>
        <v>0</v>
      </c>
      <c r="G203" s="202" cm="1">
        <f t="array" ref="G203">INDEX(Properties!$Z$6:$Z$15,$B203)</f>
        <v>0</v>
      </c>
      <c r="H203" s="201" t="str" cm="1">
        <f t="array" ref="H203">IF(N(E203)=0,"",G203/E203*(1-INDEX(Input!$H$80:$H$89,$B203)))</f>
        <v/>
      </c>
    </row>
    <row r="204" spans="2:13" ht="18" customHeight="1" x14ac:dyDescent="0.3">
      <c r="B204" s="17">
        <v>9</v>
      </c>
      <c r="C204" s="189" cm="1">
        <f t="array" ref="C204">INDEX(Properties!$E$6:$E$15,$B204)</f>
        <v>0</v>
      </c>
      <c r="D204" s="17" t="str" cm="1">
        <f t="array" ref="D204">IF(INDEX(Properties!$D$6:$D$15,$B204)=1,"Active","Inactive")</f>
        <v>Inactive</v>
      </c>
      <c r="E204" s="200" cm="1">
        <f t="array" ref="E204">INDEX(Properties!$I$6:$I$15,$B204)</f>
        <v>0</v>
      </c>
      <c r="F204" s="201" cm="1">
        <f t="array" ref="F204">INDEX(Input!$J$80:$J$89,$B204)</f>
        <v>0</v>
      </c>
      <c r="G204" s="202" cm="1">
        <f t="array" ref="G204">INDEX(Properties!$Z$6:$Z$15,$B204)</f>
        <v>0</v>
      </c>
      <c r="H204" s="201" t="str" cm="1">
        <f t="array" ref="H204">IF(N(E204)=0,"",G204/E204*(1-INDEX(Input!$H$80:$H$89,$B204)))</f>
        <v/>
      </c>
    </row>
    <row r="205" spans="2:13" ht="18" customHeight="1" x14ac:dyDescent="0.3">
      <c r="B205" s="17">
        <v>10</v>
      </c>
      <c r="C205" s="189" cm="1">
        <f t="array" ref="C205">INDEX(Properties!$E$6:$E$15,$B205)</f>
        <v>0</v>
      </c>
      <c r="D205" s="17" t="str" cm="1">
        <f t="array" ref="D205">IF(INDEX(Properties!$D$6:$D$15,$B205)=1,"Active","Inactive")</f>
        <v>Inactive</v>
      </c>
      <c r="E205" s="200" cm="1">
        <f t="array" ref="E205">INDEX(Properties!$I$6:$I$15,$B205)</f>
        <v>0</v>
      </c>
      <c r="F205" s="201" cm="1">
        <f t="array" ref="F205">INDEX(Input!$J$80:$J$89,$B205)</f>
        <v>0</v>
      </c>
      <c r="G205" s="202" cm="1">
        <f t="array" ref="G205">INDEX(Properties!$Z$6:$Z$15,$B205)</f>
        <v>0</v>
      </c>
      <c r="H205" s="201" t="str" cm="1">
        <f t="array" ref="H205">IF(N(E205)=0,"",G205/E205*(1-INDEX(Input!$H$80:$H$89,$B205)))</f>
        <v/>
      </c>
    </row>
    <row r="206" spans="2:13" ht="18" customHeight="1" x14ac:dyDescent="0.3">
      <c r="B206" s="198"/>
      <c r="C206" s="199" t="str">
        <f>"Active portfolio — "&amp;TEXT(SUM(Properties!$D$6:$D$15),"0")&amp;" properties, m²-weighted average"</f>
        <v>Active portfolio — 5 properties, m²-weighted average</v>
      </c>
      <c r="D206" s="198"/>
      <c r="E206" s="203">
        <f>SUMPRODUCT(Properties!$D$6:$D$15,Properties!$I$6:$I$15)</f>
        <v>2214</v>
      </c>
      <c r="F206" s="204">
        <f>SUMPRODUCT(Properties!$D$6:$D$15,Properties!$I$6:$I$15,Input!$J$80:$J$89)/SUMPRODUCT(Properties!$D$6:$D$15,Properties!$I$6:$I$15)</f>
        <v>285.74977416440834</v>
      </c>
      <c r="G206" s="205">
        <f>SUMPRODUCT(Properties!$D$6:$D$15,Properties!$Z$6:$Z$15)</f>
        <v>39180</v>
      </c>
      <c r="H206" s="204" cm="1">
        <f t="array" ref="H206">SUMPRODUCT(Properties!$D$6:$D$15,Properties!$Z$6:$Z$15,1-Input!$H$80:$H$89)/SUMPRODUCT(Properties!$D$6:$D$15,Properties!$I$6:$I$15)</f>
        <v>10.617886178861788</v>
      </c>
    </row>
    <row r="207" spans="2:13" ht="19.95" customHeight="1" x14ac:dyDescent="0.3">
      <c r="B207" s="532" t="str" cm="1">
        <f t="array" ref="B207">"STR daily rates are set per active property on Input (closed fund — ICP placeholders excluded): "&amp;TEXT(_xlfn.MINIFS(Input!$J$80:$J$89,Properties!$D$6:$D$15,1),"$#,##0")&amp;"–"&amp;TEXT(_xlfn.MAXIFS(Input!$J$80:$J$89,Properties!$D$6:$D$15,1),"$#,##0")&amp;"/night. The 28-night minimum stay is capped at "&amp;TEXT(Input!$C$170,"$#,##0")&amp;"; "&amp;TEXT(SUMPRODUCT(Properties!$D$6:$D$15*(Input!$C$171*Input!$J$80:$J$89&gt;Input!$C$170)),"0")&amp;" of "&amp;TEXT(SUM(Properties!$D$6:$D$15),"0")&amp;" active units hit the cap at base rates (peak-month seasonality can push more to the cap)."</f>
        <v>STR daily rates are set per active property on Input (closed fund — ICP placeholders excluded): $250–$340/night. The 28-night minimum stay is capped at $9,500; 1 of 5 active units hit the cap at base rates (peak-month seasonality can push more to the cap).</v>
      </c>
      <c r="C207" s="532"/>
      <c r="D207" s="532"/>
      <c r="E207" s="532"/>
      <c r="F207" s="532"/>
      <c r="G207" s="532"/>
      <c r="H207" s="532"/>
      <c r="I207" s="532"/>
      <c r="J207" s="532"/>
      <c r="K207" s="532"/>
      <c r="L207" s="125"/>
      <c r="M207" s="125"/>
    </row>
  </sheetData>
  <mergeCells count="87">
    <mergeCell ref="B40:K40"/>
    <mergeCell ref="B54:K54"/>
    <mergeCell ref="B24:H24"/>
    <mergeCell ref="B25:H25"/>
    <mergeCell ref="B2:H2"/>
    <mergeCell ref="B20:H20"/>
    <mergeCell ref="B21:H21"/>
    <mergeCell ref="B22:H22"/>
    <mergeCell ref="B23:H23"/>
    <mergeCell ref="H12:K13"/>
    <mergeCell ref="B87:K87"/>
    <mergeCell ref="B88:K88"/>
    <mergeCell ref="B89:K89"/>
    <mergeCell ref="B90:K90"/>
    <mergeCell ref="B91:K91"/>
    <mergeCell ref="B92:K92"/>
    <mergeCell ref="B93:K93"/>
    <mergeCell ref="B94:K94"/>
    <mergeCell ref="B95:K95"/>
    <mergeCell ref="B96:K96"/>
    <mergeCell ref="B97:K97"/>
    <mergeCell ref="B98:K98"/>
    <mergeCell ref="B101:H101"/>
    <mergeCell ref="C119:D119"/>
    <mergeCell ref="B102:K102"/>
    <mergeCell ref="C120:D120"/>
    <mergeCell ref="C121:D121"/>
    <mergeCell ref="C122:D122"/>
    <mergeCell ref="C123:D123"/>
    <mergeCell ref="C124:D124"/>
    <mergeCell ref="C125:D125"/>
    <mergeCell ref="C126:D126"/>
    <mergeCell ref="C127:D127"/>
    <mergeCell ref="C128:D128"/>
    <mergeCell ref="C129:D129"/>
    <mergeCell ref="C130:D130"/>
    <mergeCell ref="C135:D135"/>
    <mergeCell ref="F135:H135"/>
    <mergeCell ref="C136:D136"/>
    <mergeCell ref="F136:H136"/>
    <mergeCell ref="B132:K132"/>
    <mergeCell ref="C137:D137"/>
    <mergeCell ref="F137:H137"/>
    <mergeCell ref="C138:D138"/>
    <mergeCell ref="F138:H138"/>
    <mergeCell ref="C139:D139"/>
    <mergeCell ref="F139:H139"/>
    <mergeCell ref="C140:D140"/>
    <mergeCell ref="F140:H140"/>
    <mergeCell ref="C141:D141"/>
    <mergeCell ref="F141:H141"/>
    <mergeCell ref="C142:D142"/>
    <mergeCell ref="F142:H142"/>
    <mergeCell ref="C143:D143"/>
    <mergeCell ref="F143:H143"/>
    <mergeCell ref="C144:D144"/>
    <mergeCell ref="F144:H144"/>
    <mergeCell ref="C145:D145"/>
    <mergeCell ref="F145:H145"/>
    <mergeCell ref="C146:D146"/>
    <mergeCell ref="F146:H146"/>
    <mergeCell ref="C147:D147"/>
    <mergeCell ref="F147:H147"/>
    <mergeCell ref="C148:D148"/>
    <mergeCell ref="F148:K148"/>
    <mergeCell ref="C149:D149"/>
    <mergeCell ref="F149:H149"/>
    <mergeCell ref="C165:D165"/>
    <mergeCell ref="F165:H165"/>
    <mergeCell ref="B151:K151"/>
    <mergeCell ref="B162:K162"/>
    <mergeCell ref="C166:D166"/>
    <mergeCell ref="C167:D167"/>
    <mergeCell ref="F167:H167"/>
    <mergeCell ref="C168:D168"/>
    <mergeCell ref="F168:H168"/>
    <mergeCell ref="F166:K166"/>
    <mergeCell ref="B192:K192"/>
    <mergeCell ref="B207:K207"/>
    <mergeCell ref="C169:D169"/>
    <mergeCell ref="F169:H169"/>
    <mergeCell ref="C170:D170"/>
    <mergeCell ref="F170:H170"/>
    <mergeCell ref="C171:D171"/>
    <mergeCell ref="F171:H171"/>
    <mergeCell ref="B173:K173"/>
    <mergeCell ref="B183:K183"/>
  </mergeCells>
  <conditionalFormatting sqref="B106:H115">
    <cfRule type="expression" dxfId="22" priority="4">
      <formula>$D106="Inactive"</formula>
    </cfRule>
  </conditionalFormatting>
  <conditionalFormatting sqref="B196:H205">
    <cfRule type="expression" dxfId="21" priority="2">
      <formula>$D196="Inactive"</formula>
    </cfRule>
  </conditionalFormatting>
  <pageMargins left="0.7" right="0.7" top="0.75" bottom="0.75" header="0.3" footer="0.3"/>
  <pageSetup scale="47" fitToHeight="0" orientation="landscape" horizontalDpi="0" verticalDpi="0" r:id="rId1"/>
  <extLst>
    <ext xmlns:x14="http://schemas.microsoft.com/office/spreadsheetml/2009/9/main" uri="{78C0D931-6437-407d-A8EE-F0AAD7539E65}">
      <x14:conditionalFormattings>
        <x14:conditionalFormatting xmlns:xm="http://schemas.microsoft.com/office/excel/2006/main">
          <x14:cfRule type="expression" priority="29" id="{CA807F38-F0E8-4E04-8693-B7227614E64A}">
            <xm:f>ROUND(D$7,4)=ROUND(Input!$C$55,4)</xm:f>
            <x14:dxf>
              <font>
                <b/>
                <i val="0"/>
                <color rgb="FF1B2A4A"/>
              </font>
              <fill>
                <patternFill patternType="solid">
                  <fgColor indexed="64"/>
                  <bgColor rgb="FFD9EAF7"/>
                </patternFill>
              </fill>
            </x14:dxf>
          </x14:cfRule>
          <xm:sqref>D7:F7</xm:sqref>
        </x14:conditionalFormatting>
        <x14:conditionalFormatting xmlns:xm="http://schemas.microsoft.com/office/excel/2006/main">
          <x14:cfRule type="expression" priority="1" id="{D94ED4A8-587E-4458-B19F-1C462DA3746E}">
            <xm:f>AND(ROUND(D$47,4)=ROUND(SUMPRODUCT(Properties!$D$6:$D$15,Input!$I$79:$I$88)/SUM(Properties!$D$6:$D$15),4),ROUND($C187,2)=ROUND(SUMPRODUCT(Properties!$D$6:$D$15,Properties!$I$6:$I$15,Input!$J$79:$J$88)/SUMPRODUCT(Properties!$D$6:$D$15,Properties!$I$6:$I$15),2))</xm:f>
            <x14:dxf>
              <font>
                <b/>
                <i val="0"/>
                <color rgb="FF1B2A4A"/>
              </font>
              <fill>
                <patternFill patternType="solid">
                  <fgColor indexed="64"/>
                  <bgColor rgb="FFD9EAF7"/>
                </patternFill>
              </fill>
            </x14:dxf>
          </x14:cfRule>
          <xm:sqref>D187:F191</xm:sqref>
        </x14:conditionalFormatting>
        <x14:conditionalFormatting xmlns:xm="http://schemas.microsoft.com/office/excel/2006/main">
          <x14:cfRule type="expression" priority="5" id="{79F69CB3-A112-404E-8FB8-3D04886C09BF}">
            <xm:f>AND(ROUND(D$38,4)=ROUND(Input!$C$55,4),ROUND($C156,4)=ROUND(SUMPRODUCT(Properties!$D$6:$D$15,Input!$I$79:$I$88)/SUM(Properties!$D$6:$D$15),4))</xm:f>
            <x14:dxf>
              <font>
                <b/>
                <i val="0"/>
                <color rgb="FF1B2A4A"/>
              </font>
              <fill>
                <patternFill patternType="solid">
                  <fgColor indexed="64"/>
                  <bgColor rgb="FFD9EAF7"/>
                </patternFill>
              </fill>
            </x14:dxf>
          </x14:cfRule>
          <xm:sqref>D156:H160 D178:F182</xm:sqref>
        </x14:conditionalFormatting>
        <x14:conditionalFormatting xmlns:xm="http://schemas.microsoft.com/office/excel/2006/main">
          <x14:cfRule type="expression" priority="3" id="{B59F1D97-AD9A-460C-9FB3-EB9273653C94}">
            <xm:f>AND($D196="Active",OR($F196&gt;Input!$D$77,$F196&lt;Input!$C$77))</xm:f>
            <x14:dxf>
              <font>
                <color rgb="FF9C6500"/>
              </font>
              <fill>
                <patternFill patternType="solid">
                  <fgColor indexed="64"/>
                  <bgColor rgb="FFFFF2CC"/>
                </patternFill>
              </fill>
            </x14:dxf>
          </x14:cfRule>
          <xm:sqref>F196:F205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A2309-62D0-4EFF-89DB-F0CB738B585C}">
  <sheetPr>
    <tabColor rgb="FF132E57"/>
    <pageSetUpPr fitToPage="1"/>
  </sheetPr>
  <dimension ref="A1:AN27"/>
  <sheetViews>
    <sheetView workbookViewId="0">
      <pane xSplit="5" ySplit="5" topLeftCell="F6" activePane="bottomRight" state="frozen"/>
      <selection pane="topRight" activeCell="C1" sqref="C1"/>
      <selection pane="bottomLeft" activeCell="A6" sqref="A6"/>
      <selection pane="bottomRight" activeCell="N46" sqref="N46"/>
    </sheetView>
  </sheetViews>
  <sheetFormatPr defaultRowHeight="14.4" outlineLevelCol="1" x14ac:dyDescent="0.3"/>
  <cols>
    <col min="1" max="1" width="4.109375" style="1" customWidth="1"/>
    <col min="2" max="2" width="13" style="1" customWidth="1"/>
    <col min="3" max="3" width="17.5546875" style="1" customWidth="1"/>
    <col min="4" max="4" width="17.77734375" style="1" customWidth="1"/>
    <col min="5" max="5" width="42.5546875" style="1" customWidth="1"/>
    <col min="6" max="6" width="25" style="1" customWidth="1"/>
    <col min="7" max="7" width="46.33203125" style="1" customWidth="1"/>
    <col min="8" max="8" width="42.5546875" style="1" customWidth="1"/>
    <col min="9" max="32" width="17.5546875" style="1" customWidth="1"/>
    <col min="33" max="33" width="40.77734375" style="1" customWidth="1"/>
    <col min="34" max="36" width="18.5546875" style="1" hidden="1" customWidth="1" outlineLevel="1"/>
    <col min="37" max="38" width="20.33203125" style="1" hidden="1" customWidth="1" outlineLevel="1"/>
    <col min="39" max="39" width="18.5546875" style="1" hidden="1" customWidth="1" outlineLevel="1"/>
    <col min="40" max="40" width="20.33203125" style="1" customWidth="1" collapsed="1"/>
    <col min="41" max="16384" width="8.88671875" style="1"/>
  </cols>
  <sheetData>
    <row r="1" spans="1:40" ht="36" customHeight="1" x14ac:dyDescent="0.45">
      <c r="A1" s="53"/>
      <c r="B1" s="53" t="s">
        <v>25</v>
      </c>
      <c r="C1" s="53"/>
      <c r="D1" s="170"/>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row>
    <row r="2" spans="1:40" s="112" customFormat="1" ht="18" customHeight="1" x14ac:dyDescent="0.3">
      <c r="A2" s="10"/>
      <c r="B2" s="10"/>
      <c r="C2" s="10"/>
      <c r="D2"/>
      <c r="E2" s="85" t="s">
        <v>1020</v>
      </c>
      <c r="F2" s="85"/>
      <c r="G2" s="85"/>
      <c r="H2" s="85"/>
      <c r="I2" s="85"/>
      <c r="J2" s="85"/>
      <c r="K2" s="85"/>
      <c r="L2" s="85"/>
      <c r="M2" s="85"/>
      <c r="N2" s="85"/>
      <c r="O2" s="85"/>
      <c r="P2" s="85"/>
      <c r="Q2" s="85"/>
      <c r="R2" s="85"/>
      <c r="S2" s="85"/>
      <c r="T2" s="85"/>
      <c r="U2" s="85"/>
      <c r="V2" s="85"/>
      <c r="W2" s="85"/>
      <c r="X2" s="85"/>
      <c r="Y2" s="85"/>
      <c r="Z2" s="85"/>
      <c r="AA2" s="85"/>
      <c r="AB2" s="85"/>
      <c r="AC2" s="85"/>
      <c r="AD2" s="85"/>
      <c r="AE2" s="85"/>
      <c r="AF2" s="85"/>
      <c r="AG2" s="85"/>
    </row>
    <row r="3" spans="1:40" ht="6" customHeight="1" x14ac:dyDescent="0.3">
      <c r="A3" s="9"/>
      <c r="D3"/>
      <c r="E3" s="9"/>
      <c r="F3" s="9"/>
      <c r="G3" s="9"/>
      <c r="H3" s="9"/>
      <c r="I3" s="9"/>
      <c r="J3" s="9"/>
      <c r="K3" s="9"/>
      <c r="L3" s="9"/>
      <c r="M3" s="9"/>
      <c r="N3" s="9"/>
      <c r="O3" s="9"/>
      <c r="P3" s="9"/>
      <c r="Q3" s="9"/>
      <c r="R3" s="9"/>
      <c r="S3" s="9"/>
      <c r="T3" s="9"/>
      <c r="U3" s="9"/>
      <c r="V3" s="9"/>
      <c r="W3" s="9"/>
      <c r="X3" s="9"/>
      <c r="Y3" s="9"/>
      <c r="Z3" s="9"/>
      <c r="AA3" s="9"/>
      <c r="AB3" s="9"/>
      <c r="AC3" s="9"/>
      <c r="AD3" s="9"/>
      <c r="AE3" s="9"/>
      <c r="AF3" s="9"/>
      <c r="AG3" s="9"/>
    </row>
    <row r="4" spans="1:40" ht="6" customHeight="1" x14ac:dyDescent="0.3">
      <c r="A4" s="9"/>
      <c r="D4"/>
      <c r="E4" s="9"/>
      <c r="F4" s="9"/>
      <c r="G4" s="9"/>
      <c r="H4" s="9"/>
      <c r="I4" s="9"/>
      <c r="J4" s="9"/>
      <c r="K4" s="9"/>
      <c r="L4" s="9"/>
      <c r="M4" s="9"/>
      <c r="N4" s="9"/>
      <c r="O4" s="9"/>
      <c r="P4" s="9"/>
      <c r="Q4" s="9"/>
      <c r="R4" s="9"/>
      <c r="S4" s="9"/>
      <c r="T4" s="9"/>
      <c r="U4" s="9"/>
      <c r="V4" s="9"/>
      <c r="W4" s="9"/>
      <c r="X4" s="9"/>
      <c r="Y4" s="9"/>
      <c r="Z4" s="9"/>
      <c r="AA4" s="9"/>
      <c r="AB4" s="9"/>
      <c r="AC4" s="9"/>
      <c r="AD4" s="9"/>
      <c r="AE4" s="9"/>
      <c r="AF4" s="9"/>
      <c r="AG4" s="9"/>
    </row>
    <row r="5" spans="1:40" s="113" customFormat="1" ht="72" customHeight="1" x14ac:dyDescent="0.3">
      <c r="A5" s="35" t="s">
        <v>26</v>
      </c>
      <c r="B5" s="116" t="s">
        <v>365</v>
      </c>
      <c r="C5" s="116" t="s">
        <v>467</v>
      </c>
      <c r="D5" s="116" t="s">
        <v>466</v>
      </c>
      <c r="E5" s="35" t="s">
        <v>27</v>
      </c>
      <c r="F5" s="35" t="s">
        <v>28</v>
      </c>
      <c r="G5" s="35" t="s">
        <v>262</v>
      </c>
      <c r="H5" s="35" t="s">
        <v>29</v>
      </c>
      <c r="I5" s="115" t="s">
        <v>30</v>
      </c>
      <c r="J5" s="115" t="s">
        <v>31</v>
      </c>
      <c r="K5" s="35" t="s">
        <v>183</v>
      </c>
      <c r="L5" s="35" t="s">
        <v>1128</v>
      </c>
      <c r="M5" s="35" t="s">
        <v>184</v>
      </c>
      <c r="N5" s="35" t="s">
        <v>1129</v>
      </c>
      <c r="O5" s="35" t="s">
        <v>32</v>
      </c>
      <c r="P5" s="35" t="s">
        <v>185</v>
      </c>
      <c r="Q5" s="35" t="s">
        <v>1064</v>
      </c>
      <c r="R5" s="35" t="s">
        <v>1065</v>
      </c>
      <c r="S5" s="35" t="s">
        <v>1066</v>
      </c>
      <c r="T5" s="35" t="s">
        <v>1067</v>
      </c>
      <c r="U5" s="35" t="s">
        <v>1068</v>
      </c>
      <c r="V5" s="35" t="s">
        <v>186</v>
      </c>
      <c r="W5" s="35" t="s">
        <v>33</v>
      </c>
      <c r="X5" s="35" t="s">
        <v>34</v>
      </c>
      <c r="Y5" s="35" t="s">
        <v>1122</v>
      </c>
      <c r="Z5" s="35" t="s">
        <v>1123</v>
      </c>
      <c r="AA5" s="35" t="s">
        <v>35</v>
      </c>
      <c r="AB5" s="35" t="s">
        <v>36</v>
      </c>
      <c r="AC5" s="35" t="s">
        <v>37</v>
      </c>
      <c r="AD5" s="35" t="s">
        <v>38</v>
      </c>
      <c r="AE5" s="35" t="s">
        <v>39</v>
      </c>
      <c r="AF5" s="35" t="s">
        <v>40</v>
      </c>
      <c r="AG5" s="35" t="s">
        <v>290</v>
      </c>
      <c r="AH5" s="35" t="s">
        <v>760</v>
      </c>
      <c r="AI5" s="35" t="s">
        <v>761</v>
      </c>
      <c r="AJ5" s="35" t="s">
        <v>762</v>
      </c>
      <c r="AK5" s="35" t="s">
        <v>758</v>
      </c>
      <c r="AL5" s="35" t="s">
        <v>759</v>
      </c>
      <c r="AM5" s="35" t="s">
        <v>767</v>
      </c>
      <c r="AN5" s="35" t="s">
        <v>1191</v>
      </c>
    </row>
    <row r="6" spans="1:40" ht="43.2" customHeight="1" x14ac:dyDescent="0.3">
      <c r="A6" s="9">
        <v>1</v>
      </c>
      <c r="B6" s="117">
        <v>1</v>
      </c>
      <c r="C6" s="173" t="s">
        <v>468</v>
      </c>
      <c r="D6" s="181">
        <f t="shared" ref="D6:D19" si="0">IF(AND($B6=1,ISNUMBER(SEARCH("Backup",$C6))=FALSE,ISNUMBER(SEARCH("Simulated",$C6))=FALSE),1,0)</f>
        <v>1</v>
      </c>
      <c r="E6" s="9" t="s">
        <v>41</v>
      </c>
      <c r="F6" s="9" t="s">
        <v>42</v>
      </c>
      <c r="G6" s="25" t="s">
        <v>263</v>
      </c>
      <c r="H6" s="9" t="s">
        <v>43</v>
      </c>
      <c r="I6" s="36">
        <v>489</v>
      </c>
      <c r="J6" s="26">
        <f>IF(N(I6)=0,"",I6*Input!$C$165)</f>
        <v>5263.5470999999998</v>
      </c>
      <c r="K6" s="32">
        <v>2060</v>
      </c>
      <c r="L6" s="32">
        <v>1500</v>
      </c>
      <c r="M6" s="47">
        <f>K6*1000000/Input!$C$5</f>
        <v>666666.66666666663</v>
      </c>
      <c r="N6" s="47">
        <f>L6*1000000/Input!$C$5</f>
        <v>485436.89320388349</v>
      </c>
      <c r="O6" s="47">
        <f>M6*Input!$C$14</f>
        <v>16666.666666666668</v>
      </c>
      <c r="P6" s="18">
        <f t="shared" ref="P6:P15" si="1">M6+N6+O6</f>
        <v>1168770.2265372169</v>
      </c>
      <c r="Q6" s="10">
        <f>IFERROR(INDEX('Portfolio Analysis'!$K$61:$K$70,MATCH($A6,'Portfolio Analysis'!$B$61:$B$70,0)),1)</f>
        <v>2</v>
      </c>
      <c r="R6" s="436" cm="1">
        <f t="array" ref="R6">INDEX(Input!$M$80:$M$89,$A6)</f>
        <v>6</v>
      </c>
      <c r="S6" s="10">
        <f>IFERROR(INDEX('Portfolio Analysis'!$H$76:$H$85,MATCH($A6,'Portfolio Analysis'!$B$76:$B$85,0)),$R6+ROUND('Portfolio Analysis'!$J$74,0))</f>
        <v>28</v>
      </c>
      <c r="T6" s="27">
        <f t="shared" ref="T6:T15" si="2">Q6+R6</f>
        <v>8</v>
      </c>
      <c r="U6" s="27">
        <f t="shared" ref="U6:U15" si="3">Q6+S6</f>
        <v>30</v>
      </c>
      <c r="V6" s="28">
        <f>S6/'_IRR Engine'!$Q$7</f>
        <v>2.3333333333333335</v>
      </c>
      <c r="W6" s="47" cm="1">
        <f t="array" ref="W6">P6/(1-INDEX(Input!$I$80:$I$89,A6))*(1+INDEX(Input!$G$80:$G$89,A6))^V6</f>
        <v>2019763.3569386934</v>
      </c>
      <c r="X6" s="47" cm="1">
        <f t="array" ref="X6">Y6*(1-Input!$C$20-INDEX(Input!$U$80:$U$89,A6)-Input!$C$31)-P6*(INDEX(Input!$C$80:$C$89,A6)+Input!$C$18+Input!$C$19)-(INDEX(Input!$D$80:$D$89,A6)+INDEX(Input!$E$80:$E$89,A6))*12*1000000/Input!$C$5-Input!$C$32*12</f>
        <v>18984.212988673149</v>
      </c>
      <c r="Y6" s="348">
        <f>_Seasonality!$O50</f>
        <v>59619.240000000005</v>
      </c>
      <c r="Z6" s="47" cm="1">
        <f t="array" ref="Z6">MIN(Input!$C$171*INDEX(Input!$J$80:$J$89,$A6),Input!$C$170)</f>
        <v>7560</v>
      </c>
      <c r="AA6" s="47">
        <f>W6*Input!$C$15</f>
        <v>76751.007563670355</v>
      </c>
      <c r="AB6" s="18">
        <f t="shared" ref="AB6:AB15" si="4">W6-AA6</f>
        <v>1943012.349375023</v>
      </c>
      <c r="AC6" s="18">
        <f t="shared" ref="AC6:AC15" si="5">AB6-P6</f>
        <v>774242.12283780612</v>
      </c>
      <c r="AD6" s="47">
        <f>MAX(0,AB6-AN6)*Input!$C$26</f>
        <v>102125.30239207931</v>
      </c>
      <c r="AE6" s="18">
        <f t="shared" ref="AE6:AE15" si="6">AC6-AD6</f>
        <v>672116.82044572686</v>
      </c>
      <c r="AF6" s="18">
        <f t="shared" ref="AF6:AF19" si="7">IF(N(J6)=0,"",P6/J6)</f>
        <v>222.04992267233953</v>
      </c>
      <c r="AG6" s="114" t="s">
        <v>291</v>
      </c>
      <c r="AH6" s="228">
        <f t="shared" ref="AH6:AH21" si="8">IF($W6=0,"",$AK6/$W6)</f>
        <v>1.0061719476496074E-2</v>
      </c>
      <c r="AI6" s="228">
        <f t="shared" ref="AI6:AI21" si="9">IF($P6=0,"",$AK6/$P6)</f>
        <v>1.7387756673639072E-2</v>
      </c>
      <c r="AJ6" s="228">
        <f t="shared" ref="AJ6:AJ21" si="10">IF($W6=0,"",$AL6/$W6)</f>
        <v>3.035919437262135E-2</v>
      </c>
      <c r="AK6" s="18" cm="1">
        <f t="array" ref="AK6">IF($U6=0,0,_xlfn.LET(_xlpm.mq,1,_xlpm.my,'_IRR Engine'!$Q$7,_xlpm.salem,($U6-1)*_xlpm.mq+1,_xlpm.accm,($Q6-1)*_xlpm.mq+1,_xlpm.rentm,($T6-1)*_xlpm.mq+1,_xlpm.mon,_xlfn.SEQUENCE(_xlpm.my,1,_xlpm.salem-_xlpm.my,1),_xlpm.qtr,ROUNDUP(_xlpm.mon/_xlpm.mq,0),_xlpm.yr,ROUNDUP(_xlpm.mon/_xlpm.my,0),_xlpm.owned,(_xlpm.mon&gt;=_xlpm.accm)*(_xlpm.mon&lt;_xlpm.salem),_xlpm.renting,(_xlpm.mon&gt;=_xlpm.rentm)*(_xlpm.mon&lt;_xlpm.salem),_xlpm.ratio,(_xlpm.qtr-$T6+1)/Input!$C$11,_xlpm.ramp,_xlpm.ratio-(_xlpm.ratio-1)*(_xlpm.ratio&gt;1),_xlpm.rentnet,$Y6*(1-Input!$C$20-Input!$C$21-Input!$C$31),_xlpm.ownFix,$P6*INDEX(Input!$C$80:$C$89,$A6)+(INDEX(Input!$D$80:$D$89,$A6)+INDEX(Input!$E$80:$E$89,$A6))*_xlpm.my*'_IRR Engine'!$Q$9/Input!$C$5,_xlpm.rentFix,$P6*(Input!$C$19+Input!$C$18)+Input!$C$32*_xlpm.my,SUM(_xlpm.renting*_xlpm.ramp*_xlpm.rentnet/_xlpm.my*(1+Input!$C$8)^(_xlpm.yr-1)-_xlpm.owned*_xlpm.ownFix/_xlpm.my-_xlpm.renting*_xlpm.rentFix/_xlpm.my)))</f>
        <v>20322.292306423144</v>
      </c>
      <c r="AL6" s="18" cm="1">
        <f t="array" ref="AL6">IF($U6=0,0,_xlfn.LET(_xlpm.mq,1,_xlpm.my,'_IRR Engine'!$Q$7,_xlpm.salem,($U6-1)*_xlpm.mq+1,_xlpm.rentm,($T6-1)*_xlpm.mq+1,_xlpm.mon,_xlfn.SEQUENCE(_xlpm.my,1,_xlpm.salem-_xlpm.my,1),_xlpm.qtr,ROUNDUP(_xlpm.mon/_xlpm.mq,0),_xlpm.yr,ROUNDUP(_xlpm.mon/_xlpm.my,0),_xlpm.renting,(_xlpm.mon&gt;=_xlpm.rentm)*(_xlpm.mon&lt;_xlpm.salem),_xlpm.ratio,(_xlpm.qtr-$T6+1)/Input!$C$11,_xlpm.ramp,_xlpm.ratio-(_xlpm.ratio-1)*(_xlpm.ratio&gt;1),SUM(_xlpm.renting*_xlpm.ramp*$Y6/_xlpm.my*(1+Input!$C$8)^(_xlpm.yr-1))))</f>
        <v>61318.38833999999</v>
      </c>
      <c r="AM6" s="228">
        <f t="shared" ref="AM6:AM21" si="11">IF($P6=0,"",$AL6/$P6)</f>
        <v>5.2464023250892972E-2</v>
      </c>
      <c r="AN6" s="47">
        <f>IF(N(P6)=0,0,P6*(1+Input!$C$28)^N(V6))</f>
        <v>1262177.0000944943</v>
      </c>
    </row>
    <row r="7" spans="1:40" ht="28.8" customHeight="1" x14ac:dyDescent="0.3">
      <c r="A7" s="9">
        <v>2</v>
      </c>
      <c r="B7" s="117">
        <v>1</v>
      </c>
      <c r="C7" s="173" t="s">
        <v>468</v>
      </c>
      <c r="D7" s="181">
        <f t="shared" si="0"/>
        <v>1</v>
      </c>
      <c r="E7" s="9" t="s">
        <v>44</v>
      </c>
      <c r="F7" s="9" t="s">
        <v>42</v>
      </c>
      <c r="G7" s="25" t="s">
        <v>264</v>
      </c>
      <c r="H7" s="9" t="s">
        <v>43</v>
      </c>
      <c r="I7" s="36">
        <v>389</v>
      </c>
      <c r="J7" s="26">
        <f>IF(N(I7)=0,"",I7*Input!$C$165)</f>
        <v>4187.1570999999994</v>
      </c>
      <c r="K7" s="32">
        <v>3150</v>
      </c>
      <c r="L7" s="32">
        <v>760</v>
      </c>
      <c r="M7" s="47">
        <f>K7*1000000/Input!$C$5</f>
        <v>1019417.4757281553</v>
      </c>
      <c r="N7" s="47">
        <f>L7*1000000/Input!$C$5</f>
        <v>245954.69255663431</v>
      </c>
      <c r="O7" s="47">
        <f>M7*Input!$C$14</f>
        <v>25485.436893203885</v>
      </c>
      <c r="P7" s="18">
        <f t="shared" si="1"/>
        <v>1290857.6051779937</v>
      </c>
      <c r="Q7" s="10">
        <f>IFERROR(INDEX('Portfolio Analysis'!$K$61:$K$70,MATCH($A7,'Portfolio Analysis'!$B$61:$B$70,0)),1)</f>
        <v>1</v>
      </c>
      <c r="R7" s="436" cm="1">
        <f t="array" ref="R7">INDEX(Input!$M$80:$M$89,$A7)</f>
        <v>6</v>
      </c>
      <c r="S7" s="10">
        <f>IFERROR(INDEX('Portfolio Analysis'!$H$76:$H$85,MATCH($A7,'Portfolio Analysis'!$B$76:$B$85,0)),$R7+ROUND('Portfolio Analysis'!$J$74,0))</f>
        <v>30</v>
      </c>
      <c r="T7" s="27">
        <f t="shared" si="2"/>
        <v>7</v>
      </c>
      <c r="U7" s="27">
        <f t="shared" si="3"/>
        <v>31</v>
      </c>
      <c r="V7" s="28">
        <f>S7/'_IRR Engine'!$Q$7</f>
        <v>2.5</v>
      </c>
      <c r="W7" s="47" cm="1">
        <f t="array" ref="W7">P7/(1-INDEX(Input!$I$80:$I$89,A7))*(1+INDEX(Input!$G$80:$G$89,A7))^V7</f>
        <v>2261281.5704204938</v>
      </c>
      <c r="X7" s="47" cm="1">
        <f t="array" ref="X7">Y7*(1-Input!$C$20-INDEX(Input!$U$80:$U$89,A7)-Input!$C$31)-P7*(INDEX(Input!$C$80:$C$89,A7)+Input!$C$18+Input!$C$19)-(INDEX(Input!$D$80:$D$89,A7)+INDEX(Input!$E$80:$E$89,A7))*12*1000000/Input!$C$5-Input!$C$32*12</f>
        <v>16957.635318770233</v>
      </c>
      <c r="Y7" s="348">
        <f>_Seasonality!$O51</f>
        <v>59619.240000000005</v>
      </c>
      <c r="Z7" s="47" cm="1">
        <f t="array" ref="Z7">MIN(Input!$C$171*INDEX(Input!$J$80:$J$89,$A7),Input!$C$170)</f>
        <v>7560</v>
      </c>
      <c r="AA7" s="47">
        <f>W7*Input!$C$15</f>
        <v>85928.699675978758</v>
      </c>
      <c r="AB7" s="18">
        <f t="shared" si="4"/>
        <v>2175352.8707445152</v>
      </c>
      <c r="AC7" s="18">
        <f t="shared" si="5"/>
        <v>884495.26556652156</v>
      </c>
      <c r="AD7" s="47">
        <f>MAX(0,AB7-AN7)*Input!$C$26</f>
        <v>116048.18872833584</v>
      </c>
      <c r="AE7" s="18">
        <f t="shared" si="6"/>
        <v>768447.07683818578</v>
      </c>
      <c r="AF7" s="18">
        <f t="shared" si="7"/>
        <v>308.2897475181893</v>
      </c>
      <c r="AG7" s="114" t="s">
        <v>291</v>
      </c>
      <c r="AH7" s="228">
        <f t="shared" si="8"/>
        <v>8.9824356982046091E-3</v>
      </c>
      <c r="AI7" s="228">
        <f t="shared" si="9"/>
        <v>1.5735133155168165E-2</v>
      </c>
      <c r="AJ7" s="228">
        <f t="shared" si="10"/>
        <v>2.7161474206230211E-2</v>
      </c>
      <c r="AK7" s="18" cm="1">
        <f t="array" ref="AK7">IF($U7=0,0,_xlfn.LET(_xlpm.mq,1,_xlpm.my,'_IRR Engine'!$Q$7,_xlpm.salem,($U7-1)*_xlpm.mq+1,_xlpm.accm,($Q7-1)*_xlpm.mq+1,_xlpm.rentm,($T7-1)*_xlpm.mq+1,_xlpm.mon,_xlfn.SEQUENCE(_xlpm.my,1,_xlpm.salem-_xlpm.my,1),_xlpm.qtr,ROUNDUP(_xlpm.mon/_xlpm.mq,0),_xlpm.yr,ROUNDUP(_xlpm.mon/_xlpm.my,0),_xlpm.owned,(_xlpm.mon&gt;=_xlpm.accm)*(_xlpm.mon&lt;_xlpm.salem),_xlpm.renting,(_xlpm.mon&gt;=_xlpm.rentm)*(_xlpm.mon&lt;_xlpm.salem),_xlpm.ratio,(_xlpm.qtr-$T7+1)/Input!$C$11,_xlpm.ramp,_xlpm.ratio-(_xlpm.ratio-1)*(_xlpm.ratio&gt;1),_xlpm.rentnet,$Y7*(1-Input!$C$20-Input!$C$21-Input!$C$31),_xlpm.ownFix,$P7*INDEX(Input!$C$80:$C$89,$A7)+(INDEX(Input!$D$80:$D$89,$A7)+INDEX(Input!$E$80:$E$89,$A7))*_xlpm.my*'_IRR Engine'!$Q$9/Input!$C$5,_xlpm.rentFix,$P7*Input!$C$19+Input!$C$32*_xlpm.my,SUM(_xlpm.renting*_xlpm.ramp*_xlpm.rentnet/_xlpm.my*(1+Input!$C$8)^(_xlpm.yr-1)-_xlpm.owned*_xlpm.ownFix/_xlpm.my-_xlpm.renting*_xlpm.rentFix/_xlpm.my)))</f>
        <v>20311.816301837225</v>
      </c>
      <c r="AL7" s="18" cm="1">
        <f t="array" ref="AL7">IF($U7=0,0,_xlfn.LET(_xlpm.mq,1,_xlpm.my,'_IRR Engine'!$Q$7,_xlpm.salem,($U7-1)*_xlpm.mq+1,_xlpm.rentm,($T7-1)*_xlpm.mq+1,_xlpm.mon,_xlfn.SEQUENCE(_xlpm.my,1,_xlpm.salem-_xlpm.my,1),_xlpm.qtr,ROUNDUP(_xlpm.mon/_xlpm.mq,0),_xlpm.yr,ROUNDUP(_xlpm.mon/_xlpm.my,0),_xlpm.renting,(_xlpm.mon&gt;=_xlpm.rentm)*(_xlpm.mon&lt;_xlpm.salem),_xlpm.ratio,(_xlpm.qtr-$T7+1)/Input!$C$11,_xlpm.ramp,_xlpm.ratio-(_xlpm.ratio-1)*(_xlpm.ratio&gt;1),SUM(_xlpm.renting*_xlpm.ramp*$Y7/_xlpm.my*(1+Input!$C$8)^(_xlpm.yr-1))))</f>
        <v>61419.741047999989</v>
      </c>
      <c r="AM7" s="228">
        <f t="shared" si="11"/>
        <v>4.7580570313586951E-2</v>
      </c>
      <c r="AN7" s="47">
        <f>IF(N(P7)=0,0,P7*(1+Input!$C$28)^N(V7))</f>
        <v>1401698.2792222763</v>
      </c>
    </row>
    <row r="8" spans="1:40" ht="28.8" customHeight="1" x14ac:dyDescent="0.3">
      <c r="A8" s="9">
        <v>3</v>
      </c>
      <c r="B8" s="117">
        <v>1</v>
      </c>
      <c r="C8" s="174" t="s">
        <v>469</v>
      </c>
      <c r="D8" s="181">
        <f t="shared" si="0"/>
        <v>1</v>
      </c>
      <c r="E8" s="9" t="s">
        <v>45</v>
      </c>
      <c r="F8" s="9" t="s">
        <v>42</v>
      </c>
      <c r="G8" s="25" t="s">
        <v>265</v>
      </c>
      <c r="H8" s="9" t="s">
        <v>46</v>
      </c>
      <c r="I8" s="36">
        <v>325</v>
      </c>
      <c r="J8" s="26">
        <f>IF(N(I8)=0,"",I8*Input!$C$165)</f>
        <v>3498.2674999999999</v>
      </c>
      <c r="K8" s="32">
        <v>1375</v>
      </c>
      <c r="L8" s="32">
        <v>900</v>
      </c>
      <c r="M8" s="47">
        <f>K8*1000000/Input!$C$5</f>
        <v>444983.81877022656</v>
      </c>
      <c r="N8" s="47">
        <f>L8*1000000/Input!$C$5</f>
        <v>291262.13592233008</v>
      </c>
      <c r="O8" s="47">
        <f>M8*Input!$C$14</f>
        <v>11124.595469255664</v>
      </c>
      <c r="P8" s="18">
        <f t="shared" si="1"/>
        <v>747370.55016181234</v>
      </c>
      <c r="Q8" s="10">
        <f>IFERROR(INDEX('Portfolio Analysis'!$K$61:$K$70,MATCH($A8,'Portfolio Analysis'!$B$61:$B$70,0)),1)</f>
        <v>3</v>
      </c>
      <c r="R8" s="436" cm="1">
        <f t="array" ref="R8">INDEX(Input!$M$80:$M$89,$A8)</f>
        <v>6</v>
      </c>
      <c r="S8" s="10">
        <f>IFERROR(INDEX('Portfolio Analysis'!$H$76:$H$85,MATCH($A8,'Portfolio Analysis'!$B$76:$B$85,0)),$R8+ROUND('Portfolio Analysis'!$J$74,0))</f>
        <v>25</v>
      </c>
      <c r="T8" s="27">
        <f t="shared" si="2"/>
        <v>9</v>
      </c>
      <c r="U8" s="27">
        <f t="shared" si="3"/>
        <v>28</v>
      </c>
      <c r="V8" s="28">
        <f>S8/'_IRR Engine'!$Q$7</f>
        <v>2.0833333333333335</v>
      </c>
      <c r="W8" s="47" cm="1">
        <f t="array" ref="W8">P8/(1-INDEX(Input!$I$80:$I$89,A8))*(1+INDEX(Input!$G$80:$G$89,A8))^V8</f>
        <v>1265464.2924150538</v>
      </c>
      <c r="X8" s="47" cm="1">
        <f t="array" ref="X8">Y8*(1-Input!$C$20-INDEX(Input!$U$80:$U$89,A8)-Input!$C$31)-P8*(INDEX(Input!$C$80:$C$89,A8)+Input!$C$18+Input!$C$19)-(INDEX(Input!$D$80:$D$89,A8)+INDEX(Input!$E$80:$E$89,A8))*12*1000000/Input!$C$5-Input!$C$32*12</f>
        <v>24391.152953074437</v>
      </c>
      <c r="Y8" s="348">
        <f>_Seasonality!$O52</f>
        <v>55203</v>
      </c>
      <c r="Z8" s="47" cm="1">
        <f t="array" ref="Z8">MIN(Input!$C$171*INDEX(Input!$J$80:$J$89,$A8),Input!$C$170)</f>
        <v>7000</v>
      </c>
      <c r="AA8" s="47">
        <f>W8*Input!$C$15</f>
        <v>48087.643111772042</v>
      </c>
      <c r="AB8" s="18">
        <f t="shared" si="4"/>
        <v>1217376.6493032817</v>
      </c>
      <c r="AC8" s="18">
        <f t="shared" si="5"/>
        <v>470006.09914146934</v>
      </c>
      <c r="AD8" s="47">
        <f>MAX(0,AB8-AN8)*Input!$C$26</f>
        <v>62534.774668072474</v>
      </c>
      <c r="AE8" s="18">
        <f t="shared" si="6"/>
        <v>407471.32447339687</v>
      </c>
      <c r="AF8" s="18">
        <f t="shared" si="7"/>
        <v>213.64019479980087</v>
      </c>
      <c r="AG8" s="114" t="s">
        <v>291</v>
      </c>
      <c r="AH8" s="228">
        <f t="shared" si="8"/>
        <v>2.1022612203696719E-2</v>
      </c>
      <c r="AI8" s="228">
        <f t="shared" si="9"/>
        <v>3.559595045765087E-2</v>
      </c>
      <c r="AJ8" s="228">
        <f t="shared" si="10"/>
        <v>4.471765472892518E-2</v>
      </c>
      <c r="AK8" s="18" cm="1">
        <f t="array" ref="AK8">IF($U8=0,0,_xlfn.LET(_xlpm.mq,1,_xlpm.my,'_IRR Engine'!$Q$7,_xlpm.salem,($U8-1)*_xlpm.mq+1,_xlpm.accm,($Q8-1)*_xlpm.mq+1,_xlpm.rentm,($T8-1)*_xlpm.mq+1,_xlpm.mon,_xlfn.SEQUENCE(_xlpm.my,1,_xlpm.salem-_xlpm.my,1),_xlpm.qtr,ROUNDUP(_xlpm.mon/_xlpm.mq,0),_xlpm.yr,ROUNDUP(_xlpm.mon/_xlpm.my,0),_xlpm.owned,(_xlpm.mon&gt;=_xlpm.accm)*(_xlpm.mon&lt;_xlpm.salem),_xlpm.renting,(_xlpm.mon&gt;=_xlpm.rentm)*(_xlpm.mon&lt;_xlpm.salem),_xlpm.ratio,(_xlpm.qtr-$T8+1)/Input!$C$11,_xlpm.ramp,_xlpm.ratio-(_xlpm.ratio-1)*(_xlpm.ratio&gt;1),_xlpm.rentnet,$Y8*(1-Input!$C$20-Input!$C$21-Input!$C$31),_xlpm.ownFix,$P8*INDEX(Input!$C$80:$C$89,$A8)+(INDEX(Input!$D$80:$D$89,$A8)+INDEX(Input!$E$80:$E$89,$A8))*_xlpm.my*'_IRR Engine'!$Q$9/Input!$C$5,_xlpm.rentFix,$P8*Input!$C$19+Input!$C$32*_xlpm.my,SUM(_xlpm.renting*_xlpm.ramp*_xlpm.rentnet/_xlpm.my*(1+Input!$C$8)^(_xlpm.yr-1)-_xlpm.owned*_xlpm.ownFix/_xlpm.my-_xlpm.renting*_xlpm.rentFix/_xlpm.my)))</f>
        <v>26603.365077067145</v>
      </c>
      <c r="AL8" s="18" cm="1">
        <f t="array" ref="AL8">IF($U8=0,0,_xlfn.LET(_xlpm.mq,1,_xlpm.my,'_IRR Engine'!$Q$7,_xlpm.salem,($U8-1)*_xlpm.mq+1,_xlpm.rentm,($T8-1)*_xlpm.mq+1,_xlpm.mon,_xlfn.SEQUENCE(_xlpm.my,1,_xlpm.salem-_xlpm.my,1),_xlpm.qtr,ROUNDUP(_xlpm.mon/_xlpm.mq,0),_xlpm.yr,ROUNDUP(_xlpm.mon/_xlpm.my,0),_xlpm.renting,(_xlpm.mon&gt;=_xlpm.rentm)*(_xlpm.mon&lt;_xlpm.salem),_xlpm.ratio,(_xlpm.qtr-$T8+1)/Input!$C$11,_xlpm.ramp,_xlpm.ratio-(_xlpm.ratio-1)*(_xlpm.ratio&gt;1),SUM(_xlpm.renting*_xlpm.ramp*$Y8/_xlpm.my*(1+Input!$C$8)^(_xlpm.yr-1))))</f>
        <v>56588.595299999986</v>
      </c>
      <c r="AM8" s="228">
        <f t="shared" si="11"/>
        <v>7.5716918853369397E-2</v>
      </c>
      <c r="AN8" s="47">
        <f>IF(N(P8)=0,0,P8*(1+Input!$C$28)^N(V8))</f>
        <v>800478.15151613182</v>
      </c>
    </row>
    <row r="9" spans="1:40" ht="28.8" customHeight="1" x14ac:dyDescent="0.3">
      <c r="A9" s="9">
        <v>4</v>
      </c>
      <c r="B9" s="117">
        <v>1</v>
      </c>
      <c r="C9" s="174" t="s">
        <v>469</v>
      </c>
      <c r="D9" s="181">
        <f t="shared" si="0"/>
        <v>1</v>
      </c>
      <c r="E9" s="9" t="s">
        <v>47</v>
      </c>
      <c r="F9" s="9" t="s">
        <v>48</v>
      </c>
      <c r="G9" s="25" t="s">
        <v>266</v>
      </c>
      <c r="H9" s="9" t="s">
        <v>49</v>
      </c>
      <c r="I9" s="36">
        <v>591</v>
      </c>
      <c r="J9" s="26">
        <f>IF(N(I9)=0,"",I9*Input!$C$165)</f>
        <v>6361.4648999999999</v>
      </c>
      <c r="K9" s="32">
        <v>3510</v>
      </c>
      <c r="L9" s="32">
        <v>1700</v>
      </c>
      <c r="M9" s="47">
        <f>K9*1000000/Input!$C$5</f>
        <v>1135922.3300970874</v>
      </c>
      <c r="N9" s="47">
        <f>L9*1000000/Input!$C$5</f>
        <v>550161.81229773466</v>
      </c>
      <c r="O9" s="47">
        <f>M9*Input!$C$14</f>
        <v>28398.058252427189</v>
      </c>
      <c r="P9" s="18">
        <f t="shared" si="1"/>
        <v>1714482.2006472494</v>
      </c>
      <c r="Q9" s="10">
        <f>IFERROR(INDEX('Portfolio Analysis'!$K$61:$K$70,MATCH($A9,'Portfolio Analysis'!$B$61:$B$70,0)),1)</f>
        <v>8</v>
      </c>
      <c r="R9" s="436" cm="1">
        <f t="array" ref="R9">INDEX(Input!$M$80:$M$89,$A9)</f>
        <v>6</v>
      </c>
      <c r="S9" s="10">
        <f>IFERROR(INDEX('Portfolio Analysis'!$H$76:$H$85,MATCH($A9,'Portfolio Analysis'!$B$76:$B$85,0)),$R9+ROUND('Portfolio Analysis'!$J$74,0))</f>
        <v>35</v>
      </c>
      <c r="T9" s="27">
        <f t="shared" si="2"/>
        <v>14</v>
      </c>
      <c r="U9" s="27">
        <f t="shared" si="3"/>
        <v>43</v>
      </c>
      <c r="V9" s="28">
        <f>S9/'_IRR Engine'!$Q$7</f>
        <v>2.9166666666666665</v>
      </c>
      <c r="W9" s="47" cm="1">
        <f t="array" ref="W9">P9/(1-INDEX(Input!$I$80:$I$89,A9))*(1+INDEX(Input!$G$80:$G$89,A9))^V9</f>
        <v>2995795.1883356264</v>
      </c>
      <c r="X9" s="47" cm="1">
        <f t="array" ref="X9">Y9*(1-Input!$C$20-INDEX(Input!$U$80:$U$89,A9)-Input!$C$31)-P9*(INDEX(Input!$C$80:$C$89,A9)+Input!$C$18+Input!$C$19)-(INDEX(Input!$D$80:$D$89,A9)+INDEX(Input!$E$80:$E$89,A9))*12*1000000/Input!$C$5-Input!$C$32*12</f>
        <v>24486.81573438512</v>
      </c>
      <c r="Y9" s="348">
        <f>_Seasonality!$O53</f>
        <v>72891.20485714286</v>
      </c>
      <c r="Z9" s="47" cm="1">
        <f t="array" ref="Z9">MIN(Input!$C$171*INDEX(Input!$J$80:$J$89,$A9),Input!$C$170)</f>
        <v>9500</v>
      </c>
      <c r="AA9" s="47">
        <f>W9*Input!$C$15</f>
        <v>113840.2171567538</v>
      </c>
      <c r="AB9" s="18">
        <f t="shared" si="4"/>
        <v>2881954.9711788725</v>
      </c>
      <c r="AC9" s="18">
        <f t="shared" si="5"/>
        <v>1167472.7705316232</v>
      </c>
      <c r="AD9" s="47">
        <f>MAX(0,AB9-AN9)*Input!$C$26</f>
        <v>149178.07433916861</v>
      </c>
      <c r="AE9" s="18">
        <f t="shared" si="6"/>
        <v>1018294.6961924545</v>
      </c>
      <c r="AF9" s="18">
        <f t="shared" si="7"/>
        <v>269.51059663117047</v>
      </c>
      <c r="AG9" s="114" t="s">
        <v>292</v>
      </c>
      <c r="AH9" s="228">
        <f t="shared" si="8"/>
        <v>1.0005617676959542E-2</v>
      </c>
      <c r="AI9" s="228">
        <f t="shared" si="9"/>
        <v>1.7483285205087132E-2</v>
      </c>
      <c r="AJ9" s="228">
        <f t="shared" si="10"/>
        <v>2.5567291758439158E-2</v>
      </c>
      <c r="AK9" s="18" cm="1">
        <f t="array" ref="AK9">IF($U9=0,0,_xlfn.LET(_xlpm.mq,1,_xlpm.my,'_IRR Engine'!$Q$7,_xlpm.salem,($U9-1)*_xlpm.mq+1,_xlpm.accm,($Q9-1)*_xlpm.mq+1,_xlpm.rentm,($T9-1)*_xlpm.mq+1,_xlpm.mon,_xlfn.SEQUENCE(_xlpm.my,1,_xlpm.salem-_xlpm.my,1),_xlpm.qtr,ROUNDUP(_xlpm.mon/_xlpm.mq,0),_xlpm.yr,ROUNDUP(_xlpm.mon/_xlpm.my,0),_xlpm.owned,(_xlpm.mon&gt;=_xlpm.accm)*(_xlpm.mon&lt;_xlpm.salem),_xlpm.renting,(_xlpm.mon&gt;=_xlpm.rentm)*(_xlpm.mon&lt;_xlpm.salem),_xlpm.ratio,(_xlpm.qtr-$T9+1)/Input!$C$11,_xlpm.ramp,_xlpm.ratio-(_xlpm.ratio-1)*(_xlpm.ratio&gt;1),_xlpm.rentnet,$Y9*(1-Input!$C$20-Input!$C$21-Input!$C$31),_xlpm.ownFix,$P9*INDEX(Input!$C$80:$C$89,$A9)+(INDEX(Input!$D$80:$D$89,$A9)+INDEX(Input!$E$80:$E$89,$A9))*_xlpm.my*'_IRR Engine'!$Q$9/Input!$C$5,_xlpm.rentFix,$P9*Input!$C$19+Input!$C$32*_xlpm.my,SUM(_xlpm.renting*_xlpm.ramp*_xlpm.rentnet/_xlpm.my*(1+Input!$C$8)^(_xlpm.yr-1)-_xlpm.owned*_xlpm.ownFix/_xlpm.my-_xlpm.renting*_xlpm.rentFix/_xlpm.my)))</f>
        <v>29974.781292961281</v>
      </c>
      <c r="AL9" s="18" cm="1">
        <f t="array" ref="AL9">IF($U9=0,0,_xlfn.LET(_xlpm.mq,1,_xlpm.my,'_IRR Engine'!$Q$7,_xlpm.salem,($U9-1)*_xlpm.mq+1,_xlpm.rentm,($T9-1)*_xlpm.mq+1,_xlpm.mon,_xlfn.SEQUENCE(_xlpm.my,1,_xlpm.salem-_xlpm.my,1),_xlpm.qtr,ROUNDUP(_xlpm.mon/_xlpm.mq,0),_xlpm.yr,ROUNDUP(_xlpm.mon/_xlpm.my,0),_xlpm.renting,(_xlpm.mon&gt;=_xlpm.rentm)*(_xlpm.mon&lt;_xlpm.salem),_xlpm.ratio,(_xlpm.qtr-$T9+1)/Input!$C$11,_xlpm.ramp,_xlpm.ratio-(_xlpm.ratio-1)*(_xlpm.ratio&gt;1),SUM(_xlpm.renting*_xlpm.ramp*$Y9/_xlpm.my*(1+Input!$C$8)^(_xlpm.yr-1))))</f>
        <v>76594.369628705143</v>
      </c>
      <c r="AM9" s="228">
        <f t="shared" si="11"/>
        <v>4.4674928441828868E-2</v>
      </c>
      <c r="AN9" s="47">
        <f>IF(N(P9)=0,0,P9*(1+Input!$C$28)^N(V9))</f>
        <v>1887434.475584415</v>
      </c>
    </row>
    <row r="10" spans="1:40" ht="43.2" customHeight="1" x14ac:dyDescent="0.3">
      <c r="A10" s="9">
        <v>5</v>
      </c>
      <c r="B10" s="117">
        <v>1</v>
      </c>
      <c r="C10" s="174" t="s">
        <v>469</v>
      </c>
      <c r="D10" s="181">
        <f t="shared" si="0"/>
        <v>1</v>
      </c>
      <c r="E10" s="9" t="s">
        <v>50</v>
      </c>
      <c r="F10" s="9" t="s">
        <v>48</v>
      </c>
      <c r="G10" s="25" t="s">
        <v>267</v>
      </c>
      <c r="H10" s="9" t="s">
        <v>51</v>
      </c>
      <c r="I10" s="36">
        <v>420</v>
      </c>
      <c r="J10" s="26">
        <f>IF(N(I10)=0,"",I10*Input!$C$165)</f>
        <v>4520.8379999999997</v>
      </c>
      <c r="K10" s="32">
        <v>4000</v>
      </c>
      <c r="L10" s="32">
        <v>1000</v>
      </c>
      <c r="M10" s="47">
        <f>K10*1000000/Input!$C$5</f>
        <v>1294498.3818770226</v>
      </c>
      <c r="N10" s="47">
        <f>L10*1000000/Input!$C$5</f>
        <v>323624.59546925564</v>
      </c>
      <c r="O10" s="47">
        <f>M10*Input!$C$14</f>
        <v>32362.459546925566</v>
      </c>
      <c r="P10" s="18">
        <f t="shared" si="1"/>
        <v>1650485.4368932038</v>
      </c>
      <c r="Q10" s="10">
        <f>IFERROR(INDEX('Portfolio Analysis'!$K$61:$K$70,MATCH($A10,'Portfolio Analysis'!$B$61:$B$70,0)),1)</f>
        <v>5</v>
      </c>
      <c r="R10" s="436" cm="1">
        <f t="array" ref="R10">INDEX(Input!$M$80:$M$89,$A10)</f>
        <v>6</v>
      </c>
      <c r="S10" s="10">
        <f>IFERROR(INDEX('Portfolio Analysis'!$H$76:$H$85,MATCH($A10,'Portfolio Analysis'!$B$76:$B$85,0)),$R10+ROUND('Portfolio Analysis'!$J$74,0))</f>
        <v>32</v>
      </c>
      <c r="T10" s="27">
        <f t="shared" si="2"/>
        <v>11</v>
      </c>
      <c r="U10" s="27">
        <f t="shared" si="3"/>
        <v>37</v>
      </c>
      <c r="V10" s="28">
        <f>S10/'_IRR Engine'!$Q$7</f>
        <v>2.6666666666666665</v>
      </c>
      <c r="W10" s="47" cm="1">
        <f t="array" ref="W10">P10/(1-INDEX(Input!$I$80:$I$89,A10))*(1+INDEX(Input!$G$80:$G$89,A10))^V10</f>
        <v>2834606.5805107774</v>
      </c>
      <c r="X10" s="47" cm="1">
        <f t="array" ref="X10">Y10*(1-Input!$C$20-INDEX(Input!$U$80:$U$89,A10)-Input!$C$31)-P10*(INDEX(Input!$C$80:$C$89,A10)+Input!$C$18+Input!$C$19)-(INDEX(Input!$D$80:$D$89,A10)+INDEX(Input!$E$80:$E$89,A10))*12*1000000/Input!$C$5-Input!$C$32*12</f>
        <v>12799.626459344663</v>
      </c>
      <c r="Y10" s="348">
        <f>_Seasonality!$O54</f>
        <v>59958.224999999999</v>
      </c>
      <c r="Z10" s="47" cm="1">
        <f t="array" ref="Z10">MIN(Input!$C$171*INDEX(Input!$J$80:$J$89,$A10),Input!$C$170)</f>
        <v>7560</v>
      </c>
      <c r="AA10" s="47">
        <f>W10*Input!$C$15</f>
        <v>107715.05005940954</v>
      </c>
      <c r="AB10" s="18">
        <f t="shared" si="4"/>
        <v>2726891.5304513681</v>
      </c>
      <c r="AC10" s="18">
        <f t="shared" si="5"/>
        <v>1076406.0935581643</v>
      </c>
      <c r="AD10" s="47">
        <f>MAX(0,AB10-AN10)*Input!$C$26</f>
        <v>138722.4064616588</v>
      </c>
      <c r="AE10" s="18">
        <f t="shared" si="6"/>
        <v>937683.68709650554</v>
      </c>
      <c r="AF10" s="18">
        <f t="shared" si="7"/>
        <v>365.08395941044643</v>
      </c>
      <c r="AG10" s="114" t="s">
        <v>293</v>
      </c>
      <c r="AH10" s="228">
        <f t="shared" si="8"/>
        <v>6.061837879443299E-3</v>
      </c>
      <c r="AI10" s="228">
        <f t="shared" si="9"/>
        <v>1.0410831358441916E-2</v>
      </c>
      <c r="AJ10" s="228">
        <f t="shared" si="10"/>
        <v>2.2006770787485943E-2</v>
      </c>
      <c r="AK10" s="18" cm="1">
        <f t="array" ref="AK10">IF($U10=0,0,_xlfn.LET(_xlpm.mq,1,_xlpm.my,'_IRR Engine'!$Q$7,_xlpm.salem,($U10-1)*_xlpm.mq+1,_xlpm.accm,($Q10-1)*_xlpm.mq+1,_xlpm.rentm,($T10-1)*_xlpm.mq+1,_xlpm.mon,_xlfn.SEQUENCE(_xlpm.my,1,_xlpm.salem-_xlpm.my,1),_xlpm.qtr,ROUNDUP(_xlpm.mon/_xlpm.mq,0),_xlpm.yr,ROUNDUP(_xlpm.mon/_xlpm.my,0),_xlpm.owned,(_xlpm.mon&gt;=_xlpm.accm)*(_xlpm.mon&lt;_xlpm.salem),_xlpm.renting,(_xlpm.mon&gt;=_xlpm.rentm)*(_xlpm.mon&lt;_xlpm.salem),_xlpm.ratio,(_xlpm.qtr-$T10+1)/Input!$C$11,_xlpm.ramp,_xlpm.ratio-(_xlpm.ratio-1)*(_xlpm.ratio&gt;1),_xlpm.rentnet,$Y10*(1-Input!$C$20-Input!$C$21-Input!$C$31),_xlpm.ownFix,$P10*INDEX(Input!$C$80:$C$89,$A10)+(INDEX(Input!$D$80:$D$89,$A10)+INDEX(Input!$E$80:$E$89,$A10))*_xlpm.my*'_IRR Engine'!$Q$9/Input!$C$5,_xlpm.rentFix,$P10*Input!$C$19+Input!$C$32*_xlpm.my,SUM(_xlpm.renting*_xlpm.ramp*_xlpm.rentnet/_xlpm.my*(1+Input!$C$8)^(_xlpm.yr-1)-_xlpm.owned*_xlpm.ownFix/_xlpm.my-_xlpm.renting*_xlpm.rentFix/_xlpm.my)))</f>
        <v>17182.925543059471</v>
      </c>
      <c r="AL10" s="18" cm="1">
        <f t="array" ref="AL10">IF($U10=0,0,_xlfn.LET(_xlpm.mq,1,_xlpm.my,'_IRR Engine'!$Q$7,_xlpm.salem,($U10-1)*_xlpm.mq+1,_xlpm.rentm,($T10-1)*_xlpm.mq+1,_xlpm.mon,_xlfn.SEQUENCE(_xlpm.my,1,_xlpm.salem-_xlpm.my,1),_xlpm.qtr,ROUNDUP(_xlpm.mon/_xlpm.mq,0),_xlpm.yr,ROUNDUP(_xlpm.mon/_xlpm.my,0),_xlpm.renting,(_xlpm.mon&gt;=_xlpm.rentm)*(_xlpm.mon&lt;_xlpm.salem),_xlpm.ratio,(_xlpm.qtr-$T10+1)/Input!$C$11,_xlpm.ramp,_xlpm.ratio-(_xlpm.ratio-1)*(_xlpm.ratio&gt;1),SUM(_xlpm.renting*_xlpm.ramp*$Y10/_xlpm.my*(1+Input!$C$8)^(_xlpm.yr-1))))</f>
        <v>62380.53729</v>
      </c>
      <c r="AM10" s="228">
        <f t="shared" si="11"/>
        <v>3.7795266711000003E-2</v>
      </c>
      <c r="AN10" s="47">
        <f>IF(N(P10)=0,0,P10*(1+Input!$C$28)^N(V10))</f>
        <v>1802075.4873736426</v>
      </c>
    </row>
    <row r="11" spans="1:40" ht="43.2" customHeight="1" x14ac:dyDescent="0.3">
      <c r="A11" s="9">
        <v>6</v>
      </c>
      <c r="B11" s="117">
        <v>0</v>
      </c>
      <c r="C11" s="175"/>
      <c r="D11" s="181">
        <f t="shared" si="0"/>
        <v>0</v>
      </c>
      <c r="E11" s="9"/>
      <c r="F11" s="9"/>
      <c r="G11" s="29"/>
      <c r="H11" s="9"/>
      <c r="I11" s="36"/>
      <c r="J11" s="26" t="str">
        <f>IF(N(I11)=0,"",I11*Input!$C$165)</f>
        <v/>
      </c>
      <c r="K11" s="32"/>
      <c r="L11" s="32"/>
      <c r="M11" s="47">
        <f>K11*1000000/Input!$C$5</f>
        <v>0</v>
      </c>
      <c r="N11" s="47">
        <f>L11*1000000/Input!$C$5</f>
        <v>0</v>
      </c>
      <c r="O11" s="47">
        <f>M11*Input!$C$14</f>
        <v>0</v>
      </c>
      <c r="P11" s="18">
        <f t="shared" si="1"/>
        <v>0</v>
      </c>
      <c r="Q11" s="10">
        <f>IFERROR(INDEX('Portfolio Analysis'!$K$61:$K$70,MATCH($A11,'Portfolio Analysis'!$B$61:$B$70,0)),1)</f>
        <v>1</v>
      </c>
      <c r="R11" s="436" cm="1">
        <f t="array" ref="R11">INDEX(Input!$M$80:$M$89,$A11)</f>
        <v>0</v>
      </c>
      <c r="S11" s="10">
        <f>IFERROR(INDEX('Portfolio Analysis'!$H$76:$H$85,MATCH($A11,'Portfolio Analysis'!$B$76:$B$85,0)),$R11+ROUND('Portfolio Analysis'!$J$74,0))</f>
        <v>24</v>
      </c>
      <c r="T11" s="27">
        <f t="shared" si="2"/>
        <v>1</v>
      </c>
      <c r="U11" s="27">
        <f t="shared" si="3"/>
        <v>25</v>
      </c>
      <c r="V11" s="28">
        <f>S11/'_IRR Engine'!$Q$7</f>
        <v>2</v>
      </c>
      <c r="W11" s="47" cm="1">
        <f t="array" ref="W11">P11/(1-INDEX(Input!$I$80:$I$89,A11))*(1+INDEX(Input!$G$80:$G$89,A11))^V11</f>
        <v>0</v>
      </c>
      <c r="X11" s="47" cm="1">
        <f t="array" ref="X11">Y11*(1-Input!$C$20-INDEX(Input!$U$80:$U$89,A11)-Input!$C$31)-P11*(INDEX(Input!$C$80:$C$89,A11)+Input!$C$18+Input!$C$19)-(INDEX(Input!$D$80:$D$89,A11)+INDEX(Input!$E$80:$E$89,A11))*12*1000000/Input!$C$5-Input!$C$32*12</f>
        <v>0</v>
      </c>
      <c r="Y11" s="348">
        <f>_Seasonality!$O55</f>
        <v>0</v>
      </c>
      <c r="Z11" s="47" cm="1">
        <f t="array" ref="Z11">MIN(Input!$C$171*INDEX(Input!$J$80:$J$89,$A11),Input!$C$170)</f>
        <v>0</v>
      </c>
      <c r="AA11" s="47">
        <f>W11*Input!$C$15</f>
        <v>0</v>
      </c>
      <c r="AB11" s="18">
        <f t="shared" si="4"/>
        <v>0</v>
      </c>
      <c r="AC11" s="18">
        <f t="shared" si="5"/>
        <v>0</v>
      </c>
      <c r="AD11" s="47">
        <f>MAX(0,AB11-AN11)*Input!$C$26</f>
        <v>0</v>
      </c>
      <c r="AE11" s="18">
        <f t="shared" si="6"/>
        <v>0</v>
      </c>
      <c r="AF11" s="18" t="str">
        <f t="shared" si="7"/>
        <v/>
      </c>
      <c r="AG11" s="9"/>
      <c r="AH11" s="228" t="str">
        <f t="shared" si="8"/>
        <v/>
      </c>
      <c r="AI11" s="228" t="str">
        <f t="shared" si="9"/>
        <v/>
      </c>
      <c r="AJ11" s="228" t="str">
        <f t="shared" si="10"/>
        <v/>
      </c>
      <c r="AK11" s="18" cm="1">
        <f t="array" ref="AK11">IF($U11=0,0,_xlfn.LET(_xlpm.mq,1,_xlpm.my,'_IRR Engine'!$Q$7,_xlpm.salem,($U11-1)*_xlpm.mq+1,_xlpm.accm,($Q11-1)*_xlpm.mq+1,_xlpm.rentm,($T11-1)*_xlpm.mq+1,_xlpm.mon,_xlfn.SEQUENCE(_xlpm.my,1,_xlpm.salem-_xlpm.my,1),_xlpm.qtr,ROUNDUP(_xlpm.mon/_xlpm.mq,0),_xlpm.yr,ROUNDUP(_xlpm.mon/_xlpm.my,0),_xlpm.owned,(_xlpm.mon&gt;=_xlpm.accm)*(_xlpm.mon&lt;_xlpm.salem),_xlpm.renting,(_xlpm.mon&gt;=_xlpm.rentm)*(_xlpm.mon&lt;_xlpm.salem),_xlpm.ratio,(_xlpm.qtr-$T11+1)/Input!$C$11,_xlpm.ramp,_xlpm.ratio-(_xlpm.ratio-1)*(_xlpm.ratio&gt;1),_xlpm.rentnet,$Y11*(1-Input!$C$20-Input!$C$21-Input!$C$31),_xlpm.ownFix,$P11*INDEX(Input!$C$80:$C$89,$A11)+(INDEX(Input!$D$80:$D$89,$A11)+INDEX(Input!$E$80:$E$89,$A11))*_xlpm.my*'_IRR Engine'!$Q$9/Input!$C$5,_xlpm.rentFix,$P11*Input!$C$19+Input!$C$32*_xlpm.my,SUM(_xlpm.renting*_xlpm.ramp*_xlpm.rentnet/_xlpm.my*(1+Input!$C$8)^(_xlpm.yr-1)-_xlpm.owned*_xlpm.ownFix/_xlpm.my-_xlpm.renting*_xlpm.rentFix/_xlpm.my)))</f>
        <v>0</v>
      </c>
      <c r="AL11" s="18" cm="1">
        <f t="array" ref="AL11">IF($U11=0,0,_xlfn.LET(_xlpm.mq,1,_xlpm.my,'_IRR Engine'!$Q$7,_xlpm.salem,($U11-1)*_xlpm.mq+1,_xlpm.rentm,($T11-1)*_xlpm.mq+1,_xlpm.mon,_xlfn.SEQUENCE(_xlpm.my,1,_xlpm.salem-_xlpm.my,1),_xlpm.qtr,ROUNDUP(_xlpm.mon/_xlpm.mq,0),_xlpm.yr,ROUNDUP(_xlpm.mon/_xlpm.my,0),_xlpm.renting,(_xlpm.mon&gt;=_xlpm.rentm)*(_xlpm.mon&lt;_xlpm.salem),_xlpm.ratio,(_xlpm.qtr-$T11+1)/Input!$C$11,_xlpm.ramp,_xlpm.ratio-(_xlpm.ratio-1)*(_xlpm.ratio&gt;1),SUM(_xlpm.renting*_xlpm.ramp*$Y11/_xlpm.my*(1+Input!$C$8)^(_xlpm.yr-1))))</f>
        <v>0</v>
      </c>
      <c r="AM11" s="228" t="str">
        <f t="shared" si="11"/>
        <v/>
      </c>
      <c r="AN11" s="47">
        <f>IF(N(P11)=0,0,P11*(1+Input!$C$28)^N(V11))</f>
        <v>0</v>
      </c>
    </row>
    <row r="12" spans="1:40" ht="43.2" customHeight="1" x14ac:dyDescent="0.3">
      <c r="A12" s="9">
        <v>7</v>
      </c>
      <c r="B12" s="117">
        <v>0</v>
      </c>
      <c r="C12" s="175"/>
      <c r="D12" s="181">
        <f t="shared" si="0"/>
        <v>0</v>
      </c>
      <c r="E12" s="9"/>
      <c r="F12" s="9"/>
      <c r="G12" s="29"/>
      <c r="H12" s="9"/>
      <c r="I12" s="36"/>
      <c r="J12" s="26" t="str">
        <f>IF(N(I12)=0,"",I12*Input!$C$165)</f>
        <v/>
      </c>
      <c r="K12" s="32"/>
      <c r="L12" s="32"/>
      <c r="M12" s="47">
        <f>K12*1000000/Input!$C$5</f>
        <v>0</v>
      </c>
      <c r="N12" s="47">
        <f>L12*1000000/Input!$C$5</f>
        <v>0</v>
      </c>
      <c r="O12" s="47">
        <f>M12*Input!$C$14</f>
        <v>0</v>
      </c>
      <c r="P12" s="18">
        <f t="shared" si="1"/>
        <v>0</v>
      </c>
      <c r="Q12" s="10">
        <f>IFERROR(INDEX('Portfolio Analysis'!$K$61:$K$70,MATCH($A12,'Portfolio Analysis'!$B$61:$B$70,0)),1)</f>
        <v>1</v>
      </c>
      <c r="R12" s="436" cm="1">
        <f t="array" ref="R12">INDEX(Input!$M$80:$M$89,$A12)</f>
        <v>0</v>
      </c>
      <c r="S12" s="10">
        <f>IFERROR(INDEX('Portfolio Analysis'!$H$76:$H$85,MATCH($A12,'Portfolio Analysis'!$B$76:$B$85,0)),$R12+ROUND('Portfolio Analysis'!$J$74,0))</f>
        <v>24</v>
      </c>
      <c r="T12" s="27">
        <f t="shared" si="2"/>
        <v>1</v>
      </c>
      <c r="U12" s="27">
        <f t="shared" si="3"/>
        <v>25</v>
      </c>
      <c r="V12" s="28">
        <f>S12/'_IRR Engine'!$Q$7</f>
        <v>2</v>
      </c>
      <c r="W12" s="47" cm="1">
        <f t="array" ref="W12">P12/(1-INDEX(Input!$I$80:$I$89,A12))*(1+INDEX(Input!$G$80:$G$89,A12))^V12</f>
        <v>0</v>
      </c>
      <c r="X12" s="47" cm="1">
        <f t="array" ref="X12">Y12*(1-Input!$C$20-INDEX(Input!$U$80:$U$89,A12)-Input!$C$31)-P12*(INDEX(Input!$C$80:$C$89,A12)+Input!$C$18+Input!$C$19)-(INDEX(Input!$D$80:$D$89,A12)+INDEX(Input!$E$80:$E$89,A12))*12*1000000/Input!$C$5-Input!$C$32*12</f>
        <v>0</v>
      </c>
      <c r="Y12" s="348">
        <f>_Seasonality!$O56</f>
        <v>0</v>
      </c>
      <c r="Z12" s="47" cm="1">
        <f t="array" ref="Z12">MIN(Input!$C$171*INDEX(Input!$J$80:$J$89,$A12),Input!$C$170)</f>
        <v>0</v>
      </c>
      <c r="AA12" s="47">
        <f>W12*Input!$C$15</f>
        <v>0</v>
      </c>
      <c r="AB12" s="18">
        <f t="shared" si="4"/>
        <v>0</v>
      </c>
      <c r="AC12" s="18">
        <f t="shared" si="5"/>
        <v>0</v>
      </c>
      <c r="AD12" s="47">
        <f>MAX(0,AB12-AN12)*Input!$C$26</f>
        <v>0</v>
      </c>
      <c r="AE12" s="18">
        <f t="shared" si="6"/>
        <v>0</v>
      </c>
      <c r="AF12" s="18" t="str">
        <f t="shared" si="7"/>
        <v/>
      </c>
      <c r="AG12" s="9"/>
      <c r="AH12" s="228" t="str">
        <f t="shared" si="8"/>
        <v/>
      </c>
      <c r="AI12" s="228" t="str">
        <f t="shared" si="9"/>
        <v/>
      </c>
      <c r="AJ12" s="228" t="str">
        <f t="shared" si="10"/>
        <v/>
      </c>
      <c r="AK12" s="18" cm="1">
        <f t="array" ref="AK12">IF($U12=0,0,_xlfn.LET(_xlpm.mq,1,_xlpm.my,'_IRR Engine'!$Q$7,_xlpm.salem,($U12-1)*_xlpm.mq+1,_xlpm.accm,($Q12-1)*_xlpm.mq+1,_xlpm.rentm,($T12-1)*_xlpm.mq+1,_xlpm.mon,_xlfn.SEQUENCE(_xlpm.my,1,_xlpm.salem-_xlpm.my,1),_xlpm.qtr,ROUNDUP(_xlpm.mon/_xlpm.mq,0),_xlpm.yr,ROUNDUP(_xlpm.mon/_xlpm.my,0),_xlpm.owned,(_xlpm.mon&gt;=_xlpm.accm)*(_xlpm.mon&lt;_xlpm.salem),_xlpm.renting,(_xlpm.mon&gt;=_xlpm.rentm)*(_xlpm.mon&lt;_xlpm.salem),_xlpm.ratio,(_xlpm.qtr-$T12+1)/Input!$C$11,_xlpm.ramp,_xlpm.ratio-(_xlpm.ratio-1)*(_xlpm.ratio&gt;1),_xlpm.rentnet,$Y12*(1-Input!$C$20-Input!$C$21-Input!$C$31),_xlpm.ownFix,$P12*INDEX(Input!$C$80:$C$89,$A12)+(INDEX(Input!$D$80:$D$89,$A12)+INDEX(Input!$E$80:$E$89,$A12))*_xlpm.my*'_IRR Engine'!$Q$9/Input!$C$5,_xlpm.rentFix,$P12*Input!$C$19+Input!$C$32*_xlpm.my,SUM(_xlpm.renting*_xlpm.ramp*_xlpm.rentnet/_xlpm.my*(1+Input!$C$8)^(_xlpm.yr-1)-_xlpm.owned*_xlpm.ownFix/_xlpm.my-_xlpm.renting*_xlpm.rentFix/_xlpm.my)))</f>
        <v>0</v>
      </c>
      <c r="AL12" s="18" cm="1">
        <f t="array" ref="AL12">IF($U12=0,0,_xlfn.LET(_xlpm.mq,1,_xlpm.my,'_IRR Engine'!$Q$7,_xlpm.salem,($U12-1)*_xlpm.mq+1,_xlpm.rentm,($T12-1)*_xlpm.mq+1,_xlpm.mon,_xlfn.SEQUENCE(_xlpm.my,1,_xlpm.salem-_xlpm.my,1),_xlpm.qtr,ROUNDUP(_xlpm.mon/_xlpm.mq,0),_xlpm.yr,ROUNDUP(_xlpm.mon/_xlpm.my,0),_xlpm.renting,(_xlpm.mon&gt;=_xlpm.rentm)*(_xlpm.mon&lt;_xlpm.salem),_xlpm.ratio,(_xlpm.qtr-$T12+1)/Input!$C$11,_xlpm.ramp,_xlpm.ratio-(_xlpm.ratio-1)*(_xlpm.ratio&gt;1),SUM(_xlpm.renting*_xlpm.ramp*$Y12/_xlpm.my*(1+Input!$C$8)^(_xlpm.yr-1))))</f>
        <v>0</v>
      </c>
      <c r="AM12" s="228" t="str">
        <f t="shared" si="11"/>
        <v/>
      </c>
      <c r="AN12" s="47">
        <f>IF(N(P12)=0,0,P12*(1+Input!$C$28)^N(V12))</f>
        <v>0</v>
      </c>
    </row>
    <row r="13" spans="1:40" ht="43.2" customHeight="1" x14ac:dyDescent="0.3">
      <c r="A13" s="9">
        <v>8</v>
      </c>
      <c r="B13" s="117">
        <v>0</v>
      </c>
      <c r="C13" s="175"/>
      <c r="D13" s="181">
        <f t="shared" si="0"/>
        <v>0</v>
      </c>
      <c r="E13" s="9"/>
      <c r="F13" s="9"/>
      <c r="G13" s="29"/>
      <c r="H13" s="9"/>
      <c r="I13" s="36"/>
      <c r="J13" s="26" t="str">
        <f>IF(N(I13)=0,"",I13*Input!$C$165)</f>
        <v/>
      </c>
      <c r="K13" s="32"/>
      <c r="L13" s="32"/>
      <c r="M13" s="47">
        <f>K13*1000000/Input!$C$5</f>
        <v>0</v>
      </c>
      <c r="N13" s="47">
        <f>L13*1000000/Input!$C$5</f>
        <v>0</v>
      </c>
      <c r="O13" s="47">
        <f>M13*Input!$C$14</f>
        <v>0</v>
      </c>
      <c r="P13" s="18">
        <f t="shared" si="1"/>
        <v>0</v>
      </c>
      <c r="Q13" s="10">
        <f>IFERROR(INDEX('Portfolio Analysis'!$K$61:$K$70,MATCH($A13,'Portfolio Analysis'!$B$61:$B$70,0)),1)</f>
        <v>1</v>
      </c>
      <c r="R13" s="436" cm="1">
        <f t="array" ref="R13">INDEX(Input!$M$80:$M$89,$A13)</f>
        <v>0</v>
      </c>
      <c r="S13" s="10">
        <f>IFERROR(INDEX('Portfolio Analysis'!$H$76:$H$85,MATCH($A13,'Portfolio Analysis'!$B$76:$B$85,0)),$R13+ROUND('Portfolio Analysis'!$J$74,0))</f>
        <v>24</v>
      </c>
      <c r="T13" s="27">
        <f t="shared" si="2"/>
        <v>1</v>
      </c>
      <c r="U13" s="27">
        <f t="shared" si="3"/>
        <v>25</v>
      </c>
      <c r="V13" s="28">
        <f>S13/'_IRR Engine'!$Q$7</f>
        <v>2</v>
      </c>
      <c r="W13" s="47" cm="1">
        <f t="array" ref="W13">P13/(1-INDEX(Input!$I$80:$I$89,A13))*(1+INDEX(Input!$G$80:$G$89,A13))^V13</f>
        <v>0</v>
      </c>
      <c r="X13" s="47" cm="1">
        <f t="array" ref="X13">Y13*(1-Input!$C$20-INDEX(Input!$U$80:$U$89,A13)-Input!$C$31)-P13*(INDEX(Input!$C$80:$C$89,A13)+Input!$C$18+Input!$C$19)-(INDEX(Input!$D$80:$D$89,A13)+INDEX(Input!$E$80:$E$89,A13))*12*1000000/Input!$C$5-Input!$C$32*12</f>
        <v>0</v>
      </c>
      <c r="Y13" s="348">
        <f>_Seasonality!$O57</f>
        <v>0</v>
      </c>
      <c r="Z13" s="47" cm="1">
        <f t="array" ref="Z13">MIN(Input!$C$171*INDEX(Input!$J$80:$J$89,$A13),Input!$C$170)</f>
        <v>0</v>
      </c>
      <c r="AA13" s="47">
        <f>W13*Input!$C$15</f>
        <v>0</v>
      </c>
      <c r="AB13" s="18">
        <f t="shared" si="4"/>
        <v>0</v>
      </c>
      <c r="AC13" s="18">
        <f t="shared" si="5"/>
        <v>0</v>
      </c>
      <c r="AD13" s="47">
        <f>MAX(0,AB13-AN13)*Input!$C$26</f>
        <v>0</v>
      </c>
      <c r="AE13" s="18">
        <f t="shared" si="6"/>
        <v>0</v>
      </c>
      <c r="AF13" s="18" t="str">
        <f t="shared" si="7"/>
        <v/>
      </c>
      <c r="AG13" s="9"/>
      <c r="AH13" s="228" t="str">
        <f t="shared" si="8"/>
        <v/>
      </c>
      <c r="AI13" s="228" t="str">
        <f t="shared" si="9"/>
        <v/>
      </c>
      <c r="AJ13" s="228" t="str">
        <f t="shared" si="10"/>
        <v/>
      </c>
      <c r="AK13" s="18" cm="1">
        <f t="array" ref="AK13">IF($U13=0,0,_xlfn.LET(_xlpm.mq,1,_xlpm.my,'_IRR Engine'!$Q$7,_xlpm.salem,($U13-1)*_xlpm.mq+1,_xlpm.accm,($Q13-1)*_xlpm.mq+1,_xlpm.rentm,($T13-1)*_xlpm.mq+1,_xlpm.mon,_xlfn.SEQUENCE(_xlpm.my,1,_xlpm.salem-_xlpm.my,1),_xlpm.qtr,ROUNDUP(_xlpm.mon/_xlpm.mq,0),_xlpm.yr,ROUNDUP(_xlpm.mon/_xlpm.my,0),_xlpm.owned,(_xlpm.mon&gt;=_xlpm.accm)*(_xlpm.mon&lt;_xlpm.salem),_xlpm.renting,(_xlpm.mon&gt;=_xlpm.rentm)*(_xlpm.mon&lt;_xlpm.salem),_xlpm.ratio,(_xlpm.qtr-$T13+1)/Input!$C$11,_xlpm.ramp,_xlpm.ratio-(_xlpm.ratio-1)*(_xlpm.ratio&gt;1),_xlpm.rentnet,$Y13*(1-Input!$C$20-Input!$C$21-Input!$C$31),_xlpm.ownFix,$P13*INDEX(Input!$C$80:$C$89,$A13)+(INDEX(Input!$D$80:$D$89,$A13)+INDEX(Input!$E$80:$E$89,$A13))*_xlpm.my*'_IRR Engine'!$Q$9/Input!$C$5,_xlpm.rentFix,$P13*Input!$C$19+Input!$C$32*_xlpm.my,SUM(_xlpm.renting*_xlpm.ramp*_xlpm.rentnet/_xlpm.my*(1+Input!$C$8)^(_xlpm.yr-1)-_xlpm.owned*_xlpm.ownFix/_xlpm.my-_xlpm.renting*_xlpm.rentFix/_xlpm.my)))</f>
        <v>0</v>
      </c>
      <c r="AL13" s="18" cm="1">
        <f t="array" ref="AL13">IF($U13=0,0,_xlfn.LET(_xlpm.mq,1,_xlpm.my,'_IRR Engine'!$Q$7,_xlpm.salem,($U13-1)*_xlpm.mq+1,_xlpm.rentm,($T13-1)*_xlpm.mq+1,_xlpm.mon,_xlfn.SEQUENCE(_xlpm.my,1,_xlpm.salem-_xlpm.my,1),_xlpm.qtr,ROUNDUP(_xlpm.mon/_xlpm.mq,0),_xlpm.yr,ROUNDUP(_xlpm.mon/_xlpm.my,0),_xlpm.renting,(_xlpm.mon&gt;=_xlpm.rentm)*(_xlpm.mon&lt;_xlpm.salem),_xlpm.ratio,(_xlpm.qtr-$T13+1)/Input!$C$11,_xlpm.ramp,_xlpm.ratio-(_xlpm.ratio-1)*(_xlpm.ratio&gt;1),SUM(_xlpm.renting*_xlpm.ramp*$Y13/_xlpm.my*(1+Input!$C$8)^(_xlpm.yr-1))))</f>
        <v>0</v>
      </c>
      <c r="AM13" s="228" t="str">
        <f t="shared" si="11"/>
        <v/>
      </c>
      <c r="AN13" s="47">
        <f>IF(N(P13)=0,0,P13*(1+Input!$C$28)^N(V13))</f>
        <v>0</v>
      </c>
    </row>
    <row r="14" spans="1:40" ht="43.2" customHeight="1" x14ac:dyDescent="0.3">
      <c r="A14" s="9">
        <v>9</v>
      </c>
      <c r="B14" s="117">
        <v>0</v>
      </c>
      <c r="C14" s="175"/>
      <c r="D14" s="181">
        <f t="shared" si="0"/>
        <v>0</v>
      </c>
      <c r="E14" s="9"/>
      <c r="F14" s="9"/>
      <c r="G14" s="29"/>
      <c r="H14" s="9"/>
      <c r="I14" s="36"/>
      <c r="J14" s="26" t="str">
        <f>IF(N(I14)=0,"",I14*Input!$C$165)</f>
        <v/>
      </c>
      <c r="K14" s="32"/>
      <c r="L14" s="32"/>
      <c r="M14" s="47">
        <f>K14*1000000/Input!$C$5</f>
        <v>0</v>
      </c>
      <c r="N14" s="47">
        <f>L14*1000000/Input!$C$5</f>
        <v>0</v>
      </c>
      <c r="O14" s="47">
        <f>M14*Input!$C$14</f>
        <v>0</v>
      </c>
      <c r="P14" s="18">
        <f t="shared" si="1"/>
        <v>0</v>
      </c>
      <c r="Q14" s="10">
        <f>IFERROR(INDEX('Portfolio Analysis'!$K$61:$K$70,MATCH($A14,'Portfolio Analysis'!$B$61:$B$70,0)),1)</f>
        <v>1</v>
      </c>
      <c r="R14" s="436" cm="1">
        <f t="array" ref="R14">INDEX(Input!$M$80:$M$89,$A14)</f>
        <v>0</v>
      </c>
      <c r="S14" s="10">
        <f>IFERROR(INDEX('Portfolio Analysis'!$H$76:$H$85,MATCH($A14,'Portfolio Analysis'!$B$76:$B$85,0)),$R14+ROUND('Portfolio Analysis'!$J$74,0))</f>
        <v>24</v>
      </c>
      <c r="T14" s="27">
        <f t="shared" si="2"/>
        <v>1</v>
      </c>
      <c r="U14" s="27">
        <f t="shared" si="3"/>
        <v>25</v>
      </c>
      <c r="V14" s="28">
        <f>S14/'_IRR Engine'!$Q$7</f>
        <v>2</v>
      </c>
      <c r="W14" s="47" cm="1">
        <f t="array" ref="W14">P14/(1-INDEX(Input!$I$80:$I$89,A14))*(1+INDEX(Input!$G$80:$G$89,A14))^V14</f>
        <v>0</v>
      </c>
      <c r="X14" s="47" cm="1">
        <f t="array" ref="X14">Y14*(1-Input!$C$20-INDEX(Input!$U$80:$U$89,A14)-Input!$C$31)-P14*(INDEX(Input!$C$80:$C$89,A14)+Input!$C$18+Input!$C$19)-(INDEX(Input!$D$80:$D$89,A14)+INDEX(Input!$E$80:$E$89,A14))*12*1000000/Input!$C$5-Input!$C$32*12</f>
        <v>0</v>
      </c>
      <c r="Y14" s="348">
        <f>_Seasonality!$O58</f>
        <v>0</v>
      </c>
      <c r="Z14" s="47" cm="1">
        <f t="array" ref="Z14">MIN(Input!$C$171*INDEX(Input!$J$80:$J$89,$A14),Input!$C$170)</f>
        <v>0</v>
      </c>
      <c r="AA14" s="47">
        <f>W14*Input!$C$15</f>
        <v>0</v>
      </c>
      <c r="AB14" s="18">
        <f t="shared" si="4"/>
        <v>0</v>
      </c>
      <c r="AC14" s="18">
        <f t="shared" si="5"/>
        <v>0</v>
      </c>
      <c r="AD14" s="47">
        <f>MAX(0,AB14-AN14)*Input!$C$26</f>
        <v>0</v>
      </c>
      <c r="AE14" s="18">
        <f t="shared" si="6"/>
        <v>0</v>
      </c>
      <c r="AF14" s="18" t="str">
        <f t="shared" si="7"/>
        <v/>
      </c>
      <c r="AG14" s="9"/>
      <c r="AH14" s="228" t="str">
        <f t="shared" si="8"/>
        <v/>
      </c>
      <c r="AI14" s="228" t="str">
        <f t="shared" si="9"/>
        <v/>
      </c>
      <c r="AJ14" s="228" t="str">
        <f t="shared" si="10"/>
        <v/>
      </c>
      <c r="AK14" s="18" cm="1">
        <f t="array" ref="AK14">IF($U14=0,0,_xlfn.LET(_xlpm.mq,1,_xlpm.my,'_IRR Engine'!$Q$7,_xlpm.salem,($U14-1)*_xlpm.mq+1,_xlpm.accm,($Q14-1)*_xlpm.mq+1,_xlpm.rentm,($T14-1)*_xlpm.mq+1,_xlpm.mon,_xlfn.SEQUENCE(_xlpm.my,1,_xlpm.salem-_xlpm.my,1),_xlpm.qtr,ROUNDUP(_xlpm.mon/_xlpm.mq,0),_xlpm.yr,ROUNDUP(_xlpm.mon/_xlpm.my,0),_xlpm.owned,(_xlpm.mon&gt;=_xlpm.accm)*(_xlpm.mon&lt;_xlpm.salem),_xlpm.renting,(_xlpm.mon&gt;=_xlpm.rentm)*(_xlpm.mon&lt;_xlpm.salem),_xlpm.ratio,(_xlpm.qtr-$T14+1)/Input!$C$11,_xlpm.ramp,_xlpm.ratio-(_xlpm.ratio-1)*(_xlpm.ratio&gt;1),_xlpm.rentnet,$Y14*(1-Input!$C$20-Input!$C$21-Input!$C$31),_xlpm.ownFix,$P14*INDEX(Input!$C$80:$C$89,$A14)+(INDEX(Input!$D$80:$D$89,$A14)+INDEX(Input!$E$80:$E$89,$A14))*_xlpm.my*'_IRR Engine'!$Q$9/Input!$C$5,_xlpm.rentFix,$P14*Input!$C$19+Input!$C$32*_xlpm.my,SUM(_xlpm.renting*_xlpm.ramp*_xlpm.rentnet/_xlpm.my*(1+Input!$C$8)^(_xlpm.yr-1)-_xlpm.owned*_xlpm.ownFix/_xlpm.my-_xlpm.renting*_xlpm.rentFix/_xlpm.my)))</f>
        <v>0</v>
      </c>
      <c r="AL14" s="18" cm="1">
        <f t="array" ref="AL14">IF($U14=0,0,_xlfn.LET(_xlpm.mq,1,_xlpm.my,'_IRR Engine'!$Q$7,_xlpm.salem,($U14-1)*_xlpm.mq+1,_xlpm.rentm,($T14-1)*_xlpm.mq+1,_xlpm.mon,_xlfn.SEQUENCE(_xlpm.my,1,_xlpm.salem-_xlpm.my,1),_xlpm.qtr,ROUNDUP(_xlpm.mon/_xlpm.mq,0),_xlpm.yr,ROUNDUP(_xlpm.mon/_xlpm.my,0),_xlpm.renting,(_xlpm.mon&gt;=_xlpm.rentm)*(_xlpm.mon&lt;_xlpm.salem),_xlpm.ratio,(_xlpm.qtr-$T14+1)/Input!$C$11,_xlpm.ramp,_xlpm.ratio-(_xlpm.ratio-1)*(_xlpm.ratio&gt;1),SUM(_xlpm.renting*_xlpm.ramp*$Y14/_xlpm.my*(1+Input!$C$8)^(_xlpm.yr-1))))</f>
        <v>0</v>
      </c>
      <c r="AM14" s="228" t="str">
        <f t="shared" si="11"/>
        <v/>
      </c>
      <c r="AN14" s="47">
        <f>IF(N(P14)=0,0,P14*(1+Input!$C$28)^N(V14))</f>
        <v>0</v>
      </c>
    </row>
    <row r="15" spans="1:40" ht="43.2" customHeight="1" x14ac:dyDescent="0.3">
      <c r="A15" s="9">
        <v>10</v>
      </c>
      <c r="B15" s="117">
        <v>0</v>
      </c>
      <c r="C15" s="175"/>
      <c r="D15" s="181">
        <f t="shared" si="0"/>
        <v>0</v>
      </c>
      <c r="E15" s="9"/>
      <c r="F15" s="9"/>
      <c r="G15" s="29"/>
      <c r="H15" s="9"/>
      <c r="I15" s="36"/>
      <c r="J15" s="26" t="str">
        <f>IF(N(I15)=0,"",I15*Input!$C$165)</f>
        <v/>
      </c>
      <c r="K15" s="32"/>
      <c r="L15" s="32"/>
      <c r="M15" s="47">
        <f>K15*1000000/Input!$C$5</f>
        <v>0</v>
      </c>
      <c r="N15" s="47">
        <f>L15*1000000/Input!$C$5</f>
        <v>0</v>
      </c>
      <c r="O15" s="47">
        <f>M15*Input!$C$14</f>
        <v>0</v>
      </c>
      <c r="P15" s="18">
        <f t="shared" si="1"/>
        <v>0</v>
      </c>
      <c r="Q15" s="10">
        <f>IFERROR(INDEX('Portfolio Analysis'!$K$61:$K$70,MATCH($A15,'Portfolio Analysis'!$B$61:$B$70,0)),1)</f>
        <v>1</v>
      </c>
      <c r="R15" s="436" cm="1">
        <f t="array" ref="R15">INDEX(Input!$M$80:$M$89,$A15)</f>
        <v>0</v>
      </c>
      <c r="S15" s="10">
        <f>IFERROR(INDEX('Portfolio Analysis'!$H$76:$H$85,MATCH($A15,'Portfolio Analysis'!$B$76:$B$85,0)),$R15+ROUND('Portfolio Analysis'!$J$74,0))</f>
        <v>24</v>
      </c>
      <c r="T15" s="27">
        <f t="shared" si="2"/>
        <v>1</v>
      </c>
      <c r="U15" s="27">
        <f t="shared" si="3"/>
        <v>25</v>
      </c>
      <c r="V15" s="28">
        <f>S15/'_IRR Engine'!$Q$7</f>
        <v>2</v>
      </c>
      <c r="W15" s="47" cm="1">
        <f t="array" ref="W15">P15/(1-INDEX(Input!$I$80:$I$89,A15))*(1+INDEX(Input!$G$80:$G$89,A15))^V15</f>
        <v>0</v>
      </c>
      <c r="X15" s="47" cm="1">
        <f t="array" ref="X15">Y15*(1-Input!$C$20-INDEX(Input!$U$80:$U$89,A15)-Input!$C$31)-P15*(INDEX(Input!$C$80:$C$89,A15)+Input!$C$18+Input!$C$19)-(INDEX(Input!$D$80:$D$89,A15)+INDEX(Input!$E$80:$E$89,A15))*12*1000000/Input!$C$5-Input!$C$32*12</f>
        <v>0</v>
      </c>
      <c r="Y15" s="348">
        <f>_Seasonality!$O59</f>
        <v>0</v>
      </c>
      <c r="Z15" s="47" cm="1">
        <f t="array" ref="Z15">MIN(Input!$C$171*INDEX(Input!$J$80:$J$89,$A15),Input!$C$170)</f>
        <v>0</v>
      </c>
      <c r="AA15" s="47">
        <f>W15*Input!$C$15</f>
        <v>0</v>
      </c>
      <c r="AB15" s="18">
        <f t="shared" si="4"/>
        <v>0</v>
      </c>
      <c r="AC15" s="18">
        <f t="shared" si="5"/>
        <v>0</v>
      </c>
      <c r="AD15" s="47">
        <f>MAX(0,AB15-AN15)*Input!$C$26</f>
        <v>0</v>
      </c>
      <c r="AE15" s="18">
        <f t="shared" si="6"/>
        <v>0</v>
      </c>
      <c r="AF15" s="18" t="str">
        <f t="shared" si="7"/>
        <v/>
      </c>
      <c r="AG15" s="9"/>
      <c r="AH15" s="228" t="str">
        <f t="shared" si="8"/>
        <v/>
      </c>
      <c r="AI15" s="228" t="str">
        <f t="shared" si="9"/>
        <v/>
      </c>
      <c r="AJ15" s="228" t="str">
        <f t="shared" si="10"/>
        <v/>
      </c>
      <c r="AK15" s="18" cm="1">
        <f t="array" ref="AK15">IF($U15=0,0,_xlfn.LET(_xlpm.mq,1,_xlpm.my,'_IRR Engine'!$Q$7,_xlpm.salem,($U15-1)*_xlpm.mq+1,_xlpm.accm,($Q15-1)*_xlpm.mq+1,_xlpm.rentm,($T15-1)*_xlpm.mq+1,_xlpm.mon,_xlfn.SEQUENCE(_xlpm.my,1,_xlpm.salem-_xlpm.my,1),_xlpm.qtr,ROUNDUP(_xlpm.mon/_xlpm.mq,0),_xlpm.yr,ROUNDUP(_xlpm.mon/_xlpm.my,0),_xlpm.owned,(_xlpm.mon&gt;=_xlpm.accm)*(_xlpm.mon&lt;_xlpm.salem),_xlpm.renting,(_xlpm.mon&gt;=_xlpm.rentm)*(_xlpm.mon&lt;_xlpm.salem),_xlpm.ratio,(_xlpm.qtr-$T15+1)/Input!$C$11,_xlpm.ramp,_xlpm.ratio-(_xlpm.ratio-1)*(_xlpm.ratio&gt;1),_xlpm.rentnet,$Y15*(1-Input!$C$20-Input!$C$21-Input!$C$31),_xlpm.ownFix,$P15*INDEX(Input!$C$80:$C$89,$A15)+(INDEX(Input!$D$80:$D$89,$A15)+INDEX(Input!$E$80:$E$89,$A15))*_xlpm.my*'_IRR Engine'!$Q$9/Input!$C$5,_xlpm.rentFix,$P15*Input!$C$19+Input!$C$32*_xlpm.my,SUM(_xlpm.renting*_xlpm.ramp*_xlpm.rentnet/_xlpm.my*(1+Input!$C$8)^(_xlpm.yr-1)-_xlpm.owned*_xlpm.ownFix/_xlpm.my-_xlpm.renting*_xlpm.rentFix/_xlpm.my)))</f>
        <v>0</v>
      </c>
      <c r="AL15" s="18" cm="1">
        <f t="array" ref="AL15">IF($U15=0,0,_xlfn.LET(_xlpm.mq,1,_xlpm.my,'_IRR Engine'!$Q$7,_xlpm.salem,($U15-1)*_xlpm.mq+1,_xlpm.rentm,($T15-1)*_xlpm.mq+1,_xlpm.mon,_xlfn.SEQUENCE(_xlpm.my,1,_xlpm.salem-_xlpm.my,1),_xlpm.qtr,ROUNDUP(_xlpm.mon/_xlpm.mq,0),_xlpm.yr,ROUNDUP(_xlpm.mon/_xlpm.my,0),_xlpm.renting,(_xlpm.mon&gt;=_xlpm.rentm)*(_xlpm.mon&lt;_xlpm.salem),_xlpm.ratio,(_xlpm.qtr-$T15+1)/Input!$C$11,_xlpm.ramp,_xlpm.ratio-(_xlpm.ratio-1)*(_xlpm.ratio&gt;1),SUM(_xlpm.renting*_xlpm.ramp*$Y15/_xlpm.my*(1+Input!$C$8)^(_xlpm.yr-1))))</f>
        <v>0</v>
      </c>
      <c r="AM15" s="228" t="str">
        <f t="shared" si="11"/>
        <v/>
      </c>
      <c r="AN15" s="47">
        <f>IF(N(P15)=0,0,P15*(1+Input!$C$28)^N(V15))</f>
        <v>0</v>
      </c>
    </row>
    <row r="16" spans="1:40" ht="19.95" customHeight="1" x14ac:dyDescent="0.3">
      <c r="A16" s="10">
        <v>11</v>
      </c>
      <c r="B16" s="166">
        <v>0</v>
      </c>
      <c r="C16" s="176" t="s">
        <v>471</v>
      </c>
      <c r="D16" s="181">
        <f t="shared" si="0"/>
        <v>0</v>
      </c>
      <c r="E16" s="10" t="s">
        <v>449</v>
      </c>
      <c r="F16" s="10" t="s">
        <v>450</v>
      </c>
      <c r="G16" s="29"/>
      <c r="H16" s="558" t="s">
        <v>451</v>
      </c>
      <c r="I16" s="558"/>
      <c r="J16" s="558"/>
      <c r="K16" s="558"/>
      <c r="L16" s="558"/>
      <c r="M16" s="558"/>
      <c r="N16" s="558"/>
      <c r="O16" s="558"/>
      <c r="P16" s="558"/>
      <c r="Q16" s="162"/>
      <c r="R16" s="162"/>
      <c r="S16" s="162"/>
      <c r="T16" s="164"/>
      <c r="U16" s="164"/>
      <c r="V16" s="165"/>
      <c r="W16" s="163"/>
      <c r="X16" s="163"/>
      <c r="Y16" s="163"/>
      <c r="Z16" s="47"/>
      <c r="AA16" s="47"/>
      <c r="AB16" s="18"/>
      <c r="AC16" s="18"/>
      <c r="AD16" s="47">
        <f>MAX(0,AB16-AN16)*Input!$C$26</f>
        <v>0</v>
      </c>
      <c r="AE16" s="18"/>
      <c r="AF16" s="18" t="str">
        <f t="shared" si="7"/>
        <v/>
      </c>
      <c r="AG16" s="9"/>
      <c r="AH16" s="228" t="str">
        <f t="shared" si="8"/>
        <v/>
      </c>
      <c r="AI16" s="228" t="str">
        <f t="shared" si="9"/>
        <v/>
      </c>
      <c r="AJ16" s="228" t="str">
        <f t="shared" si="10"/>
        <v/>
      </c>
      <c r="AK16" s="18" cm="1">
        <f t="array" ref="AK16">IF($U16=0,0,_xlfn.LET(_xlpm.mq,1,_xlpm.my,'_IRR Engine'!$Q$7,_xlpm.salem,($U16-1)*_xlpm.mq+1,_xlpm.accm,($Q16-1)*_xlpm.mq+1,_xlpm.rentm,($T16-1)*_xlpm.mq+1,_xlpm.mon,_xlfn.SEQUENCE(_xlpm.my,1,_xlpm.salem-_xlpm.my,1),_xlpm.qtr,ROUNDUP(_xlpm.mon/_xlpm.mq,0),_xlpm.yr,ROUNDUP(_xlpm.mon/_xlpm.my,0),_xlpm.owned,(_xlpm.mon&gt;=_xlpm.accm)*(_xlpm.mon&lt;_xlpm.salem),_xlpm.renting,(_xlpm.mon&gt;=_xlpm.rentm)*(_xlpm.mon&lt;_xlpm.salem),_xlpm.ratio,(_xlpm.qtr-$T16+1)/Input!$C$11,_xlpm.ramp,_xlpm.ratio-(_xlpm.ratio-1)*(_xlpm.ratio&gt;1),_xlpm.rentnet,$Y16*(1-Input!$C$20-Input!$C$21-Input!$C$31),_xlpm.ownFix,$P16*INDEX(Input!$C$80:$C$89,$A16)+(INDEX(Input!$D$80:$D$89,$A16)+INDEX(Input!$E$80:$E$89,$A16))*_xlpm.my*'_IRR Engine'!$Q$9/Input!$C$5,_xlpm.rentFix,$P16*Input!$C$19+Input!$C$32*_xlpm.my,SUM(_xlpm.renting*_xlpm.ramp*_xlpm.rentnet/_xlpm.my*(1+Input!$C$8)^(_xlpm.yr-1)-_xlpm.owned*_xlpm.ownFix/_xlpm.my-_xlpm.renting*_xlpm.rentFix/_xlpm.my)))</f>
        <v>0</v>
      </c>
      <c r="AL16" s="18" cm="1">
        <f t="array" ref="AL16">IF($U16=0,0,_xlfn.LET(_xlpm.mq,1,_xlpm.my,'_IRR Engine'!$Q$7,_xlpm.salem,($U16-1)*_xlpm.mq+1,_xlpm.rentm,($T16-1)*_xlpm.mq+1,_xlpm.mon,_xlfn.SEQUENCE(_xlpm.my,1,_xlpm.salem-_xlpm.my,1),_xlpm.qtr,ROUNDUP(_xlpm.mon/_xlpm.mq,0),_xlpm.yr,ROUNDUP(_xlpm.mon/_xlpm.my,0),_xlpm.renting,(_xlpm.mon&gt;=_xlpm.rentm)*(_xlpm.mon&lt;_xlpm.salem),_xlpm.ratio,(_xlpm.qtr-$T16+1)/Input!$C$11,_xlpm.ramp,_xlpm.ratio-(_xlpm.ratio-1)*(_xlpm.ratio&gt;1),SUM(_xlpm.renting*_xlpm.ramp*$Y16/_xlpm.my*(1+Input!$C$8)^(_xlpm.yr-1))))</f>
        <v>0</v>
      </c>
      <c r="AM16" s="228" t="str">
        <f t="shared" si="11"/>
        <v/>
      </c>
      <c r="AN16" s="47">
        <f>IF(N(P16)=0,0,P16*(1+Input!$C$28)^N(V16))</f>
        <v>0</v>
      </c>
    </row>
    <row r="17" spans="1:40" ht="19.95" customHeight="1" x14ac:dyDescent="0.3">
      <c r="A17" s="10">
        <v>12</v>
      </c>
      <c r="B17" s="166">
        <v>0</v>
      </c>
      <c r="C17" s="176" t="s">
        <v>471</v>
      </c>
      <c r="D17" s="181">
        <f t="shared" si="0"/>
        <v>0</v>
      </c>
      <c r="E17" s="10" t="s">
        <v>452</v>
      </c>
      <c r="F17" s="10" t="s">
        <v>42</v>
      </c>
      <c r="G17" s="29"/>
      <c r="H17" s="558" t="s">
        <v>451</v>
      </c>
      <c r="I17" s="558"/>
      <c r="J17" s="558"/>
      <c r="K17" s="558"/>
      <c r="L17" s="558"/>
      <c r="M17" s="558"/>
      <c r="N17" s="558"/>
      <c r="O17" s="558"/>
      <c r="P17" s="558"/>
      <c r="Q17" s="162"/>
      <c r="R17" s="162"/>
      <c r="S17" s="162"/>
      <c r="T17" s="164"/>
      <c r="U17" s="164"/>
      <c r="V17" s="165"/>
      <c r="W17" s="163"/>
      <c r="X17" s="163"/>
      <c r="Y17" s="163"/>
      <c r="Z17" s="47"/>
      <c r="AA17" s="47"/>
      <c r="AB17" s="18"/>
      <c r="AC17" s="18"/>
      <c r="AD17" s="47">
        <f>MAX(0,AB17-AN17)*Input!$C$26</f>
        <v>0</v>
      </c>
      <c r="AE17" s="18"/>
      <c r="AF17" s="18" t="str">
        <f t="shared" si="7"/>
        <v/>
      </c>
      <c r="AG17" s="9"/>
      <c r="AH17" s="228" t="str">
        <f t="shared" si="8"/>
        <v/>
      </c>
      <c r="AI17" s="228" t="str">
        <f t="shared" si="9"/>
        <v/>
      </c>
      <c r="AJ17" s="228" t="str">
        <f t="shared" si="10"/>
        <v/>
      </c>
      <c r="AK17" s="18" cm="1">
        <f t="array" ref="AK17">IF($U17=0,0,_xlfn.LET(_xlpm.mq,1,_xlpm.my,'_IRR Engine'!$Q$7,_xlpm.salem,($U17-1)*_xlpm.mq+1,_xlpm.accm,($Q17-1)*_xlpm.mq+1,_xlpm.rentm,($T17-1)*_xlpm.mq+1,_xlpm.mon,_xlfn.SEQUENCE(_xlpm.my,1,_xlpm.salem-_xlpm.my,1),_xlpm.qtr,ROUNDUP(_xlpm.mon/_xlpm.mq,0),_xlpm.yr,ROUNDUP(_xlpm.mon/_xlpm.my,0),_xlpm.owned,(_xlpm.mon&gt;=_xlpm.accm)*(_xlpm.mon&lt;_xlpm.salem),_xlpm.renting,(_xlpm.mon&gt;=_xlpm.rentm)*(_xlpm.mon&lt;_xlpm.salem),_xlpm.ratio,(_xlpm.qtr-$T17+1)/Input!$C$11,_xlpm.ramp,_xlpm.ratio-(_xlpm.ratio-1)*(_xlpm.ratio&gt;1),_xlpm.rentnet,$Y17*(1-Input!$C$20-Input!$C$21-Input!$C$31),_xlpm.ownFix,$P17*INDEX(Input!$C$80:$C$89,$A17)+(INDEX(Input!$D$80:$D$89,$A17)+INDEX(Input!$E$80:$E$89,$A17))*_xlpm.my*'_IRR Engine'!$Q$9/Input!$C$5,_xlpm.rentFix,$P17*Input!$C$19+Input!$C$32*_xlpm.my,SUM(_xlpm.renting*_xlpm.ramp*_xlpm.rentnet/_xlpm.my*(1+Input!$C$8)^(_xlpm.yr-1)-_xlpm.owned*_xlpm.ownFix/_xlpm.my-_xlpm.renting*_xlpm.rentFix/_xlpm.my)))</f>
        <v>0</v>
      </c>
      <c r="AL17" s="18" cm="1">
        <f t="array" ref="AL17">IF($U17=0,0,_xlfn.LET(_xlpm.mq,1,_xlpm.my,'_IRR Engine'!$Q$7,_xlpm.salem,($U17-1)*_xlpm.mq+1,_xlpm.rentm,($T17-1)*_xlpm.mq+1,_xlpm.mon,_xlfn.SEQUENCE(_xlpm.my,1,_xlpm.salem-_xlpm.my,1),_xlpm.qtr,ROUNDUP(_xlpm.mon/_xlpm.mq,0),_xlpm.yr,ROUNDUP(_xlpm.mon/_xlpm.my,0),_xlpm.renting,(_xlpm.mon&gt;=_xlpm.rentm)*(_xlpm.mon&lt;_xlpm.salem),_xlpm.ratio,(_xlpm.qtr-$T17+1)/Input!$C$11,_xlpm.ramp,_xlpm.ratio-(_xlpm.ratio-1)*(_xlpm.ratio&gt;1),SUM(_xlpm.renting*_xlpm.ramp*$Y17/_xlpm.my*(1+Input!$C$8)^(_xlpm.yr-1))))</f>
        <v>0</v>
      </c>
      <c r="AM17" s="228" t="str">
        <f t="shared" si="11"/>
        <v/>
      </c>
      <c r="AN17" s="47">
        <f>IF(N(P17)=0,0,P17*(1+Input!$C$28)^N(V17))</f>
        <v>0</v>
      </c>
    </row>
    <row r="18" spans="1:40" ht="19.95" customHeight="1" x14ac:dyDescent="0.3">
      <c r="A18" s="10">
        <v>13</v>
      </c>
      <c r="B18" s="166">
        <v>0</v>
      </c>
      <c r="C18" s="176" t="s">
        <v>471</v>
      </c>
      <c r="D18" s="181">
        <f t="shared" si="0"/>
        <v>0</v>
      </c>
      <c r="E18" s="10" t="s">
        <v>453</v>
      </c>
      <c r="F18" s="10" t="s">
        <v>450</v>
      </c>
      <c r="G18" s="29"/>
      <c r="H18" s="558" t="s">
        <v>451</v>
      </c>
      <c r="I18" s="558"/>
      <c r="J18" s="558"/>
      <c r="K18" s="558"/>
      <c r="L18" s="558"/>
      <c r="M18" s="558"/>
      <c r="N18" s="558"/>
      <c r="O18" s="558"/>
      <c r="P18" s="558"/>
      <c r="Q18" s="162"/>
      <c r="R18" s="162"/>
      <c r="S18" s="162"/>
      <c r="T18" s="164"/>
      <c r="U18" s="164"/>
      <c r="V18" s="165"/>
      <c r="W18" s="163"/>
      <c r="X18" s="163"/>
      <c r="Y18" s="163"/>
      <c r="Z18" s="47"/>
      <c r="AA18" s="47"/>
      <c r="AB18" s="18"/>
      <c r="AC18" s="18"/>
      <c r="AD18" s="47">
        <f>MAX(0,AB18-AN18)*Input!$C$26</f>
        <v>0</v>
      </c>
      <c r="AE18" s="18"/>
      <c r="AF18" s="18" t="str">
        <f t="shared" si="7"/>
        <v/>
      </c>
      <c r="AG18" s="9"/>
      <c r="AH18" s="228" t="str">
        <f t="shared" si="8"/>
        <v/>
      </c>
      <c r="AI18" s="228" t="str">
        <f t="shared" si="9"/>
        <v/>
      </c>
      <c r="AJ18" s="228" t="str">
        <f t="shared" si="10"/>
        <v/>
      </c>
      <c r="AK18" s="18" cm="1">
        <f t="array" ref="AK18">IF($U18=0,0,_xlfn.LET(_xlpm.mq,1,_xlpm.my,'_IRR Engine'!$Q$7,_xlpm.salem,($U18-1)*_xlpm.mq+1,_xlpm.accm,($Q18-1)*_xlpm.mq+1,_xlpm.rentm,($T18-1)*_xlpm.mq+1,_xlpm.mon,_xlfn.SEQUENCE(_xlpm.my,1,_xlpm.salem-_xlpm.my,1),_xlpm.qtr,ROUNDUP(_xlpm.mon/_xlpm.mq,0),_xlpm.yr,ROUNDUP(_xlpm.mon/_xlpm.my,0),_xlpm.owned,(_xlpm.mon&gt;=_xlpm.accm)*(_xlpm.mon&lt;_xlpm.salem),_xlpm.renting,(_xlpm.mon&gt;=_xlpm.rentm)*(_xlpm.mon&lt;_xlpm.salem),_xlpm.ratio,(_xlpm.qtr-$T18+1)/Input!$C$11,_xlpm.ramp,_xlpm.ratio-(_xlpm.ratio-1)*(_xlpm.ratio&gt;1),_xlpm.rentnet,$Y18*(1-Input!$C$20-Input!$C$21-Input!$C$31),_xlpm.ownFix,$P18*INDEX(Input!$C$80:$C$89,$A18)+(INDEX(Input!$D$80:$D$89,$A18)+INDEX(Input!$E$80:$E$89,$A18))*_xlpm.my*'_IRR Engine'!$Q$9/Input!$C$5,_xlpm.rentFix,$P18*Input!$C$19+Input!$C$32*_xlpm.my,SUM(_xlpm.renting*_xlpm.ramp*_xlpm.rentnet/_xlpm.my*(1+Input!$C$8)^(_xlpm.yr-1)-_xlpm.owned*_xlpm.ownFix/_xlpm.my-_xlpm.renting*_xlpm.rentFix/_xlpm.my)))</f>
        <v>0</v>
      </c>
      <c r="AL18" s="18" cm="1">
        <f t="array" ref="AL18">IF($U18=0,0,_xlfn.LET(_xlpm.mq,1,_xlpm.my,'_IRR Engine'!$Q$7,_xlpm.salem,($U18-1)*_xlpm.mq+1,_xlpm.rentm,($T18-1)*_xlpm.mq+1,_xlpm.mon,_xlfn.SEQUENCE(_xlpm.my,1,_xlpm.salem-_xlpm.my,1),_xlpm.qtr,ROUNDUP(_xlpm.mon/_xlpm.mq,0),_xlpm.yr,ROUNDUP(_xlpm.mon/_xlpm.my,0),_xlpm.renting,(_xlpm.mon&gt;=_xlpm.rentm)*(_xlpm.mon&lt;_xlpm.salem),_xlpm.ratio,(_xlpm.qtr-$T18+1)/Input!$C$11,_xlpm.ramp,_xlpm.ratio-(_xlpm.ratio-1)*(_xlpm.ratio&gt;1),SUM(_xlpm.renting*_xlpm.ramp*$Y18/_xlpm.my*(1+Input!$C$8)^(_xlpm.yr-1))))</f>
        <v>0</v>
      </c>
      <c r="AM18" s="228" t="str">
        <f t="shared" si="11"/>
        <v/>
      </c>
      <c r="AN18" s="47">
        <f>IF(N(P18)=0,0,P18*(1+Input!$C$28)^N(V18))</f>
        <v>0</v>
      </c>
    </row>
    <row r="19" spans="1:40" ht="19.95" customHeight="1" thickBot="1" x14ac:dyDescent="0.35">
      <c r="A19" s="10">
        <v>14</v>
      </c>
      <c r="B19" s="166">
        <v>0</v>
      </c>
      <c r="C19" s="176" t="s">
        <v>471</v>
      </c>
      <c r="D19" s="182">
        <f t="shared" si="0"/>
        <v>0</v>
      </c>
      <c r="E19" s="10" t="s">
        <v>454</v>
      </c>
      <c r="F19" s="10" t="s">
        <v>48</v>
      </c>
      <c r="G19" s="29"/>
      <c r="H19" s="559" t="s">
        <v>451</v>
      </c>
      <c r="I19" s="559"/>
      <c r="J19" s="559"/>
      <c r="K19" s="559"/>
      <c r="L19" s="559"/>
      <c r="M19" s="559"/>
      <c r="N19" s="559"/>
      <c r="O19" s="559"/>
      <c r="P19" s="559"/>
      <c r="Q19" s="162"/>
      <c r="R19" s="162"/>
      <c r="S19" s="162"/>
      <c r="T19" s="164"/>
      <c r="U19" s="164"/>
      <c r="V19" s="165"/>
      <c r="W19" s="163"/>
      <c r="X19" s="163"/>
      <c r="Y19" s="163"/>
      <c r="Z19" s="47"/>
      <c r="AA19" s="47"/>
      <c r="AB19" s="18"/>
      <c r="AC19" s="18"/>
      <c r="AD19" s="47">
        <f>MAX(0,AB19-AN19)*Input!$C$26</f>
        <v>0</v>
      </c>
      <c r="AE19" s="18"/>
      <c r="AF19" s="18" t="str">
        <f t="shared" si="7"/>
        <v/>
      </c>
      <c r="AG19" s="9"/>
      <c r="AH19" s="228" t="str">
        <f t="shared" si="8"/>
        <v/>
      </c>
      <c r="AI19" s="228" t="str">
        <f t="shared" si="9"/>
        <v/>
      </c>
      <c r="AJ19" s="228" t="str">
        <f t="shared" si="10"/>
        <v/>
      </c>
      <c r="AK19" s="18" cm="1">
        <f t="array" ref="AK19">IF($U19=0,0,_xlfn.LET(_xlpm.mq,1,_xlpm.my,'_IRR Engine'!$Q$7,_xlpm.salem,($U19-1)*_xlpm.mq+1,_xlpm.accm,($Q19-1)*_xlpm.mq+1,_xlpm.rentm,($T19-1)*_xlpm.mq+1,_xlpm.mon,_xlfn.SEQUENCE(_xlpm.my,1,_xlpm.salem-_xlpm.my,1),_xlpm.qtr,ROUNDUP(_xlpm.mon/_xlpm.mq,0),_xlpm.yr,ROUNDUP(_xlpm.mon/_xlpm.my,0),_xlpm.owned,(_xlpm.mon&gt;=_xlpm.accm)*(_xlpm.mon&lt;_xlpm.salem),_xlpm.renting,(_xlpm.mon&gt;=_xlpm.rentm)*(_xlpm.mon&lt;_xlpm.salem),_xlpm.ratio,(_xlpm.qtr-$T19+1)/Input!$C$11,_xlpm.ramp,_xlpm.ratio-(_xlpm.ratio-1)*(_xlpm.ratio&gt;1),_xlpm.rentnet,$Y19*(1-Input!$C$20-Input!$C$21-Input!$C$31),_xlpm.ownFix,$P19*INDEX(Input!$C$80:$C$89,$A19)+(INDEX(Input!$D$80:$D$89,$A19)+INDEX(Input!$E$80:$E$89,$A19))*_xlpm.my*'_IRR Engine'!$Q$9/Input!$C$5,_xlpm.rentFix,$P19*Input!$C$19+Input!$C$32*_xlpm.my,SUM(_xlpm.renting*_xlpm.ramp*_xlpm.rentnet/_xlpm.my*(1+Input!$C$8)^(_xlpm.yr-1)-_xlpm.owned*_xlpm.ownFix/_xlpm.my-_xlpm.renting*_xlpm.rentFix/_xlpm.my)))</f>
        <v>0</v>
      </c>
      <c r="AL19" s="18" cm="1">
        <f t="array" ref="AL19">IF($U19=0,0,_xlfn.LET(_xlpm.mq,1,_xlpm.my,'_IRR Engine'!$Q$7,_xlpm.salem,($U19-1)*_xlpm.mq+1,_xlpm.rentm,($T19-1)*_xlpm.mq+1,_xlpm.mon,_xlfn.SEQUENCE(_xlpm.my,1,_xlpm.salem-_xlpm.my,1),_xlpm.qtr,ROUNDUP(_xlpm.mon/_xlpm.mq,0),_xlpm.yr,ROUNDUP(_xlpm.mon/_xlpm.my,0),_xlpm.renting,(_xlpm.mon&gt;=_xlpm.rentm)*(_xlpm.mon&lt;_xlpm.salem),_xlpm.ratio,(_xlpm.qtr-$T19+1)/Input!$C$11,_xlpm.ramp,_xlpm.ratio-(_xlpm.ratio-1)*(_xlpm.ratio&gt;1),SUM(_xlpm.renting*_xlpm.ramp*$Y19/_xlpm.my*(1+Input!$C$8)^(_xlpm.yr-1))))</f>
        <v>0</v>
      </c>
      <c r="AM19" s="228" t="str">
        <f t="shared" si="11"/>
        <v/>
      </c>
      <c r="AN19" s="47">
        <f>IF(N(P19)=0,0,P19*(1+Input!$C$28)^N(V19))</f>
        <v>0</v>
      </c>
    </row>
    <row r="20" spans="1:40" ht="22.05" customHeight="1" x14ac:dyDescent="0.3">
      <c r="A20" s="61"/>
      <c r="B20" s="118">
        <f>COUNTIF($E$6:$E$19,"?*")</f>
        <v>9</v>
      </c>
      <c r="C20" s="118"/>
      <c r="D20" s="169"/>
      <c r="E20" s="61" t="s">
        <v>1138</v>
      </c>
      <c r="F20" s="61"/>
      <c r="G20" s="61"/>
      <c r="H20" s="61"/>
      <c r="I20" s="64">
        <f t="shared" ref="I20:P20" si="12">SUM(I6:I19)</f>
        <v>2214</v>
      </c>
      <c r="J20" s="64">
        <f t="shared" si="12"/>
        <v>23831.274600000001</v>
      </c>
      <c r="K20" s="64">
        <f t="shared" si="12"/>
        <v>14095</v>
      </c>
      <c r="L20" s="64">
        <f t="shared" si="12"/>
        <v>5860</v>
      </c>
      <c r="M20" s="62">
        <f t="shared" si="12"/>
        <v>4561488.6731391586</v>
      </c>
      <c r="N20" s="62">
        <f t="shared" si="12"/>
        <v>1896440.1294498381</v>
      </c>
      <c r="O20" s="62">
        <f t="shared" si="12"/>
        <v>114037.21682847897</v>
      </c>
      <c r="P20" s="62">
        <f t="shared" si="12"/>
        <v>6571966.0194174759</v>
      </c>
      <c r="Q20" s="61"/>
      <c r="R20" s="61"/>
      <c r="S20" s="61"/>
      <c r="T20" s="61"/>
      <c r="U20" s="61"/>
      <c r="V20" s="61"/>
      <c r="W20" s="62">
        <f>SUM(W6:W19)</f>
        <v>11376910.988620643</v>
      </c>
      <c r="X20" s="62">
        <f>SUM(X6:X19)</f>
        <v>97619.443454247608</v>
      </c>
      <c r="Y20" s="62">
        <f>SUM(Y6:Y19)</f>
        <v>307290.90985714283</v>
      </c>
      <c r="Z20" s="62">
        <f t="shared" ref="Z20:AE20" si="13">SUM(Z6:Z15)</f>
        <v>39180</v>
      </c>
      <c r="AA20" s="62">
        <f t="shared" si="13"/>
        <v>432322.6175675845</v>
      </c>
      <c r="AB20" s="62">
        <f t="shared" si="13"/>
        <v>10944588.371053061</v>
      </c>
      <c r="AC20" s="62">
        <f t="shared" si="13"/>
        <v>4372622.3516355846</v>
      </c>
      <c r="AD20" s="62">
        <f t="shared" si="13"/>
        <v>568608.74658931501</v>
      </c>
      <c r="AE20" s="62">
        <f t="shared" si="13"/>
        <v>3804013.6050462695</v>
      </c>
      <c r="AF20" s="62">
        <f>P20/J20</f>
        <v>275.77064717375526</v>
      </c>
      <c r="AG20" s="61"/>
      <c r="AH20" s="229">
        <f t="shared" si="8"/>
        <v>1.0055029931742284E-2</v>
      </c>
      <c r="AI20" s="229">
        <f t="shared" si="9"/>
        <v>1.7406538649676097E-2</v>
      </c>
      <c r="AJ20" s="229">
        <f t="shared" si="10"/>
        <v>2.7977860767749274E-2</v>
      </c>
      <c r="AK20" s="62">
        <f>SUM(AK6:AK19)</f>
        <v>114395.18052134826</v>
      </c>
      <c r="AL20" s="62">
        <f>SUM(AL6:AL19)</f>
        <v>318301.63160670508</v>
      </c>
      <c r="AM20" s="229">
        <f t="shared" si="11"/>
        <v>4.8433243669588941E-2</v>
      </c>
      <c r="AN20" s="62">
        <f>SUM(AN6:AN19)</f>
        <v>7153863.3937909603</v>
      </c>
    </row>
    <row r="21" spans="1:40" ht="22.05" customHeight="1" x14ac:dyDescent="0.3">
      <c r="A21" s="42"/>
      <c r="B21" s="161">
        <f>SUMPRODUCT($D$6:$D$19)</f>
        <v>5</v>
      </c>
      <c r="C21" s="169"/>
      <c r="D21" s="169"/>
      <c r="E21" s="42" t="s">
        <v>477</v>
      </c>
      <c r="F21" s="42"/>
      <c r="G21" s="42"/>
      <c r="H21" s="42"/>
      <c r="I21" s="63">
        <f t="shared" ref="I21:P21" si="14">SUMPRODUCT($D$6:$D$19,I6:I19)</f>
        <v>2214</v>
      </c>
      <c r="J21" s="63">
        <f t="shared" si="14"/>
        <v>23831.274600000001</v>
      </c>
      <c r="K21" s="63">
        <f t="shared" si="14"/>
        <v>14095</v>
      </c>
      <c r="L21" s="63">
        <f t="shared" si="14"/>
        <v>5860</v>
      </c>
      <c r="M21" s="43">
        <f t="shared" si="14"/>
        <v>4561488.6731391586</v>
      </c>
      <c r="N21" s="43">
        <f t="shared" si="14"/>
        <v>1896440.1294498381</v>
      </c>
      <c r="O21" s="43">
        <f t="shared" si="14"/>
        <v>114037.21682847897</v>
      </c>
      <c r="P21" s="43">
        <f t="shared" si="14"/>
        <v>6571966.0194174759</v>
      </c>
      <c r="Q21" s="42"/>
      <c r="R21" s="42"/>
      <c r="S21" s="42"/>
      <c r="T21" s="42"/>
      <c r="U21" s="42"/>
      <c r="V21" s="42"/>
      <c r="W21" s="43">
        <f>SUMPRODUCT($D$6:$D$19,W6:W19)</f>
        <v>11376910.988620643</v>
      </c>
      <c r="X21" s="43">
        <f>SUMPRODUCT($D$6:$D$19,X6:X19)</f>
        <v>97619.443454247608</v>
      </c>
      <c r="Y21" s="43">
        <f>SUMPRODUCT($D$6:$D$19,Y6:Y19)</f>
        <v>307290.90985714283</v>
      </c>
      <c r="Z21" s="42">
        <f>SUMPRODUCT($D$6:$D$15,Z6:Z15)</f>
        <v>39180</v>
      </c>
      <c r="AA21" s="9"/>
      <c r="AB21" s="9"/>
      <c r="AC21" s="9"/>
      <c r="AD21" s="9"/>
      <c r="AE21" s="9"/>
      <c r="AF21" s="9">
        <f>P21/J21</f>
        <v>275.77064717375526</v>
      </c>
      <c r="AG21" s="9"/>
      <c r="AH21" s="228">
        <f t="shared" si="8"/>
        <v>1.0055029931742284E-2</v>
      </c>
      <c r="AI21" s="228">
        <f t="shared" si="9"/>
        <v>1.7406538649676097E-2</v>
      </c>
      <c r="AJ21" s="228">
        <f t="shared" si="10"/>
        <v>2.7977860767749274E-2</v>
      </c>
      <c r="AK21" s="18">
        <f>SUMPRODUCT($D$6:$D$19,AK6:AK19)</f>
        <v>114395.18052134826</v>
      </c>
      <c r="AL21" s="18">
        <f>SUMPRODUCT($D$6:$D$19,AL6:AL19)</f>
        <v>318301.63160670508</v>
      </c>
      <c r="AM21" s="228">
        <f t="shared" si="11"/>
        <v>4.8433243669588941E-2</v>
      </c>
      <c r="AN21" s="43">
        <f>SUMPRODUCT($D$6:$D$19,AN6:AN19)</f>
        <v>7153863.3937909603</v>
      </c>
    </row>
    <row r="22" spans="1:40" customFormat="1" ht="6" customHeight="1" x14ac:dyDescent="0.3"/>
    <row r="23" spans="1:40" customFormat="1" ht="6" customHeight="1" x14ac:dyDescent="0.3">
      <c r="C23" s="167"/>
    </row>
    <row r="24" spans="1:40" ht="18" customHeight="1" x14ac:dyDescent="0.3">
      <c r="C24" s="177" t="s">
        <v>472</v>
      </c>
      <c r="D24"/>
      <c r="E24" s="120"/>
    </row>
    <row r="25" spans="1:40" ht="18" customHeight="1" x14ac:dyDescent="0.3">
      <c r="C25" s="178" t="s">
        <v>473</v>
      </c>
      <c r="D25"/>
      <c r="E25" s="120"/>
    </row>
    <row r="26" spans="1:40" ht="18" customHeight="1" x14ac:dyDescent="0.3">
      <c r="C26" s="179" t="s">
        <v>474</v>
      </c>
      <c r="D26"/>
      <c r="E26" s="120"/>
    </row>
    <row r="27" spans="1:40" ht="18" customHeight="1" x14ac:dyDescent="0.3">
      <c r="C27" s="180" t="s">
        <v>475</v>
      </c>
      <c r="D27"/>
      <c r="E27" s="120"/>
      <c r="G27" s="29"/>
    </row>
  </sheetData>
  <mergeCells count="4">
    <mergeCell ref="H16:P16"/>
    <mergeCell ref="H17:P17"/>
    <mergeCell ref="H18:P18"/>
    <mergeCell ref="H19:P19"/>
  </mergeCells>
  <conditionalFormatting sqref="B6:B19">
    <cfRule type="expression" dxfId="16" priority="5">
      <formula>AND($B6=1,ISNUMBER(SEARCH("Backup",$C6)))</formula>
    </cfRule>
  </conditionalFormatting>
  <conditionalFormatting sqref="C6:C19">
    <cfRule type="containsText" dxfId="15" priority="1" operator="containsText" text="🟢">
      <formula>NOT(ISERROR(SEARCH("🟢",C6)))</formula>
    </cfRule>
    <cfRule type="containsText" dxfId="14" priority="2" operator="containsText" text="🟡">
      <formula>NOT(ISERROR(SEARCH("🟡",C6)))</formula>
    </cfRule>
    <cfRule type="containsText" dxfId="13" priority="3" operator="containsText" text="⚪">
      <formula>NOT(ISERROR(SEARCH("⚪",C6)))</formula>
    </cfRule>
    <cfRule type="containsText" dxfId="12" priority="4" operator="containsText" text="🔵">
      <formula>NOT(ISERROR(SEARCH("🔵",C6)))</formula>
    </cfRule>
  </conditionalFormatting>
  <dataValidations count="3">
    <dataValidation type="list" allowBlank="1" showInputMessage="1" showErrorMessage="1" sqref="D6:D19" xr:uid="{70C32C4E-3370-4948-8F3B-BD4613F95C09}">
      <formula1>"🟢 Green,🟡 Yellow,⚪ N/A,🔵 Turquoise"</formula1>
    </dataValidation>
    <dataValidation type="list" allowBlank="1" showInputMessage="1" showErrorMessage="1" errorTitle="Deal Stage" error="Pick a deal stage from the list." sqref="C6:C19" xr:uid="{27DEC2A2-CD30-4A4C-93CF-923BCB5C0206}">
      <formula1>"■ Signed,◆ Negotiated,◇ Simulated,▲ Backup"</formula1>
    </dataValidation>
    <dataValidation type="custom" allowBlank="1" showInputMessage="1" showErrorMessage="1" errorTitle="Cannot activate" error="Backup properties cannot be activated — they have no underwriting data. Promote the property with real terms and change its Deal Stage first." sqref="B6:B19" xr:uid="{A0383230-E6BA-4616-B370-5962096E3857}">
      <formula1>AND(OR($B6=0,$B6=1),NOT(AND($B6=1,ISNUMBER(SEARCH("Backup",$C6)))))</formula1>
    </dataValidation>
  </dataValidations>
  <hyperlinks>
    <hyperlink ref="G6" r:id="rId1" tooltip="Open map location" xr:uid="{0E1E7D1D-0EFE-4CED-9DF0-543D94844CCD}"/>
    <hyperlink ref="G7" r:id="rId2" tooltip="Open map location" xr:uid="{711897FF-C216-4E3B-8217-C25514D3A790}"/>
    <hyperlink ref="G8" r:id="rId3" tooltip="Open map location" xr:uid="{BC3DDAFE-C57B-46B5-A7A3-0525D8712176}"/>
    <hyperlink ref="G9" r:id="rId4" tooltip="Open map location" xr:uid="{54610D74-B51C-4978-BDDE-E24EFC62D1E9}"/>
    <hyperlink ref="G10" r:id="rId5" tooltip="Open map location" xr:uid="{7AD51DC8-66FE-4184-88D2-B3429FAEE90F}"/>
    <hyperlink ref="AG6" r:id="rId6" xr:uid="{0AD34E32-9B41-4D1E-9426-6C6E852E5841}"/>
    <hyperlink ref="AG7" r:id="rId7" xr:uid="{3ACC31D7-E591-4BC6-A5BD-FFA2EF3675DA}"/>
    <hyperlink ref="AG8" r:id="rId8" xr:uid="{107D5A5A-B729-4439-B022-DD857E2B46A9}"/>
    <hyperlink ref="AG9" r:id="rId9" xr:uid="{A0784586-027B-4FB8-BCE7-8909D094F5D6}"/>
    <hyperlink ref="AG10" r:id="rId10" xr:uid="{36B4413C-E174-44D9-9A82-D517244D9E7C}"/>
  </hyperlinks>
  <pageMargins left="0.7" right="0.7" top="0.75" bottom="0.75" header="0.3" footer="0.3"/>
  <pageSetup scale="19" fitToHeight="0" orientation="landscape" horizontalDpi="0" verticalDpi="0"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289D-D2B0-4361-8B4C-6A406949D8F6}">
  <sheetPr>
    <tabColor rgb="FF132E57"/>
    <pageSetUpPr fitToPage="1"/>
  </sheetPr>
  <dimension ref="A1:M245"/>
  <sheetViews>
    <sheetView workbookViewId="0">
      <pane xSplit="2" ySplit="5" topLeftCell="C232" activePane="bottomRight" state="frozen"/>
      <selection pane="topRight" activeCell="C1" sqref="C1"/>
      <selection pane="bottomLeft" activeCell="A6" sqref="A6"/>
      <selection pane="bottomRight" sqref="A1:G245"/>
    </sheetView>
  </sheetViews>
  <sheetFormatPr defaultRowHeight="14.4" outlineLevelCol="1" x14ac:dyDescent="0.3"/>
  <cols>
    <col min="1" max="1" width="4.109375" customWidth="1"/>
    <col min="2" max="2" width="61.109375" customWidth="1"/>
    <col min="3" max="7" width="20.77734375" customWidth="1"/>
    <col min="8" max="12" width="20.77734375" hidden="1" customWidth="1" outlineLevel="1"/>
    <col min="13" max="13" width="8.88671875" collapsed="1"/>
  </cols>
  <sheetData>
    <row r="1" spans="1:12" ht="36" customHeight="1" x14ac:dyDescent="0.3">
      <c r="A1" s="53"/>
      <c r="B1" s="53" t="s">
        <v>166</v>
      </c>
      <c r="C1" s="65"/>
      <c r="D1" s="65"/>
      <c r="E1" s="65"/>
      <c r="F1" s="65"/>
      <c r="G1" s="65"/>
      <c r="H1" s="65"/>
      <c r="I1" s="58"/>
      <c r="J1" s="58"/>
      <c r="K1" s="58"/>
      <c r="L1" s="58"/>
    </row>
    <row r="2" spans="1:12" s="7" customFormat="1" ht="18" customHeight="1" x14ac:dyDescent="0.3">
      <c r="A2" s="9"/>
      <c r="B2" s="87" t="s">
        <v>1083</v>
      </c>
      <c r="C2" s="66"/>
      <c r="D2" s="66"/>
      <c r="E2" s="66"/>
      <c r="F2" s="66"/>
      <c r="G2" s="66"/>
      <c r="H2" s="66"/>
      <c r="I2" s="112"/>
      <c r="J2" s="112"/>
      <c r="K2" s="112"/>
      <c r="L2" s="112"/>
    </row>
    <row r="3" spans="1:12" ht="18" customHeight="1" x14ac:dyDescent="0.3">
      <c r="A3" s="9"/>
      <c r="B3" s="9"/>
      <c r="C3" s="66"/>
      <c r="D3" s="66"/>
      <c r="E3" s="66"/>
      <c r="F3" s="66"/>
      <c r="G3" s="66"/>
      <c r="H3" s="66"/>
      <c r="I3" s="1"/>
      <c r="J3" s="1"/>
      <c r="K3" s="1"/>
      <c r="L3" s="1"/>
    </row>
    <row r="4" spans="1:12" ht="18" customHeight="1" x14ac:dyDescent="0.3">
      <c r="A4" s="37"/>
      <c r="B4" s="37" t="s">
        <v>52</v>
      </c>
      <c r="C4" s="329">
        <f t="shared" ref="C4:L4" si="0">COLUMN()-2</f>
        <v>1</v>
      </c>
      <c r="D4" s="329">
        <f t="shared" si="0"/>
        <v>2</v>
      </c>
      <c r="E4" s="329">
        <f t="shared" si="0"/>
        <v>3</v>
      </c>
      <c r="F4" s="329">
        <f t="shared" si="0"/>
        <v>4</v>
      </c>
      <c r="G4" s="329">
        <f t="shared" si="0"/>
        <v>5</v>
      </c>
      <c r="H4" s="83">
        <f t="shared" si="0"/>
        <v>6</v>
      </c>
      <c r="I4" s="83">
        <f t="shared" si="0"/>
        <v>7</v>
      </c>
      <c r="J4" s="83">
        <f t="shared" si="0"/>
        <v>8</v>
      </c>
      <c r="K4" s="83">
        <f t="shared" si="0"/>
        <v>9</v>
      </c>
      <c r="L4" s="83">
        <f t="shared" si="0"/>
        <v>10</v>
      </c>
    </row>
    <row r="5" spans="1:12" ht="18" customHeight="1" x14ac:dyDescent="0.3">
      <c r="A5" s="37"/>
      <c r="B5" s="37" t="s">
        <v>65</v>
      </c>
      <c r="C5" s="84" t="str">
        <f>TEXT(EDATE(Input!$C$7,(C4-1)*12),"mmm-yy")&amp;" – "&amp;TEXT(EDATE(Input!$C$7,C4*12-1),"mmm-yy")</f>
        <v>Oct-26 – Sep-27</v>
      </c>
      <c r="D5" s="84" t="str">
        <f>TEXT(EDATE(Input!$C$7,(D4-1)*12),"mmm-yy")&amp;" – "&amp;TEXT(EDATE(Input!$C$7,D4*12-1),"mmm-yy")</f>
        <v>Oct-27 – Sep-28</v>
      </c>
      <c r="E5" s="84" t="str">
        <f>TEXT(EDATE(Input!$C$7,(E4-1)*12),"mmm-yy")&amp;" – "&amp;TEXT(EDATE(Input!$C$7,E4*12-1),"mmm-yy")</f>
        <v>Oct-28 – Sep-29</v>
      </c>
      <c r="F5" s="84" t="str">
        <f>TEXT(EDATE(Input!$C$7,(F4-1)*12),"mmm-yy")&amp;" – "&amp;TEXT(EDATE(Input!$C$7,F4*12-1),"mmm-yy")</f>
        <v>Oct-29 – Sep-30</v>
      </c>
      <c r="G5" s="84" t="str">
        <f>TEXT(EDATE(Input!$C$7,(G4-1)*12),"mmm-yy")&amp;" – "&amp;TEXT(EDATE(Input!$C$7,G4*12-1),"mmm-yy")</f>
        <v>Oct-30 – Sep-31</v>
      </c>
      <c r="H5" s="84" t="str">
        <f>TEXT(EDATE(Input!$C$7,(H4-1)*12),"mmm-yy")&amp;" – "&amp;TEXT(EDATE(Input!$C$7,H4*12-1),"mmm-yy")</f>
        <v>Oct-31 – Sep-32</v>
      </c>
      <c r="I5" s="84" t="str">
        <f>TEXT(EDATE(Input!$C$7,(I4-1)*12),"mmm-yy")&amp;" – "&amp;TEXT(EDATE(Input!$C$7,I4*12-1),"mmm-yy")</f>
        <v>Oct-32 – Sep-33</v>
      </c>
      <c r="J5" s="84" t="str">
        <f>TEXT(EDATE(Input!$C$7,(J4-1)*12),"mmm-yy")&amp;" – "&amp;TEXT(EDATE(Input!$C$7,J4*12-1),"mmm-yy")</f>
        <v>Oct-33 – Sep-34</v>
      </c>
      <c r="K5" s="84" t="str">
        <f>TEXT(EDATE(Input!$C$7,(K4-1)*12),"mmm-yy")&amp;" – "&amp;TEXT(EDATE(Input!$C$7,K4*12-1),"mmm-yy")</f>
        <v>Oct-34 – Sep-35</v>
      </c>
      <c r="L5" s="84" t="str">
        <f>TEXT(EDATE(Input!$C$7,(L4-1)*12),"mmm-yy")&amp;" – "&amp;TEXT(EDATE(Input!$C$7,L4*12-1),"mmm-yy")</f>
        <v>Oct-35 – Sep-36</v>
      </c>
    </row>
    <row r="6" spans="1:12" ht="18" customHeight="1" x14ac:dyDescent="0.3">
      <c r="A6" s="9"/>
      <c r="B6" s="9"/>
      <c r="C6" s="66"/>
      <c r="D6" s="66"/>
      <c r="E6" s="66"/>
      <c r="F6" s="66"/>
      <c r="G6" s="66"/>
      <c r="H6" s="66"/>
      <c r="I6" s="66"/>
      <c r="J6" s="66"/>
      <c r="K6" s="66"/>
      <c r="L6" s="66"/>
    </row>
    <row r="7" spans="1:12" ht="19.95" customHeight="1" x14ac:dyDescent="0.3">
      <c r="A7" s="40">
        <v>1</v>
      </c>
      <c r="B7" s="40" t="str" cm="1">
        <f t="array" ref="B7">INDEX(Properties!$E:$E,$A7+5)&amp;"   ·   "&amp;INDEX(Properties!$F:$F,$A7+5)&amp;"   ·   "&amp;INDEX(Properties!$H:$H,$A7+5)</f>
        <v>Aires de Campestre Apto 801 (Penthouse)   ·   El Poblado, Medellín   ·   Signed — closing Sep 2026</v>
      </c>
      <c r="C7" s="67"/>
      <c r="D7" s="67"/>
      <c r="E7" s="67"/>
      <c r="F7" s="67"/>
      <c r="G7" s="67"/>
      <c r="H7" s="67"/>
      <c r="I7" s="67"/>
      <c r="J7" s="67"/>
      <c r="K7" s="67"/>
      <c r="L7" s="67"/>
    </row>
    <row r="8" spans="1:12" ht="18" customHeight="1" x14ac:dyDescent="0.3">
      <c r="A8" s="9">
        <v>1</v>
      </c>
      <c r="B8" s="66" t="s">
        <v>167</v>
      </c>
      <c r="C8" s="75">
        <f>SUMIF('_Month Engine'!$C$5:$DR$5,C$4,INDEX('_Month Engine'!$C:$DR,MATCH("Gross STR Revenue",'_Month Engine'!$A:$A,0)+MATCH($A8,'_Month Engine'!$B$34:$B$43,0),0))</f>
        <v>25517.025000000001</v>
      </c>
      <c r="D8" s="75">
        <f>SUMIF('_Month Engine'!$C$5:$DR$5,D$4,INDEX('_Month Engine'!$C:$DR,MATCH("Gross STR Revenue",'_Month Engine'!$A:$A,0)+MATCH($A8,'_Month Engine'!$B$34:$B$43,0),0))</f>
        <v>60811.624800000005</v>
      </c>
      <c r="E8" s="75">
        <f>SUMIF('_Month Engine'!$C$5:$DR$5,E$4,INDEX('_Month Engine'!$C:$DR,MATCH("Gross STR Revenue",'_Month Engine'!$A:$A,0)+MATCH($A8,'_Month Engine'!$B$34:$B$43,0),0))</f>
        <v>26681.484563999998</v>
      </c>
      <c r="F8" s="75">
        <f>SUMIF('_Month Engine'!$C$5:$DR$5,F$4,INDEX('_Month Engine'!$C:$DR,MATCH("Gross STR Revenue",'_Month Engine'!$A:$A,0)+MATCH($A8,'_Month Engine'!$B$34:$B$43,0),0))</f>
        <v>0</v>
      </c>
      <c r="G8" s="75">
        <f>SUMIF('_Month Engine'!$C$5:$DR$5,G$4,INDEX('_Month Engine'!$C:$DR,MATCH("Gross STR Revenue",'_Month Engine'!$A:$A,0)+MATCH($A8,'_Month Engine'!$B$34:$B$43,0),0))</f>
        <v>0</v>
      </c>
      <c r="H8" s="75">
        <f>SUMIF('_Month Engine'!$C$5:$DR$5,H$4,INDEX('_Month Engine'!$C:$DR,MATCH("Gross STR Revenue",'_Month Engine'!$A:$A,0)+MATCH($A8,'_Month Engine'!$B$34:$B$43,0),0))</f>
        <v>0</v>
      </c>
      <c r="I8" s="75">
        <f>SUMIF('_Month Engine'!$C$5:$DR$5,I$4,INDEX('_Month Engine'!$C:$DR,MATCH("Gross STR Revenue",'_Month Engine'!$A:$A,0)+MATCH($A8,'_Month Engine'!$B$34:$B$43,0),0))</f>
        <v>0</v>
      </c>
      <c r="J8" s="75">
        <f>SUMIF('_Month Engine'!$C$5:$DR$5,J$4,INDEX('_Month Engine'!$C:$DR,MATCH("Gross STR Revenue",'_Month Engine'!$A:$A,0)+MATCH($A8,'_Month Engine'!$B$34:$B$43,0),0))</f>
        <v>0</v>
      </c>
      <c r="K8" s="75">
        <f>SUMIF('_Month Engine'!$C$5:$DR$5,K$4,INDEX('_Month Engine'!$C:$DR,MATCH("Gross STR Revenue",'_Month Engine'!$A:$A,0)+MATCH($A8,'_Month Engine'!$B$34:$B$43,0),0))</f>
        <v>0</v>
      </c>
      <c r="L8" s="75">
        <f>SUMIF('_Month Engine'!$C$5:$DR$5,L$4,INDEX('_Month Engine'!$C:$DR,MATCH("Gross STR Revenue",'_Month Engine'!$A:$A,0)+MATCH($A8,'_Month Engine'!$B$34:$B$43,0),0))</f>
        <v>0</v>
      </c>
    </row>
    <row r="9" spans="1:12" ht="18" customHeight="1" x14ac:dyDescent="0.3">
      <c r="A9" s="9">
        <v>1</v>
      </c>
      <c r="B9" s="66" t="s">
        <v>1179</v>
      </c>
      <c r="C9" s="75" cm="1">
        <f t="array" ref="C9">SUMIF('_Month Engine'!$C$5:$DR$5,C$4,INDEX('_Month Engine'!$C:$DR,MATCH("Owned All-In Basis",'_Month Engine'!$A:$A,0)+MATCH($A9,'_Month Engine'!$B$47:$B$56,0),0))*INDEX(Input!$C$80:$C$89,$A9)/'_IRR Engine'!$Q$7</f>
        <v>5499.9999999999973</v>
      </c>
      <c r="D9" s="75" cm="1">
        <f t="array" ref="D9">SUMIF('_Month Engine'!$C$5:$DR$5,D$4,INDEX('_Month Engine'!$C:$DR,MATCH("Owned All-In Basis",'_Month Engine'!$A:$A,0)+MATCH($A9,'_Month Engine'!$B$47:$B$56,0),0))*INDEX(Input!$C$80:$C$89,$A9)/'_IRR Engine'!$Q$7</f>
        <v>5999.9999999999973</v>
      </c>
      <c r="E9" s="75" cm="1">
        <f t="array" ref="E9">SUMIF('_Month Engine'!$C$5:$DR$5,E$4,INDEX('_Month Engine'!$C:$DR,MATCH("Owned All-In Basis",'_Month Engine'!$A:$A,0)+MATCH($A9,'_Month Engine'!$B$47:$B$56,0),0))*INDEX(Input!$C$80:$C$89,$A9)/'_IRR Engine'!$Q$7</f>
        <v>2499.9999999999995</v>
      </c>
      <c r="F9" s="75" cm="1">
        <f t="array" ref="F9">SUMIF('_Month Engine'!$C$5:$DR$5,F$4,INDEX('_Month Engine'!$C:$DR,MATCH("Owned All-In Basis",'_Month Engine'!$A:$A,0)+MATCH($A9,'_Month Engine'!$B$47:$B$56,0),0))*INDEX(Input!$C$80:$C$89,$A9)/'_IRR Engine'!$Q$7</f>
        <v>0</v>
      </c>
      <c r="G9" s="75" cm="1">
        <f t="array" ref="G9">SUMIF('_Month Engine'!$C$5:$DR$5,G$4,INDEX('_Month Engine'!$C:$DR,MATCH("Owned All-In Basis",'_Month Engine'!$A:$A,0)+MATCH($A9,'_Month Engine'!$B$47:$B$56,0),0))*INDEX(Input!$C$80:$C$89,$A9)/'_IRR Engine'!$Q$7</f>
        <v>0</v>
      </c>
      <c r="H9" s="75" cm="1">
        <f t="array" ref="H9">SUMIF('_Month Engine'!$C$5:$DR$5,H$4,INDEX('_Month Engine'!$C:$DR,MATCH("Owned All-In Basis",'_Month Engine'!$A:$A,0)+MATCH($A9,'_Month Engine'!$B$47:$B$56,0),0))*INDEX(Input!$C$80:$C$89,$A9)/'_IRR Engine'!$Q$7</f>
        <v>0</v>
      </c>
      <c r="I9" s="75" cm="1">
        <f t="array" ref="I9">SUMIF('_Month Engine'!$C$5:$DR$5,I$4,INDEX('_Month Engine'!$C:$DR,MATCH("Owned All-In Basis",'_Month Engine'!$A:$A,0)+MATCH($A9,'_Month Engine'!$B$47:$B$56,0),0))*INDEX(Input!$C$80:$C$89,$A9)/'_IRR Engine'!$Q$7</f>
        <v>0</v>
      </c>
      <c r="J9" s="75" cm="1">
        <f t="array" ref="J9">SUMIF('_Month Engine'!$C$5:$DR$5,J$4,INDEX('_Month Engine'!$C:$DR,MATCH("Owned All-In Basis",'_Month Engine'!$A:$A,0)+MATCH($A9,'_Month Engine'!$B$47:$B$56,0),0))*INDEX(Input!$C$80:$C$89,$A9)/'_IRR Engine'!$Q$7</f>
        <v>0</v>
      </c>
      <c r="K9" s="75" cm="1">
        <f t="array" ref="K9">SUMIF('_Month Engine'!$C$5:$DR$5,K$4,INDEX('_Month Engine'!$C:$DR,MATCH("Owned All-In Basis",'_Month Engine'!$A:$A,0)+MATCH($A9,'_Month Engine'!$B$47:$B$56,0),0))*INDEX(Input!$C$80:$C$89,$A9)/'_IRR Engine'!$Q$7</f>
        <v>0</v>
      </c>
      <c r="L9" s="75" cm="1">
        <f t="array" ref="L9">SUMIF('_Month Engine'!$C$5:$DR$5,L$4,INDEX('_Month Engine'!$C:$DR,MATCH("Owned All-In Basis",'_Month Engine'!$A:$A,0)+MATCH($A9,'_Month Engine'!$B$47:$B$56,0),0))*INDEX(Input!$C$80:$C$89,$A9)/'_IRR Engine'!$Q$7</f>
        <v>0</v>
      </c>
    </row>
    <row r="10" spans="1:12" ht="18" customHeight="1" x14ac:dyDescent="0.3">
      <c r="A10" s="9">
        <v>1</v>
      </c>
      <c r="B10" s="66" t="s">
        <v>72</v>
      </c>
      <c r="C10" s="75">
        <f>SUMIF('_Month Engine'!$C$5:$DR$5,C$4,INDEX('_Month Engine'!$C:$DR,MATCH("Renting All-In Basis",'_Month Engine'!$A:$A,0)+MATCH($A10,'_Month Engine'!$B$110:$B$119,0),0))*Input!$C$18/'_IRR Engine'!$Q$7</f>
        <v>730.48139158576043</v>
      </c>
      <c r="D10" s="75">
        <f>SUMIF('_Month Engine'!$C$5:$DR$5,D$4,INDEX('_Month Engine'!$C:$DR,MATCH("Renting All-In Basis",'_Month Engine'!$A:$A,0)+MATCH($A10,'_Month Engine'!$B$110:$B$119,0),0))*Input!$C$18/'_IRR Engine'!$Q$7</f>
        <v>1753.155339805825</v>
      </c>
      <c r="E10" s="75">
        <f>SUMIF('_Month Engine'!$C$5:$DR$5,E$4,INDEX('_Month Engine'!$C:$DR,MATCH("Renting All-In Basis",'_Month Engine'!$A:$A,0)+MATCH($A10,'_Month Engine'!$B$110:$B$119,0),0))*Input!$C$18/'_IRR Engine'!$Q$7</f>
        <v>730.48139158576043</v>
      </c>
      <c r="F10" s="75">
        <f>SUMIF('_Month Engine'!$C$5:$DR$5,F$4,INDEX('_Month Engine'!$C:$DR,MATCH("Renting All-In Basis",'_Month Engine'!$A:$A,0)+MATCH($A10,'_Month Engine'!$B$110:$B$119,0),0))*Input!$C$18/'_IRR Engine'!$Q$7</f>
        <v>0</v>
      </c>
      <c r="G10" s="75">
        <f>SUMIF('_Month Engine'!$C$5:$DR$5,G$4,INDEX('_Month Engine'!$C:$DR,MATCH("Renting All-In Basis",'_Month Engine'!$A:$A,0)+MATCH($A10,'_Month Engine'!$B$110:$B$119,0),0))*Input!$C$18/'_IRR Engine'!$Q$7</f>
        <v>0</v>
      </c>
      <c r="H10" s="75">
        <f>SUMIF('_Month Engine'!$C$5:$DR$5,H$4,INDEX('_Month Engine'!$C:$DR,MATCH("Renting All-In Basis",'_Month Engine'!$A:$A,0)+MATCH($A10,'_Month Engine'!$B$110:$B$119,0),0))*Input!$C$18/'_IRR Engine'!$Q$7</f>
        <v>0</v>
      </c>
      <c r="I10" s="75">
        <f>SUMIF('_Month Engine'!$C$5:$DR$5,I$4,INDEX('_Month Engine'!$C:$DR,MATCH("Renting All-In Basis",'_Month Engine'!$A:$A,0)+MATCH($A10,'_Month Engine'!$B$110:$B$119,0),0))*Input!$C$18/'_IRR Engine'!$Q$7</f>
        <v>0</v>
      </c>
      <c r="J10" s="75">
        <f>SUMIF('_Month Engine'!$C$5:$DR$5,J$4,INDEX('_Month Engine'!$C:$DR,MATCH("Renting All-In Basis",'_Month Engine'!$A:$A,0)+MATCH($A10,'_Month Engine'!$B$110:$B$119,0),0))*Input!$C$18/'_IRR Engine'!$Q$7</f>
        <v>0</v>
      </c>
      <c r="K10" s="75">
        <f>SUMIF('_Month Engine'!$C$5:$DR$5,K$4,INDEX('_Month Engine'!$C:$DR,MATCH("Renting All-In Basis",'_Month Engine'!$A:$A,0)+MATCH($A10,'_Month Engine'!$B$110:$B$119,0),0))*Input!$C$18/'_IRR Engine'!$Q$7</f>
        <v>0</v>
      </c>
      <c r="L10" s="75">
        <f>SUMIF('_Month Engine'!$C$5:$DR$5,L$4,INDEX('_Month Engine'!$C:$DR,MATCH("Renting All-In Basis",'_Month Engine'!$A:$A,0)+MATCH($A10,'_Month Engine'!$B$110:$B$119,0),0))*Input!$C$18/'_IRR Engine'!$Q$7</f>
        <v>0</v>
      </c>
    </row>
    <row r="11" spans="1:12" ht="18" customHeight="1" x14ac:dyDescent="0.3">
      <c r="A11" s="9">
        <v>1</v>
      </c>
      <c r="B11" s="66" t="s">
        <v>168</v>
      </c>
      <c r="C11" s="75" cm="1">
        <f t="array" ref="C11">SUMIF('_Month Engine'!$C$5:$DR$5,C$4,INDEX('_Month Engine'!$C:$DR,MATCH("Owned Flag (1 = owned in month)",'_Month Engine'!$A:$A,0)+MATCH($A11,'_Month Engine'!$B$86:$B$95,0),0))*INDEX(Input!$D$80:$D$89,$A11)*1000000/Input!$C$5</f>
        <v>8899.6763754045314</v>
      </c>
      <c r="D11" s="75" cm="1">
        <f t="array" ref="D11">SUMIF('_Month Engine'!$C$5:$DR$5,D$4,INDEX('_Month Engine'!$C:$DR,MATCH("Owned Flag (1 = owned in month)",'_Month Engine'!$A:$A,0)+MATCH($A11,'_Month Engine'!$B$86:$B$95,0),0))*INDEX(Input!$D$80:$D$89,$A11)*1000000/Input!$C$5</f>
        <v>9708.7378640776697</v>
      </c>
      <c r="E11" s="75" cm="1">
        <f t="array" ref="E11">SUMIF('_Month Engine'!$C$5:$DR$5,E$4,INDEX('_Month Engine'!$C:$DR,MATCH("Owned Flag (1 = owned in month)",'_Month Engine'!$A:$A,0)+MATCH($A11,'_Month Engine'!$B$86:$B$95,0),0))*INDEX(Input!$D$80:$D$89,$A11)*1000000/Input!$C$5</f>
        <v>4045.3074433656957</v>
      </c>
      <c r="F11" s="75" cm="1">
        <f t="array" ref="F11">SUMIF('_Month Engine'!$C$5:$DR$5,F$4,INDEX('_Month Engine'!$C:$DR,MATCH("Owned Flag (1 = owned in month)",'_Month Engine'!$A:$A,0)+MATCH($A11,'_Month Engine'!$B$86:$B$95,0),0))*INDEX(Input!$D$80:$D$89,$A11)*1000000/Input!$C$5</f>
        <v>0</v>
      </c>
      <c r="G11" s="75" cm="1">
        <f t="array" ref="G11">SUMIF('_Month Engine'!$C$5:$DR$5,G$4,INDEX('_Month Engine'!$C:$DR,MATCH("Owned Flag (1 = owned in month)",'_Month Engine'!$A:$A,0)+MATCH($A11,'_Month Engine'!$B$86:$B$95,0),0))*INDEX(Input!$D$80:$D$89,$A11)*1000000/Input!$C$5</f>
        <v>0</v>
      </c>
      <c r="H11" s="75" cm="1">
        <f t="array" ref="H11">SUMIF('_Month Engine'!$C$5:$DR$5,H$4,INDEX('_Month Engine'!$C:$DR,MATCH("Owned Flag (1 = owned in month)",'_Month Engine'!$A:$A,0)+MATCH($A11,'_Month Engine'!$B$86:$B$95,0),0))*INDEX(Input!$D$80:$D$89,$A11)*1000000/Input!$C$5</f>
        <v>0</v>
      </c>
      <c r="I11" s="75" cm="1">
        <f t="array" ref="I11">SUMIF('_Month Engine'!$C$5:$DR$5,I$4,INDEX('_Month Engine'!$C:$DR,MATCH("Owned Flag (1 = owned in month)",'_Month Engine'!$A:$A,0)+MATCH($A11,'_Month Engine'!$B$86:$B$95,0),0))*INDEX(Input!$D$80:$D$89,$A11)*1000000/Input!$C$5</f>
        <v>0</v>
      </c>
      <c r="J11" s="75" cm="1">
        <f t="array" ref="J11">SUMIF('_Month Engine'!$C$5:$DR$5,J$4,INDEX('_Month Engine'!$C:$DR,MATCH("Owned Flag (1 = owned in month)",'_Month Engine'!$A:$A,0)+MATCH($A11,'_Month Engine'!$B$86:$B$95,0),0))*INDEX(Input!$D$80:$D$89,$A11)*1000000/Input!$C$5</f>
        <v>0</v>
      </c>
      <c r="K11" s="75" cm="1">
        <f t="array" ref="K11">SUMIF('_Month Engine'!$C$5:$DR$5,K$4,INDEX('_Month Engine'!$C:$DR,MATCH("Owned Flag (1 = owned in month)",'_Month Engine'!$A:$A,0)+MATCH($A11,'_Month Engine'!$B$86:$B$95,0),0))*INDEX(Input!$D$80:$D$89,$A11)*1000000/Input!$C$5</f>
        <v>0</v>
      </c>
      <c r="L11" s="75" cm="1">
        <f t="array" ref="L11">SUMIF('_Month Engine'!$C$5:$DR$5,L$4,INDEX('_Month Engine'!$C:$DR,MATCH("Owned Flag (1 = owned in month)",'_Month Engine'!$A:$A,0)+MATCH($A11,'_Month Engine'!$B$86:$B$95,0),0))*INDEX(Input!$D$80:$D$89,$A11)*1000000/Input!$C$5</f>
        <v>0</v>
      </c>
    </row>
    <row r="12" spans="1:12" ht="18" customHeight="1" x14ac:dyDescent="0.3">
      <c r="A12" s="9">
        <v>1</v>
      </c>
      <c r="B12" s="66" t="s">
        <v>169</v>
      </c>
      <c r="C12" s="75" cm="1">
        <f t="array" ref="C12">SUMIF('_Month Engine'!$C$5:$DR$5,C$4,INDEX('_Month Engine'!$C:$DR,MATCH("Owned Flag (1 = owned in month)",'_Month Engine'!$A:$A,0)+MATCH($A12,'_Month Engine'!$B$86:$B$95,0),0))*INDEX(Input!$E$80:$E$89,$A12)*1000000/Input!$C$5</f>
        <v>4271.844660194175</v>
      </c>
      <c r="D12" s="75" cm="1">
        <f t="array" ref="D12">SUMIF('_Month Engine'!$C$5:$DR$5,D$4,INDEX('_Month Engine'!$C:$DR,MATCH("Owned Flag (1 = owned in month)",'_Month Engine'!$A:$A,0)+MATCH($A12,'_Month Engine'!$B$86:$B$95,0),0))*INDEX(Input!$E$80:$E$89,$A12)*1000000/Input!$C$5</f>
        <v>4660.194174757281</v>
      </c>
      <c r="E12" s="75" cm="1">
        <f t="array" ref="E12">SUMIF('_Month Engine'!$C$5:$DR$5,E$4,INDEX('_Month Engine'!$C:$DR,MATCH("Owned Flag (1 = owned in month)",'_Month Engine'!$A:$A,0)+MATCH($A12,'_Month Engine'!$B$86:$B$95,0),0))*INDEX(Input!$E$80:$E$89,$A12)*1000000/Input!$C$5</f>
        <v>1941.7475728155339</v>
      </c>
      <c r="F12" s="75" cm="1">
        <f t="array" ref="F12">SUMIF('_Month Engine'!$C$5:$DR$5,F$4,INDEX('_Month Engine'!$C:$DR,MATCH("Owned Flag (1 = owned in month)",'_Month Engine'!$A:$A,0)+MATCH($A12,'_Month Engine'!$B$86:$B$95,0),0))*INDEX(Input!$E$80:$E$89,$A12)*1000000/Input!$C$5</f>
        <v>0</v>
      </c>
      <c r="G12" s="75" cm="1">
        <f t="array" ref="G12">SUMIF('_Month Engine'!$C$5:$DR$5,G$4,INDEX('_Month Engine'!$C:$DR,MATCH("Owned Flag (1 = owned in month)",'_Month Engine'!$A:$A,0)+MATCH($A12,'_Month Engine'!$B$86:$B$95,0),0))*INDEX(Input!$E$80:$E$89,$A12)*1000000/Input!$C$5</f>
        <v>0</v>
      </c>
      <c r="H12" s="75" cm="1">
        <f t="array" ref="H12">SUMIF('_Month Engine'!$C$5:$DR$5,H$4,INDEX('_Month Engine'!$C:$DR,MATCH("Owned Flag (1 = owned in month)",'_Month Engine'!$A:$A,0)+MATCH($A12,'_Month Engine'!$B$86:$B$95,0),0))*INDEX(Input!$E$80:$E$89,$A12)*1000000/Input!$C$5</f>
        <v>0</v>
      </c>
      <c r="I12" s="75" cm="1">
        <f t="array" ref="I12">SUMIF('_Month Engine'!$C$5:$DR$5,I$4,INDEX('_Month Engine'!$C:$DR,MATCH("Owned Flag (1 = owned in month)",'_Month Engine'!$A:$A,0)+MATCH($A12,'_Month Engine'!$B$86:$B$95,0),0))*INDEX(Input!$E$80:$E$89,$A12)*1000000/Input!$C$5</f>
        <v>0</v>
      </c>
      <c r="J12" s="75" cm="1">
        <f t="array" ref="J12">SUMIF('_Month Engine'!$C$5:$DR$5,J$4,INDEX('_Month Engine'!$C:$DR,MATCH("Owned Flag (1 = owned in month)",'_Month Engine'!$A:$A,0)+MATCH($A12,'_Month Engine'!$B$86:$B$95,0),0))*INDEX(Input!$E$80:$E$89,$A12)*1000000/Input!$C$5</f>
        <v>0</v>
      </c>
      <c r="K12" s="75" cm="1">
        <f t="array" ref="K12">SUMIF('_Month Engine'!$C$5:$DR$5,K$4,INDEX('_Month Engine'!$C:$DR,MATCH("Owned Flag (1 = owned in month)",'_Month Engine'!$A:$A,0)+MATCH($A12,'_Month Engine'!$B$86:$B$95,0),0))*INDEX(Input!$E$80:$E$89,$A12)*1000000/Input!$C$5</f>
        <v>0</v>
      </c>
      <c r="L12" s="75" cm="1">
        <f t="array" ref="L12">SUMIF('_Month Engine'!$C$5:$DR$5,L$4,INDEX('_Month Engine'!$C:$DR,MATCH("Owned Flag (1 = owned in month)",'_Month Engine'!$A:$A,0)+MATCH($A12,'_Month Engine'!$B$86:$B$95,0),0))*INDEX(Input!$E$80:$E$89,$A12)*1000000/Input!$C$5</f>
        <v>0</v>
      </c>
    </row>
    <row r="13" spans="1:12" ht="18" customHeight="1" x14ac:dyDescent="0.3">
      <c r="A13" s="9">
        <v>1</v>
      </c>
      <c r="B13" s="66" t="s">
        <v>170</v>
      </c>
      <c r="C13" s="75">
        <f>IFERROR(SUMIF('_Month Engine'!$C$5:$DR$5,C$4,INDEX('_Month Engine'!$C:$DR,MATCH("Renting All-In Basis",'_Month Engine'!$A:$A,0)+MATCH($A13,'_Month Engine'!$B$110:$B$119,0),0))*Input!$C$19/'_IRR Engine'!$Q$7,0)</f>
        <v>2434.937971952535</v>
      </c>
      <c r="D13" s="75">
        <f>IFERROR(SUMIF('_Month Engine'!$C$5:$DR$5,D$4,INDEX('_Month Engine'!$C:$DR,MATCH("Renting All-In Basis",'_Month Engine'!$A:$A,0)+MATCH($A13,'_Month Engine'!$B$110:$B$119,0),0))*Input!$C$19/'_IRR Engine'!$Q$7,0)</f>
        <v>5843.8511326860835</v>
      </c>
      <c r="E13" s="75">
        <f>IFERROR(SUMIF('_Month Engine'!$C$5:$DR$5,E$4,INDEX('_Month Engine'!$C:$DR,MATCH("Renting All-In Basis",'_Month Engine'!$A:$A,0)+MATCH($A13,'_Month Engine'!$B$110:$B$119,0),0))*Input!$C$19/'_IRR Engine'!$Q$7,0)</f>
        <v>2434.937971952535</v>
      </c>
      <c r="F13" s="75">
        <f>IFERROR(SUMIF('_Month Engine'!$C$5:$DR$5,F$4,INDEX('_Month Engine'!$C:$DR,MATCH("Renting All-In Basis",'_Month Engine'!$A:$A,0)+MATCH($A13,'_Month Engine'!$B$110:$B$119,0),0))*Input!$C$19/'_IRR Engine'!$Q$7,0)</f>
        <v>0</v>
      </c>
      <c r="G13" s="75">
        <f>IFERROR(SUMIF('_Month Engine'!$C$5:$DR$5,G$4,INDEX('_Month Engine'!$C:$DR,MATCH("Renting All-In Basis",'_Month Engine'!$A:$A,0)+MATCH($A13,'_Month Engine'!$B$110:$B$119,0),0))*Input!$C$19/'_IRR Engine'!$Q$7,0)</f>
        <v>0</v>
      </c>
      <c r="H13" s="75">
        <f>IFERROR(SUMIF('_Month Engine'!$C$5:$DR$5,H$4,INDEX('_Month Engine'!$C:$DR,MATCH("Renting All-In Basis",'_Month Engine'!$A:$A,0)+MATCH($A13,'_Month Engine'!$B$110:$B$119,0),0))*Input!$C$19/'_IRR Engine'!$Q$7,0)</f>
        <v>0</v>
      </c>
      <c r="I13" s="75">
        <f>IFERROR(SUMIF('_Month Engine'!$C$5:$DR$5,I$4,INDEX('_Month Engine'!$C:$DR,MATCH("Renting All-In Basis",'_Month Engine'!$A:$A,0)+MATCH($A13,'_Month Engine'!$B$110:$B$119,0),0))*Input!$C$19/'_IRR Engine'!$Q$7,0)</f>
        <v>0</v>
      </c>
      <c r="J13" s="75">
        <f>IFERROR(SUMIF('_Month Engine'!$C$5:$DR$5,J$4,INDEX('_Month Engine'!$C:$DR,MATCH("Renting All-In Basis",'_Month Engine'!$A:$A,0)+MATCH($A13,'_Month Engine'!$B$110:$B$119,0),0))*Input!$C$19/'_IRR Engine'!$Q$7,0)</f>
        <v>0</v>
      </c>
      <c r="K13" s="75">
        <f>IFERROR(SUMIF('_Month Engine'!$C$5:$DR$5,K$4,INDEX('_Month Engine'!$C:$DR,MATCH("Renting All-In Basis",'_Month Engine'!$A:$A,0)+MATCH($A13,'_Month Engine'!$B$110:$B$119,0),0))*Input!$C$19/'_IRR Engine'!$Q$7,0)</f>
        <v>0</v>
      </c>
      <c r="L13" s="75">
        <f>IFERROR(SUMIF('_Month Engine'!$C$5:$DR$5,L$4,INDEX('_Month Engine'!$C:$DR,MATCH("Renting All-In Basis",'_Month Engine'!$A:$A,0)+MATCH($A13,'_Month Engine'!$B$110:$B$119,0),0))*Input!$C$19/'_IRR Engine'!$Q$7,0)</f>
        <v>0</v>
      </c>
    </row>
    <row r="14" spans="1:12" ht="18" customHeight="1" x14ac:dyDescent="0.3">
      <c r="A14" s="9">
        <v>1</v>
      </c>
      <c r="B14" s="66" t="s">
        <v>171</v>
      </c>
      <c r="C14" s="75">
        <f>C8*Input!$C$20</f>
        <v>0</v>
      </c>
      <c r="D14" s="75">
        <f>D8*Input!$C$20</f>
        <v>0</v>
      </c>
      <c r="E14" s="75">
        <f>E8*Input!$C$20</f>
        <v>0</v>
      </c>
      <c r="F14" s="75">
        <f>F8*Input!$C$20</f>
        <v>0</v>
      </c>
      <c r="G14" s="75">
        <f>G8*Input!$C$20</f>
        <v>0</v>
      </c>
      <c r="H14" s="75">
        <f>H8*Input!$C$20</f>
        <v>0</v>
      </c>
      <c r="I14" s="75">
        <f>I8*Input!$C$20</f>
        <v>0</v>
      </c>
      <c r="J14" s="75">
        <f>J8*Input!$C$20</f>
        <v>0</v>
      </c>
      <c r="K14" s="75">
        <f>K8*Input!$C$20</f>
        <v>0</v>
      </c>
      <c r="L14" s="75">
        <f>L8*Input!$C$20</f>
        <v>0</v>
      </c>
    </row>
    <row r="15" spans="1:12" x14ac:dyDescent="0.3">
      <c r="A15" s="9">
        <v>1</v>
      </c>
      <c r="B15" s="66" t="s">
        <v>1180</v>
      </c>
      <c r="C15" s="75" cm="1">
        <f t="array" ref="C15">C8*IFERROR(INDEX(Input!$U$80:$U$89,$A15),0)</f>
        <v>318.96281250000004</v>
      </c>
      <c r="D15" s="75" cm="1">
        <f t="array" ref="D15">D8*IFERROR(INDEX(Input!$U$80:$U$89,$A15),0)</f>
        <v>760.14531000000011</v>
      </c>
      <c r="E15" s="75" cm="1">
        <f t="array" ref="E15">E8*IFERROR(INDEX(Input!$U$80:$U$89,$A15),0)</f>
        <v>333.51855705000003</v>
      </c>
      <c r="F15" s="75" cm="1">
        <f t="array" ref="F15">F8*IFERROR(INDEX(Input!$U$80:$U$89,$A15),0)</f>
        <v>0</v>
      </c>
      <c r="G15" s="75" cm="1">
        <f t="array" ref="G15">G8*IFERROR(INDEX(Input!$U$80:$U$89,$A15),0)</f>
        <v>0</v>
      </c>
      <c r="H15" s="75" cm="1">
        <f t="array" ref="H15">H8*IFERROR(INDEX(Input!$U$80:$U$89,$A15),0)</f>
        <v>0</v>
      </c>
      <c r="I15" s="75" cm="1">
        <f t="array" ref="I15">I8*IFERROR(INDEX(Input!$U$80:$U$89,$A15),0)</f>
        <v>0</v>
      </c>
      <c r="J15" s="75" cm="1">
        <f t="array" ref="J15">J8*IFERROR(INDEX(Input!$U$80:$U$89,$A15),0)</f>
        <v>0</v>
      </c>
      <c r="K15" s="75" cm="1">
        <f t="array" ref="K15">K8*IFERROR(INDEX(Input!$U$80:$U$89,$A15),0)</f>
        <v>0</v>
      </c>
      <c r="L15" s="75" cm="1">
        <f t="array" ref="L15">L8*IFERROR(INDEX(Input!$U$80:$U$89,$A15),0)</f>
        <v>0</v>
      </c>
    </row>
    <row r="16" spans="1:12" ht="18" customHeight="1" x14ac:dyDescent="0.3">
      <c r="A16" s="9">
        <v>1</v>
      </c>
      <c r="B16" s="66" t="str">
        <f>"ServCo property management ("&amp;TEXT(Input!$C$31,"0%")&amp;")"</f>
        <v>ServCo property management (20%)</v>
      </c>
      <c r="C16" s="75">
        <f>C8*Input!$C$31</f>
        <v>5103.4050000000007</v>
      </c>
      <c r="D16" s="75">
        <f>D8*Input!$C$31</f>
        <v>12162.324960000002</v>
      </c>
      <c r="E16" s="75">
        <f>E8*Input!$C$31</f>
        <v>5336.2969128000004</v>
      </c>
      <c r="F16" s="75">
        <f>F8*Input!$C$31</f>
        <v>0</v>
      </c>
      <c r="G16" s="75">
        <f>G8*Input!$C$31</f>
        <v>0</v>
      </c>
      <c r="H16" s="75">
        <f>H8*Input!$C$31</f>
        <v>0</v>
      </c>
      <c r="I16" s="75">
        <f>I8*Input!$C$31</f>
        <v>0</v>
      </c>
      <c r="J16" s="75">
        <f>J8*Input!$C$31</f>
        <v>0</v>
      </c>
      <c r="K16" s="75">
        <f>K8*Input!$C$31</f>
        <v>0</v>
      </c>
      <c r="L16" s="75">
        <f>L8*Input!$C$31</f>
        <v>0</v>
      </c>
    </row>
    <row r="17" spans="1:12" ht="18" customHeight="1" x14ac:dyDescent="0.3">
      <c r="A17" s="9">
        <v>1</v>
      </c>
      <c r="B17" s="66" t="s">
        <v>980</v>
      </c>
      <c r="C17" s="75">
        <f>IFERROR(SUMIF('_Month Engine'!$C$5:$DR$5,C$4,INDEX('_Month Engine'!$C:$DR,MATCH("Renting Flag (1 = renting in month)",'_Month Engine'!$A:$A,0)+MATCH($A17,'_Month Engine'!$B$98:$B$107,0),0))*Input!$C$32,0)</f>
        <v>0</v>
      </c>
      <c r="D17" s="75">
        <f>IFERROR(SUMIF('_Month Engine'!$C$5:$DR$5,D$4,INDEX('_Month Engine'!$C:$DR,MATCH("Renting Flag (1 = renting in month)",'_Month Engine'!$A:$A,0)+MATCH($A17,'_Month Engine'!$B$98:$B$107,0),0))*Input!$C$32,0)</f>
        <v>0</v>
      </c>
      <c r="E17" s="75">
        <f>IFERROR(SUMIF('_Month Engine'!$C$5:$DR$5,E$4,INDEX('_Month Engine'!$C:$DR,MATCH("Renting Flag (1 = renting in month)",'_Month Engine'!$A:$A,0)+MATCH($A17,'_Month Engine'!$B$98:$B$107,0),0))*Input!$C$32,0)</f>
        <v>0</v>
      </c>
      <c r="F17" s="75">
        <f>IFERROR(SUMIF('_Month Engine'!$C$5:$DR$5,F$4,INDEX('_Month Engine'!$C:$DR,MATCH("Renting Flag (1 = renting in month)",'_Month Engine'!$A:$A,0)+MATCH($A17,'_Month Engine'!$B$98:$B$107,0),0))*Input!$C$32,0)</f>
        <v>0</v>
      </c>
      <c r="G17" s="75">
        <f>IFERROR(SUMIF('_Month Engine'!$C$5:$DR$5,G$4,INDEX('_Month Engine'!$C:$DR,MATCH("Renting Flag (1 = renting in month)",'_Month Engine'!$A:$A,0)+MATCH($A17,'_Month Engine'!$B$98:$B$107,0),0))*Input!$C$32,0)</f>
        <v>0</v>
      </c>
      <c r="H17" s="75">
        <f>IFERROR(SUMIF('_Month Engine'!$C$5:$DR$5,H$4,INDEX('_Month Engine'!$C:$DR,MATCH("Renting Flag (1 = renting in month)",'_Month Engine'!$A:$A,0)+MATCH($A17,'_Month Engine'!$B$98:$B$107,0),0))*Input!$C$32,0)</f>
        <v>0</v>
      </c>
      <c r="I17" s="75">
        <f>IFERROR(SUMIF('_Month Engine'!$C$5:$DR$5,I$4,INDEX('_Month Engine'!$C:$DR,MATCH("Renting Flag (1 = renting in month)",'_Month Engine'!$A:$A,0)+MATCH($A17,'_Month Engine'!$B$98:$B$107,0),0))*Input!$C$32,0)</f>
        <v>0</v>
      </c>
      <c r="J17" s="75">
        <f>IFERROR(SUMIF('_Month Engine'!$C$5:$DR$5,J$4,INDEX('_Month Engine'!$C:$DR,MATCH("Renting Flag (1 = renting in month)",'_Month Engine'!$A:$A,0)+MATCH($A17,'_Month Engine'!$B$98:$B$107,0),0))*Input!$C$32,0)</f>
        <v>0</v>
      </c>
      <c r="K17" s="75">
        <f>IFERROR(SUMIF('_Month Engine'!$C$5:$DR$5,K$4,INDEX('_Month Engine'!$C:$DR,MATCH("Renting Flag (1 = renting in month)",'_Month Engine'!$A:$A,0)+MATCH($A17,'_Month Engine'!$B$98:$B$107,0),0))*Input!$C$32,0)</f>
        <v>0</v>
      </c>
      <c r="L17" s="75">
        <f>IFERROR(SUMIF('_Month Engine'!$C$5:$DR$5,L$4,INDEX('_Month Engine'!$C:$DR,MATCH("Renting Flag (1 = renting in month)",'_Month Engine'!$A:$A,0)+MATCH($A17,'_Month Engine'!$B$98:$B$107,0),0))*Input!$C$32,0)</f>
        <v>0</v>
      </c>
    </row>
    <row r="18" spans="1:12" ht="18" customHeight="1" x14ac:dyDescent="0.3">
      <c r="A18" s="9">
        <v>1</v>
      </c>
      <c r="B18" s="11" t="s">
        <v>76</v>
      </c>
      <c r="C18" s="68">
        <f t="shared" ref="C18:L18" si="1">SUM(C9:C17)</f>
        <v>27259.308211636999</v>
      </c>
      <c r="D18" s="68">
        <f t="shared" si="1"/>
        <v>40888.408781326856</v>
      </c>
      <c r="E18" s="68">
        <f t="shared" si="1"/>
        <v>17322.289849569526</v>
      </c>
      <c r="F18" s="68">
        <f t="shared" si="1"/>
        <v>0</v>
      </c>
      <c r="G18" s="68">
        <f t="shared" si="1"/>
        <v>0</v>
      </c>
      <c r="H18" s="68">
        <f t="shared" si="1"/>
        <v>0</v>
      </c>
      <c r="I18" s="68">
        <f t="shared" si="1"/>
        <v>0</v>
      </c>
      <c r="J18" s="68">
        <f t="shared" si="1"/>
        <v>0</v>
      </c>
      <c r="K18" s="68">
        <f t="shared" si="1"/>
        <v>0</v>
      </c>
      <c r="L18" s="68">
        <f t="shared" si="1"/>
        <v>0</v>
      </c>
    </row>
    <row r="19" spans="1:12" ht="18" customHeight="1" x14ac:dyDescent="0.3">
      <c r="A19" s="9">
        <v>1</v>
      </c>
      <c r="B19" s="11" t="s">
        <v>172</v>
      </c>
      <c r="C19" s="68">
        <f t="shared" ref="C19:L19" si="2">C8-C18</f>
        <v>-1742.2832116369973</v>
      </c>
      <c r="D19" s="68">
        <f t="shared" si="2"/>
        <v>19923.216018673149</v>
      </c>
      <c r="E19" s="68">
        <f t="shared" si="2"/>
        <v>9359.1947144304722</v>
      </c>
      <c r="F19" s="68">
        <f t="shared" si="2"/>
        <v>0</v>
      </c>
      <c r="G19" s="68">
        <f t="shared" si="2"/>
        <v>0</v>
      </c>
      <c r="H19" s="68">
        <f t="shared" si="2"/>
        <v>0</v>
      </c>
      <c r="I19" s="68">
        <f t="shared" si="2"/>
        <v>0</v>
      </c>
      <c r="J19" s="68">
        <f t="shared" si="2"/>
        <v>0</v>
      </c>
      <c r="K19" s="68">
        <f t="shared" si="2"/>
        <v>0</v>
      </c>
      <c r="L19" s="68">
        <f t="shared" si="2"/>
        <v>0</v>
      </c>
    </row>
    <row r="20" spans="1:12" ht="18" customHeight="1" x14ac:dyDescent="0.3">
      <c r="A20" s="9">
        <v>1</v>
      </c>
      <c r="B20" s="22" t="s">
        <v>173</v>
      </c>
      <c r="C20" s="77">
        <f>SUMIF('_Month Engine'!$C$5:$DR$5,C$4,INDEX('_Month Engine'!$C:$DR,MATCH("Acquisition Outflow (Purchase + Closing)",'_Month Engine'!$A:$A,0)+MATCH($A20,'_Month Engine'!$B$8:$B$17,0),0))+SUMIF('_Month Engine'!$C$5:$DR$5,C$4,INDEX('_Month Engine'!$C:$DR,MATCH("Acquisition Outflow (Purchase + Closing)",'_Month Engine'!$A:$A,0)+MATCH($A20,'_Month Engine'!$B$21:$B$30,0),0))</f>
        <v>1366666.6666666665</v>
      </c>
      <c r="D20" s="77">
        <f>SUMIF('_Month Engine'!$C$5:$DR$5,D$4,INDEX('_Month Engine'!$C:$DR,MATCH("Acquisition Outflow (Purchase + Closing)",'_Month Engine'!$A:$A,0)+MATCH($A20,'_Month Engine'!$B$8:$B$17,0),0))+SUMIF('_Month Engine'!$C$5:$DR$5,D$4,INDEX('_Month Engine'!$C:$DR,MATCH("Acquisition Outflow (Purchase + Closing)",'_Month Engine'!$A:$A,0)+MATCH($A20,'_Month Engine'!$B$21:$B$30,0),0))</f>
        <v>0</v>
      </c>
      <c r="E20" s="77">
        <f>SUMIF('_Month Engine'!$C$5:$DR$5,E$4,INDEX('_Month Engine'!$C:$DR,MATCH("Acquisition Outflow (Purchase + Closing)",'_Month Engine'!$A:$A,0)+MATCH($A20,'_Month Engine'!$B$8:$B$17,0),0))+SUMIF('_Month Engine'!$C$5:$DR$5,E$4,INDEX('_Month Engine'!$C:$DR,MATCH("Acquisition Outflow (Purchase + Closing)",'_Month Engine'!$A:$A,0)+MATCH($A20,'_Month Engine'!$B$21:$B$30,0),0))</f>
        <v>0</v>
      </c>
      <c r="F20" s="77">
        <f>SUMIF('_Month Engine'!$C$5:$DR$5,F$4,INDEX('_Month Engine'!$C:$DR,MATCH("Acquisition Outflow (Purchase + Closing)",'_Month Engine'!$A:$A,0)+MATCH($A20,'_Month Engine'!$B$8:$B$17,0),0))+SUMIF('_Month Engine'!$C$5:$DR$5,F$4,INDEX('_Month Engine'!$C:$DR,MATCH("Acquisition Outflow (Purchase + Closing)",'_Month Engine'!$A:$A,0)+MATCH($A20,'_Month Engine'!$B$21:$B$30,0),0))</f>
        <v>0</v>
      </c>
      <c r="G20" s="77">
        <f>SUMIF('_Month Engine'!$C$5:$DR$5,G$4,INDEX('_Month Engine'!$C:$DR,MATCH("Acquisition Outflow (Purchase + Closing)",'_Month Engine'!$A:$A,0)+MATCH($A20,'_Month Engine'!$B$8:$B$17,0),0))+SUMIF('_Month Engine'!$C$5:$DR$5,G$4,INDEX('_Month Engine'!$C:$DR,MATCH("Acquisition Outflow (Purchase + Closing)",'_Month Engine'!$A:$A,0)+MATCH($A20,'_Month Engine'!$B$21:$B$30,0),0))</f>
        <v>0</v>
      </c>
      <c r="H20" s="77">
        <f>SUMIF('_Month Engine'!$C$5:$DR$5,H$4,INDEX('_Month Engine'!$C:$DR,MATCH("Acquisition Outflow (Purchase + Closing)",'_Month Engine'!$A:$A,0)+MATCH($A20,'_Month Engine'!$B$8:$B$17,0),0))+SUMIF('_Month Engine'!$C$5:$DR$5,H$4,INDEX('_Month Engine'!$C:$DR,MATCH("Acquisition Outflow (Purchase + Closing)",'_Month Engine'!$A:$A,0)+MATCH($A20,'_Month Engine'!$B$21:$B$30,0),0))</f>
        <v>0</v>
      </c>
      <c r="I20" s="77">
        <f>SUMIF('_Month Engine'!$C$5:$DR$5,I$4,INDEX('_Month Engine'!$C:$DR,MATCH("Acquisition Outflow (Purchase + Closing)",'_Month Engine'!$A:$A,0)+MATCH($A20,'_Month Engine'!$B$8:$B$17,0),0))+SUMIF('_Month Engine'!$C$5:$DR$5,I$4,INDEX('_Month Engine'!$C:$DR,MATCH("Acquisition Outflow (Purchase + Closing)",'_Month Engine'!$A:$A,0)+MATCH($A20,'_Month Engine'!$B$21:$B$30,0),0))</f>
        <v>0</v>
      </c>
      <c r="J20" s="77">
        <f>SUMIF('_Month Engine'!$C$5:$DR$5,J$4,INDEX('_Month Engine'!$C:$DR,MATCH("Acquisition Outflow (Purchase + Closing)",'_Month Engine'!$A:$A,0)+MATCH($A20,'_Month Engine'!$B$8:$B$17,0),0))+SUMIF('_Month Engine'!$C$5:$DR$5,J$4,INDEX('_Month Engine'!$C:$DR,MATCH("Acquisition Outflow (Purchase + Closing)",'_Month Engine'!$A:$A,0)+MATCH($A20,'_Month Engine'!$B$21:$B$30,0),0))</f>
        <v>0</v>
      </c>
      <c r="K20" s="77">
        <f>SUMIF('_Month Engine'!$C$5:$DR$5,K$4,INDEX('_Month Engine'!$C:$DR,MATCH("Acquisition Outflow (Purchase + Closing)",'_Month Engine'!$A:$A,0)+MATCH($A20,'_Month Engine'!$B$8:$B$17,0),0))+SUMIF('_Month Engine'!$C$5:$DR$5,K$4,INDEX('_Month Engine'!$C:$DR,MATCH("Acquisition Outflow (Purchase + Closing)",'_Month Engine'!$A:$A,0)+MATCH($A20,'_Month Engine'!$B$21:$B$30,0),0))</f>
        <v>0</v>
      </c>
      <c r="L20" s="77">
        <f>SUMIF('_Month Engine'!$C$5:$DR$5,L$4,INDEX('_Month Engine'!$C:$DR,MATCH("Acquisition Outflow (Purchase + Closing)",'_Month Engine'!$A:$A,0)+MATCH($A20,'_Month Engine'!$B$8:$B$17,0),0))+SUMIF('_Month Engine'!$C$5:$DR$5,L$4,INDEX('_Month Engine'!$C:$DR,MATCH("Acquisition Outflow (Purchase + Closing)",'_Month Engine'!$A:$A,0)+MATCH($A20,'_Month Engine'!$B$21:$B$30,0),0))</f>
        <v>0</v>
      </c>
    </row>
    <row r="21" spans="1:12" ht="34.049999999999997" customHeight="1" x14ac:dyDescent="0.3">
      <c r="A21" s="9">
        <v>1</v>
      </c>
      <c r="B21" s="517" t="s">
        <v>1181</v>
      </c>
      <c r="C21" s="77" cm="1">
        <f t="array" ref="C21">SUMIF('_Month Engine'!$C$5:$DR$5,C$4,INDEX('_Month Engine'!$C:$DR,MATCH("Gross Sale Value",'_Month Engine'!$A:$A,0)+MATCH($A21,'_Month Engine'!$B$61:$B$70,0),0))*(1-Input!$C$15)-IF(SUMIF('_Month Engine'!$C$5:$DR$5,C$4,INDEX('_Month Engine'!$C:$DR,MATCH("Gross Sale Value",'_Month Engine'!$A:$A,0)+MATCH($A21,'_Month Engine'!$B$61:$B$70,0),0))&gt;0,INDEX(Properties!$AD:$AD,$A21+5),0)</f>
        <v>0</v>
      </c>
      <c r="D21" s="77" cm="1">
        <f t="array" ref="D21">SUMIF('_Month Engine'!$C$5:$DR$5,D$4,INDEX('_Month Engine'!$C:$DR,MATCH("Gross Sale Value",'_Month Engine'!$A:$A,0)+MATCH($A21,'_Month Engine'!$B$61:$B$70,0),0))*(1-Input!$C$15)-IF(SUMIF('_Month Engine'!$C$5:$DR$5,D$4,INDEX('_Month Engine'!$C:$DR,MATCH("Gross Sale Value",'_Month Engine'!$A:$A,0)+MATCH($A21,'_Month Engine'!$B$61:$B$70,0),0))&gt;0,INDEX(Properties!$AD:$AD,$A21+5),0)</f>
        <v>0</v>
      </c>
      <c r="E21" s="77" cm="1">
        <f t="array" ref="E21">SUMIF('_Month Engine'!$C$5:$DR$5,E$4,INDEX('_Month Engine'!$C:$DR,MATCH("Gross Sale Value",'_Month Engine'!$A:$A,0)+MATCH($A21,'_Month Engine'!$B$61:$B$70,0),0))*(1-Input!$C$15)-IF(SUMIF('_Month Engine'!$C$5:$DR$5,E$4,INDEX('_Month Engine'!$C:$DR,MATCH("Gross Sale Value",'_Month Engine'!$A:$A,0)+MATCH($A21,'_Month Engine'!$B$61:$B$70,0),0))&gt;0,INDEX(Properties!$AD:$AD,$A21+5),0)</f>
        <v>1840887.0469829438</v>
      </c>
      <c r="F21" s="77" cm="1">
        <f t="array" ref="F21">SUMIF('_Month Engine'!$C$5:$DR$5,F$4,INDEX('_Month Engine'!$C:$DR,MATCH("Gross Sale Value",'_Month Engine'!$A:$A,0)+MATCH($A21,'_Month Engine'!$B$61:$B$70,0),0))*(1-Input!$C$15)-IF(SUMIF('_Month Engine'!$C$5:$DR$5,F$4,INDEX('_Month Engine'!$C:$DR,MATCH("Gross Sale Value",'_Month Engine'!$A:$A,0)+MATCH($A21,'_Month Engine'!$B$61:$B$70,0),0))&gt;0,INDEX(Properties!$AD:$AD,$A21+5),0)</f>
        <v>0</v>
      </c>
      <c r="G21" s="77" cm="1">
        <f t="array" ref="G21">SUMIF('_Month Engine'!$C$5:$DR$5,G$4,INDEX('_Month Engine'!$C:$DR,MATCH("Gross Sale Value",'_Month Engine'!$A:$A,0)+MATCH($A21,'_Month Engine'!$B$61:$B$70,0),0))*(1-Input!$C$15)-IF(SUMIF('_Month Engine'!$C$5:$DR$5,G$4,INDEX('_Month Engine'!$C:$DR,MATCH("Gross Sale Value",'_Month Engine'!$A:$A,0)+MATCH($A21,'_Month Engine'!$B$61:$B$70,0),0))&gt;0,INDEX(Properties!$AD:$AD,$A21+5),0)</f>
        <v>0</v>
      </c>
      <c r="H21" s="77" cm="1">
        <f t="array" ref="H21">SUMIF('_Month Engine'!$C$5:$DR$5,H$4,INDEX('_Month Engine'!$C:$DR,MATCH("Gross Sale Value",'_Month Engine'!$A:$A,0)+MATCH($A21,'_Month Engine'!$B$61:$B$70,0),0))*(1-Input!$C$15)-IF(SUMIF('_Month Engine'!$C$5:$DR$5,H$4,INDEX('_Month Engine'!$C:$DR,MATCH("Gross Sale Value",'_Month Engine'!$A:$A,0)+MATCH($A21,'_Month Engine'!$B$61:$B$70,0),0))&gt;0,INDEX(Properties!$AD:$AD,$A21+5),0)</f>
        <v>0</v>
      </c>
      <c r="I21" s="77" cm="1">
        <f t="array" ref="I21">SUMIF('_Month Engine'!$C$5:$DR$5,I$4,INDEX('_Month Engine'!$C:$DR,MATCH("Gross Sale Value",'_Month Engine'!$A:$A,0)+MATCH($A21,'_Month Engine'!$B$61:$B$70,0),0))*(1-Input!$C$15)-IF(SUMIF('_Month Engine'!$C$5:$DR$5,I$4,INDEX('_Month Engine'!$C:$DR,MATCH("Gross Sale Value",'_Month Engine'!$A:$A,0)+MATCH($A21,'_Month Engine'!$B$61:$B$70,0),0))&gt;0,INDEX(Properties!$AD:$AD,$A21+5),0)</f>
        <v>0</v>
      </c>
      <c r="J21" s="77" cm="1">
        <f t="array" ref="J21">SUMIF('_Month Engine'!$C$5:$DR$5,J$4,INDEX('_Month Engine'!$C:$DR,MATCH("Gross Sale Value",'_Month Engine'!$A:$A,0)+MATCH($A21,'_Month Engine'!$B$61:$B$70,0),0))*(1-Input!$C$15)-IF(SUMIF('_Month Engine'!$C$5:$DR$5,J$4,INDEX('_Month Engine'!$C:$DR,MATCH("Gross Sale Value",'_Month Engine'!$A:$A,0)+MATCH($A21,'_Month Engine'!$B$61:$B$70,0),0))&gt;0,INDEX(Properties!$AD:$AD,$A21+5),0)</f>
        <v>0</v>
      </c>
      <c r="K21" s="77" cm="1">
        <f t="array" ref="K21">SUMIF('_Month Engine'!$C$5:$DR$5,K$4,INDEX('_Month Engine'!$C:$DR,MATCH("Gross Sale Value",'_Month Engine'!$A:$A,0)+MATCH($A21,'_Month Engine'!$B$61:$B$70,0),0))*(1-Input!$C$15)-IF(SUMIF('_Month Engine'!$C$5:$DR$5,K$4,INDEX('_Month Engine'!$C:$DR,MATCH("Gross Sale Value",'_Month Engine'!$A:$A,0)+MATCH($A21,'_Month Engine'!$B$61:$B$70,0),0))&gt;0,INDEX(Properties!$AD:$AD,$A21+5),0)</f>
        <v>0</v>
      </c>
      <c r="L21" s="77" cm="1">
        <f t="array" ref="L21">SUMIF('_Month Engine'!$C$5:$DR$5,L$4,INDEX('_Month Engine'!$C:$DR,MATCH("Gross Sale Value",'_Month Engine'!$A:$A,0)+MATCH($A21,'_Month Engine'!$B$61:$B$70,0),0))*(1-Input!$C$15)-IF(SUMIF('_Month Engine'!$C$5:$DR$5,L$4,INDEX('_Month Engine'!$C:$DR,MATCH("Gross Sale Value",'_Month Engine'!$A:$A,0)+MATCH($A21,'_Month Engine'!$B$61:$B$70,0),0))&gt;0,INDEX(Properties!$AD:$AD,$A21+5),0)</f>
        <v>0</v>
      </c>
    </row>
    <row r="22" spans="1:12" ht="18" customHeight="1" x14ac:dyDescent="0.3">
      <c r="A22" s="9"/>
      <c r="B22" s="9"/>
      <c r="C22" s="66"/>
      <c r="D22" s="66"/>
      <c r="E22" s="66"/>
      <c r="F22" s="66"/>
      <c r="G22" s="66"/>
      <c r="H22" s="66"/>
      <c r="I22" s="66"/>
      <c r="J22" s="66"/>
      <c r="K22" s="66"/>
      <c r="L22" s="66"/>
    </row>
    <row r="23" spans="1:12" ht="19.95" customHeight="1" x14ac:dyDescent="0.3">
      <c r="A23" s="40">
        <v>2</v>
      </c>
      <c r="B23" s="40" t="str" cm="1">
        <f t="array" ref="B23">INDEX(Properties!$E:$E,$A23+5)&amp;"   ·   "&amp;INDEX(Properties!$F:$F,$A23+5)&amp;"   ·   "&amp;INDEX(Properties!$H:$H,$A23+5)</f>
        <v>Fontanar Apto 201 (Penthouse)   ·   El Poblado, Medellín   ·   Signed — closing Sep 2026</v>
      </c>
      <c r="C23" s="67"/>
      <c r="D23" s="67"/>
      <c r="E23" s="67"/>
      <c r="F23" s="67"/>
      <c r="G23" s="67"/>
      <c r="H23" s="67"/>
      <c r="I23" s="67"/>
      <c r="J23" s="67"/>
      <c r="K23" s="67"/>
      <c r="L23" s="67"/>
    </row>
    <row r="24" spans="1:12" ht="18" customHeight="1" x14ac:dyDescent="0.3">
      <c r="A24" s="9">
        <v>2</v>
      </c>
      <c r="B24" s="66" t="s">
        <v>167</v>
      </c>
      <c r="C24" s="75">
        <f>SUMIF('_Month Engine'!$C$5:$DR$5,C$4,INDEX('_Month Engine'!$C:$DR,MATCH("Gross STR Revenue",'_Month Engine'!$A:$A,0)+MATCH($A24,'_Month Engine'!$B$34:$B$43,0),0))</f>
        <v>29441.475000000006</v>
      </c>
      <c r="D24" s="75">
        <f>SUMIF('_Month Engine'!$C$5:$DR$5,D$4,INDEX('_Month Engine'!$C:$DR,MATCH("Gross STR Revenue",'_Month Engine'!$A:$A,0)+MATCH($A24,'_Month Engine'!$B$34:$B$43,0),0))</f>
        <v>60811.624800000005</v>
      </c>
      <c r="E24" s="75">
        <f>SUMIF('_Month Engine'!$C$5:$DR$5,E$4,INDEX('_Month Engine'!$C:$DR,MATCH("Gross STR Revenue",'_Month Engine'!$A:$A,0)+MATCH($A24,'_Month Engine'!$B$34:$B$43,0),0))</f>
        <v>31396.946705999999</v>
      </c>
      <c r="F24" s="75">
        <f>SUMIF('_Month Engine'!$C$5:$DR$5,F$4,INDEX('_Month Engine'!$C:$DR,MATCH("Gross STR Revenue",'_Month Engine'!$A:$A,0)+MATCH($A24,'_Month Engine'!$B$34:$B$43,0),0))</f>
        <v>0</v>
      </c>
      <c r="G24" s="75">
        <f>SUMIF('_Month Engine'!$C$5:$DR$5,G$4,INDEX('_Month Engine'!$C:$DR,MATCH("Gross STR Revenue",'_Month Engine'!$A:$A,0)+MATCH($A24,'_Month Engine'!$B$34:$B$43,0),0))</f>
        <v>0</v>
      </c>
      <c r="H24" s="75">
        <f>SUMIF('_Month Engine'!$C$5:$DR$5,H$4,INDEX('_Month Engine'!$C:$DR,MATCH("Gross STR Revenue",'_Month Engine'!$A:$A,0)+MATCH($A24,'_Month Engine'!$B$34:$B$43,0),0))</f>
        <v>0</v>
      </c>
      <c r="I24" s="75">
        <f>SUMIF('_Month Engine'!$C$5:$DR$5,I$4,INDEX('_Month Engine'!$C:$DR,MATCH("Gross STR Revenue",'_Month Engine'!$A:$A,0)+MATCH($A24,'_Month Engine'!$B$34:$B$43,0),0))</f>
        <v>0</v>
      </c>
      <c r="J24" s="75">
        <f>SUMIF('_Month Engine'!$C$5:$DR$5,J$4,INDEX('_Month Engine'!$C:$DR,MATCH("Gross STR Revenue",'_Month Engine'!$A:$A,0)+MATCH($A24,'_Month Engine'!$B$34:$B$43,0),0))</f>
        <v>0</v>
      </c>
      <c r="K24" s="75">
        <f>SUMIF('_Month Engine'!$C$5:$DR$5,K$4,INDEX('_Month Engine'!$C:$DR,MATCH("Gross STR Revenue",'_Month Engine'!$A:$A,0)+MATCH($A24,'_Month Engine'!$B$34:$B$43,0),0))</f>
        <v>0</v>
      </c>
      <c r="L24" s="75">
        <f>SUMIF('_Month Engine'!$C$5:$DR$5,L$4,INDEX('_Month Engine'!$C:$DR,MATCH("Gross STR Revenue",'_Month Engine'!$A:$A,0)+MATCH($A24,'_Month Engine'!$B$34:$B$43,0),0))</f>
        <v>0</v>
      </c>
    </row>
    <row r="25" spans="1:12" ht="18" customHeight="1" x14ac:dyDescent="0.3">
      <c r="A25" s="9">
        <v>2</v>
      </c>
      <c r="B25" s="66" t="s">
        <v>1179</v>
      </c>
      <c r="C25" s="75" cm="1">
        <f t="array" ref="C25">SUMIF('_Month Engine'!$C$5:$DR$5,C$4,INDEX('_Month Engine'!$C:$DR,MATCH("Owned All-In Basis",'_Month Engine'!$A:$A,0)+MATCH($A25,'_Month Engine'!$B$47:$B$56,0),0))*INDEX(Input!$C$80:$C$89,$A25)/'_IRR Engine'!$Q$7</f>
        <v>9174.7572815533949</v>
      </c>
      <c r="D25" s="75" cm="1">
        <f t="array" ref="D25">SUMIF('_Month Engine'!$C$5:$DR$5,D$4,INDEX('_Month Engine'!$C:$DR,MATCH("Owned All-In Basis",'_Month Engine'!$A:$A,0)+MATCH($A25,'_Month Engine'!$B$47:$B$56,0),0))*INDEX(Input!$C$80:$C$89,$A25)/'_IRR Engine'!$Q$7</f>
        <v>9174.7572815533949</v>
      </c>
      <c r="E25" s="75" cm="1">
        <f t="array" ref="E25">SUMIF('_Month Engine'!$C$5:$DR$5,E$4,INDEX('_Month Engine'!$C:$DR,MATCH("Owned All-In Basis",'_Month Engine'!$A:$A,0)+MATCH($A25,'_Month Engine'!$B$47:$B$56,0),0))*INDEX(Input!$C$80:$C$89,$A25)/'_IRR Engine'!$Q$7</f>
        <v>4587.3786407766984</v>
      </c>
      <c r="F25" s="75" cm="1">
        <f t="array" ref="F25">SUMIF('_Month Engine'!$C$5:$DR$5,F$4,INDEX('_Month Engine'!$C:$DR,MATCH("Owned All-In Basis",'_Month Engine'!$A:$A,0)+MATCH($A25,'_Month Engine'!$B$47:$B$56,0),0))*INDEX(Input!$C$80:$C$89,$A25)/'_IRR Engine'!$Q$7</f>
        <v>0</v>
      </c>
      <c r="G25" s="75" cm="1">
        <f t="array" ref="G25">SUMIF('_Month Engine'!$C$5:$DR$5,G$4,INDEX('_Month Engine'!$C:$DR,MATCH("Owned All-In Basis",'_Month Engine'!$A:$A,0)+MATCH($A25,'_Month Engine'!$B$47:$B$56,0),0))*INDEX(Input!$C$80:$C$89,$A25)/'_IRR Engine'!$Q$7</f>
        <v>0</v>
      </c>
      <c r="H25" s="75" cm="1">
        <f t="array" ref="H25">SUMIF('_Month Engine'!$C$5:$DR$5,H$4,INDEX('_Month Engine'!$C:$DR,MATCH("Owned All-In Basis",'_Month Engine'!$A:$A,0)+MATCH($A25,'_Month Engine'!$B$47:$B$56,0),0))*INDEX(Input!$C$80:$C$89,$A25)/'_IRR Engine'!$Q$7</f>
        <v>0</v>
      </c>
      <c r="I25" s="75" cm="1">
        <f t="array" ref="I25">SUMIF('_Month Engine'!$C$5:$DR$5,I$4,INDEX('_Month Engine'!$C:$DR,MATCH("Owned All-In Basis",'_Month Engine'!$A:$A,0)+MATCH($A25,'_Month Engine'!$B$47:$B$56,0),0))*INDEX(Input!$C$80:$C$89,$A25)/'_IRR Engine'!$Q$7</f>
        <v>0</v>
      </c>
      <c r="J25" s="75" cm="1">
        <f t="array" ref="J25">SUMIF('_Month Engine'!$C$5:$DR$5,J$4,INDEX('_Month Engine'!$C:$DR,MATCH("Owned All-In Basis",'_Month Engine'!$A:$A,0)+MATCH($A25,'_Month Engine'!$B$47:$B$56,0),0))*INDEX(Input!$C$80:$C$89,$A25)/'_IRR Engine'!$Q$7</f>
        <v>0</v>
      </c>
      <c r="K25" s="75" cm="1">
        <f t="array" ref="K25">SUMIF('_Month Engine'!$C$5:$DR$5,K$4,INDEX('_Month Engine'!$C:$DR,MATCH("Owned All-In Basis",'_Month Engine'!$A:$A,0)+MATCH($A25,'_Month Engine'!$B$47:$B$56,0),0))*INDEX(Input!$C$80:$C$89,$A25)/'_IRR Engine'!$Q$7</f>
        <v>0</v>
      </c>
      <c r="L25" s="75" cm="1">
        <f t="array" ref="L25">SUMIF('_Month Engine'!$C$5:$DR$5,L$4,INDEX('_Month Engine'!$C:$DR,MATCH("Owned All-In Basis",'_Month Engine'!$A:$A,0)+MATCH($A25,'_Month Engine'!$B$47:$B$56,0),0))*INDEX(Input!$C$80:$C$89,$A25)/'_IRR Engine'!$Q$7</f>
        <v>0</v>
      </c>
    </row>
    <row r="26" spans="1:12" ht="18" customHeight="1" x14ac:dyDescent="0.3">
      <c r="A26" s="9">
        <v>2</v>
      </c>
      <c r="B26" s="66" t="s">
        <v>72</v>
      </c>
      <c r="C26" s="75">
        <f>SUMIF('_Month Engine'!$C$5:$DR$5,C$4,INDEX('_Month Engine'!$C:$DR,MATCH("Renting All-In Basis",'_Month Engine'!$A:$A,0)+MATCH($A26,'_Month Engine'!$B$110:$B$119,0),0))*Input!$C$18/'_IRR Engine'!$Q$7</f>
        <v>968.1432038834954</v>
      </c>
      <c r="D26" s="75">
        <f>SUMIF('_Month Engine'!$C$5:$DR$5,D$4,INDEX('_Month Engine'!$C:$DR,MATCH("Renting All-In Basis",'_Month Engine'!$A:$A,0)+MATCH($A26,'_Month Engine'!$B$110:$B$119,0),0))*Input!$C$18/'_IRR Engine'!$Q$7</f>
        <v>1936.2864077669901</v>
      </c>
      <c r="E26" s="75">
        <f>SUMIF('_Month Engine'!$C$5:$DR$5,E$4,INDEX('_Month Engine'!$C:$DR,MATCH("Renting All-In Basis",'_Month Engine'!$A:$A,0)+MATCH($A26,'_Month Engine'!$B$110:$B$119,0),0))*Input!$C$18/'_IRR Engine'!$Q$7</f>
        <v>968.1432038834954</v>
      </c>
      <c r="F26" s="75">
        <f>SUMIF('_Month Engine'!$C$5:$DR$5,F$4,INDEX('_Month Engine'!$C:$DR,MATCH("Renting All-In Basis",'_Month Engine'!$A:$A,0)+MATCH($A26,'_Month Engine'!$B$110:$B$119,0),0))*Input!$C$18/'_IRR Engine'!$Q$7</f>
        <v>0</v>
      </c>
      <c r="G26" s="75">
        <f>SUMIF('_Month Engine'!$C$5:$DR$5,G$4,INDEX('_Month Engine'!$C:$DR,MATCH("Renting All-In Basis",'_Month Engine'!$A:$A,0)+MATCH($A26,'_Month Engine'!$B$110:$B$119,0),0))*Input!$C$18/'_IRR Engine'!$Q$7</f>
        <v>0</v>
      </c>
      <c r="H26" s="75">
        <f>SUMIF('_Month Engine'!$C$5:$DR$5,H$4,INDEX('_Month Engine'!$C:$DR,MATCH("Renting All-In Basis",'_Month Engine'!$A:$A,0)+MATCH($A26,'_Month Engine'!$B$110:$B$119,0),0))*Input!$C$18/'_IRR Engine'!$Q$7</f>
        <v>0</v>
      </c>
      <c r="I26" s="75">
        <f>SUMIF('_Month Engine'!$C$5:$DR$5,I$4,INDEX('_Month Engine'!$C:$DR,MATCH("Renting All-In Basis",'_Month Engine'!$A:$A,0)+MATCH($A26,'_Month Engine'!$B$110:$B$119,0),0))*Input!$C$18/'_IRR Engine'!$Q$7</f>
        <v>0</v>
      </c>
      <c r="J26" s="75">
        <f>SUMIF('_Month Engine'!$C$5:$DR$5,J$4,INDEX('_Month Engine'!$C:$DR,MATCH("Renting All-In Basis",'_Month Engine'!$A:$A,0)+MATCH($A26,'_Month Engine'!$B$110:$B$119,0),0))*Input!$C$18/'_IRR Engine'!$Q$7</f>
        <v>0</v>
      </c>
      <c r="K26" s="75">
        <f>SUMIF('_Month Engine'!$C$5:$DR$5,K$4,INDEX('_Month Engine'!$C:$DR,MATCH("Renting All-In Basis",'_Month Engine'!$A:$A,0)+MATCH($A26,'_Month Engine'!$B$110:$B$119,0),0))*Input!$C$18/'_IRR Engine'!$Q$7</f>
        <v>0</v>
      </c>
      <c r="L26" s="75">
        <f>SUMIF('_Month Engine'!$C$5:$DR$5,L$4,INDEX('_Month Engine'!$C:$DR,MATCH("Renting All-In Basis",'_Month Engine'!$A:$A,0)+MATCH($A26,'_Month Engine'!$B$110:$B$119,0),0))*Input!$C$18/'_IRR Engine'!$Q$7</f>
        <v>0</v>
      </c>
    </row>
    <row r="27" spans="1:12" ht="18" customHeight="1" x14ac:dyDescent="0.3">
      <c r="A27" s="9">
        <v>2</v>
      </c>
      <c r="B27" s="66" t="s">
        <v>168</v>
      </c>
      <c r="C27" s="75" cm="1">
        <f t="array" ref="C27">SUMIF('_Month Engine'!$C$5:$DR$5,C$4,INDEX('_Month Engine'!$C:$DR,MATCH("Owned Flag (1 = owned in month)",'_Month Engine'!$A:$A,0)+MATCH($A27,'_Month Engine'!$B$86:$B$95,0),0))*INDEX(Input!$D$80:$D$89,$A27)*1000000/Input!$C$5</f>
        <v>8543.6893203883501</v>
      </c>
      <c r="D27" s="75" cm="1">
        <f t="array" ref="D27">SUMIF('_Month Engine'!$C$5:$DR$5,D$4,INDEX('_Month Engine'!$C:$DR,MATCH("Owned Flag (1 = owned in month)",'_Month Engine'!$A:$A,0)+MATCH($A27,'_Month Engine'!$B$86:$B$95,0),0))*INDEX(Input!$D$80:$D$89,$A27)*1000000/Input!$C$5</f>
        <v>8543.6893203883501</v>
      </c>
      <c r="E27" s="75" cm="1">
        <f t="array" ref="E27">SUMIF('_Month Engine'!$C$5:$DR$5,E$4,INDEX('_Month Engine'!$C:$DR,MATCH("Owned Flag (1 = owned in month)",'_Month Engine'!$A:$A,0)+MATCH($A27,'_Month Engine'!$B$86:$B$95,0),0))*INDEX(Input!$D$80:$D$89,$A27)*1000000/Input!$C$5</f>
        <v>4271.844660194175</v>
      </c>
      <c r="F27" s="75" cm="1">
        <f t="array" ref="F27">SUMIF('_Month Engine'!$C$5:$DR$5,F$4,INDEX('_Month Engine'!$C:$DR,MATCH("Owned Flag (1 = owned in month)",'_Month Engine'!$A:$A,0)+MATCH($A27,'_Month Engine'!$B$86:$B$95,0),0))*INDEX(Input!$D$80:$D$89,$A27)*1000000/Input!$C$5</f>
        <v>0</v>
      </c>
      <c r="G27" s="75" cm="1">
        <f t="array" ref="G27">SUMIF('_Month Engine'!$C$5:$DR$5,G$4,INDEX('_Month Engine'!$C:$DR,MATCH("Owned Flag (1 = owned in month)",'_Month Engine'!$A:$A,0)+MATCH($A27,'_Month Engine'!$B$86:$B$95,0),0))*INDEX(Input!$D$80:$D$89,$A27)*1000000/Input!$C$5</f>
        <v>0</v>
      </c>
      <c r="H27" s="75" cm="1">
        <f t="array" ref="H27">SUMIF('_Month Engine'!$C$5:$DR$5,H$4,INDEX('_Month Engine'!$C:$DR,MATCH("Owned Flag (1 = owned in month)",'_Month Engine'!$A:$A,0)+MATCH($A27,'_Month Engine'!$B$86:$B$95,0),0))*INDEX(Input!$D$80:$D$89,$A27)*1000000/Input!$C$5</f>
        <v>0</v>
      </c>
      <c r="I27" s="75" cm="1">
        <f t="array" ref="I27">SUMIF('_Month Engine'!$C$5:$DR$5,I$4,INDEX('_Month Engine'!$C:$DR,MATCH("Owned Flag (1 = owned in month)",'_Month Engine'!$A:$A,0)+MATCH($A27,'_Month Engine'!$B$86:$B$95,0),0))*INDEX(Input!$D$80:$D$89,$A27)*1000000/Input!$C$5</f>
        <v>0</v>
      </c>
      <c r="J27" s="75" cm="1">
        <f t="array" ref="J27">SUMIF('_Month Engine'!$C$5:$DR$5,J$4,INDEX('_Month Engine'!$C:$DR,MATCH("Owned Flag (1 = owned in month)",'_Month Engine'!$A:$A,0)+MATCH($A27,'_Month Engine'!$B$86:$B$95,0),0))*INDEX(Input!$D$80:$D$89,$A27)*1000000/Input!$C$5</f>
        <v>0</v>
      </c>
      <c r="K27" s="75" cm="1">
        <f t="array" ref="K27">SUMIF('_Month Engine'!$C$5:$DR$5,K$4,INDEX('_Month Engine'!$C:$DR,MATCH("Owned Flag (1 = owned in month)",'_Month Engine'!$A:$A,0)+MATCH($A27,'_Month Engine'!$B$86:$B$95,0),0))*INDEX(Input!$D$80:$D$89,$A27)*1000000/Input!$C$5</f>
        <v>0</v>
      </c>
      <c r="L27" s="75" cm="1">
        <f t="array" ref="L27">SUMIF('_Month Engine'!$C$5:$DR$5,L$4,INDEX('_Month Engine'!$C:$DR,MATCH("Owned Flag (1 = owned in month)",'_Month Engine'!$A:$A,0)+MATCH($A27,'_Month Engine'!$B$86:$B$95,0),0))*INDEX(Input!$D$80:$D$89,$A27)*1000000/Input!$C$5</f>
        <v>0</v>
      </c>
    </row>
    <row r="28" spans="1:12" ht="18" customHeight="1" x14ac:dyDescent="0.3">
      <c r="A28" s="9">
        <v>2</v>
      </c>
      <c r="B28" s="66" t="s">
        <v>169</v>
      </c>
      <c r="C28" s="75" cm="1">
        <f t="array" ref="C28">SUMIF('_Month Engine'!$C$5:$DR$5,C$4,INDEX('_Month Engine'!$C:$DR,MATCH("Owned Flag (1 = owned in month)",'_Month Engine'!$A:$A,0)+MATCH($A28,'_Month Engine'!$B$86:$B$95,0),0))*INDEX(Input!$E$80:$E$89,$A28)*1000000/Input!$C$5</f>
        <v>3883.4951456310678</v>
      </c>
      <c r="D28" s="75" cm="1">
        <f t="array" ref="D28">SUMIF('_Month Engine'!$C$5:$DR$5,D$4,INDEX('_Month Engine'!$C:$DR,MATCH("Owned Flag (1 = owned in month)",'_Month Engine'!$A:$A,0)+MATCH($A28,'_Month Engine'!$B$86:$B$95,0),0))*INDEX(Input!$E$80:$E$89,$A28)*1000000/Input!$C$5</f>
        <v>3883.4951456310678</v>
      </c>
      <c r="E28" s="75" cm="1">
        <f t="array" ref="E28">SUMIF('_Month Engine'!$C$5:$DR$5,E$4,INDEX('_Month Engine'!$C:$DR,MATCH("Owned Flag (1 = owned in month)",'_Month Engine'!$A:$A,0)+MATCH($A28,'_Month Engine'!$B$86:$B$95,0),0))*INDEX(Input!$E$80:$E$89,$A28)*1000000/Input!$C$5</f>
        <v>1941.7475728155339</v>
      </c>
      <c r="F28" s="75" cm="1">
        <f t="array" ref="F28">SUMIF('_Month Engine'!$C$5:$DR$5,F$4,INDEX('_Month Engine'!$C:$DR,MATCH("Owned Flag (1 = owned in month)",'_Month Engine'!$A:$A,0)+MATCH($A28,'_Month Engine'!$B$86:$B$95,0),0))*INDEX(Input!$E$80:$E$89,$A28)*1000000/Input!$C$5</f>
        <v>0</v>
      </c>
      <c r="G28" s="75" cm="1">
        <f t="array" ref="G28">SUMIF('_Month Engine'!$C$5:$DR$5,G$4,INDEX('_Month Engine'!$C:$DR,MATCH("Owned Flag (1 = owned in month)",'_Month Engine'!$A:$A,0)+MATCH($A28,'_Month Engine'!$B$86:$B$95,0),0))*INDEX(Input!$E$80:$E$89,$A28)*1000000/Input!$C$5</f>
        <v>0</v>
      </c>
      <c r="H28" s="75" cm="1">
        <f t="array" ref="H28">SUMIF('_Month Engine'!$C$5:$DR$5,H$4,INDEX('_Month Engine'!$C:$DR,MATCH("Owned Flag (1 = owned in month)",'_Month Engine'!$A:$A,0)+MATCH($A28,'_Month Engine'!$B$86:$B$95,0),0))*INDEX(Input!$E$80:$E$89,$A28)*1000000/Input!$C$5</f>
        <v>0</v>
      </c>
      <c r="I28" s="75" cm="1">
        <f t="array" ref="I28">SUMIF('_Month Engine'!$C$5:$DR$5,I$4,INDEX('_Month Engine'!$C:$DR,MATCH("Owned Flag (1 = owned in month)",'_Month Engine'!$A:$A,0)+MATCH($A28,'_Month Engine'!$B$86:$B$95,0),0))*INDEX(Input!$E$80:$E$89,$A28)*1000000/Input!$C$5</f>
        <v>0</v>
      </c>
      <c r="J28" s="75" cm="1">
        <f t="array" ref="J28">SUMIF('_Month Engine'!$C$5:$DR$5,J$4,INDEX('_Month Engine'!$C:$DR,MATCH("Owned Flag (1 = owned in month)",'_Month Engine'!$A:$A,0)+MATCH($A28,'_Month Engine'!$B$86:$B$95,0),0))*INDEX(Input!$E$80:$E$89,$A28)*1000000/Input!$C$5</f>
        <v>0</v>
      </c>
      <c r="K28" s="75" cm="1">
        <f t="array" ref="K28">SUMIF('_Month Engine'!$C$5:$DR$5,K$4,INDEX('_Month Engine'!$C:$DR,MATCH("Owned Flag (1 = owned in month)",'_Month Engine'!$A:$A,0)+MATCH($A28,'_Month Engine'!$B$86:$B$95,0),0))*INDEX(Input!$E$80:$E$89,$A28)*1000000/Input!$C$5</f>
        <v>0</v>
      </c>
      <c r="L28" s="75" cm="1">
        <f t="array" ref="L28">SUMIF('_Month Engine'!$C$5:$DR$5,L$4,INDEX('_Month Engine'!$C:$DR,MATCH("Owned Flag (1 = owned in month)",'_Month Engine'!$A:$A,0)+MATCH($A28,'_Month Engine'!$B$86:$B$95,0),0))*INDEX(Input!$E$80:$E$89,$A28)*1000000/Input!$C$5</f>
        <v>0</v>
      </c>
    </row>
    <row r="29" spans="1:12" ht="18" customHeight="1" x14ac:dyDescent="0.3">
      <c r="A29" s="9">
        <v>2</v>
      </c>
      <c r="B29" s="66" t="s">
        <v>170</v>
      </c>
      <c r="C29" s="75">
        <f>IFERROR(SUMIF('_Month Engine'!$C$5:$DR$5,C$4,INDEX('_Month Engine'!$C:$DR,MATCH("Renting All-In Basis",'_Month Engine'!$A:$A,0)+MATCH($A29,'_Month Engine'!$B$110:$B$119,0),0))*Input!$C$19/'_IRR Engine'!$Q$7,0)</f>
        <v>3227.1440129449843</v>
      </c>
      <c r="D29" s="75">
        <f>IFERROR(SUMIF('_Month Engine'!$C$5:$DR$5,D$4,INDEX('_Month Engine'!$C:$DR,MATCH("Renting All-In Basis",'_Month Engine'!$A:$A,0)+MATCH($A29,'_Month Engine'!$B$110:$B$119,0),0))*Input!$C$19/'_IRR Engine'!$Q$7,0)</f>
        <v>6454.2880258899677</v>
      </c>
      <c r="E29" s="75">
        <f>IFERROR(SUMIF('_Month Engine'!$C$5:$DR$5,E$4,INDEX('_Month Engine'!$C:$DR,MATCH("Renting All-In Basis",'_Month Engine'!$A:$A,0)+MATCH($A29,'_Month Engine'!$B$110:$B$119,0),0))*Input!$C$19/'_IRR Engine'!$Q$7,0)</f>
        <v>3227.1440129449843</v>
      </c>
      <c r="F29" s="75">
        <f>IFERROR(SUMIF('_Month Engine'!$C$5:$DR$5,F$4,INDEX('_Month Engine'!$C:$DR,MATCH("Renting All-In Basis",'_Month Engine'!$A:$A,0)+MATCH($A29,'_Month Engine'!$B$110:$B$119,0),0))*Input!$C$19/'_IRR Engine'!$Q$7,0)</f>
        <v>0</v>
      </c>
      <c r="G29" s="75">
        <f>IFERROR(SUMIF('_Month Engine'!$C$5:$DR$5,G$4,INDEX('_Month Engine'!$C:$DR,MATCH("Renting All-In Basis",'_Month Engine'!$A:$A,0)+MATCH($A29,'_Month Engine'!$B$110:$B$119,0),0))*Input!$C$19/'_IRR Engine'!$Q$7,0)</f>
        <v>0</v>
      </c>
      <c r="H29" s="75">
        <f>IFERROR(SUMIF('_Month Engine'!$C$5:$DR$5,H$4,INDEX('_Month Engine'!$C:$DR,MATCH("Renting All-In Basis",'_Month Engine'!$A:$A,0)+MATCH($A29,'_Month Engine'!$B$110:$B$119,0),0))*Input!$C$19/'_IRR Engine'!$Q$7,0)</f>
        <v>0</v>
      </c>
      <c r="I29" s="75">
        <f>IFERROR(SUMIF('_Month Engine'!$C$5:$DR$5,I$4,INDEX('_Month Engine'!$C:$DR,MATCH("Renting All-In Basis",'_Month Engine'!$A:$A,0)+MATCH($A29,'_Month Engine'!$B$110:$B$119,0),0))*Input!$C$19/'_IRR Engine'!$Q$7,0)</f>
        <v>0</v>
      </c>
      <c r="J29" s="75">
        <f>IFERROR(SUMIF('_Month Engine'!$C$5:$DR$5,J$4,INDEX('_Month Engine'!$C:$DR,MATCH("Renting All-In Basis",'_Month Engine'!$A:$A,0)+MATCH($A29,'_Month Engine'!$B$110:$B$119,0),0))*Input!$C$19/'_IRR Engine'!$Q$7,0)</f>
        <v>0</v>
      </c>
      <c r="K29" s="75">
        <f>IFERROR(SUMIF('_Month Engine'!$C$5:$DR$5,K$4,INDEX('_Month Engine'!$C:$DR,MATCH("Renting All-In Basis",'_Month Engine'!$A:$A,0)+MATCH($A29,'_Month Engine'!$B$110:$B$119,0),0))*Input!$C$19/'_IRR Engine'!$Q$7,0)</f>
        <v>0</v>
      </c>
      <c r="L29" s="75">
        <f>IFERROR(SUMIF('_Month Engine'!$C$5:$DR$5,L$4,INDEX('_Month Engine'!$C:$DR,MATCH("Renting All-In Basis",'_Month Engine'!$A:$A,0)+MATCH($A29,'_Month Engine'!$B$110:$B$119,0),0))*Input!$C$19/'_IRR Engine'!$Q$7,0)</f>
        <v>0</v>
      </c>
    </row>
    <row r="30" spans="1:12" ht="18" customHeight="1" x14ac:dyDescent="0.3">
      <c r="A30" s="9">
        <v>2</v>
      </c>
      <c r="B30" s="66" t="s">
        <v>171</v>
      </c>
      <c r="C30" s="75">
        <f>C24*Input!$C$20</f>
        <v>0</v>
      </c>
      <c r="D30" s="75">
        <f>D24*Input!$C$20</f>
        <v>0</v>
      </c>
      <c r="E30" s="75">
        <f>E24*Input!$C$20</f>
        <v>0</v>
      </c>
      <c r="F30" s="75">
        <f>F24*Input!$C$20</f>
        <v>0</v>
      </c>
      <c r="G30" s="75">
        <f>G24*Input!$C$20</f>
        <v>0</v>
      </c>
      <c r="H30" s="75">
        <f>H24*Input!$C$20</f>
        <v>0</v>
      </c>
      <c r="I30" s="75">
        <f>I24*Input!$C$20</f>
        <v>0</v>
      </c>
      <c r="J30" s="75">
        <f>J24*Input!$C$20</f>
        <v>0</v>
      </c>
      <c r="K30" s="75">
        <f>K24*Input!$C$20</f>
        <v>0</v>
      </c>
      <c r="L30" s="75">
        <f>L24*Input!$C$20</f>
        <v>0</v>
      </c>
    </row>
    <row r="31" spans="1:12" x14ac:dyDescent="0.3">
      <c r="A31" s="9">
        <v>2</v>
      </c>
      <c r="B31" s="66" t="s">
        <v>1180</v>
      </c>
      <c r="C31" s="75" cm="1">
        <f t="array" ref="C31">C24*IFERROR(INDEX(Input!$U$80:$U$89,$A31),0)</f>
        <v>368.01843750000012</v>
      </c>
      <c r="D31" s="75" cm="1">
        <f t="array" ref="D31">D24*IFERROR(INDEX(Input!$U$80:$U$89,$A31),0)</f>
        <v>760.14531000000011</v>
      </c>
      <c r="E31" s="75" cm="1">
        <f t="array" ref="E31">E24*IFERROR(INDEX(Input!$U$80:$U$89,$A31),0)</f>
        <v>392.46183382499999</v>
      </c>
      <c r="F31" s="75" cm="1">
        <f t="array" ref="F31">F24*IFERROR(INDEX(Input!$U$80:$U$89,$A31),0)</f>
        <v>0</v>
      </c>
      <c r="G31" s="75" cm="1">
        <f t="array" ref="G31">G24*IFERROR(INDEX(Input!$U$80:$U$89,$A31),0)</f>
        <v>0</v>
      </c>
      <c r="H31" s="75" cm="1">
        <f t="array" ref="H31">H24*IFERROR(INDEX(Input!$U$80:$U$89,$A31),0)</f>
        <v>0</v>
      </c>
      <c r="I31" s="75" cm="1">
        <f t="array" ref="I31">I24*IFERROR(INDEX(Input!$U$80:$U$89,$A31),0)</f>
        <v>0</v>
      </c>
      <c r="J31" s="75" cm="1">
        <f t="array" ref="J31">J24*IFERROR(INDEX(Input!$U$80:$U$89,$A31),0)</f>
        <v>0</v>
      </c>
      <c r="K31" s="75" cm="1">
        <f t="array" ref="K31">K24*IFERROR(INDEX(Input!$U$80:$U$89,$A31),0)</f>
        <v>0</v>
      </c>
      <c r="L31" s="75" cm="1">
        <f t="array" ref="L31">L24*IFERROR(INDEX(Input!$U$80:$U$89,$A31),0)</f>
        <v>0</v>
      </c>
    </row>
    <row r="32" spans="1:12" ht="18" customHeight="1" x14ac:dyDescent="0.3">
      <c r="A32" s="9">
        <v>2</v>
      </c>
      <c r="B32" s="66" t="str">
        <f>"ServCo property management ("&amp;TEXT(Input!$C$31,"0%")&amp;")"</f>
        <v>ServCo property management (20%)</v>
      </c>
      <c r="C32" s="75">
        <f>C24*Input!$C$31</f>
        <v>5888.2950000000019</v>
      </c>
      <c r="D32" s="75">
        <f>D24*Input!$C$31</f>
        <v>12162.324960000002</v>
      </c>
      <c r="E32" s="75">
        <f>E24*Input!$C$31</f>
        <v>6279.3893411999998</v>
      </c>
      <c r="F32" s="75">
        <f>F24*Input!$C$31</f>
        <v>0</v>
      </c>
      <c r="G32" s="75">
        <f>G24*Input!$C$31</f>
        <v>0</v>
      </c>
      <c r="H32" s="75">
        <f>H24*Input!$C$31</f>
        <v>0</v>
      </c>
      <c r="I32" s="75">
        <f>I24*Input!$C$31</f>
        <v>0</v>
      </c>
      <c r="J32" s="75">
        <f>J24*Input!$C$31</f>
        <v>0</v>
      </c>
      <c r="K32" s="75">
        <f>K24*Input!$C$31</f>
        <v>0</v>
      </c>
      <c r="L32" s="75">
        <f>L24*Input!$C$31</f>
        <v>0</v>
      </c>
    </row>
    <row r="33" spans="1:12" ht="18" customHeight="1" x14ac:dyDescent="0.3">
      <c r="A33" s="9">
        <v>2</v>
      </c>
      <c r="B33" s="66" t="s">
        <v>980</v>
      </c>
      <c r="C33" s="75">
        <f>IFERROR(SUMIF('_Month Engine'!$C$5:$DR$5,C$4,INDEX('_Month Engine'!$C:$DR,MATCH("Renting Flag (1 = renting in month)",'_Month Engine'!$A:$A,0)+MATCH($A33,'_Month Engine'!$B$98:$B$107,0),0))*Input!$C$32,0)</f>
        <v>0</v>
      </c>
      <c r="D33" s="75">
        <f>IFERROR(SUMIF('_Month Engine'!$C$5:$DR$5,D$4,INDEX('_Month Engine'!$C:$DR,MATCH("Renting Flag (1 = renting in month)",'_Month Engine'!$A:$A,0)+MATCH($A33,'_Month Engine'!$B$98:$B$107,0),0))*Input!$C$32,0)</f>
        <v>0</v>
      </c>
      <c r="E33" s="75">
        <f>IFERROR(SUMIF('_Month Engine'!$C$5:$DR$5,E$4,INDEX('_Month Engine'!$C:$DR,MATCH("Renting Flag (1 = renting in month)",'_Month Engine'!$A:$A,0)+MATCH($A33,'_Month Engine'!$B$98:$B$107,0),0))*Input!$C$32,0)</f>
        <v>0</v>
      </c>
      <c r="F33" s="75">
        <f>IFERROR(SUMIF('_Month Engine'!$C$5:$DR$5,F$4,INDEX('_Month Engine'!$C:$DR,MATCH("Renting Flag (1 = renting in month)",'_Month Engine'!$A:$A,0)+MATCH($A33,'_Month Engine'!$B$98:$B$107,0),0))*Input!$C$32,0)</f>
        <v>0</v>
      </c>
      <c r="G33" s="75">
        <f>IFERROR(SUMIF('_Month Engine'!$C$5:$DR$5,G$4,INDEX('_Month Engine'!$C:$DR,MATCH("Renting Flag (1 = renting in month)",'_Month Engine'!$A:$A,0)+MATCH($A33,'_Month Engine'!$B$98:$B$107,0),0))*Input!$C$32,0)</f>
        <v>0</v>
      </c>
      <c r="H33" s="75">
        <f>IFERROR(SUMIF('_Month Engine'!$C$5:$DR$5,H$4,INDEX('_Month Engine'!$C:$DR,MATCH("Renting Flag (1 = renting in month)",'_Month Engine'!$A:$A,0)+MATCH($A33,'_Month Engine'!$B$98:$B$107,0),0))*Input!$C$32,0)</f>
        <v>0</v>
      </c>
      <c r="I33" s="75">
        <f>IFERROR(SUMIF('_Month Engine'!$C$5:$DR$5,I$4,INDEX('_Month Engine'!$C:$DR,MATCH("Renting Flag (1 = renting in month)",'_Month Engine'!$A:$A,0)+MATCH($A33,'_Month Engine'!$B$98:$B$107,0),0))*Input!$C$32,0)</f>
        <v>0</v>
      </c>
      <c r="J33" s="75">
        <f>IFERROR(SUMIF('_Month Engine'!$C$5:$DR$5,J$4,INDEX('_Month Engine'!$C:$DR,MATCH("Renting Flag (1 = renting in month)",'_Month Engine'!$A:$A,0)+MATCH($A33,'_Month Engine'!$B$98:$B$107,0),0))*Input!$C$32,0)</f>
        <v>0</v>
      </c>
      <c r="K33" s="75">
        <f>IFERROR(SUMIF('_Month Engine'!$C$5:$DR$5,K$4,INDEX('_Month Engine'!$C:$DR,MATCH("Renting Flag (1 = renting in month)",'_Month Engine'!$A:$A,0)+MATCH($A33,'_Month Engine'!$B$98:$B$107,0),0))*Input!$C$32,0)</f>
        <v>0</v>
      </c>
      <c r="L33" s="75">
        <f>IFERROR(SUMIF('_Month Engine'!$C$5:$DR$5,L$4,INDEX('_Month Engine'!$C:$DR,MATCH("Renting Flag (1 = renting in month)",'_Month Engine'!$A:$A,0)+MATCH($A33,'_Month Engine'!$B$98:$B$107,0),0))*Input!$C$32,0)</f>
        <v>0</v>
      </c>
    </row>
    <row r="34" spans="1:12" ht="18" customHeight="1" x14ac:dyDescent="0.3">
      <c r="A34" s="9">
        <v>2</v>
      </c>
      <c r="B34" s="11" t="s">
        <v>76</v>
      </c>
      <c r="C34" s="68">
        <f t="shared" ref="C34:L34" si="3">SUM(C25:C33)</f>
        <v>32053.542401901293</v>
      </c>
      <c r="D34" s="68">
        <f t="shared" si="3"/>
        <v>42914.986451229764</v>
      </c>
      <c r="E34" s="68">
        <f t="shared" si="3"/>
        <v>21668.109265639887</v>
      </c>
      <c r="F34" s="68">
        <f t="shared" si="3"/>
        <v>0</v>
      </c>
      <c r="G34" s="68">
        <f t="shared" si="3"/>
        <v>0</v>
      </c>
      <c r="H34" s="68">
        <f t="shared" si="3"/>
        <v>0</v>
      </c>
      <c r="I34" s="68">
        <f t="shared" si="3"/>
        <v>0</v>
      </c>
      <c r="J34" s="68">
        <f t="shared" si="3"/>
        <v>0</v>
      </c>
      <c r="K34" s="68">
        <f t="shared" si="3"/>
        <v>0</v>
      </c>
      <c r="L34" s="68">
        <f t="shared" si="3"/>
        <v>0</v>
      </c>
    </row>
    <row r="35" spans="1:12" ht="18" customHeight="1" x14ac:dyDescent="0.3">
      <c r="A35" s="9">
        <v>2</v>
      </c>
      <c r="B35" s="11" t="s">
        <v>172</v>
      </c>
      <c r="C35" s="68">
        <f t="shared" ref="C35:L35" si="4">C24-C34</f>
        <v>-2612.0674019012877</v>
      </c>
      <c r="D35" s="68">
        <f t="shared" si="4"/>
        <v>17896.638348770241</v>
      </c>
      <c r="E35" s="68">
        <f t="shared" si="4"/>
        <v>9728.8374403601119</v>
      </c>
      <c r="F35" s="68">
        <f t="shared" si="4"/>
        <v>0</v>
      </c>
      <c r="G35" s="68">
        <f t="shared" si="4"/>
        <v>0</v>
      </c>
      <c r="H35" s="68">
        <f t="shared" si="4"/>
        <v>0</v>
      </c>
      <c r="I35" s="68">
        <f t="shared" si="4"/>
        <v>0</v>
      </c>
      <c r="J35" s="68">
        <f t="shared" si="4"/>
        <v>0</v>
      </c>
      <c r="K35" s="68">
        <f t="shared" si="4"/>
        <v>0</v>
      </c>
      <c r="L35" s="68">
        <f t="shared" si="4"/>
        <v>0</v>
      </c>
    </row>
    <row r="36" spans="1:12" ht="18" customHeight="1" x14ac:dyDescent="0.3">
      <c r="A36" s="9">
        <v>2</v>
      </c>
      <c r="B36" s="22" t="s">
        <v>173</v>
      </c>
      <c r="C36" s="77">
        <f>SUMIF('_Month Engine'!$C$5:$DR$5,C$4,INDEX('_Month Engine'!$C:$DR,MATCH("Acquisition Outflow (Purchase + Closing)",'_Month Engine'!$A:$A,0)+MATCH($A36,'_Month Engine'!$B$8:$B$17,0),0))+SUMIF('_Month Engine'!$C$5:$DR$5,C$4,INDEX('_Month Engine'!$C:$DR,MATCH("Acquisition Outflow (Purchase + Closing)",'_Month Engine'!$A:$A,0)+MATCH($A36,'_Month Engine'!$B$21:$B$30,0),0))</f>
        <v>2089805.8252427184</v>
      </c>
      <c r="D36" s="77">
        <f>SUMIF('_Month Engine'!$C$5:$DR$5,D$4,INDEX('_Month Engine'!$C:$DR,MATCH("Acquisition Outflow (Purchase + Closing)",'_Month Engine'!$A:$A,0)+MATCH($A36,'_Month Engine'!$B$8:$B$17,0),0))+SUMIF('_Month Engine'!$C$5:$DR$5,D$4,INDEX('_Month Engine'!$C:$DR,MATCH("Acquisition Outflow (Purchase + Closing)",'_Month Engine'!$A:$A,0)+MATCH($A36,'_Month Engine'!$B$21:$B$30,0),0))</f>
        <v>0</v>
      </c>
      <c r="E36" s="77">
        <f>SUMIF('_Month Engine'!$C$5:$DR$5,E$4,INDEX('_Month Engine'!$C:$DR,MATCH("Acquisition Outflow (Purchase + Closing)",'_Month Engine'!$A:$A,0)+MATCH($A36,'_Month Engine'!$B$8:$B$17,0),0))+SUMIF('_Month Engine'!$C$5:$DR$5,E$4,INDEX('_Month Engine'!$C:$DR,MATCH("Acquisition Outflow (Purchase + Closing)",'_Month Engine'!$A:$A,0)+MATCH($A36,'_Month Engine'!$B$21:$B$30,0),0))</f>
        <v>0</v>
      </c>
      <c r="F36" s="77">
        <f>SUMIF('_Month Engine'!$C$5:$DR$5,F$4,INDEX('_Month Engine'!$C:$DR,MATCH("Acquisition Outflow (Purchase + Closing)",'_Month Engine'!$A:$A,0)+MATCH($A36,'_Month Engine'!$B$8:$B$17,0),0))+SUMIF('_Month Engine'!$C$5:$DR$5,F$4,INDEX('_Month Engine'!$C:$DR,MATCH("Acquisition Outflow (Purchase + Closing)",'_Month Engine'!$A:$A,0)+MATCH($A36,'_Month Engine'!$B$21:$B$30,0),0))</f>
        <v>0</v>
      </c>
      <c r="G36" s="77">
        <f>SUMIF('_Month Engine'!$C$5:$DR$5,G$4,INDEX('_Month Engine'!$C:$DR,MATCH("Acquisition Outflow (Purchase + Closing)",'_Month Engine'!$A:$A,0)+MATCH($A36,'_Month Engine'!$B$8:$B$17,0),0))+SUMIF('_Month Engine'!$C$5:$DR$5,G$4,INDEX('_Month Engine'!$C:$DR,MATCH("Acquisition Outflow (Purchase + Closing)",'_Month Engine'!$A:$A,0)+MATCH($A36,'_Month Engine'!$B$21:$B$30,0),0))</f>
        <v>0</v>
      </c>
      <c r="H36" s="77">
        <f>SUMIF('_Month Engine'!$C$5:$DR$5,H$4,INDEX('_Month Engine'!$C:$DR,MATCH("Acquisition Outflow (Purchase + Closing)",'_Month Engine'!$A:$A,0)+MATCH($A36,'_Month Engine'!$B$8:$B$17,0),0))+SUMIF('_Month Engine'!$C$5:$DR$5,H$4,INDEX('_Month Engine'!$C:$DR,MATCH("Acquisition Outflow (Purchase + Closing)",'_Month Engine'!$A:$A,0)+MATCH($A36,'_Month Engine'!$B$21:$B$30,0),0))</f>
        <v>0</v>
      </c>
      <c r="I36" s="77">
        <f>SUMIF('_Month Engine'!$C$5:$DR$5,I$4,INDEX('_Month Engine'!$C:$DR,MATCH("Acquisition Outflow (Purchase + Closing)",'_Month Engine'!$A:$A,0)+MATCH($A36,'_Month Engine'!$B$8:$B$17,0),0))+SUMIF('_Month Engine'!$C$5:$DR$5,I$4,INDEX('_Month Engine'!$C:$DR,MATCH("Acquisition Outflow (Purchase + Closing)",'_Month Engine'!$A:$A,0)+MATCH($A36,'_Month Engine'!$B$21:$B$30,0),0))</f>
        <v>0</v>
      </c>
      <c r="J36" s="77">
        <f>SUMIF('_Month Engine'!$C$5:$DR$5,J$4,INDEX('_Month Engine'!$C:$DR,MATCH("Acquisition Outflow (Purchase + Closing)",'_Month Engine'!$A:$A,0)+MATCH($A36,'_Month Engine'!$B$8:$B$17,0),0))+SUMIF('_Month Engine'!$C$5:$DR$5,J$4,INDEX('_Month Engine'!$C:$DR,MATCH("Acquisition Outflow (Purchase + Closing)",'_Month Engine'!$A:$A,0)+MATCH($A36,'_Month Engine'!$B$21:$B$30,0),0))</f>
        <v>0</v>
      </c>
      <c r="K36" s="77">
        <f>SUMIF('_Month Engine'!$C$5:$DR$5,K$4,INDEX('_Month Engine'!$C:$DR,MATCH("Acquisition Outflow (Purchase + Closing)",'_Month Engine'!$A:$A,0)+MATCH($A36,'_Month Engine'!$B$8:$B$17,0),0))+SUMIF('_Month Engine'!$C$5:$DR$5,K$4,INDEX('_Month Engine'!$C:$DR,MATCH("Acquisition Outflow (Purchase + Closing)",'_Month Engine'!$A:$A,0)+MATCH($A36,'_Month Engine'!$B$21:$B$30,0),0))</f>
        <v>0</v>
      </c>
      <c r="L36" s="77">
        <f>SUMIF('_Month Engine'!$C$5:$DR$5,L$4,INDEX('_Month Engine'!$C:$DR,MATCH("Acquisition Outflow (Purchase + Closing)",'_Month Engine'!$A:$A,0)+MATCH($A36,'_Month Engine'!$B$8:$B$17,0),0))+SUMIF('_Month Engine'!$C$5:$DR$5,L$4,INDEX('_Month Engine'!$C:$DR,MATCH("Acquisition Outflow (Purchase + Closing)",'_Month Engine'!$A:$A,0)+MATCH($A36,'_Month Engine'!$B$21:$B$30,0),0))</f>
        <v>0</v>
      </c>
    </row>
    <row r="37" spans="1:12" ht="34.049999999999997" customHeight="1" x14ac:dyDescent="0.3">
      <c r="A37" s="9">
        <v>2</v>
      </c>
      <c r="B37" s="517" t="s">
        <v>1181</v>
      </c>
      <c r="C37" s="77" cm="1">
        <f t="array" ref="C37">SUMIF('_Month Engine'!$C$5:$DR$5,C$4,INDEX('_Month Engine'!$C:$DR,MATCH("Gross Sale Value",'_Month Engine'!$A:$A,0)+MATCH($A37,'_Month Engine'!$B$61:$B$70,0),0))*(1-Input!$C$15)-IF(SUMIF('_Month Engine'!$C$5:$DR$5,C$4,INDEX('_Month Engine'!$C:$DR,MATCH("Gross Sale Value",'_Month Engine'!$A:$A,0)+MATCH($A37,'_Month Engine'!$B$61:$B$70,0),0))&gt;0,INDEX(Properties!$AD:$AD,$A37+5),0)</f>
        <v>0</v>
      </c>
      <c r="D37" s="77" cm="1">
        <f t="array" ref="D37">SUMIF('_Month Engine'!$C$5:$DR$5,D$4,INDEX('_Month Engine'!$C:$DR,MATCH("Gross Sale Value",'_Month Engine'!$A:$A,0)+MATCH($A37,'_Month Engine'!$B$61:$B$70,0),0))*(1-Input!$C$15)-IF(SUMIF('_Month Engine'!$C$5:$DR$5,D$4,INDEX('_Month Engine'!$C:$DR,MATCH("Gross Sale Value",'_Month Engine'!$A:$A,0)+MATCH($A37,'_Month Engine'!$B$61:$B$70,0),0))&gt;0,INDEX(Properties!$AD:$AD,$A37+5),0)</f>
        <v>0</v>
      </c>
      <c r="E37" s="77" cm="1">
        <f t="array" ref="E37">SUMIF('_Month Engine'!$C$5:$DR$5,E$4,INDEX('_Month Engine'!$C:$DR,MATCH("Gross Sale Value",'_Month Engine'!$A:$A,0)+MATCH($A37,'_Month Engine'!$B$61:$B$70,0),0))*(1-Input!$C$15)-IF(SUMIF('_Month Engine'!$C$5:$DR$5,E$4,INDEX('_Month Engine'!$C:$DR,MATCH("Gross Sale Value",'_Month Engine'!$A:$A,0)+MATCH($A37,'_Month Engine'!$B$61:$B$70,0),0))&gt;0,INDEX(Properties!$AD:$AD,$A37+5),0)</f>
        <v>2059304.6820161794</v>
      </c>
      <c r="F37" s="77" cm="1">
        <f t="array" ref="F37">SUMIF('_Month Engine'!$C$5:$DR$5,F$4,INDEX('_Month Engine'!$C:$DR,MATCH("Gross Sale Value",'_Month Engine'!$A:$A,0)+MATCH($A37,'_Month Engine'!$B$61:$B$70,0),0))*(1-Input!$C$15)-IF(SUMIF('_Month Engine'!$C$5:$DR$5,F$4,INDEX('_Month Engine'!$C:$DR,MATCH("Gross Sale Value",'_Month Engine'!$A:$A,0)+MATCH($A37,'_Month Engine'!$B$61:$B$70,0),0))&gt;0,INDEX(Properties!$AD:$AD,$A37+5),0)</f>
        <v>0</v>
      </c>
      <c r="G37" s="77" cm="1">
        <f t="array" ref="G37">SUMIF('_Month Engine'!$C$5:$DR$5,G$4,INDEX('_Month Engine'!$C:$DR,MATCH("Gross Sale Value",'_Month Engine'!$A:$A,0)+MATCH($A37,'_Month Engine'!$B$61:$B$70,0),0))*(1-Input!$C$15)-IF(SUMIF('_Month Engine'!$C$5:$DR$5,G$4,INDEX('_Month Engine'!$C:$DR,MATCH("Gross Sale Value",'_Month Engine'!$A:$A,0)+MATCH($A37,'_Month Engine'!$B$61:$B$70,0),0))&gt;0,INDEX(Properties!$AD:$AD,$A37+5),0)</f>
        <v>0</v>
      </c>
      <c r="H37" s="77" cm="1">
        <f t="array" ref="H37">SUMIF('_Month Engine'!$C$5:$DR$5,H$4,INDEX('_Month Engine'!$C:$DR,MATCH("Gross Sale Value",'_Month Engine'!$A:$A,0)+MATCH($A37,'_Month Engine'!$B$61:$B$70,0),0))*(1-Input!$C$15)-IF(SUMIF('_Month Engine'!$C$5:$DR$5,H$4,INDEX('_Month Engine'!$C:$DR,MATCH("Gross Sale Value",'_Month Engine'!$A:$A,0)+MATCH($A37,'_Month Engine'!$B$61:$B$70,0),0))&gt;0,INDEX(Properties!$AD:$AD,$A37+5),0)</f>
        <v>0</v>
      </c>
      <c r="I37" s="77" cm="1">
        <f t="array" ref="I37">SUMIF('_Month Engine'!$C$5:$DR$5,I$4,INDEX('_Month Engine'!$C:$DR,MATCH("Gross Sale Value",'_Month Engine'!$A:$A,0)+MATCH($A37,'_Month Engine'!$B$61:$B$70,0),0))*(1-Input!$C$15)-IF(SUMIF('_Month Engine'!$C$5:$DR$5,I$4,INDEX('_Month Engine'!$C:$DR,MATCH("Gross Sale Value",'_Month Engine'!$A:$A,0)+MATCH($A37,'_Month Engine'!$B$61:$B$70,0),0))&gt;0,INDEX(Properties!$AD:$AD,$A37+5),0)</f>
        <v>0</v>
      </c>
      <c r="J37" s="77" cm="1">
        <f t="array" ref="J37">SUMIF('_Month Engine'!$C$5:$DR$5,J$4,INDEX('_Month Engine'!$C:$DR,MATCH("Gross Sale Value",'_Month Engine'!$A:$A,0)+MATCH($A37,'_Month Engine'!$B$61:$B$70,0),0))*(1-Input!$C$15)-IF(SUMIF('_Month Engine'!$C$5:$DR$5,J$4,INDEX('_Month Engine'!$C:$DR,MATCH("Gross Sale Value",'_Month Engine'!$A:$A,0)+MATCH($A37,'_Month Engine'!$B$61:$B$70,0),0))&gt;0,INDEX(Properties!$AD:$AD,$A37+5),0)</f>
        <v>0</v>
      </c>
      <c r="K37" s="77" cm="1">
        <f t="array" ref="K37">SUMIF('_Month Engine'!$C$5:$DR$5,K$4,INDEX('_Month Engine'!$C:$DR,MATCH("Gross Sale Value",'_Month Engine'!$A:$A,0)+MATCH($A37,'_Month Engine'!$B$61:$B$70,0),0))*(1-Input!$C$15)-IF(SUMIF('_Month Engine'!$C$5:$DR$5,K$4,INDEX('_Month Engine'!$C:$DR,MATCH("Gross Sale Value",'_Month Engine'!$A:$A,0)+MATCH($A37,'_Month Engine'!$B$61:$B$70,0),0))&gt;0,INDEX(Properties!$AD:$AD,$A37+5),0)</f>
        <v>0</v>
      </c>
      <c r="L37" s="77" cm="1">
        <f t="array" ref="L37">SUMIF('_Month Engine'!$C$5:$DR$5,L$4,INDEX('_Month Engine'!$C:$DR,MATCH("Gross Sale Value",'_Month Engine'!$A:$A,0)+MATCH($A37,'_Month Engine'!$B$61:$B$70,0),0))*(1-Input!$C$15)-IF(SUMIF('_Month Engine'!$C$5:$DR$5,L$4,INDEX('_Month Engine'!$C:$DR,MATCH("Gross Sale Value",'_Month Engine'!$A:$A,0)+MATCH($A37,'_Month Engine'!$B$61:$B$70,0),0))&gt;0,INDEX(Properties!$AD:$AD,$A37+5),0)</f>
        <v>0</v>
      </c>
    </row>
    <row r="38" spans="1:12" ht="18" customHeight="1" x14ac:dyDescent="0.3">
      <c r="A38" s="9"/>
      <c r="B38" s="9"/>
      <c r="C38" s="66"/>
      <c r="D38" s="66"/>
      <c r="E38" s="66"/>
      <c r="F38" s="66"/>
      <c r="G38" s="66"/>
      <c r="H38" s="66"/>
      <c r="I38" s="66"/>
      <c r="J38" s="66"/>
      <c r="K38" s="66"/>
      <c r="L38" s="66"/>
    </row>
    <row r="39" spans="1:12" ht="19.95" customHeight="1" x14ac:dyDescent="0.3">
      <c r="A39" s="40">
        <v>3</v>
      </c>
      <c r="B39" s="40" t="str" cm="1">
        <f t="array" ref="B39">INDEX(Properties!$E:$E,$A39+5)&amp;"   ·   "&amp;INDEX(Properties!$F:$F,$A39+5)&amp;"   ·   "&amp;INDEX(Properties!$H:$H,$A39+5)</f>
        <v>San Lucas Apto 101   ·   El Poblado, Medellín   ·   Negotiated — compraventa drafted</v>
      </c>
      <c r="C39" s="67"/>
      <c r="D39" s="67"/>
      <c r="E39" s="67"/>
      <c r="F39" s="67"/>
      <c r="G39" s="67"/>
      <c r="H39" s="67"/>
      <c r="I39" s="67"/>
      <c r="J39" s="67"/>
      <c r="K39" s="67"/>
      <c r="L39" s="67"/>
    </row>
    <row r="40" spans="1:12" ht="18" customHeight="1" x14ac:dyDescent="0.3">
      <c r="A40" s="9">
        <v>3</v>
      </c>
      <c r="B40" s="66" t="s">
        <v>167</v>
      </c>
      <c r="C40" s="75">
        <f>SUMIF('_Month Engine'!$C$5:$DR$5,C$4,INDEX('_Month Engine'!$C:$DR,MATCH("Gross STR Revenue",'_Month Engine'!$A:$A,0)+MATCH($A40,'_Month Engine'!$B$34:$B$43,0),0))</f>
        <v>20069.625</v>
      </c>
      <c r="D40" s="75">
        <f>SUMIF('_Month Engine'!$C$5:$DR$5,D$4,INDEX('_Month Engine'!$C:$DR,MATCH("Gross STR Revenue",'_Month Engine'!$A:$A,0)+MATCH($A40,'_Month Engine'!$B$34:$B$43,0),0))</f>
        <v>56307.060000000019</v>
      </c>
      <c r="E40" s="75">
        <f>SUMIF('_Month Engine'!$C$5:$DR$5,E$4,INDEX('_Month Engine'!$C:$DR,MATCH("Gross STR Revenue",'_Month Engine'!$A:$A,0)+MATCH($A40,'_Month Engine'!$B$34:$B$43,0),0))</f>
        <v>14215.505400000002</v>
      </c>
      <c r="F40" s="75">
        <f>SUMIF('_Month Engine'!$C$5:$DR$5,F$4,INDEX('_Month Engine'!$C:$DR,MATCH("Gross STR Revenue",'_Month Engine'!$A:$A,0)+MATCH($A40,'_Month Engine'!$B$34:$B$43,0),0))</f>
        <v>0</v>
      </c>
      <c r="G40" s="75">
        <f>SUMIF('_Month Engine'!$C$5:$DR$5,G$4,INDEX('_Month Engine'!$C:$DR,MATCH("Gross STR Revenue",'_Month Engine'!$A:$A,0)+MATCH($A40,'_Month Engine'!$B$34:$B$43,0),0))</f>
        <v>0</v>
      </c>
      <c r="H40" s="75">
        <f>SUMIF('_Month Engine'!$C$5:$DR$5,H$4,INDEX('_Month Engine'!$C:$DR,MATCH("Gross STR Revenue",'_Month Engine'!$A:$A,0)+MATCH($A40,'_Month Engine'!$B$34:$B$43,0),0))</f>
        <v>0</v>
      </c>
      <c r="I40" s="75">
        <f>SUMIF('_Month Engine'!$C$5:$DR$5,I$4,INDEX('_Month Engine'!$C:$DR,MATCH("Gross STR Revenue",'_Month Engine'!$A:$A,0)+MATCH($A40,'_Month Engine'!$B$34:$B$43,0),0))</f>
        <v>0</v>
      </c>
      <c r="J40" s="75">
        <f>SUMIF('_Month Engine'!$C$5:$DR$5,J$4,INDEX('_Month Engine'!$C:$DR,MATCH("Gross STR Revenue",'_Month Engine'!$A:$A,0)+MATCH($A40,'_Month Engine'!$B$34:$B$43,0),0))</f>
        <v>0</v>
      </c>
      <c r="K40" s="75">
        <f>SUMIF('_Month Engine'!$C$5:$DR$5,K$4,INDEX('_Month Engine'!$C:$DR,MATCH("Gross STR Revenue",'_Month Engine'!$A:$A,0)+MATCH($A40,'_Month Engine'!$B$34:$B$43,0),0))</f>
        <v>0</v>
      </c>
      <c r="L40" s="75">
        <f>SUMIF('_Month Engine'!$C$5:$DR$5,L$4,INDEX('_Month Engine'!$C:$DR,MATCH("Gross STR Revenue",'_Month Engine'!$A:$A,0)+MATCH($A40,'_Month Engine'!$B$34:$B$43,0),0))</f>
        <v>0</v>
      </c>
    </row>
    <row r="41" spans="1:12" ht="18" customHeight="1" x14ac:dyDescent="0.3">
      <c r="A41" s="9">
        <v>3</v>
      </c>
      <c r="B41" s="66" t="s">
        <v>1179</v>
      </c>
      <c r="C41" s="75" cm="1">
        <f t="array" ref="C41">SUMIF('_Month Engine'!$C$5:$DR$5,C$4,INDEX('_Month Engine'!$C:$DR,MATCH("Owned All-In Basis",'_Month Engine'!$A:$A,0)+MATCH($A41,'_Month Engine'!$B$47:$B$56,0),0))*INDEX(Input!$C$80:$C$89,$A41)/'_IRR Engine'!$Q$7</f>
        <v>3114.8867313915857</v>
      </c>
      <c r="D41" s="75" cm="1">
        <f t="array" ref="D41">SUMIF('_Month Engine'!$C$5:$DR$5,D$4,INDEX('_Month Engine'!$C:$DR,MATCH("Owned All-In Basis",'_Month Engine'!$A:$A,0)+MATCH($A41,'_Month Engine'!$B$47:$B$56,0),0))*INDEX(Input!$C$80:$C$89,$A41)/'_IRR Engine'!$Q$7</f>
        <v>3737.8640776699026</v>
      </c>
      <c r="E41" s="75" cm="1">
        <f t="array" ref="E41">SUMIF('_Month Engine'!$C$5:$DR$5,E$4,INDEX('_Month Engine'!$C:$DR,MATCH("Owned All-In Basis",'_Month Engine'!$A:$A,0)+MATCH($A41,'_Month Engine'!$B$47:$B$56,0),0))*INDEX(Input!$C$80:$C$89,$A41)/'_IRR Engine'!$Q$7</f>
        <v>934.46601941747565</v>
      </c>
      <c r="F41" s="75" cm="1">
        <f t="array" ref="F41">SUMIF('_Month Engine'!$C$5:$DR$5,F$4,INDEX('_Month Engine'!$C:$DR,MATCH("Owned All-In Basis",'_Month Engine'!$A:$A,0)+MATCH($A41,'_Month Engine'!$B$47:$B$56,0),0))*INDEX(Input!$C$80:$C$89,$A41)/'_IRR Engine'!$Q$7</f>
        <v>0</v>
      </c>
      <c r="G41" s="75" cm="1">
        <f t="array" ref="G41">SUMIF('_Month Engine'!$C$5:$DR$5,G$4,INDEX('_Month Engine'!$C:$DR,MATCH("Owned All-In Basis",'_Month Engine'!$A:$A,0)+MATCH($A41,'_Month Engine'!$B$47:$B$56,0),0))*INDEX(Input!$C$80:$C$89,$A41)/'_IRR Engine'!$Q$7</f>
        <v>0</v>
      </c>
      <c r="H41" s="75" cm="1">
        <f t="array" ref="H41">SUMIF('_Month Engine'!$C$5:$DR$5,H$4,INDEX('_Month Engine'!$C:$DR,MATCH("Owned All-In Basis",'_Month Engine'!$A:$A,0)+MATCH($A41,'_Month Engine'!$B$47:$B$56,0),0))*INDEX(Input!$C$80:$C$89,$A41)/'_IRR Engine'!$Q$7</f>
        <v>0</v>
      </c>
      <c r="I41" s="75" cm="1">
        <f t="array" ref="I41">SUMIF('_Month Engine'!$C$5:$DR$5,I$4,INDEX('_Month Engine'!$C:$DR,MATCH("Owned All-In Basis",'_Month Engine'!$A:$A,0)+MATCH($A41,'_Month Engine'!$B$47:$B$56,0),0))*INDEX(Input!$C$80:$C$89,$A41)/'_IRR Engine'!$Q$7</f>
        <v>0</v>
      </c>
      <c r="J41" s="75" cm="1">
        <f t="array" ref="J41">SUMIF('_Month Engine'!$C$5:$DR$5,J$4,INDEX('_Month Engine'!$C:$DR,MATCH("Owned All-In Basis",'_Month Engine'!$A:$A,0)+MATCH($A41,'_Month Engine'!$B$47:$B$56,0),0))*INDEX(Input!$C$80:$C$89,$A41)/'_IRR Engine'!$Q$7</f>
        <v>0</v>
      </c>
      <c r="K41" s="75" cm="1">
        <f t="array" ref="K41">SUMIF('_Month Engine'!$C$5:$DR$5,K$4,INDEX('_Month Engine'!$C:$DR,MATCH("Owned All-In Basis",'_Month Engine'!$A:$A,0)+MATCH($A41,'_Month Engine'!$B$47:$B$56,0),0))*INDEX(Input!$C$80:$C$89,$A41)/'_IRR Engine'!$Q$7</f>
        <v>0</v>
      </c>
      <c r="L41" s="75" cm="1">
        <f t="array" ref="L41">SUMIF('_Month Engine'!$C$5:$DR$5,L$4,INDEX('_Month Engine'!$C:$DR,MATCH("Owned All-In Basis",'_Month Engine'!$A:$A,0)+MATCH($A41,'_Month Engine'!$B$47:$B$56,0),0))*INDEX(Input!$C$80:$C$89,$A41)/'_IRR Engine'!$Q$7</f>
        <v>0</v>
      </c>
    </row>
    <row r="42" spans="1:12" ht="18" customHeight="1" x14ac:dyDescent="0.3">
      <c r="A42" s="9">
        <v>3</v>
      </c>
      <c r="B42" s="66" t="s">
        <v>72</v>
      </c>
      <c r="C42" s="75">
        <f>SUMIF('_Month Engine'!$C$5:$DR$5,C$4,INDEX('_Month Engine'!$C:$DR,MATCH("Renting All-In Basis",'_Month Engine'!$A:$A,0)+MATCH($A42,'_Month Engine'!$B$110:$B$119,0),0))*Input!$C$18/'_IRR Engine'!$Q$7</f>
        <v>373.68527508090619</v>
      </c>
      <c r="D42" s="75">
        <f>SUMIF('_Month Engine'!$C$5:$DR$5,D$4,INDEX('_Month Engine'!$C:$DR,MATCH("Renting All-In Basis",'_Month Engine'!$A:$A,0)+MATCH($A42,'_Month Engine'!$B$110:$B$119,0),0))*Input!$C$18/'_IRR Engine'!$Q$7</f>
        <v>1121.0558252427184</v>
      </c>
      <c r="E42" s="75">
        <f>SUMIF('_Month Engine'!$C$5:$DR$5,E$4,INDEX('_Month Engine'!$C:$DR,MATCH("Renting All-In Basis",'_Month Engine'!$A:$A,0)+MATCH($A42,'_Month Engine'!$B$110:$B$119,0),0))*Input!$C$18/'_IRR Engine'!$Q$7</f>
        <v>280.26395631067959</v>
      </c>
      <c r="F42" s="75">
        <f>SUMIF('_Month Engine'!$C$5:$DR$5,F$4,INDEX('_Month Engine'!$C:$DR,MATCH("Renting All-In Basis",'_Month Engine'!$A:$A,0)+MATCH($A42,'_Month Engine'!$B$110:$B$119,0),0))*Input!$C$18/'_IRR Engine'!$Q$7</f>
        <v>0</v>
      </c>
      <c r="G42" s="75">
        <f>SUMIF('_Month Engine'!$C$5:$DR$5,G$4,INDEX('_Month Engine'!$C:$DR,MATCH("Renting All-In Basis",'_Month Engine'!$A:$A,0)+MATCH($A42,'_Month Engine'!$B$110:$B$119,0),0))*Input!$C$18/'_IRR Engine'!$Q$7</f>
        <v>0</v>
      </c>
      <c r="H42" s="75">
        <f>SUMIF('_Month Engine'!$C$5:$DR$5,H$4,INDEX('_Month Engine'!$C:$DR,MATCH("Renting All-In Basis",'_Month Engine'!$A:$A,0)+MATCH($A42,'_Month Engine'!$B$110:$B$119,0),0))*Input!$C$18/'_IRR Engine'!$Q$7</f>
        <v>0</v>
      </c>
      <c r="I42" s="75">
        <f>SUMIF('_Month Engine'!$C$5:$DR$5,I$4,INDEX('_Month Engine'!$C:$DR,MATCH("Renting All-In Basis",'_Month Engine'!$A:$A,0)+MATCH($A42,'_Month Engine'!$B$110:$B$119,0),0))*Input!$C$18/'_IRR Engine'!$Q$7</f>
        <v>0</v>
      </c>
      <c r="J42" s="75">
        <f>SUMIF('_Month Engine'!$C$5:$DR$5,J$4,INDEX('_Month Engine'!$C:$DR,MATCH("Renting All-In Basis",'_Month Engine'!$A:$A,0)+MATCH($A42,'_Month Engine'!$B$110:$B$119,0),0))*Input!$C$18/'_IRR Engine'!$Q$7</f>
        <v>0</v>
      </c>
      <c r="K42" s="75">
        <f>SUMIF('_Month Engine'!$C$5:$DR$5,K$4,INDEX('_Month Engine'!$C:$DR,MATCH("Renting All-In Basis",'_Month Engine'!$A:$A,0)+MATCH($A42,'_Month Engine'!$B$110:$B$119,0),0))*Input!$C$18/'_IRR Engine'!$Q$7</f>
        <v>0</v>
      </c>
      <c r="L42" s="75">
        <f>SUMIF('_Month Engine'!$C$5:$DR$5,L$4,INDEX('_Month Engine'!$C:$DR,MATCH("Renting All-In Basis",'_Month Engine'!$A:$A,0)+MATCH($A42,'_Month Engine'!$B$110:$B$119,0),0))*Input!$C$18/'_IRR Engine'!$Q$7</f>
        <v>0</v>
      </c>
    </row>
    <row r="43" spans="1:12" ht="18" customHeight="1" x14ac:dyDescent="0.3">
      <c r="A43" s="9">
        <v>3</v>
      </c>
      <c r="B43" s="66" t="s">
        <v>168</v>
      </c>
      <c r="C43" s="75" cm="1">
        <f t="array" ref="C43">SUMIF('_Month Engine'!$C$5:$DR$5,C$4,INDEX('_Month Engine'!$C:$DR,MATCH("Owned Flag (1 = owned in month)",'_Month Engine'!$A:$A,0)+MATCH($A43,'_Month Engine'!$B$86:$B$95,0),0))*INDEX(Input!$D$80:$D$89,$A43)*1000000/Input!$C$5</f>
        <v>5825.2427184466023</v>
      </c>
      <c r="D43" s="75" cm="1">
        <f t="array" ref="D43">SUMIF('_Month Engine'!$C$5:$DR$5,D$4,INDEX('_Month Engine'!$C:$DR,MATCH("Owned Flag (1 = owned in month)",'_Month Engine'!$A:$A,0)+MATCH($A43,'_Month Engine'!$B$86:$B$95,0),0))*INDEX(Input!$D$80:$D$89,$A43)*1000000/Input!$C$5</f>
        <v>6990.2912621359219</v>
      </c>
      <c r="E43" s="75" cm="1">
        <f t="array" ref="E43">SUMIF('_Month Engine'!$C$5:$DR$5,E$4,INDEX('_Month Engine'!$C:$DR,MATCH("Owned Flag (1 = owned in month)",'_Month Engine'!$A:$A,0)+MATCH($A43,'_Month Engine'!$B$86:$B$95,0),0))*INDEX(Input!$D$80:$D$89,$A43)*1000000/Input!$C$5</f>
        <v>1747.5728155339805</v>
      </c>
      <c r="F43" s="75" cm="1">
        <f t="array" ref="F43">SUMIF('_Month Engine'!$C$5:$DR$5,F$4,INDEX('_Month Engine'!$C:$DR,MATCH("Owned Flag (1 = owned in month)",'_Month Engine'!$A:$A,0)+MATCH($A43,'_Month Engine'!$B$86:$B$95,0),0))*INDEX(Input!$D$80:$D$89,$A43)*1000000/Input!$C$5</f>
        <v>0</v>
      </c>
      <c r="G43" s="75" cm="1">
        <f t="array" ref="G43">SUMIF('_Month Engine'!$C$5:$DR$5,G$4,INDEX('_Month Engine'!$C:$DR,MATCH("Owned Flag (1 = owned in month)",'_Month Engine'!$A:$A,0)+MATCH($A43,'_Month Engine'!$B$86:$B$95,0),0))*INDEX(Input!$D$80:$D$89,$A43)*1000000/Input!$C$5</f>
        <v>0</v>
      </c>
      <c r="H43" s="75" cm="1">
        <f t="array" ref="H43">SUMIF('_Month Engine'!$C$5:$DR$5,H$4,INDEX('_Month Engine'!$C:$DR,MATCH("Owned Flag (1 = owned in month)",'_Month Engine'!$A:$A,0)+MATCH($A43,'_Month Engine'!$B$86:$B$95,0),0))*INDEX(Input!$D$80:$D$89,$A43)*1000000/Input!$C$5</f>
        <v>0</v>
      </c>
      <c r="I43" s="75" cm="1">
        <f t="array" ref="I43">SUMIF('_Month Engine'!$C$5:$DR$5,I$4,INDEX('_Month Engine'!$C:$DR,MATCH("Owned Flag (1 = owned in month)",'_Month Engine'!$A:$A,0)+MATCH($A43,'_Month Engine'!$B$86:$B$95,0),0))*INDEX(Input!$D$80:$D$89,$A43)*1000000/Input!$C$5</f>
        <v>0</v>
      </c>
      <c r="J43" s="75" cm="1">
        <f t="array" ref="J43">SUMIF('_Month Engine'!$C$5:$DR$5,J$4,INDEX('_Month Engine'!$C:$DR,MATCH("Owned Flag (1 = owned in month)",'_Month Engine'!$A:$A,0)+MATCH($A43,'_Month Engine'!$B$86:$B$95,0),0))*INDEX(Input!$D$80:$D$89,$A43)*1000000/Input!$C$5</f>
        <v>0</v>
      </c>
      <c r="K43" s="75" cm="1">
        <f t="array" ref="K43">SUMIF('_Month Engine'!$C$5:$DR$5,K$4,INDEX('_Month Engine'!$C:$DR,MATCH("Owned Flag (1 = owned in month)",'_Month Engine'!$A:$A,0)+MATCH($A43,'_Month Engine'!$B$86:$B$95,0),0))*INDEX(Input!$D$80:$D$89,$A43)*1000000/Input!$C$5</f>
        <v>0</v>
      </c>
      <c r="L43" s="75" cm="1">
        <f t="array" ref="L43">SUMIF('_Month Engine'!$C$5:$DR$5,L$4,INDEX('_Month Engine'!$C:$DR,MATCH("Owned Flag (1 = owned in month)",'_Month Engine'!$A:$A,0)+MATCH($A43,'_Month Engine'!$B$86:$B$95,0),0))*INDEX(Input!$D$80:$D$89,$A43)*1000000/Input!$C$5</f>
        <v>0</v>
      </c>
    </row>
    <row r="44" spans="1:12" ht="18" customHeight="1" x14ac:dyDescent="0.3">
      <c r="A44" s="9">
        <v>3</v>
      </c>
      <c r="B44" s="66" t="s">
        <v>169</v>
      </c>
      <c r="C44" s="75" cm="1">
        <f t="array" ref="C44">SUMIF('_Month Engine'!$C$5:$DR$5,C$4,INDEX('_Month Engine'!$C:$DR,MATCH("Owned Flag (1 = owned in month)",'_Month Engine'!$A:$A,0)+MATCH($A44,'_Month Engine'!$B$86:$B$95,0),0))*INDEX(Input!$E$80:$E$89,$A44)*1000000/Input!$C$5</f>
        <v>2912.6213592233012</v>
      </c>
      <c r="D44" s="75" cm="1">
        <f t="array" ref="D44">SUMIF('_Month Engine'!$C$5:$DR$5,D$4,INDEX('_Month Engine'!$C:$DR,MATCH("Owned Flag (1 = owned in month)",'_Month Engine'!$A:$A,0)+MATCH($A44,'_Month Engine'!$B$86:$B$95,0),0))*INDEX(Input!$E$80:$E$89,$A44)*1000000/Input!$C$5</f>
        <v>3495.1456310679609</v>
      </c>
      <c r="E44" s="75" cm="1">
        <f t="array" ref="E44">SUMIF('_Month Engine'!$C$5:$DR$5,E$4,INDEX('_Month Engine'!$C:$DR,MATCH("Owned Flag (1 = owned in month)",'_Month Engine'!$A:$A,0)+MATCH($A44,'_Month Engine'!$B$86:$B$95,0),0))*INDEX(Input!$E$80:$E$89,$A44)*1000000/Input!$C$5</f>
        <v>873.78640776699024</v>
      </c>
      <c r="F44" s="75" cm="1">
        <f t="array" ref="F44">SUMIF('_Month Engine'!$C$5:$DR$5,F$4,INDEX('_Month Engine'!$C:$DR,MATCH("Owned Flag (1 = owned in month)",'_Month Engine'!$A:$A,0)+MATCH($A44,'_Month Engine'!$B$86:$B$95,0),0))*INDEX(Input!$E$80:$E$89,$A44)*1000000/Input!$C$5</f>
        <v>0</v>
      </c>
      <c r="G44" s="75" cm="1">
        <f t="array" ref="G44">SUMIF('_Month Engine'!$C$5:$DR$5,G$4,INDEX('_Month Engine'!$C:$DR,MATCH("Owned Flag (1 = owned in month)",'_Month Engine'!$A:$A,0)+MATCH($A44,'_Month Engine'!$B$86:$B$95,0),0))*INDEX(Input!$E$80:$E$89,$A44)*1000000/Input!$C$5</f>
        <v>0</v>
      </c>
      <c r="H44" s="75" cm="1">
        <f t="array" ref="H44">SUMIF('_Month Engine'!$C$5:$DR$5,H$4,INDEX('_Month Engine'!$C:$DR,MATCH("Owned Flag (1 = owned in month)",'_Month Engine'!$A:$A,0)+MATCH($A44,'_Month Engine'!$B$86:$B$95,0),0))*INDEX(Input!$E$80:$E$89,$A44)*1000000/Input!$C$5</f>
        <v>0</v>
      </c>
      <c r="I44" s="75" cm="1">
        <f t="array" ref="I44">SUMIF('_Month Engine'!$C$5:$DR$5,I$4,INDEX('_Month Engine'!$C:$DR,MATCH("Owned Flag (1 = owned in month)",'_Month Engine'!$A:$A,0)+MATCH($A44,'_Month Engine'!$B$86:$B$95,0),0))*INDEX(Input!$E$80:$E$89,$A44)*1000000/Input!$C$5</f>
        <v>0</v>
      </c>
      <c r="J44" s="75" cm="1">
        <f t="array" ref="J44">SUMIF('_Month Engine'!$C$5:$DR$5,J$4,INDEX('_Month Engine'!$C:$DR,MATCH("Owned Flag (1 = owned in month)",'_Month Engine'!$A:$A,0)+MATCH($A44,'_Month Engine'!$B$86:$B$95,0),0))*INDEX(Input!$E$80:$E$89,$A44)*1000000/Input!$C$5</f>
        <v>0</v>
      </c>
      <c r="K44" s="75" cm="1">
        <f t="array" ref="K44">SUMIF('_Month Engine'!$C$5:$DR$5,K$4,INDEX('_Month Engine'!$C:$DR,MATCH("Owned Flag (1 = owned in month)",'_Month Engine'!$A:$A,0)+MATCH($A44,'_Month Engine'!$B$86:$B$95,0),0))*INDEX(Input!$E$80:$E$89,$A44)*1000000/Input!$C$5</f>
        <v>0</v>
      </c>
      <c r="L44" s="75" cm="1">
        <f t="array" ref="L44">SUMIF('_Month Engine'!$C$5:$DR$5,L$4,INDEX('_Month Engine'!$C:$DR,MATCH("Owned Flag (1 = owned in month)",'_Month Engine'!$A:$A,0)+MATCH($A44,'_Month Engine'!$B$86:$B$95,0),0))*INDEX(Input!$E$80:$E$89,$A44)*1000000/Input!$C$5</f>
        <v>0</v>
      </c>
    </row>
    <row r="45" spans="1:12" ht="18" customHeight="1" x14ac:dyDescent="0.3">
      <c r="A45" s="9">
        <v>3</v>
      </c>
      <c r="B45" s="66" t="s">
        <v>170</v>
      </c>
      <c r="C45" s="75">
        <f>IFERROR(SUMIF('_Month Engine'!$C$5:$DR$5,C$4,INDEX('_Month Engine'!$C:$DR,MATCH("Renting All-In Basis",'_Month Engine'!$A:$A,0)+MATCH($A45,'_Month Engine'!$B$110:$B$119,0),0))*Input!$C$19/'_IRR Engine'!$Q$7,0)</f>
        <v>1245.6175836030206</v>
      </c>
      <c r="D45" s="75">
        <f>IFERROR(SUMIF('_Month Engine'!$C$5:$DR$5,D$4,INDEX('_Month Engine'!$C:$DR,MATCH("Renting All-In Basis",'_Month Engine'!$A:$A,0)+MATCH($A45,'_Month Engine'!$B$110:$B$119,0),0))*Input!$C$19/'_IRR Engine'!$Q$7,0)</f>
        <v>3736.8527508090615</v>
      </c>
      <c r="E45" s="75">
        <f>IFERROR(SUMIF('_Month Engine'!$C$5:$DR$5,E$4,INDEX('_Month Engine'!$C:$DR,MATCH("Renting All-In Basis",'_Month Engine'!$A:$A,0)+MATCH($A45,'_Month Engine'!$B$110:$B$119,0),0))*Input!$C$19/'_IRR Engine'!$Q$7,0)</f>
        <v>934.21318770226537</v>
      </c>
      <c r="F45" s="75">
        <f>IFERROR(SUMIF('_Month Engine'!$C$5:$DR$5,F$4,INDEX('_Month Engine'!$C:$DR,MATCH("Renting All-In Basis",'_Month Engine'!$A:$A,0)+MATCH($A45,'_Month Engine'!$B$110:$B$119,0),0))*Input!$C$19/'_IRR Engine'!$Q$7,0)</f>
        <v>0</v>
      </c>
      <c r="G45" s="75">
        <f>IFERROR(SUMIF('_Month Engine'!$C$5:$DR$5,G$4,INDEX('_Month Engine'!$C:$DR,MATCH("Renting All-In Basis",'_Month Engine'!$A:$A,0)+MATCH($A45,'_Month Engine'!$B$110:$B$119,0),0))*Input!$C$19/'_IRR Engine'!$Q$7,0)</f>
        <v>0</v>
      </c>
      <c r="H45" s="75">
        <f>IFERROR(SUMIF('_Month Engine'!$C$5:$DR$5,H$4,INDEX('_Month Engine'!$C:$DR,MATCH("Renting All-In Basis",'_Month Engine'!$A:$A,0)+MATCH($A45,'_Month Engine'!$B$110:$B$119,0),0))*Input!$C$19/'_IRR Engine'!$Q$7,0)</f>
        <v>0</v>
      </c>
      <c r="I45" s="75">
        <f>IFERROR(SUMIF('_Month Engine'!$C$5:$DR$5,I$4,INDEX('_Month Engine'!$C:$DR,MATCH("Renting All-In Basis",'_Month Engine'!$A:$A,0)+MATCH($A45,'_Month Engine'!$B$110:$B$119,0),0))*Input!$C$19/'_IRR Engine'!$Q$7,0)</f>
        <v>0</v>
      </c>
      <c r="J45" s="75">
        <f>IFERROR(SUMIF('_Month Engine'!$C$5:$DR$5,J$4,INDEX('_Month Engine'!$C:$DR,MATCH("Renting All-In Basis",'_Month Engine'!$A:$A,0)+MATCH($A45,'_Month Engine'!$B$110:$B$119,0),0))*Input!$C$19/'_IRR Engine'!$Q$7,0)</f>
        <v>0</v>
      </c>
      <c r="K45" s="75">
        <f>IFERROR(SUMIF('_Month Engine'!$C$5:$DR$5,K$4,INDEX('_Month Engine'!$C:$DR,MATCH("Renting All-In Basis",'_Month Engine'!$A:$A,0)+MATCH($A45,'_Month Engine'!$B$110:$B$119,0),0))*Input!$C$19/'_IRR Engine'!$Q$7,0)</f>
        <v>0</v>
      </c>
      <c r="L45" s="75">
        <f>IFERROR(SUMIF('_Month Engine'!$C$5:$DR$5,L$4,INDEX('_Month Engine'!$C:$DR,MATCH("Renting All-In Basis",'_Month Engine'!$A:$A,0)+MATCH($A45,'_Month Engine'!$B$110:$B$119,0),0))*Input!$C$19/'_IRR Engine'!$Q$7,0)</f>
        <v>0</v>
      </c>
    </row>
    <row r="46" spans="1:12" ht="18" customHeight="1" x14ac:dyDescent="0.3">
      <c r="A46" s="9">
        <v>3</v>
      </c>
      <c r="B46" s="66" t="s">
        <v>171</v>
      </c>
      <c r="C46" s="75">
        <f>C40*Input!$C$20</f>
        <v>0</v>
      </c>
      <c r="D46" s="75">
        <f>D40*Input!$C$20</f>
        <v>0</v>
      </c>
      <c r="E46" s="75">
        <f>E40*Input!$C$20</f>
        <v>0</v>
      </c>
      <c r="F46" s="75">
        <f>F40*Input!$C$20</f>
        <v>0</v>
      </c>
      <c r="G46" s="75">
        <f>G40*Input!$C$20</f>
        <v>0</v>
      </c>
      <c r="H46" s="75">
        <f>H40*Input!$C$20</f>
        <v>0</v>
      </c>
      <c r="I46" s="75">
        <f>I40*Input!$C$20</f>
        <v>0</v>
      </c>
      <c r="J46" s="75">
        <f>J40*Input!$C$20</f>
        <v>0</v>
      </c>
      <c r="K46" s="75">
        <f>K40*Input!$C$20</f>
        <v>0</v>
      </c>
      <c r="L46" s="75">
        <f>L40*Input!$C$20</f>
        <v>0</v>
      </c>
    </row>
    <row r="47" spans="1:12" x14ac:dyDescent="0.3">
      <c r="A47" s="9">
        <v>3</v>
      </c>
      <c r="B47" s="66" t="s">
        <v>1180</v>
      </c>
      <c r="C47" s="75" cm="1">
        <f t="array" ref="C47">C40*IFERROR(INDEX(Input!$U$80:$U$89,$A47),0)</f>
        <v>250.87031250000001</v>
      </c>
      <c r="D47" s="75" cm="1">
        <f t="array" ref="D47">D40*IFERROR(INDEX(Input!$U$80:$U$89,$A47),0)</f>
        <v>703.83825000000024</v>
      </c>
      <c r="E47" s="75" cm="1">
        <f t="array" ref="E47">E40*IFERROR(INDEX(Input!$U$80:$U$89,$A47),0)</f>
        <v>177.69381750000002</v>
      </c>
      <c r="F47" s="75" cm="1">
        <f t="array" ref="F47">F40*IFERROR(INDEX(Input!$U$80:$U$89,$A47),0)</f>
        <v>0</v>
      </c>
      <c r="G47" s="75" cm="1">
        <f t="array" ref="G47">G40*IFERROR(INDEX(Input!$U$80:$U$89,$A47),0)</f>
        <v>0</v>
      </c>
      <c r="H47" s="75" cm="1">
        <f t="array" ref="H47">H40*IFERROR(INDEX(Input!$U$80:$U$89,$A47),0)</f>
        <v>0</v>
      </c>
      <c r="I47" s="75" cm="1">
        <f t="array" ref="I47">I40*IFERROR(INDEX(Input!$U$80:$U$89,$A47),0)</f>
        <v>0</v>
      </c>
      <c r="J47" s="75" cm="1">
        <f t="array" ref="J47">J40*IFERROR(INDEX(Input!$U$80:$U$89,$A47),0)</f>
        <v>0</v>
      </c>
      <c r="K47" s="75" cm="1">
        <f t="array" ref="K47">K40*IFERROR(INDEX(Input!$U$80:$U$89,$A47),0)</f>
        <v>0</v>
      </c>
      <c r="L47" s="75" cm="1">
        <f t="array" ref="L47">L40*IFERROR(INDEX(Input!$U$80:$U$89,$A47),0)</f>
        <v>0</v>
      </c>
    </row>
    <row r="48" spans="1:12" ht="18" customHeight="1" x14ac:dyDescent="0.3">
      <c r="A48" s="9">
        <v>3</v>
      </c>
      <c r="B48" s="66" t="str">
        <f>"ServCo property management ("&amp;TEXT(Input!$C$31,"0%")&amp;")"</f>
        <v>ServCo property management (20%)</v>
      </c>
      <c r="C48" s="75">
        <f>C40*Input!$C$31</f>
        <v>4013.9250000000002</v>
      </c>
      <c r="D48" s="75">
        <f>D40*Input!$C$31</f>
        <v>11261.412000000004</v>
      </c>
      <c r="E48" s="75">
        <f>E40*Input!$C$31</f>
        <v>2843.1010800000004</v>
      </c>
      <c r="F48" s="75">
        <f>F40*Input!$C$31</f>
        <v>0</v>
      </c>
      <c r="G48" s="75">
        <f>G40*Input!$C$31</f>
        <v>0</v>
      </c>
      <c r="H48" s="75">
        <f>H40*Input!$C$31</f>
        <v>0</v>
      </c>
      <c r="I48" s="75">
        <f>I40*Input!$C$31</f>
        <v>0</v>
      </c>
      <c r="J48" s="75">
        <f>J40*Input!$C$31</f>
        <v>0</v>
      </c>
      <c r="K48" s="75">
        <f>K40*Input!$C$31</f>
        <v>0</v>
      </c>
      <c r="L48" s="75">
        <f>L40*Input!$C$31</f>
        <v>0</v>
      </c>
    </row>
    <row r="49" spans="1:12" ht="18" customHeight="1" x14ac:dyDescent="0.3">
      <c r="A49" s="9">
        <v>3</v>
      </c>
      <c r="B49" s="66" t="s">
        <v>980</v>
      </c>
      <c r="C49" s="75">
        <f>IFERROR(SUMIF('_Month Engine'!$C$5:$DR$5,C$4,INDEX('_Month Engine'!$C:$DR,MATCH("Renting Flag (1 = renting in month)",'_Month Engine'!$A:$A,0)+MATCH($A49,'_Month Engine'!$B$98:$B$107,0),0))*Input!$C$32,0)</f>
        <v>0</v>
      </c>
      <c r="D49" s="75">
        <f>IFERROR(SUMIF('_Month Engine'!$C$5:$DR$5,D$4,INDEX('_Month Engine'!$C:$DR,MATCH("Renting Flag (1 = renting in month)",'_Month Engine'!$A:$A,0)+MATCH($A49,'_Month Engine'!$B$98:$B$107,0),0))*Input!$C$32,0)</f>
        <v>0</v>
      </c>
      <c r="E49" s="75">
        <f>IFERROR(SUMIF('_Month Engine'!$C$5:$DR$5,E$4,INDEX('_Month Engine'!$C:$DR,MATCH("Renting Flag (1 = renting in month)",'_Month Engine'!$A:$A,0)+MATCH($A49,'_Month Engine'!$B$98:$B$107,0),0))*Input!$C$32,0)</f>
        <v>0</v>
      </c>
      <c r="F49" s="75">
        <f>IFERROR(SUMIF('_Month Engine'!$C$5:$DR$5,F$4,INDEX('_Month Engine'!$C:$DR,MATCH("Renting Flag (1 = renting in month)",'_Month Engine'!$A:$A,0)+MATCH($A49,'_Month Engine'!$B$98:$B$107,0),0))*Input!$C$32,0)</f>
        <v>0</v>
      </c>
      <c r="G49" s="75">
        <f>IFERROR(SUMIF('_Month Engine'!$C$5:$DR$5,G$4,INDEX('_Month Engine'!$C:$DR,MATCH("Renting Flag (1 = renting in month)",'_Month Engine'!$A:$A,0)+MATCH($A49,'_Month Engine'!$B$98:$B$107,0),0))*Input!$C$32,0)</f>
        <v>0</v>
      </c>
      <c r="H49" s="75">
        <f>IFERROR(SUMIF('_Month Engine'!$C$5:$DR$5,H$4,INDEX('_Month Engine'!$C:$DR,MATCH("Renting Flag (1 = renting in month)",'_Month Engine'!$A:$A,0)+MATCH($A49,'_Month Engine'!$B$98:$B$107,0),0))*Input!$C$32,0)</f>
        <v>0</v>
      </c>
      <c r="I49" s="75">
        <f>IFERROR(SUMIF('_Month Engine'!$C$5:$DR$5,I$4,INDEX('_Month Engine'!$C:$DR,MATCH("Renting Flag (1 = renting in month)",'_Month Engine'!$A:$A,0)+MATCH($A49,'_Month Engine'!$B$98:$B$107,0),0))*Input!$C$32,0)</f>
        <v>0</v>
      </c>
      <c r="J49" s="75">
        <f>IFERROR(SUMIF('_Month Engine'!$C$5:$DR$5,J$4,INDEX('_Month Engine'!$C:$DR,MATCH("Renting Flag (1 = renting in month)",'_Month Engine'!$A:$A,0)+MATCH($A49,'_Month Engine'!$B$98:$B$107,0),0))*Input!$C$32,0)</f>
        <v>0</v>
      </c>
      <c r="K49" s="75">
        <f>IFERROR(SUMIF('_Month Engine'!$C$5:$DR$5,K$4,INDEX('_Month Engine'!$C:$DR,MATCH("Renting Flag (1 = renting in month)",'_Month Engine'!$A:$A,0)+MATCH($A49,'_Month Engine'!$B$98:$B$107,0),0))*Input!$C$32,0)</f>
        <v>0</v>
      </c>
      <c r="L49" s="75">
        <f>IFERROR(SUMIF('_Month Engine'!$C$5:$DR$5,L$4,INDEX('_Month Engine'!$C:$DR,MATCH("Renting Flag (1 = renting in month)",'_Month Engine'!$A:$A,0)+MATCH($A49,'_Month Engine'!$B$98:$B$107,0),0))*Input!$C$32,0)</f>
        <v>0</v>
      </c>
    </row>
    <row r="50" spans="1:12" ht="18" customHeight="1" x14ac:dyDescent="0.3">
      <c r="A50" s="9">
        <v>3</v>
      </c>
      <c r="B50" s="11" t="s">
        <v>76</v>
      </c>
      <c r="C50" s="68">
        <f t="shared" ref="C50:L50" si="5">SUM(C41:C49)</f>
        <v>17736.848980245417</v>
      </c>
      <c r="D50" s="68">
        <f t="shared" si="5"/>
        <v>31046.45979692557</v>
      </c>
      <c r="E50" s="68">
        <f t="shared" si="5"/>
        <v>7791.0972842313913</v>
      </c>
      <c r="F50" s="68">
        <f t="shared" si="5"/>
        <v>0</v>
      </c>
      <c r="G50" s="68">
        <f t="shared" si="5"/>
        <v>0</v>
      </c>
      <c r="H50" s="68">
        <f t="shared" si="5"/>
        <v>0</v>
      </c>
      <c r="I50" s="68">
        <f t="shared" si="5"/>
        <v>0</v>
      </c>
      <c r="J50" s="68">
        <f t="shared" si="5"/>
        <v>0</v>
      </c>
      <c r="K50" s="68">
        <f t="shared" si="5"/>
        <v>0</v>
      </c>
      <c r="L50" s="68">
        <f t="shared" si="5"/>
        <v>0</v>
      </c>
    </row>
    <row r="51" spans="1:12" ht="18" customHeight="1" x14ac:dyDescent="0.3">
      <c r="A51" s="9">
        <v>3</v>
      </c>
      <c r="B51" s="11" t="s">
        <v>172</v>
      </c>
      <c r="C51" s="68">
        <f t="shared" ref="C51:L51" si="6">C40-C50</f>
        <v>2332.7760197545831</v>
      </c>
      <c r="D51" s="68">
        <f t="shared" si="6"/>
        <v>25260.600203074449</v>
      </c>
      <c r="E51" s="68">
        <f t="shared" si="6"/>
        <v>6424.4081157686105</v>
      </c>
      <c r="F51" s="68">
        <f t="shared" si="6"/>
        <v>0</v>
      </c>
      <c r="G51" s="68">
        <f t="shared" si="6"/>
        <v>0</v>
      </c>
      <c r="H51" s="68">
        <f t="shared" si="6"/>
        <v>0</v>
      </c>
      <c r="I51" s="68">
        <f t="shared" si="6"/>
        <v>0</v>
      </c>
      <c r="J51" s="68">
        <f t="shared" si="6"/>
        <v>0</v>
      </c>
      <c r="K51" s="68">
        <f t="shared" si="6"/>
        <v>0</v>
      </c>
      <c r="L51" s="68">
        <f t="shared" si="6"/>
        <v>0</v>
      </c>
    </row>
    <row r="52" spans="1:12" ht="18" customHeight="1" x14ac:dyDescent="0.3">
      <c r="A52" s="9">
        <v>3</v>
      </c>
      <c r="B52" s="22" t="s">
        <v>173</v>
      </c>
      <c r="C52" s="77">
        <f>SUMIF('_Month Engine'!$C$5:$DR$5,C$4,INDEX('_Month Engine'!$C:$DR,MATCH("Acquisition Outflow (Purchase + Closing)",'_Month Engine'!$A:$A,0)+MATCH($A52,'_Month Engine'!$B$8:$B$17,0),0))+SUMIF('_Month Engine'!$C$5:$DR$5,C$4,INDEX('_Month Engine'!$C:$DR,MATCH("Acquisition Outflow (Purchase + Closing)",'_Month Engine'!$A:$A,0)+MATCH($A52,'_Month Engine'!$B$21:$B$30,0),0))</f>
        <v>912216.82847896439</v>
      </c>
      <c r="D52" s="77">
        <f>SUMIF('_Month Engine'!$C$5:$DR$5,D$4,INDEX('_Month Engine'!$C:$DR,MATCH("Acquisition Outflow (Purchase + Closing)",'_Month Engine'!$A:$A,0)+MATCH($A52,'_Month Engine'!$B$8:$B$17,0),0))+SUMIF('_Month Engine'!$C$5:$DR$5,D$4,INDEX('_Month Engine'!$C:$DR,MATCH("Acquisition Outflow (Purchase + Closing)",'_Month Engine'!$A:$A,0)+MATCH($A52,'_Month Engine'!$B$21:$B$30,0),0))</f>
        <v>0</v>
      </c>
      <c r="E52" s="77">
        <f>SUMIF('_Month Engine'!$C$5:$DR$5,E$4,INDEX('_Month Engine'!$C:$DR,MATCH("Acquisition Outflow (Purchase + Closing)",'_Month Engine'!$A:$A,0)+MATCH($A52,'_Month Engine'!$B$8:$B$17,0),0))+SUMIF('_Month Engine'!$C$5:$DR$5,E$4,INDEX('_Month Engine'!$C:$DR,MATCH("Acquisition Outflow (Purchase + Closing)",'_Month Engine'!$A:$A,0)+MATCH($A52,'_Month Engine'!$B$21:$B$30,0),0))</f>
        <v>0</v>
      </c>
      <c r="F52" s="77">
        <f>SUMIF('_Month Engine'!$C$5:$DR$5,F$4,INDEX('_Month Engine'!$C:$DR,MATCH("Acquisition Outflow (Purchase + Closing)",'_Month Engine'!$A:$A,0)+MATCH($A52,'_Month Engine'!$B$8:$B$17,0),0))+SUMIF('_Month Engine'!$C$5:$DR$5,F$4,INDEX('_Month Engine'!$C:$DR,MATCH("Acquisition Outflow (Purchase + Closing)",'_Month Engine'!$A:$A,0)+MATCH($A52,'_Month Engine'!$B$21:$B$30,0),0))</f>
        <v>0</v>
      </c>
      <c r="G52" s="77">
        <f>SUMIF('_Month Engine'!$C$5:$DR$5,G$4,INDEX('_Month Engine'!$C:$DR,MATCH("Acquisition Outflow (Purchase + Closing)",'_Month Engine'!$A:$A,0)+MATCH($A52,'_Month Engine'!$B$8:$B$17,0),0))+SUMIF('_Month Engine'!$C$5:$DR$5,G$4,INDEX('_Month Engine'!$C:$DR,MATCH("Acquisition Outflow (Purchase + Closing)",'_Month Engine'!$A:$A,0)+MATCH($A52,'_Month Engine'!$B$21:$B$30,0),0))</f>
        <v>0</v>
      </c>
      <c r="H52" s="77">
        <f>SUMIF('_Month Engine'!$C$5:$DR$5,H$4,INDEX('_Month Engine'!$C:$DR,MATCH("Acquisition Outflow (Purchase + Closing)",'_Month Engine'!$A:$A,0)+MATCH($A52,'_Month Engine'!$B$8:$B$17,0),0))+SUMIF('_Month Engine'!$C$5:$DR$5,H$4,INDEX('_Month Engine'!$C:$DR,MATCH("Acquisition Outflow (Purchase + Closing)",'_Month Engine'!$A:$A,0)+MATCH($A52,'_Month Engine'!$B$21:$B$30,0),0))</f>
        <v>0</v>
      </c>
      <c r="I52" s="77">
        <f>SUMIF('_Month Engine'!$C$5:$DR$5,I$4,INDEX('_Month Engine'!$C:$DR,MATCH("Acquisition Outflow (Purchase + Closing)",'_Month Engine'!$A:$A,0)+MATCH($A52,'_Month Engine'!$B$8:$B$17,0),0))+SUMIF('_Month Engine'!$C$5:$DR$5,I$4,INDEX('_Month Engine'!$C:$DR,MATCH("Acquisition Outflow (Purchase + Closing)",'_Month Engine'!$A:$A,0)+MATCH($A52,'_Month Engine'!$B$21:$B$30,0),0))</f>
        <v>0</v>
      </c>
      <c r="J52" s="77">
        <f>SUMIF('_Month Engine'!$C$5:$DR$5,J$4,INDEX('_Month Engine'!$C:$DR,MATCH("Acquisition Outflow (Purchase + Closing)",'_Month Engine'!$A:$A,0)+MATCH($A52,'_Month Engine'!$B$8:$B$17,0),0))+SUMIF('_Month Engine'!$C$5:$DR$5,J$4,INDEX('_Month Engine'!$C:$DR,MATCH("Acquisition Outflow (Purchase + Closing)",'_Month Engine'!$A:$A,0)+MATCH($A52,'_Month Engine'!$B$21:$B$30,0),0))</f>
        <v>0</v>
      </c>
      <c r="K52" s="77">
        <f>SUMIF('_Month Engine'!$C$5:$DR$5,K$4,INDEX('_Month Engine'!$C:$DR,MATCH("Acquisition Outflow (Purchase + Closing)",'_Month Engine'!$A:$A,0)+MATCH($A52,'_Month Engine'!$B$8:$B$17,0),0))+SUMIF('_Month Engine'!$C$5:$DR$5,K$4,INDEX('_Month Engine'!$C:$DR,MATCH("Acquisition Outflow (Purchase + Closing)",'_Month Engine'!$A:$A,0)+MATCH($A52,'_Month Engine'!$B$21:$B$30,0),0))</f>
        <v>0</v>
      </c>
      <c r="L52" s="77">
        <f>SUMIF('_Month Engine'!$C$5:$DR$5,L$4,INDEX('_Month Engine'!$C:$DR,MATCH("Acquisition Outflow (Purchase + Closing)",'_Month Engine'!$A:$A,0)+MATCH($A52,'_Month Engine'!$B$8:$B$17,0),0))+SUMIF('_Month Engine'!$C$5:$DR$5,L$4,INDEX('_Month Engine'!$C:$DR,MATCH("Acquisition Outflow (Purchase + Closing)",'_Month Engine'!$A:$A,0)+MATCH($A52,'_Month Engine'!$B$21:$B$30,0),0))</f>
        <v>0</v>
      </c>
    </row>
    <row r="53" spans="1:12" ht="34.049999999999997" customHeight="1" x14ac:dyDescent="0.3">
      <c r="A53" s="9">
        <v>3</v>
      </c>
      <c r="B53" s="517" t="s">
        <v>1181</v>
      </c>
      <c r="C53" s="77" cm="1">
        <f t="array" ref="C53">SUMIF('_Month Engine'!$C$5:$DR$5,C$4,INDEX('_Month Engine'!$C:$DR,MATCH("Gross Sale Value",'_Month Engine'!$A:$A,0)+MATCH($A53,'_Month Engine'!$B$61:$B$70,0),0))*(1-Input!$C$15)-IF(SUMIF('_Month Engine'!$C$5:$DR$5,C$4,INDEX('_Month Engine'!$C:$DR,MATCH("Gross Sale Value",'_Month Engine'!$A:$A,0)+MATCH($A53,'_Month Engine'!$B$61:$B$70,0),0))&gt;0,INDEX(Properties!$AD:$AD,$A53+5),0)</f>
        <v>0</v>
      </c>
      <c r="D53" s="77" cm="1">
        <f t="array" ref="D53">SUMIF('_Month Engine'!$C$5:$DR$5,D$4,INDEX('_Month Engine'!$C:$DR,MATCH("Gross Sale Value",'_Month Engine'!$A:$A,0)+MATCH($A53,'_Month Engine'!$B$61:$B$70,0),0))*(1-Input!$C$15)-IF(SUMIF('_Month Engine'!$C$5:$DR$5,D$4,INDEX('_Month Engine'!$C:$DR,MATCH("Gross Sale Value",'_Month Engine'!$A:$A,0)+MATCH($A53,'_Month Engine'!$B$61:$B$70,0),0))&gt;0,INDEX(Properties!$AD:$AD,$A53+5),0)</f>
        <v>0</v>
      </c>
      <c r="E53" s="77" cm="1">
        <f t="array" ref="E53">SUMIF('_Month Engine'!$C$5:$DR$5,E$4,INDEX('_Month Engine'!$C:$DR,MATCH("Gross Sale Value",'_Month Engine'!$A:$A,0)+MATCH($A53,'_Month Engine'!$B$61:$B$70,0),0))*(1-Input!$C$15)-IF(SUMIF('_Month Engine'!$C$5:$DR$5,E$4,INDEX('_Month Engine'!$C:$DR,MATCH("Gross Sale Value",'_Month Engine'!$A:$A,0)+MATCH($A53,'_Month Engine'!$B$61:$B$70,0),0))&gt;0,INDEX(Properties!$AD:$AD,$A53+5),0)</f>
        <v>1154841.8746352091</v>
      </c>
      <c r="F53" s="77" cm="1">
        <f t="array" ref="F53">SUMIF('_Month Engine'!$C$5:$DR$5,F$4,INDEX('_Month Engine'!$C:$DR,MATCH("Gross Sale Value",'_Month Engine'!$A:$A,0)+MATCH($A53,'_Month Engine'!$B$61:$B$70,0),0))*(1-Input!$C$15)-IF(SUMIF('_Month Engine'!$C$5:$DR$5,F$4,INDEX('_Month Engine'!$C:$DR,MATCH("Gross Sale Value",'_Month Engine'!$A:$A,0)+MATCH($A53,'_Month Engine'!$B$61:$B$70,0),0))&gt;0,INDEX(Properties!$AD:$AD,$A53+5),0)</f>
        <v>0</v>
      </c>
      <c r="G53" s="77" cm="1">
        <f t="array" ref="G53">SUMIF('_Month Engine'!$C$5:$DR$5,G$4,INDEX('_Month Engine'!$C:$DR,MATCH("Gross Sale Value",'_Month Engine'!$A:$A,0)+MATCH($A53,'_Month Engine'!$B$61:$B$70,0),0))*(1-Input!$C$15)-IF(SUMIF('_Month Engine'!$C$5:$DR$5,G$4,INDEX('_Month Engine'!$C:$DR,MATCH("Gross Sale Value",'_Month Engine'!$A:$A,0)+MATCH($A53,'_Month Engine'!$B$61:$B$70,0),0))&gt;0,INDEX(Properties!$AD:$AD,$A53+5),0)</f>
        <v>0</v>
      </c>
      <c r="H53" s="77" cm="1">
        <f t="array" ref="H53">SUMIF('_Month Engine'!$C$5:$DR$5,H$4,INDEX('_Month Engine'!$C:$DR,MATCH("Gross Sale Value",'_Month Engine'!$A:$A,0)+MATCH($A53,'_Month Engine'!$B$61:$B$70,0),0))*(1-Input!$C$15)-IF(SUMIF('_Month Engine'!$C$5:$DR$5,H$4,INDEX('_Month Engine'!$C:$DR,MATCH("Gross Sale Value",'_Month Engine'!$A:$A,0)+MATCH($A53,'_Month Engine'!$B$61:$B$70,0),0))&gt;0,INDEX(Properties!$AD:$AD,$A53+5),0)</f>
        <v>0</v>
      </c>
      <c r="I53" s="77" cm="1">
        <f t="array" ref="I53">SUMIF('_Month Engine'!$C$5:$DR$5,I$4,INDEX('_Month Engine'!$C:$DR,MATCH("Gross Sale Value",'_Month Engine'!$A:$A,0)+MATCH($A53,'_Month Engine'!$B$61:$B$70,0),0))*(1-Input!$C$15)-IF(SUMIF('_Month Engine'!$C$5:$DR$5,I$4,INDEX('_Month Engine'!$C:$DR,MATCH("Gross Sale Value",'_Month Engine'!$A:$A,0)+MATCH($A53,'_Month Engine'!$B$61:$B$70,0),0))&gt;0,INDEX(Properties!$AD:$AD,$A53+5),0)</f>
        <v>0</v>
      </c>
      <c r="J53" s="77" cm="1">
        <f t="array" ref="J53">SUMIF('_Month Engine'!$C$5:$DR$5,J$4,INDEX('_Month Engine'!$C:$DR,MATCH("Gross Sale Value",'_Month Engine'!$A:$A,0)+MATCH($A53,'_Month Engine'!$B$61:$B$70,0),0))*(1-Input!$C$15)-IF(SUMIF('_Month Engine'!$C$5:$DR$5,J$4,INDEX('_Month Engine'!$C:$DR,MATCH("Gross Sale Value",'_Month Engine'!$A:$A,0)+MATCH($A53,'_Month Engine'!$B$61:$B$70,0),0))&gt;0,INDEX(Properties!$AD:$AD,$A53+5),0)</f>
        <v>0</v>
      </c>
      <c r="K53" s="77" cm="1">
        <f t="array" ref="K53">SUMIF('_Month Engine'!$C$5:$DR$5,K$4,INDEX('_Month Engine'!$C:$DR,MATCH("Gross Sale Value",'_Month Engine'!$A:$A,0)+MATCH($A53,'_Month Engine'!$B$61:$B$70,0),0))*(1-Input!$C$15)-IF(SUMIF('_Month Engine'!$C$5:$DR$5,K$4,INDEX('_Month Engine'!$C:$DR,MATCH("Gross Sale Value",'_Month Engine'!$A:$A,0)+MATCH($A53,'_Month Engine'!$B$61:$B$70,0),0))&gt;0,INDEX(Properties!$AD:$AD,$A53+5),0)</f>
        <v>0</v>
      </c>
      <c r="L53" s="77" cm="1">
        <f t="array" ref="L53">SUMIF('_Month Engine'!$C$5:$DR$5,L$4,INDEX('_Month Engine'!$C:$DR,MATCH("Gross Sale Value",'_Month Engine'!$A:$A,0)+MATCH($A53,'_Month Engine'!$B$61:$B$70,0),0))*(1-Input!$C$15)-IF(SUMIF('_Month Engine'!$C$5:$DR$5,L$4,INDEX('_Month Engine'!$C:$DR,MATCH("Gross Sale Value",'_Month Engine'!$A:$A,0)+MATCH($A53,'_Month Engine'!$B$61:$B$70,0),0))&gt;0,INDEX(Properties!$AD:$AD,$A53+5),0)</f>
        <v>0</v>
      </c>
    </row>
    <row r="54" spans="1:12" ht="18" customHeight="1" x14ac:dyDescent="0.3">
      <c r="A54" s="9"/>
      <c r="B54" s="9"/>
      <c r="C54" s="66"/>
      <c r="D54" s="66"/>
      <c r="E54" s="66"/>
      <c r="F54" s="66"/>
      <c r="G54" s="66"/>
      <c r="H54" s="66"/>
      <c r="I54" s="66"/>
      <c r="J54" s="66"/>
      <c r="K54" s="66"/>
      <c r="L54" s="66"/>
    </row>
    <row r="55" spans="1:12" ht="19.95" customHeight="1" x14ac:dyDescent="0.3">
      <c r="A55" s="40">
        <v>4</v>
      </c>
      <c r="B55" s="40" t="str" cm="1">
        <f t="array" ref="B55">INDEX(Properties!$E:$E,$A55+5)&amp;"   ·   "&amp;INDEX(Properties!$F:$F,$A55+5)&amp;"   ·   "&amp;INDEX(Properties!$H:$H,$A55+5)</f>
        <v>Casa Montana Lote 2 (Samuel Gaviria House)   ·   El Retiro, Antioquia   ·   Negotiated — works being budgeted</v>
      </c>
      <c r="C55" s="67"/>
      <c r="D55" s="67"/>
      <c r="E55" s="67"/>
      <c r="F55" s="67"/>
      <c r="G55" s="67"/>
      <c r="H55" s="67"/>
      <c r="I55" s="67"/>
      <c r="J55" s="67"/>
      <c r="K55" s="67"/>
      <c r="L55" s="67"/>
    </row>
    <row r="56" spans="1:12" ht="18" customHeight="1" x14ac:dyDescent="0.3">
      <c r="A56" s="9">
        <v>4</v>
      </c>
      <c r="B56" s="66" t="s">
        <v>167</v>
      </c>
      <c r="C56" s="75">
        <f>SUMIF('_Month Engine'!$C$5:$DR$5,C$4,INDEX('_Month Engine'!$C:$DR,MATCH("Gross STR Revenue",'_Month Engine'!$A:$A,0)+MATCH($A56,'_Month Engine'!$B$34:$B$43,0),0))</f>
        <v>0</v>
      </c>
      <c r="D56" s="75">
        <f>SUMIF('_Month Engine'!$C$5:$DR$5,D$4,INDEX('_Month Engine'!$C:$DR,MATCH("Gross STR Revenue",'_Month Engine'!$A:$A,0)+MATCH($A56,'_Month Engine'!$B$34:$B$43,0),0))</f>
        <v>69124.140154285706</v>
      </c>
      <c r="E56" s="75">
        <f>SUMIF('_Month Engine'!$C$5:$DR$5,E$4,INDEX('_Month Engine'!$C:$DR,MATCH("Gross STR Revenue",'_Month Engine'!$A:$A,0)+MATCH($A56,'_Month Engine'!$B$34:$B$43,0),0))</f>
        <v>75836.009533371442</v>
      </c>
      <c r="F56" s="75">
        <f>SUMIF('_Month Engine'!$C$5:$DR$5,F$4,INDEX('_Month Engine'!$C:$DR,MATCH("Gross STR Revenue",'_Month Engine'!$A:$A,0)+MATCH($A56,'_Month Engine'!$B$34:$B$43,0),0))</f>
        <v>40478.988711641141</v>
      </c>
      <c r="G56" s="75">
        <f>SUMIF('_Month Engine'!$C$5:$DR$5,G$4,INDEX('_Month Engine'!$C:$DR,MATCH("Gross STR Revenue",'_Month Engine'!$A:$A,0)+MATCH($A56,'_Month Engine'!$B$34:$B$43,0),0))</f>
        <v>0</v>
      </c>
      <c r="H56" s="75">
        <f>SUMIF('_Month Engine'!$C$5:$DR$5,H$4,INDEX('_Month Engine'!$C:$DR,MATCH("Gross STR Revenue",'_Month Engine'!$A:$A,0)+MATCH($A56,'_Month Engine'!$B$34:$B$43,0),0))</f>
        <v>0</v>
      </c>
      <c r="I56" s="75">
        <f>SUMIF('_Month Engine'!$C$5:$DR$5,I$4,INDEX('_Month Engine'!$C:$DR,MATCH("Gross STR Revenue",'_Month Engine'!$A:$A,0)+MATCH($A56,'_Month Engine'!$B$34:$B$43,0),0))</f>
        <v>0</v>
      </c>
      <c r="J56" s="75">
        <f>SUMIF('_Month Engine'!$C$5:$DR$5,J$4,INDEX('_Month Engine'!$C:$DR,MATCH("Gross STR Revenue",'_Month Engine'!$A:$A,0)+MATCH($A56,'_Month Engine'!$B$34:$B$43,0),0))</f>
        <v>0</v>
      </c>
      <c r="K56" s="75">
        <f>SUMIF('_Month Engine'!$C$5:$DR$5,K$4,INDEX('_Month Engine'!$C:$DR,MATCH("Gross STR Revenue",'_Month Engine'!$A:$A,0)+MATCH($A56,'_Month Engine'!$B$34:$B$43,0),0))</f>
        <v>0</v>
      </c>
      <c r="L56" s="75">
        <f>SUMIF('_Month Engine'!$C$5:$DR$5,L$4,INDEX('_Month Engine'!$C:$DR,MATCH("Gross STR Revenue",'_Month Engine'!$A:$A,0)+MATCH($A56,'_Month Engine'!$B$34:$B$43,0),0))</f>
        <v>0</v>
      </c>
    </row>
    <row r="57" spans="1:12" ht="18" customHeight="1" x14ac:dyDescent="0.3">
      <c r="A57" s="9">
        <v>4</v>
      </c>
      <c r="B57" s="66" t="s">
        <v>1179</v>
      </c>
      <c r="C57" s="75" cm="1">
        <f t="array" ref="C57">SUMIF('_Month Engine'!$C$5:$DR$5,C$4,INDEX('_Month Engine'!$C:$DR,MATCH("Owned All-In Basis",'_Month Engine'!$A:$A,0)+MATCH($A57,'_Month Engine'!$B$47:$B$56,0),0))*INDEX(Input!$C$80:$C$89,$A57)/'_IRR Engine'!$Q$7</f>
        <v>3407.7669902912626</v>
      </c>
      <c r="D57" s="75" cm="1">
        <f t="array" ref="D57">SUMIF('_Month Engine'!$C$5:$DR$5,D$4,INDEX('_Month Engine'!$C:$DR,MATCH("Owned All-In Basis",'_Month Engine'!$A:$A,0)+MATCH($A57,'_Month Engine'!$B$47:$B$56,0),0))*INDEX(Input!$C$80:$C$89,$A57)/'_IRR Engine'!$Q$7</f>
        <v>8178.6407766990305</v>
      </c>
      <c r="E57" s="75" cm="1">
        <f t="array" ref="E57">SUMIF('_Month Engine'!$C$5:$DR$5,E$4,INDEX('_Month Engine'!$C:$DR,MATCH("Owned All-In Basis",'_Month Engine'!$A:$A,0)+MATCH($A57,'_Month Engine'!$B$47:$B$56,0),0))*INDEX(Input!$C$80:$C$89,$A57)/'_IRR Engine'!$Q$7</f>
        <v>8178.6407766990305</v>
      </c>
      <c r="F57" s="75" cm="1">
        <f t="array" ref="F57">SUMIF('_Month Engine'!$C$5:$DR$5,F$4,INDEX('_Month Engine'!$C:$DR,MATCH("Owned All-In Basis",'_Month Engine'!$A:$A,0)+MATCH($A57,'_Month Engine'!$B$47:$B$56,0),0))*INDEX(Input!$C$80:$C$89,$A57)/'_IRR Engine'!$Q$7</f>
        <v>4089.3203883495153</v>
      </c>
      <c r="G57" s="75" cm="1">
        <f t="array" ref="G57">SUMIF('_Month Engine'!$C$5:$DR$5,G$4,INDEX('_Month Engine'!$C:$DR,MATCH("Owned All-In Basis",'_Month Engine'!$A:$A,0)+MATCH($A57,'_Month Engine'!$B$47:$B$56,0),0))*INDEX(Input!$C$80:$C$89,$A57)/'_IRR Engine'!$Q$7</f>
        <v>0</v>
      </c>
      <c r="H57" s="75" cm="1">
        <f t="array" ref="H57">SUMIF('_Month Engine'!$C$5:$DR$5,H$4,INDEX('_Month Engine'!$C:$DR,MATCH("Owned All-In Basis",'_Month Engine'!$A:$A,0)+MATCH($A57,'_Month Engine'!$B$47:$B$56,0),0))*INDEX(Input!$C$80:$C$89,$A57)/'_IRR Engine'!$Q$7</f>
        <v>0</v>
      </c>
      <c r="I57" s="75" cm="1">
        <f t="array" ref="I57">SUMIF('_Month Engine'!$C$5:$DR$5,I$4,INDEX('_Month Engine'!$C:$DR,MATCH("Owned All-In Basis",'_Month Engine'!$A:$A,0)+MATCH($A57,'_Month Engine'!$B$47:$B$56,0),0))*INDEX(Input!$C$80:$C$89,$A57)/'_IRR Engine'!$Q$7</f>
        <v>0</v>
      </c>
      <c r="J57" s="75" cm="1">
        <f t="array" ref="J57">SUMIF('_Month Engine'!$C$5:$DR$5,J$4,INDEX('_Month Engine'!$C:$DR,MATCH("Owned All-In Basis",'_Month Engine'!$A:$A,0)+MATCH($A57,'_Month Engine'!$B$47:$B$56,0),0))*INDEX(Input!$C$80:$C$89,$A57)/'_IRR Engine'!$Q$7</f>
        <v>0</v>
      </c>
      <c r="K57" s="75" cm="1">
        <f t="array" ref="K57">SUMIF('_Month Engine'!$C$5:$DR$5,K$4,INDEX('_Month Engine'!$C:$DR,MATCH("Owned All-In Basis",'_Month Engine'!$A:$A,0)+MATCH($A57,'_Month Engine'!$B$47:$B$56,0),0))*INDEX(Input!$C$80:$C$89,$A57)/'_IRR Engine'!$Q$7</f>
        <v>0</v>
      </c>
      <c r="L57" s="75" cm="1">
        <f t="array" ref="L57">SUMIF('_Month Engine'!$C$5:$DR$5,L$4,INDEX('_Month Engine'!$C:$DR,MATCH("Owned All-In Basis",'_Month Engine'!$A:$A,0)+MATCH($A57,'_Month Engine'!$B$47:$B$56,0),0))*INDEX(Input!$C$80:$C$89,$A57)/'_IRR Engine'!$Q$7</f>
        <v>0</v>
      </c>
    </row>
    <row r="58" spans="1:12" ht="18" customHeight="1" x14ac:dyDescent="0.3">
      <c r="A58" s="9">
        <v>4</v>
      </c>
      <c r="B58" s="66" t="s">
        <v>72</v>
      </c>
      <c r="C58" s="75">
        <f>SUMIF('_Month Engine'!$C$5:$DR$5,C$4,INDEX('_Month Engine'!$C:$DR,MATCH("Renting All-In Basis",'_Month Engine'!$A:$A,0)+MATCH($A58,'_Month Engine'!$B$110:$B$119,0),0))*Input!$C$18/'_IRR Engine'!$Q$7</f>
        <v>0</v>
      </c>
      <c r="D58" s="75">
        <f>SUMIF('_Month Engine'!$C$5:$DR$5,D$4,INDEX('_Month Engine'!$C:$DR,MATCH("Renting All-In Basis",'_Month Engine'!$A:$A,0)+MATCH($A58,'_Month Engine'!$B$110:$B$119,0),0))*Input!$C$18/'_IRR Engine'!$Q$7</f>
        <v>2357.4130258899681</v>
      </c>
      <c r="E58" s="75">
        <f>SUMIF('_Month Engine'!$C$5:$DR$5,E$4,INDEX('_Month Engine'!$C:$DR,MATCH("Renting All-In Basis",'_Month Engine'!$A:$A,0)+MATCH($A58,'_Month Engine'!$B$110:$B$119,0),0))*Input!$C$18/'_IRR Engine'!$Q$7</f>
        <v>2571.7233009708743</v>
      </c>
      <c r="F58" s="75">
        <f>SUMIF('_Month Engine'!$C$5:$DR$5,F$4,INDEX('_Month Engine'!$C:$DR,MATCH("Renting All-In Basis",'_Month Engine'!$A:$A,0)+MATCH($A58,'_Month Engine'!$B$110:$B$119,0),0))*Input!$C$18/'_IRR Engine'!$Q$7</f>
        <v>1285.8616504854372</v>
      </c>
      <c r="G58" s="75">
        <f>SUMIF('_Month Engine'!$C$5:$DR$5,G$4,INDEX('_Month Engine'!$C:$DR,MATCH("Renting All-In Basis",'_Month Engine'!$A:$A,0)+MATCH($A58,'_Month Engine'!$B$110:$B$119,0),0))*Input!$C$18/'_IRR Engine'!$Q$7</f>
        <v>0</v>
      </c>
      <c r="H58" s="75">
        <f>SUMIF('_Month Engine'!$C$5:$DR$5,H$4,INDEX('_Month Engine'!$C:$DR,MATCH("Renting All-In Basis",'_Month Engine'!$A:$A,0)+MATCH($A58,'_Month Engine'!$B$110:$B$119,0),0))*Input!$C$18/'_IRR Engine'!$Q$7</f>
        <v>0</v>
      </c>
      <c r="I58" s="75">
        <f>SUMIF('_Month Engine'!$C$5:$DR$5,I$4,INDEX('_Month Engine'!$C:$DR,MATCH("Renting All-In Basis",'_Month Engine'!$A:$A,0)+MATCH($A58,'_Month Engine'!$B$110:$B$119,0),0))*Input!$C$18/'_IRR Engine'!$Q$7</f>
        <v>0</v>
      </c>
      <c r="J58" s="75">
        <f>SUMIF('_Month Engine'!$C$5:$DR$5,J$4,INDEX('_Month Engine'!$C:$DR,MATCH("Renting All-In Basis",'_Month Engine'!$A:$A,0)+MATCH($A58,'_Month Engine'!$B$110:$B$119,0),0))*Input!$C$18/'_IRR Engine'!$Q$7</f>
        <v>0</v>
      </c>
      <c r="K58" s="75">
        <f>SUMIF('_Month Engine'!$C$5:$DR$5,K$4,INDEX('_Month Engine'!$C:$DR,MATCH("Renting All-In Basis",'_Month Engine'!$A:$A,0)+MATCH($A58,'_Month Engine'!$B$110:$B$119,0),0))*Input!$C$18/'_IRR Engine'!$Q$7</f>
        <v>0</v>
      </c>
      <c r="L58" s="75">
        <f>SUMIF('_Month Engine'!$C$5:$DR$5,L$4,INDEX('_Month Engine'!$C:$DR,MATCH("Renting All-In Basis",'_Month Engine'!$A:$A,0)+MATCH($A58,'_Month Engine'!$B$110:$B$119,0),0))*Input!$C$18/'_IRR Engine'!$Q$7</f>
        <v>0</v>
      </c>
    </row>
    <row r="59" spans="1:12" ht="18" customHeight="1" x14ac:dyDescent="0.3">
      <c r="A59" s="9">
        <v>4</v>
      </c>
      <c r="B59" s="66" t="s">
        <v>168</v>
      </c>
      <c r="C59" s="75" cm="1">
        <f t="array" ref="C59">SUMIF('_Month Engine'!$C$5:$DR$5,C$4,INDEX('_Month Engine'!$C:$DR,MATCH("Owned Flag (1 = owned in month)",'_Month Engine'!$A:$A,0)+MATCH($A59,'_Month Engine'!$B$86:$B$95,0),0))*INDEX(Input!$D$80:$D$89,$A59)*1000000/Input!$C$5</f>
        <v>3236.2459546925566</v>
      </c>
      <c r="D59" s="75" cm="1">
        <f t="array" ref="D59">SUMIF('_Month Engine'!$C$5:$DR$5,D$4,INDEX('_Month Engine'!$C:$DR,MATCH("Owned Flag (1 = owned in month)",'_Month Engine'!$A:$A,0)+MATCH($A59,'_Month Engine'!$B$86:$B$95,0),0))*INDEX(Input!$D$80:$D$89,$A59)*1000000/Input!$C$5</f>
        <v>7766.9902912621355</v>
      </c>
      <c r="E59" s="75" cm="1">
        <f t="array" ref="E59">SUMIF('_Month Engine'!$C$5:$DR$5,E$4,INDEX('_Month Engine'!$C:$DR,MATCH("Owned Flag (1 = owned in month)",'_Month Engine'!$A:$A,0)+MATCH($A59,'_Month Engine'!$B$86:$B$95,0),0))*INDEX(Input!$D$80:$D$89,$A59)*1000000/Input!$C$5</f>
        <v>7766.9902912621355</v>
      </c>
      <c r="F59" s="75" cm="1">
        <f t="array" ref="F59">SUMIF('_Month Engine'!$C$5:$DR$5,F$4,INDEX('_Month Engine'!$C:$DR,MATCH("Owned Flag (1 = owned in month)",'_Month Engine'!$A:$A,0)+MATCH($A59,'_Month Engine'!$B$86:$B$95,0),0))*INDEX(Input!$D$80:$D$89,$A59)*1000000/Input!$C$5</f>
        <v>3883.4951456310678</v>
      </c>
      <c r="G59" s="75" cm="1">
        <f t="array" ref="G59">SUMIF('_Month Engine'!$C$5:$DR$5,G$4,INDEX('_Month Engine'!$C:$DR,MATCH("Owned Flag (1 = owned in month)",'_Month Engine'!$A:$A,0)+MATCH($A59,'_Month Engine'!$B$86:$B$95,0),0))*INDEX(Input!$D$80:$D$89,$A59)*1000000/Input!$C$5</f>
        <v>0</v>
      </c>
      <c r="H59" s="75" cm="1">
        <f t="array" ref="H59">SUMIF('_Month Engine'!$C$5:$DR$5,H$4,INDEX('_Month Engine'!$C:$DR,MATCH("Owned Flag (1 = owned in month)",'_Month Engine'!$A:$A,0)+MATCH($A59,'_Month Engine'!$B$86:$B$95,0),0))*INDEX(Input!$D$80:$D$89,$A59)*1000000/Input!$C$5</f>
        <v>0</v>
      </c>
      <c r="I59" s="75" cm="1">
        <f t="array" ref="I59">SUMIF('_Month Engine'!$C$5:$DR$5,I$4,INDEX('_Month Engine'!$C:$DR,MATCH("Owned Flag (1 = owned in month)",'_Month Engine'!$A:$A,0)+MATCH($A59,'_Month Engine'!$B$86:$B$95,0),0))*INDEX(Input!$D$80:$D$89,$A59)*1000000/Input!$C$5</f>
        <v>0</v>
      </c>
      <c r="J59" s="75" cm="1">
        <f t="array" ref="J59">SUMIF('_Month Engine'!$C$5:$DR$5,J$4,INDEX('_Month Engine'!$C:$DR,MATCH("Owned Flag (1 = owned in month)",'_Month Engine'!$A:$A,0)+MATCH($A59,'_Month Engine'!$B$86:$B$95,0),0))*INDEX(Input!$D$80:$D$89,$A59)*1000000/Input!$C$5</f>
        <v>0</v>
      </c>
      <c r="K59" s="75" cm="1">
        <f t="array" ref="K59">SUMIF('_Month Engine'!$C$5:$DR$5,K$4,INDEX('_Month Engine'!$C:$DR,MATCH("Owned Flag (1 = owned in month)",'_Month Engine'!$A:$A,0)+MATCH($A59,'_Month Engine'!$B$86:$B$95,0),0))*INDEX(Input!$D$80:$D$89,$A59)*1000000/Input!$C$5</f>
        <v>0</v>
      </c>
      <c r="L59" s="75" cm="1">
        <f t="array" ref="L59">SUMIF('_Month Engine'!$C$5:$DR$5,L$4,INDEX('_Month Engine'!$C:$DR,MATCH("Owned Flag (1 = owned in month)",'_Month Engine'!$A:$A,0)+MATCH($A59,'_Month Engine'!$B$86:$B$95,0),0))*INDEX(Input!$D$80:$D$89,$A59)*1000000/Input!$C$5</f>
        <v>0</v>
      </c>
    </row>
    <row r="60" spans="1:12" ht="18" customHeight="1" x14ac:dyDescent="0.3">
      <c r="A60" s="9">
        <v>4</v>
      </c>
      <c r="B60" s="66" t="s">
        <v>169</v>
      </c>
      <c r="C60" s="75" cm="1">
        <f t="array" ref="C60">SUMIF('_Month Engine'!$C$5:$DR$5,C$4,INDEX('_Month Engine'!$C:$DR,MATCH("Owned Flag (1 = owned in month)",'_Month Engine'!$A:$A,0)+MATCH($A60,'_Month Engine'!$B$86:$B$95,0),0))*INDEX(Input!$E$80:$E$89,$A60)*1000000/Input!$C$5</f>
        <v>2427.1844660194174</v>
      </c>
      <c r="D60" s="75" cm="1">
        <f t="array" ref="D60">SUMIF('_Month Engine'!$C$5:$DR$5,D$4,INDEX('_Month Engine'!$C:$DR,MATCH("Owned Flag (1 = owned in month)",'_Month Engine'!$A:$A,0)+MATCH($A60,'_Month Engine'!$B$86:$B$95,0),0))*INDEX(Input!$E$80:$E$89,$A60)*1000000/Input!$C$5</f>
        <v>5825.2427184466023</v>
      </c>
      <c r="E60" s="75" cm="1">
        <f t="array" ref="E60">SUMIF('_Month Engine'!$C$5:$DR$5,E$4,INDEX('_Month Engine'!$C:$DR,MATCH("Owned Flag (1 = owned in month)",'_Month Engine'!$A:$A,0)+MATCH($A60,'_Month Engine'!$B$86:$B$95,0),0))*INDEX(Input!$E$80:$E$89,$A60)*1000000/Input!$C$5</f>
        <v>5825.2427184466023</v>
      </c>
      <c r="F60" s="75" cm="1">
        <f t="array" ref="F60">SUMIF('_Month Engine'!$C$5:$DR$5,F$4,INDEX('_Month Engine'!$C:$DR,MATCH("Owned Flag (1 = owned in month)",'_Month Engine'!$A:$A,0)+MATCH($A60,'_Month Engine'!$B$86:$B$95,0),0))*INDEX(Input!$E$80:$E$89,$A60)*1000000/Input!$C$5</f>
        <v>2912.6213592233012</v>
      </c>
      <c r="G60" s="75" cm="1">
        <f t="array" ref="G60">SUMIF('_Month Engine'!$C$5:$DR$5,G$4,INDEX('_Month Engine'!$C:$DR,MATCH("Owned Flag (1 = owned in month)",'_Month Engine'!$A:$A,0)+MATCH($A60,'_Month Engine'!$B$86:$B$95,0),0))*INDEX(Input!$E$80:$E$89,$A60)*1000000/Input!$C$5</f>
        <v>0</v>
      </c>
      <c r="H60" s="75" cm="1">
        <f t="array" ref="H60">SUMIF('_Month Engine'!$C$5:$DR$5,H$4,INDEX('_Month Engine'!$C:$DR,MATCH("Owned Flag (1 = owned in month)",'_Month Engine'!$A:$A,0)+MATCH($A60,'_Month Engine'!$B$86:$B$95,0),0))*INDEX(Input!$E$80:$E$89,$A60)*1000000/Input!$C$5</f>
        <v>0</v>
      </c>
      <c r="I60" s="75" cm="1">
        <f t="array" ref="I60">SUMIF('_Month Engine'!$C$5:$DR$5,I$4,INDEX('_Month Engine'!$C:$DR,MATCH("Owned Flag (1 = owned in month)",'_Month Engine'!$A:$A,0)+MATCH($A60,'_Month Engine'!$B$86:$B$95,0),0))*INDEX(Input!$E$80:$E$89,$A60)*1000000/Input!$C$5</f>
        <v>0</v>
      </c>
      <c r="J60" s="75" cm="1">
        <f t="array" ref="J60">SUMIF('_Month Engine'!$C$5:$DR$5,J$4,INDEX('_Month Engine'!$C:$DR,MATCH("Owned Flag (1 = owned in month)",'_Month Engine'!$A:$A,0)+MATCH($A60,'_Month Engine'!$B$86:$B$95,0),0))*INDEX(Input!$E$80:$E$89,$A60)*1000000/Input!$C$5</f>
        <v>0</v>
      </c>
      <c r="K60" s="75" cm="1">
        <f t="array" ref="K60">SUMIF('_Month Engine'!$C$5:$DR$5,K$4,INDEX('_Month Engine'!$C:$DR,MATCH("Owned Flag (1 = owned in month)",'_Month Engine'!$A:$A,0)+MATCH($A60,'_Month Engine'!$B$86:$B$95,0),0))*INDEX(Input!$E$80:$E$89,$A60)*1000000/Input!$C$5</f>
        <v>0</v>
      </c>
      <c r="L60" s="75" cm="1">
        <f t="array" ref="L60">SUMIF('_Month Engine'!$C$5:$DR$5,L$4,INDEX('_Month Engine'!$C:$DR,MATCH("Owned Flag (1 = owned in month)",'_Month Engine'!$A:$A,0)+MATCH($A60,'_Month Engine'!$B$86:$B$95,0),0))*INDEX(Input!$E$80:$E$89,$A60)*1000000/Input!$C$5</f>
        <v>0</v>
      </c>
    </row>
    <row r="61" spans="1:12" ht="18" customHeight="1" x14ac:dyDescent="0.3">
      <c r="A61" s="9">
        <v>4</v>
      </c>
      <c r="B61" s="66" t="s">
        <v>170</v>
      </c>
      <c r="C61" s="75">
        <f>IFERROR(SUMIF('_Month Engine'!$C$5:$DR$5,C$4,INDEX('_Month Engine'!$C:$DR,MATCH("Renting All-In Basis",'_Month Engine'!$A:$A,0)+MATCH($A61,'_Month Engine'!$B$110:$B$119,0),0))*Input!$C$19/'_IRR Engine'!$Q$7,0)</f>
        <v>0</v>
      </c>
      <c r="D61" s="75">
        <f>IFERROR(SUMIF('_Month Engine'!$C$5:$DR$5,D$4,INDEX('_Month Engine'!$C:$DR,MATCH("Renting All-In Basis",'_Month Engine'!$A:$A,0)+MATCH($A61,'_Month Engine'!$B$110:$B$119,0),0))*Input!$C$19/'_IRR Engine'!$Q$7,0)</f>
        <v>7858.0434196332271</v>
      </c>
      <c r="E61" s="75">
        <f>IFERROR(SUMIF('_Month Engine'!$C$5:$DR$5,E$4,INDEX('_Month Engine'!$C:$DR,MATCH("Renting All-In Basis",'_Month Engine'!$A:$A,0)+MATCH($A61,'_Month Engine'!$B$110:$B$119,0),0))*Input!$C$19/'_IRR Engine'!$Q$7,0)</f>
        <v>8572.4110032362478</v>
      </c>
      <c r="F61" s="75">
        <f>IFERROR(SUMIF('_Month Engine'!$C$5:$DR$5,F$4,INDEX('_Month Engine'!$C:$DR,MATCH("Renting All-In Basis",'_Month Engine'!$A:$A,0)+MATCH($A61,'_Month Engine'!$B$110:$B$119,0),0))*Input!$C$19/'_IRR Engine'!$Q$7,0)</f>
        <v>4286.2055016181239</v>
      </c>
      <c r="G61" s="75">
        <f>IFERROR(SUMIF('_Month Engine'!$C$5:$DR$5,G$4,INDEX('_Month Engine'!$C:$DR,MATCH("Renting All-In Basis",'_Month Engine'!$A:$A,0)+MATCH($A61,'_Month Engine'!$B$110:$B$119,0),0))*Input!$C$19/'_IRR Engine'!$Q$7,0)</f>
        <v>0</v>
      </c>
      <c r="H61" s="75">
        <f>IFERROR(SUMIF('_Month Engine'!$C$5:$DR$5,H$4,INDEX('_Month Engine'!$C:$DR,MATCH("Renting All-In Basis",'_Month Engine'!$A:$A,0)+MATCH($A61,'_Month Engine'!$B$110:$B$119,0),0))*Input!$C$19/'_IRR Engine'!$Q$7,0)</f>
        <v>0</v>
      </c>
      <c r="I61" s="75">
        <f>IFERROR(SUMIF('_Month Engine'!$C$5:$DR$5,I$4,INDEX('_Month Engine'!$C:$DR,MATCH("Renting All-In Basis",'_Month Engine'!$A:$A,0)+MATCH($A61,'_Month Engine'!$B$110:$B$119,0),0))*Input!$C$19/'_IRR Engine'!$Q$7,0)</f>
        <v>0</v>
      </c>
      <c r="J61" s="75">
        <f>IFERROR(SUMIF('_Month Engine'!$C$5:$DR$5,J$4,INDEX('_Month Engine'!$C:$DR,MATCH("Renting All-In Basis",'_Month Engine'!$A:$A,0)+MATCH($A61,'_Month Engine'!$B$110:$B$119,0),0))*Input!$C$19/'_IRR Engine'!$Q$7,0)</f>
        <v>0</v>
      </c>
      <c r="K61" s="75">
        <f>IFERROR(SUMIF('_Month Engine'!$C$5:$DR$5,K$4,INDEX('_Month Engine'!$C:$DR,MATCH("Renting All-In Basis",'_Month Engine'!$A:$A,0)+MATCH($A61,'_Month Engine'!$B$110:$B$119,0),0))*Input!$C$19/'_IRR Engine'!$Q$7,0)</f>
        <v>0</v>
      </c>
      <c r="L61" s="75">
        <f>IFERROR(SUMIF('_Month Engine'!$C$5:$DR$5,L$4,INDEX('_Month Engine'!$C:$DR,MATCH("Renting All-In Basis",'_Month Engine'!$A:$A,0)+MATCH($A61,'_Month Engine'!$B$110:$B$119,0),0))*Input!$C$19/'_IRR Engine'!$Q$7,0)</f>
        <v>0</v>
      </c>
    </row>
    <row r="62" spans="1:12" ht="18" customHeight="1" x14ac:dyDescent="0.3">
      <c r="A62" s="9">
        <v>4</v>
      </c>
      <c r="B62" s="66" t="s">
        <v>171</v>
      </c>
      <c r="C62" s="75">
        <f>C56*Input!$C$20</f>
        <v>0</v>
      </c>
      <c r="D62" s="75">
        <f>D56*Input!$C$20</f>
        <v>0</v>
      </c>
      <c r="E62" s="75">
        <f>E56*Input!$C$20</f>
        <v>0</v>
      </c>
      <c r="F62" s="75">
        <f>F56*Input!$C$20</f>
        <v>0</v>
      </c>
      <c r="G62" s="75">
        <f>G56*Input!$C$20</f>
        <v>0</v>
      </c>
      <c r="H62" s="75">
        <f>H56*Input!$C$20</f>
        <v>0</v>
      </c>
      <c r="I62" s="75">
        <f>I56*Input!$C$20</f>
        <v>0</v>
      </c>
      <c r="J62" s="75">
        <f>J56*Input!$C$20</f>
        <v>0</v>
      </c>
      <c r="K62" s="75">
        <f>K56*Input!$C$20</f>
        <v>0</v>
      </c>
      <c r="L62" s="75">
        <f>L56*Input!$C$20</f>
        <v>0</v>
      </c>
    </row>
    <row r="63" spans="1:12" x14ac:dyDescent="0.3">
      <c r="A63" s="9">
        <v>4</v>
      </c>
      <c r="B63" s="66" t="s">
        <v>1180</v>
      </c>
      <c r="C63" s="75" cm="1">
        <f t="array" ref="C63">C56*IFERROR(INDEX(Input!$U$80:$U$89,$A63),0)</f>
        <v>0</v>
      </c>
      <c r="D63" s="75" cm="1">
        <f t="array" ref="D63">D56*IFERROR(INDEX(Input!$U$80:$U$89,$A63),0)</f>
        <v>864.05175192857132</v>
      </c>
      <c r="E63" s="75" cm="1">
        <f t="array" ref="E63">E56*IFERROR(INDEX(Input!$U$80:$U$89,$A63),0)</f>
        <v>947.95011916714304</v>
      </c>
      <c r="F63" s="75" cm="1">
        <f t="array" ref="F63">F56*IFERROR(INDEX(Input!$U$80:$U$89,$A63),0)</f>
        <v>505.98735889551426</v>
      </c>
      <c r="G63" s="75" cm="1">
        <f t="array" ref="G63">G56*IFERROR(INDEX(Input!$U$80:$U$89,$A63),0)</f>
        <v>0</v>
      </c>
      <c r="H63" s="75" cm="1">
        <f t="array" ref="H63">H56*IFERROR(INDEX(Input!$U$80:$U$89,$A63),0)</f>
        <v>0</v>
      </c>
      <c r="I63" s="75" cm="1">
        <f t="array" ref="I63">I56*IFERROR(INDEX(Input!$U$80:$U$89,$A63),0)</f>
        <v>0</v>
      </c>
      <c r="J63" s="75" cm="1">
        <f t="array" ref="J63">J56*IFERROR(INDEX(Input!$U$80:$U$89,$A63),0)</f>
        <v>0</v>
      </c>
      <c r="K63" s="75" cm="1">
        <f t="array" ref="K63">K56*IFERROR(INDEX(Input!$U$80:$U$89,$A63),0)</f>
        <v>0</v>
      </c>
      <c r="L63" s="75" cm="1">
        <f t="array" ref="L63">L56*IFERROR(INDEX(Input!$U$80:$U$89,$A63),0)</f>
        <v>0</v>
      </c>
    </row>
    <row r="64" spans="1:12" ht="18" customHeight="1" x14ac:dyDescent="0.3">
      <c r="A64" s="9">
        <v>4</v>
      </c>
      <c r="B64" s="66" t="str">
        <f>"ServCo property management ("&amp;TEXT(Input!$C$31,"0%")&amp;")"</f>
        <v>ServCo property management (20%)</v>
      </c>
      <c r="C64" s="75">
        <f>C56*Input!$C$31</f>
        <v>0</v>
      </c>
      <c r="D64" s="75">
        <f>D56*Input!$C$31</f>
        <v>13824.828030857141</v>
      </c>
      <c r="E64" s="75">
        <f>E56*Input!$C$31</f>
        <v>15167.201906674289</v>
      </c>
      <c r="F64" s="75">
        <f>F56*Input!$C$31</f>
        <v>8095.7977423282282</v>
      </c>
      <c r="G64" s="75">
        <f>G56*Input!$C$31</f>
        <v>0</v>
      </c>
      <c r="H64" s="75">
        <f>H56*Input!$C$31</f>
        <v>0</v>
      </c>
      <c r="I64" s="75">
        <f>I56*Input!$C$31</f>
        <v>0</v>
      </c>
      <c r="J64" s="75">
        <f>J56*Input!$C$31</f>
        <v>0</v>
      </c>
      <c r="K64" s="75">
        <f>K56*Input!$C$31</f>
        <v>0</v>
      </c>
      <c r="L64" s="75">
        <f>L56*Input!$C$31</f>
        <v>0</v>
      </c>
    </row>
    <row r="65" spans="1:12" ht="18" customHeight="1" x14ac:dyDescent="0.3">
      <c r="A65" s="9">
        <v>4</v>
      </c>
      <c r="B65" s="66" t="s">
        <v>980</v>
      </c>
      <c r="C65" s="75">
        <f>IFERROR(SUMIF('_Month Engine'!$C$5:$DR$5,C$4,INDEX('_Month Engine'!$C:$DR,MATCH("Renting Flag (1 = renting in month)",'_Month Engine'!$A:$A,0)+MATCH($A65,'_Month Engine'!$B$98:$B$107,0),0))*Input!$C$32,0)</f>
        <v>0</v>
      </c>
      <c r="D65" s="75">
        <f>IFERROR(SUMIF('_Month Engine'!$C$5:$DR$5,D$4,INDEX('_Month Engine'!$C:$DR,MATCH("Renting Flag (1 = renting in month)",'_Month Engine'!$A:$A,0)+MATCH($A65,'_Month Engine'!$B$98:$B$107,0),0))*Input!$C$32,0)</f>
        <v>0</v>
      </c>
      <c r="E65" s="75">
        <f>IFERROR(SUMIF('_Month Engine'!$C$5:$DR$5,E$4,INDEX('_Month Engine'!$C:$DR,MATCH("Renting Flag (1 = renting in month)",'_Month Engine'!$A:$A,0)+MATCH($A65,'_Month Engine'!$B$98:$B$107,0),0))*Input!$C$32,0)</f>
        <v>0</v>
      </c>
      <c r="F65" s="75">
        <f>IFERROR(SUMIF('_Month Engine'!$C$5:$DR$5,F$4,INDEX('_Month Engine'!$C:$DR,MATCH("Renting Flag (1 = renting in month)",'_Month Engine'!$A:$A,0)+MATCH($A65,'_Month Engine'!$B$98:$B$107,0),0))*Input!$C$32,0)</f>
        <v>0</v>
      </c>
      <c r="G65" s="75">
        <f>IFERROR(SUMIF('_Month Engine'!$C$5:$DR$5,G$4,INDEX('_Month Engine'!$C:$DR,MATCH("Renting Flag (1 = renting in month)",'_Month Engine'!$A:$A,0)+MATCH($A65,'_Month Engine'!$B$98:$B$107,0),0))*Input!$C$32,0)</f>
        <v>0</v>
      </c>
      <c r="H65" s="75">
        <f>IFERROR(SUMIF('_Month Engine'!$C$5:$DR$5,H$4,INDEX('_Month Engine'!$C:$DR,MATCH("Renting Flag (1 = renting in month)",'_Month Engine'!$A:$A,0)+MATCH($A65,'_Month Engine'!$B$98:$B$107,0),0))*Input!$C$32,0)</f>
        <v>0</v>
      </c>
      <c r="I65" s="75">
        <f>IFERROR(SUMIF('_Month Engine'!$C$5:$DR$5,I$4,INDEX('_Month Engine'!$C:$DR,MATCH("Renting Flag (1 = renting in month)",'_Month Engine'!$A:$A,0)+MATCH($A65,'_Month Engine'!$B$98:$B$107,0),0))*Input!$C$32,0)</f>
        <v>0</v>
      </c>
      <c r="J65" s="75">
        <f>IFERROR(SUMIF('_Month Engine'!$C$5:$DR$5,J$4,INDEX('_Month Engine'!$C:$DR,MATCH("Renting Flag (1 = renting in month)",'_Month Engine'!$A:$A,0)+MATCH($A65,'_Month Engine'!$B$98:$B$107,0),0))*Input!$C$32,0)</f>
        <v>0</v>
      </c>
      <c r="K65" s="75">
        <f>IFERROR(SUMIF('_Month Engine'!$C$5:$DR$5,K$4,INDEX('_Month Engine'!$C:$DR,MATCH("Renting Flag (1 = renting in month)",'_Month Engine'!$A:$A,0)+MATCH($A65,'_Month Engine'!$B$98:$B$107,0),0))*Input!$C$32,0)</f>
        <v>0</v>
      </c>
      <c r="L65" s="75">
        <f>IFERROR(SUMIF('_Month Engine'!$C$5:$DR$5,L$4,INDEX('_Month Engine'!$C:$DR,MATCH("Renting Flag (1 = renting in month)",'_Month Engine'!$A:$A,0)+MATCH($A65,'_Month Engine'!$B$98:$B$107,0),0))*Input!$C$32,0)</f>
        <v>0</v>
      </c>
    </row>
    <row r="66" spans="1:12" ht="18" customHeight="1" x14ac:dyDescent="0.3">
      <c r="A66" s="9">
        <v>4</v>
      </c>
      <c r="B66" s="11" t="s">
        <v>76</v>
      </c>
      <c r="C66" s="68">
        <f t="shared" ref="C66:L66" si="7">SUM(C57:C65)</f>
        <v>9071.1974110032352</v>
      </c>
      <c r="D66" s="68">
        <f t="shared" si="7"/>
        <v>46675.210014716678</v>
      </c>
      <c r="E66" s="68">
        <f t="shared" si="7"/>
        <v>49030.160116456325</v>
      </c>
      <c r="F66" s="68">
        <f t="shared" si="7"/>
        <v>25059.289146531191</v>
      </c>
      <c r="G66" s="68">
        <f t="shared" si="7"/>
        <v>0</v>
      </c>
      <c r="H66" s="68">
        <f t="shared" si="7"/>
        <v>0</v>
      </c>
      <c r="I66" s="68">
        <f t="shared" si="7"/>
        <v>0</v>
      </c>
      <c r="J66" s="68">
        <f t="shared" si="7"/>
        <v>0</v>
      </c>
      <c r="K66" s="68">
        <f t="shared" si="7"/>
        <v>0</v>
      </c>
      <c r="L66" s="68">
        <f t="shared" si="7"/>
        <v>0</v>
      </c>
    </row>
    <row r="67" spans="1:12" ht="18" customHeight="1" x14ac:dyDescent="0.3">
      <c r="A67" s="9">
        <v>4</v>
      </c>
      <c r="B67" s="11" t="s">
        <v>172</v>
      </c>
      <c r="C67" s="68">
        <f t="shared" ref="C67:L67" si="8">C56-C66</f>
        <v>-9071.1974110032352</v>
      </c>
      <c r="D67" s="68">
        <f t="shared" si="8"/>
        <v>22448.930139569027</v>
      </c>
      <c r="E67" s="68">
        <f t="shared" si="8"/>
        <v>26805.849416915116</v>
      </c>
      <c r="F67" s="68">
        <f t="shared" si="8"/>
        <v>15419.69956510995</v>
      </c>
      <c r="G67" s="68">
        <f t="shared" si="8"/>
        <v>0</v>
      </c>
      <c r="H67" s="68">
        <f t="shared" si="8"/>
        <v>0</v>
      </c>
      <c r="I67" s="68">
        <f t="shared" si="8"/>
        <v>0</v>
      </c>
      <c r="J67" s="68">
        <f t="shared" si="8"/>
        <v>0</v>
      </c>
      <c r="K67" s="68">
        <f t="shared" si="8"/>
        <v>0</v>
      </c>
      <c r="L67" s="68">
        <f t="shared" si="8"/>
        <v>0</v>
      </c>
    </row>
    <row r="68" spans="1:12" ht="18" customHeight="1" x14ac:dyDescent="0.3">
      <c r="A68" s="9">
        <v>4</v>
      </c>
      <c r="B68" s="22" t="s">
        <v>173</v>
      </c>
      <c r="C68" s="77">
        <f>SUMIF('_Month Engine'!$C$5:$DR$5,C$4,INDEX('_Month Engine'!$C:$DR,MATCH("Acquisition Outflow (Purchase + Closing)",'_Month Engine'!$A:$A,0)+MATCH($A68,'_Month Engine'!$B$8:$B$17,0),0))+SUMIF('_Month Engine'!$C$5:$DR$5,C$4,INDEX('_Month Engine'!$C:$DR,MATCH("Acquisition Outflow (Purchase + Closing)",'_Month Engine'!$A:$A,0)+MATCH($A68,'_Month Engine'!$B$21:$B$30,0),0))</f>
        <v>2328640.7766990294</v>
      </c>
      <c r="D68" s="77">
        <f>SUMIF('_Month Engine'!$C$5:$DR$5,D$4,INDEX('_Month Engine'!$C:$DR,MATCH("Acquisition Outflow (Purchase + Closing)",'_Month Engine'!$A:$A,0)+MATCH($A68,'_Month Engine'!$B$8:$B$17,0),0))+SUMIF('_Month Engine'!$C$5:$DR$5,D$4,INDEX('_Month Engine'!$C:$DR,MATCH("Acquisition Outflow (Purchase + Closing)",'_Month Engine'!$A:$A,0)+MATCH($A68,'_Month Engine'!$B$21:$B$30,0),0))</f>
        <v>0</v>
      </c>
      <c r="E68" s="77">
        <f>SUMIF('_Month Engine'!$C$5:$DR$5,E$4,INDEX('_Month Engine'!$C:$DR,MATCH("Acquisition Outflow (Purchase + Closing)",'_Month Engine'!$A:$A,0)+MATCH($A68,'_Month Engine'!$B$8:$B$17,0),0))+SUMIF('_Month Engine'!$C$5:$DR$5,E$4,INDEX('_Month Engine'!$C:$DR,MATCH("Acquisition Outflow (Purchase + Closing)",'_Month Engine'!$A:$A,0)+MATCH($A68,'_Month Engine'!$B$21:$B$30,0),0))</f>
        <v>0</v>
      </c>
      <c r="F68" s="77">
        <f>SUMIF('_Month Engine'!$C$5:$DR$5,F$4,INDEX('_Month Engine'!$C:$DR,MATCH("Acquisition Outflow (Purchase + Closing)",'_Month Engine'!$A:$A,0)+MATCH($A68,'_Month Engine'!$B$8:$B$17,0),0))+SUMIF('_Month Engine'!$C$5:$DR$5,F$4,INDEX('_Month Engine'!$C:$DR,MATCH("Acquisition Outflow (Purchase + Closing)",'_Month Engine'!$A:$A,0)+MATCH($A68,'_Month Engine'!$B$21:$B$30,0),0))</f>
        <v>0</v>
      </c>
      <c r="G68" s="77">
        <f>SUMIF('_Month Engine'!$C$5:$DR$5,G$4,INDEX('_Month Engine'!$C:$DR,MATCH("Acquisition Outflow (Purchase + Closing)",'_Month Engine'!$A:$A,0)+MATCH($A68,'_Month Engine'!$B$8:$B$17,0),0))+SUMIF('_Month Engine'!$C$5:$DR$5,G$4,INDEX('_Month Engine'!$C:$DR,MATCH("Acquisition Outflow (Purchase + Closing)",'_Month Engine'!$A:$A,0)+MATCH($A68,'_Month Engine'!$B$21:$B$30,0),0))</f>
        <v>0</v>
      </c>
      <c r="H68" s="77">
        <f>SUMIF('_Month Engine'!$C$5:$DR$5,H$4,INDEX('_Month Engine'!$C:$DR,MATCH("Acquisition Outflow (Purchase + Closing)",'_Month Engine'!$A:$A,0)+MATCH($A68,'_Month Engine'!$B$8:$B$17,0),0))+SUMIF('_Month Engine'!$C$5:$DR$5,H$4,INDEX('_Month Engine'!$C:$DR,MATCH("Acquisition Outflow (Purchase + Closing)",'_Month Engine'!$A:$A,0)+MATCH($A68,'_Month Engine'!$B$21:$B$30,0),0))</f>
        <v>0</v>
      </c>
      <c r="I68" s="77">
        <f>SUMIF('_Month Engine'!$C$5:$DR$5,I$4,INDEX('_Month Engine'!$C:$DR,MATCH("Acquisition Outflow (Purchase + Closing)",'_Month Engine'!$A:$A,0)+MATCH($A68,'_Month Engine'!$B$8:$B$17,0),0))+SUMIF('_Month Engine'!$C$5:$DR$5,I$4,INDEX('_Month Engine'!$C:$DR,MATCH("Acquisition Outflow (Purchase + Closing)",'_Month Engine'!$A:$A,0)+MATCH($A68,'_Month Engine'!$B$21:$B$30,0),0))</f>
        <v>0</v>
      </c>
      <c r="J68" s="77">
        <f>SUMIF('_Month Engine'!$C$5:$DR$5,J$4,INDEX('_Month Engine'!$C:$DR,MATCH("Acquisition Outflow (Purchase + Closing)",'_Month Engine'!$A:$A,0)+MATCH($A68,'_Month Engine'!$B$8:$B$17,0),0))+SUMIF('_Month Engine'!$C$5:$DR$5,J$4,INDEX('_Month Engine'!$C:$DR,MATCH("Acquisition Outflow (Purchase + Closing)",'_Month Engine'!$A:$A,0)+MATCH($A68,'_Month Engine'!$B$21:$B$30,0),0))</f>
        <v>0</v>
      </c>
      <c r="K68" s="77">
        <f>SUMIF('_Month Engine'!$C$5:$DR$5,K$4,INDEX('_Month Engine'!$C:$DR,MATCH("Acquisition Outflow (Purchase + Closing)",'_Month Engine'!$A:$A,0)+MATCH($A68,'_Month Engine'!$B$8:$B$17,0),0))+SUMIF('_Month Engine'!$C$5:$DR$5,K$4,INDEX('_Month Engine'!$C:$DR,MATCH("Acquisition Outflow (Purchase + Closing)",'_Month Engine'!$A:$A,0)+MATCH($A68,'_Month Engine'!$B$21:$B$30,0),0))</f>
        <v>0</v>
      </c>
      <c r="L68" s="77">
        <f>SUMIF('_Month Engine'!$C$5:$DR$5,L$4,INDEX('_Month Engine'!$C:$DR,MATCH("Acquisition Outflow (Purchase + Closing)",'_Month Engine'!$A:$A,0)+MATCH($A68,'_Month Engine'!$B$8:$B$17,0),0))+SUMIF('_Month Engine'!$C$5:$DR$5,L$4,INDEX('_Month Engine'!$C:$DR,MATCH("Acquisition Outflow (Purchase + Closing)",'_Month Engine'!$A:$A,0)+MATCH($A68,'_Month Engine'!$B$21:$B$30,0),0))</f>
        <v>0</v>
      </c>
    </row>
    <row r="69" spans="1:12" ht="34.049999999999997" customHeight="1" x14ac:dyDescent="0.3">
      <c r="A69" s="9">
        <v>4</v>
      </c>
      <c r="B69" s="517" t="s">
        <v>1181</v>
      </c>
      <c r="C69" s="77" cm="1">
        <f t="array" ref="C69">SUMIF('_Month Engine'!$C$5:$DR$5,C$4,INDEX('_Month Engine'!$C:$DR,MATCH("Gross Sale Value",'_Month Engine'!$A:$A,0)+MATCH($A69,'_Month Engine'!$B$61:$B$70,0),0))*(1-Input!$C$15)-IF(SUMIF('_Month Engine'!$C$5:$DR$5,C$4,INDEX('_Month Engine'!$C:$DR,MATCH("Gross Sale Value",'_Month Engine'!$A:$A,0)+MATCH($A69,'_Month Engine'!$B$61:$B$70,0),0))&gt;0,INDEX(Properties!$AD:$AD,$A69+5),0)</f>
        <v>0</v>
      </c>
      <c r="D69" s="77" cm="1">
        <f t="array" ref="D69">SUMIF('_Month Engine'!$C$5:$DR$5,D$4,INDEX('_Month Engine'!$C:$DR,MATCH("Gross Sale Value",'_Month Engine'!$A:$A,0)+MATCH($A69,'_Month Engine'!$B$61:$B$70,0),0))*(1-Input!$C$15)-IF(SUMIF('_Month Engine'!$C$5:$DR$5,D$4,INDEX('_Month Engine'!$C:$DR,MATCH("Gross Sale Value",'_Month Engine'!$A:$A,0)+MATCH($A69,'_Month Engine'!$B$61:$B$70,0),0))&gt;0,INDEX(Properties!$AD:$AD,$A69+5),0)</f>
        <v>0</v>
      </c>
      <c r="E69" s="77" cm="1">
        <f t="array" ref="E69">SUMIF('_Month Engine'!$C$5:$DR$5,E$4,INDEX('_Month Engine'!$C:$DR,MATCH("Gross Sale Value",'_Month Engine'!$A:$A,0)+MATCH($A69,'_Month Engine'!$B$61:$B$70,0),0))*(1-Input!$C$15)-IF(SUMIF('_Month Engine'!$C$5:$DR$5,E$4,INDEX('_Month Engine'!$C:$DR,MATCH("Gross Sale Value",'_Month Engine'!$A:$A,0)+MATCH($A69,'_Month Engine'!$B$61:$B$70,0),0))&gt;0,INDEX(Properties!$AD:$AD,$A69+5),0)</f>
        <v>0</v>
      </c>
      <c r="F69" s="77" cm="1">
        <f t="array" ref="F69">SUMIF('_Month Engine'!$C$5:$DR$5,F$4,INDEX('_Month Engine'!$C:$DR,MATCH("Gross Sale Value",'_Month Engine'!$A:$A,0)+MATCH($A69,'_Month Engine'!$B$61:$B$70,0),0))*(1-Input!$C$15)-IF(SUMIF('_Month Engine'!$C$5:$DR$5,F$4,INDEX('_Month Engine'!$C:$DR,MATCH("Gross Sale Value",'_Month Engine'!$A:$A,0)+MATCH($A69,'_Month Engine'!$B$61:$B$70,0),0))&gt;0,INDEX(Properties!$AD:$AD,$A69+5),0)</f>
        <v>2732776.8968397039</v>
      </c>
      <c r="G69" s="77" cm="1">
        <f t="array" ref="G69">SUMIF('_Month Engine'!$C$5:$DR$5,G$4,INDEX('_Month Engine'!$C:$DR,MATCH("Gross Sale Value",'_Month Engine'!$A:$A,0)+MATCH($A69,'_Month Engine'!$B$61:$B$70,0),0))*(1-Input!$C$15)-IF(SUMIF('_Month Engine'!$C$5:$DR$5,G$4,INDEX('_Month Engine'!$C:$DR,MATCH("Gross Sale Value",'_Month Engine'!$A:$A,0)+MATCH($A69,'_Month Engine'!$B$61:$B$70,0),0))&gt;0,INDEX(Properties!$AD:$AD,$A69+5),0)</f>
        <v>0</v>
      </c>
      <c r="H69" s="77" cm="1">
        <f t="array" ref="H69">SUMIF('_Month Engine'!$C$5:$DR$5,H$4,INDEX('_Month Engine'!$C:$DR,MATCH("Gross Sale Value",'_Month Engine'!$A:$A,0)+MATCH($A69,'_Month Engine'!$B$61:$B$70,0),0))*(1-Input!$C$15)-IF(SUMIF('_Month Engine'!$C$5:$DR$5,H$4,INDEX('_Month Engine'!$C:$DR,MATCH("Gross Sale Value",'_Month Engine'!$A:$A,0)+MATCH($A69,'_Month Engine'!$B$61:$B$70,0),0))&gt;0,INDEX(Properties!$AD:$AD,$A69+5),0)</f>
        <v>0</v>
      </c>
      <c r="I69" s="77" cm="1">
        <f t="array" ref="I69">SUMIF('_Month Engine'!$C$5:$DR$5,I$4,INDEX('_Month Engine'!$C:$DR,MATCH("Gross Sale Value",'_Month Engine'!$A:$A,0)+MATCH($A69,'_Month Engine'!$B$61:$B$70,0),0))*(1-Input!$C$15)-IF(SUMIF('_Month Engine'!$C$5:$DR$5,I$4,INDEX('_Month Engine'!$C:$DR,MATCH("Gross Sale Value",'_Month Engine'!$A:$A,0)+MATCH($A69,'_Month Engine'!$B$61:$B$70,0),0))&gt;0,INDEX(Properties!$AD:$AD,$A69+5),0)</f>
        <v>0</v>
      </c>
      <c r="J69" s="77" cm="1">
        <f t="array" ref="J69">SUMIF('_Month Engine'!$C$5:$DR$5,J$4,INDEX('_Month Engine'!$C:$DR,MATCH("Gross Sale Value",'_Month Engine'!$A:$A,0)+MATCH($A69,'_Month Engine'!$B$61:$B$70,0),0))*(1-Input!$C$15)-IF(SUMIF('_Month Engine'!$C$5:$DR$5,J$4,INDEX('_Month Engine'!$C:$DR,MATCH("Gross Sale Value",'_Month Engine'!$A:$A,0)+MATCH($A69,'_Month Engine'!$B$61:$B$70,0),0))&gt;0,INDEX(Properties!$AD:$AD,$A69+5),0)</f>
        <v>0</v>
      </c>
      <c r="K69" s="77" cm="1">
        <f t="array" ref="K69">SUMIF('_Month Engine'!$C$5:$DR$5,K$4,INDEX('_Month Engine'!$C:$DR,MATCH("Gross Sale Value",'_Month Engine'!$A:$A,0)+MATCH($A69,'_Month Engine'!$B$61:$B$70,0),0))*(1-Input!$C$15)-IF(SUMIF('_Month Engine'!$C$5:$DR$5,K$4,INDEX('_Month Engine'!$C:$DR,MATCH("Gross Sale Value",'_Month Engine'!$A:$A,0)+MATCH($A69,'_Month Engine'!$B$61:$B$70,0),0))&gt;0,INDEX(Properties!$AD:$AD,$A69+5),0)</f>
        <v>0</v>
      </c>
      <c r="L69" s="77" cm="1">
        <f t="array" ref="L69">SUMIF('_Month Engine'!$C$5:$DR$5,L$4,INDEX('_Month Engine'!$C:$DR,MATCH("Gross Sale Value",'_Month Engine'!$A:$A,0)+MATCH($A69,'_Month Engine'!$B$61:$B$70,0),0))*(1-Input!$C$15)-IF(SUMIF('_Month Engine'!$C$5:$DR$5,L$4,INDEX('_Month Engine'!$C:$DR,MATCH("Gross Sale Value",'_Month Engine'!$A:$A,0)+MATCH($A69,'_Month Engine'!$B$61:$B$70,0),0))&gt;0,INDEX(Properties!$AD:$AD,$A69+5),0)</f>
        <v>0</v>
      </c>
    </row>
    <row r="70" spans="1:12" ht="18" customHeight="1" x14ac:dyDescent="0.3">
      <c r="A70" s="9"/>
      <c r="B70" s="9"/>
      <c r="C70" s="66"/>
      <c r="D70" s="66"/>
      <c r="E70" s="66"/>
      <c r="F70" s="66"/>
      <c r="G70" s="66"/>
      <c r="H70" s="66"/>
      <c r="I70" s="66"/>
      <c r="J70" s="66"/>
      <c r="K70" s="66"/>
      <c r="L70" s="66"/>
    </row>
    <row r="71" spans="1:12" ht="19.95" customHeight="1" x14ac:dyDescent="0.3">
      <c r="A71" s="40">
        <v>5</v>
      </c>
      <c r="B71" s="40" t="str" cm="1">
        <f t="array" ref="B71">INDEX(Properties!$E:$E,$A71+5)&amp;"   ·   "&amp;INDEX(Properties!$F:$F,$A71+5)&amp;"   ·   "&amp;INDEX(Properties!$H:$H,$A71+5)</f>
        <v>Casa Monte Sereno   ·   El Retiro, Antioquia   ·   Negotiated — finalizing modifications</v>
      </c>
      <c r="C71" s="67"/>
      <c r="D71" s="67"/>
      <c r="E71" s="67"/>
      <c r="F71" s="67"/>
      <c r="G71" s="67"/>
      <c r="H71" s="67"/>
      <c r="I71" s="67"/>
      <c r="J71" s="67"/>
      <c r="K71" s="67"/>
      <c r="L71" s="67"/>
    </row>
    <row r="72" spans="1:12" ht="18" customHeight="1" x14ac:dyDescent="0.3">
      <c r="A72" s="9">
        <v>5</v>
      </c>
      <c r="B72" s="66" t="s">
        <v>167</v>
      </c>
      <c r="C72" s="75">
        <f>SUMIF('_Month Engine'!$C$5:$DR$5,C$4,INDEX('_Month Engine'!$C:$DR,MATCH("Gross STR Revenue",'_Month Engine'!$A:$A,0)+MATCH($A72,'_Month Engine'!$B$34:$B$43,0),0))</f>
        <v>9197.5500000000011</v>
      </c>
      <c r="D72" s="75">
        <f>SUMIF('_Month Engine'!$C$5:$DR$5,D$4,INDEX('_Month Engine'!$C:$DR,MATCH("Gross STR Revenue",'_Month Engine'!$A:$A,0)+MATCH($A72,'_Month Engine'!$B$34:$B$43,0),0))</f>
        <v>61157.389499999997</v>
      </c>
      <c r="E72" s="75">
        <f>SUMIF('_Month Engine'!$C$5:$DR$5,E$4,INDEX('_Month Engine'!$C:$DR,MATCH("Gross STR Revenue",'_Month Engine'!$A:$A,0)+MATCH($A72,'_Month Engine'!$B$34:$B$43,0),0))</f>
        <v>62380.53729</v>
      </c>
      <c r="F72" s="75">
        <f>SUMIF('_Month Engine'!$C$5:$DR$5,F$4,INDEX('_Month Engine'!$C:$DR,MATCH("Gross STR Revenue",'_Month Engine'!$A:$A,0)+MATCH($A72,'_Month Engine'!$B$34:$B$43,0),0))</f>
        <v>0</v>
      </c>
      <c r="G72" s="75">
        <f>SUMIF('_Month Engine'!$C$5:$DR$5,G$4,INDEX('_Month Engine'!$C:$DR,MATCH("Gross STR Revenue",'_Month Engine'!$A:$A,0)+MATCH($A72,'_Month Engine'!$B$34:$B$43,0),0))</f>
        <v>0</v>
      </c>
      <c r="H72" s="75">
        <f>SUMIF('_Month Engine'!$C$5:$DR$5,H$4,INDEX('_Month Engine'!$C:$DR,MATCH("Gross STR Revenue",'_Month Engine'!$A:$A,0)+MATCH($A72,'_Month Engine'!$B$34:$B$43,0),0))</f>
        <v>0</v>
      </c>
      <c r="I72" s="75">
        <f>SUMIF('_Month Engine'!$C$5:$DR$5,I$4,INDEX('_Month Engine'!$C:$DR,MATCH("Gross STR Revenue",'_Month Engine'!$A:$A,0)+MATCH($A72,'_Month Engine'!$B$34:$B$43,0),0))</f>
        <v>0</v>
      </c>
      <c r="J72" s="75">
        <f>SUMIF('_Month Engine'!$C$5:$DR$5,J$4,INDEX('_Month Engine'!$C:$DR,MATCH("Gross STR Revenue",'_Month Engine'!$A:$A,0)+MATCH($A72,'_Month Engine'!$B$34:$B$43,0),0))</f>
        <v>0</v>
      </c>
      <c r="K72" s="75">
        <f>SUMIF('_Month Engine'!$C$5:$DR$5,K$4,INDEX('_Month Engine'!$C:$DR,MATCH("Gross STR Revenue",'_Month Engine'!$A:$A,0)+MATCH($A72,'_Month Engine'!$B$34:$B$43,0),0))</f>
        <v>0</v>
      </c>
      <c r="L72" s="75">
        <f>SUMIF('_Month Engine'!$C$5:$DR$5,L$4,INDEX('_Month Engine'!$C:$DR,MATCH("Gross STR Revenue",'_Month Engine'!$A:$A,0)+MATCH($A72,'_Month Engine'!$B$34:$B$43,0),0))</f>
        <v>0</v>
      </c>
    </row>
    <row r="73" spans="1:12" ht="18" customHeight="1" x14ac:dyDescent="0.3">
      <c r="A73" s="9">
        <v>5</v>
      </c>
      <c r="B73" s="66" t="s">
        <v>1179</v>
      </c>
      <c r="C73" s="75" cm="1">
        <f t="array" ref="C73">SUMIF('_Month Engine'!$C$5:$DR$5,C$4,INDEX('_Month Engine'!$C:$DR,MATCH("Owned All-In Basis",'_Month Engine'!$A:$A,0)+MATCH($A73,'_Month Engine'!$B$47:$B$56,0),0))*INDEX(Input!$C$80:$C$89,$A73)/'_IRR Engine'!$Q$7</f>
        <v>6213.5922330097092</v>
      </c>
      <c r="D73" s="75" cm="1">
        <f t="array" ref="D73">SUMIF('_Month Engine'!$C$5:$DR$5,D$4,INDEX('_Month Engine'!$C:$DR,MATCH("Owned All-In Basis",'_Month Engine'!$A:$A,0)+MATCH($A73,'_Month Engine'!$B$47:$B$56,0),0))*INDEX(Input!$C$80:$C$89,$A73)/'_IRR Engine'!$Q$7</f>
        <v>9320.3883495145619</v>
      </c>
      <c r="E73" s="75" cm="1">
        <f t="array" ref="E73">SUMIF('_Month Engine'!$C$5:$DR$5,E$4,INDEX('_Month Engine'!$C:$DR,MATCH("Owned All-In Basis",'_Month Engine'!$A:$A,0)+MATCH($A73,'_Month Engine'!$B$47:$B$56,0),0))*INDEX(Input!$C$80:$C$89,$A73)/'_IRR Engine'!$Q$7</f>
        <v>9320.3883495145619</v>
      </c>
      <c r="F73" s="75" cm="1">
        <f t="array" ref="F73">SUMIF('_Month Engine'!$C$5:$DR$5,F$4,INDEX('_Month Engine'!$C:$DR,MATCH("Owned All-In Basis",'_Month Engine'!$A:$A,0)+MATCH($A73,'_Month Engine'!$B$47:$B$56,0),0))*INDEX(Input!$C$80:$C$89,$A73)/'_IRR Engine'!$Q$7</f>
        <v>0</v>
      </c>
      <c r="G73" s="75" cm="1">
        <f t="array" ref="G73">SUMIF('_Month Engine'!$C$5:$DR$5,G$4,INDEX('_Month Engine'!$C:$DR,MATCH("Owned All-In Basis",'_Month Engine'!$A:$A,0)+MATCH($A73,'_Month Engine'!$B$47:$B$56,0),0))*INDEX(Input!$C$80:$C$89,$A73)/'_IRR Engine'!$Q$7</f>
        <v>0</v>
      </c>
      <c r="H73" s="75" cm="1">
        <f t="array" ref="H73">SUMIF('_Month Engine'!$C$5:$DR$5,H$4,INDEX('_Month Engine'!$C:$DR,MATCH("Owned All-In Basis",'_Month Engine'!$A:$A,0)+MATCH($A73,'_Month Engine'!$B$47:$B$56,0),0))*INDEX(Input!$C$80:$C$89,$A73)/'_IRR Engine'!$Q$7</f>
        <v>0</v>
      </c>
      <c r="I73" s="75" cm="1">
        <f t="array" ref="I73">SUMIF('_Month Engine'!$C$5:$DR$5,I$4,INDEX('_Month Engine'!$C:$DR,MATCH("Owned All-In Basis",'_Month Engine'!$A:$A,0)+MATCH($A73,'_Month Engine'!$B$47:$B$56,0),0))*INDEX(Input!$C$80:$C$89,$A73)/'_IRR Engine'!$Q$7</f>
        <v>0</v>
      </c>
      <c r="J73" s="75" cm="1">
        <f t="array" ref="J73">SUMIF('_Month Engine'!$C$5:$DR$5,J$4,INDEX('_Month Engine'!$C:$DR,MATCH("Owned All-In Basis",'_Month Engine'!$A:$A,0)+MATCH($A73,'_Month Engine'!$B$47:$B$56,0),0))*INDEX(Input!$C$80:$C$89,$A73)/'_IRR Engine'!$Q$7</f>
        <v>0</v>
      </c>
      <c r="K73" s="75" cm="1">
        <f t="array" ref="K73">SUMIF('_Month Engine'!$C$5:$DR$5,K$4,INDEX('_Month Engine'!$C:$DR,MATCH("Owned All-In Basis",'_Month Engine'!$A:$A,0)+MATCH($A73,'_Month Engine'!$B$47:$B$56,0),0))*INDEX(Input!$C$80:$C$89,$A73)/'_IRR Engine'!$Q$7</f>
        <v>0</v>
      </c>
      <c r="L73" s="75" cm="1">
        <f t="array" ref="L73">SUMIF('_Month Engine'!$C$5:$DR$5,L$4,INDEX('_Month Engine'!$C:$DR,MATCH("Owned All-In Basis",'_Month Engine'!$A:$A,0)+MATCH($A73,'_Month Engine'!$B$47:$B$56,0),0))*INDEX(Input!$C$80:$C$89,$A73)/'_IRR Engine'!$Q$7</f>
        <v>0</v>
      </c>
    </row>
    <row r="74" spans="1:12" ht="18" customHeight="1" x14ac:dyDescent="0.3">
      <c r="A74" s="9">
        <v>5</v>
      </c>
      <c r="B74" s="66" t="s">
        <v>72</v>
      </c>
      <c r="C74" s="75">
        <f>SUMIF('_Month Engine'!$C$5:$DR$5,C$4,INDEX('_Month Engine'!$C:$DR,MATCH("Renting All-In Basis",'_Month Engine'!$A:$A,0)+MATCH($A74,'_Month Engine'!$B$110:$B$119,0),0))*Input!$C$18/'_IRR Engine'!$Q$7</f>
        <v>412.62135922330094</v>
      </c>
      <c r="D74" s="75">
        <f>SUMIF('_Month Engine'!$C$5:$DR$5,D$4,INDEX('_Month Engine'!$C:$DR,MATCH("Renting All-In Basis",'_Month Engine'!$A:$A,0)+MATCH($A74,'_Month Engine'!$B$110:$B$119,0),0))*Input!$C$18/'_IRR Engine'!$Q$7</f>
        <v>2475.7281553398057</v>
      </c>
      <c r="E74" s="75">
        <f>SUMIF('_Month Engine'!$C$5:$DR$5,E$4,INDEX('_Month Engine'!$C:$DR,MATCH("Renting All-In Basis",'_Month Engine'!$A:$A,0)+MATCH($A74,'_Month Engine'!$B$110:$B$119,0),0))*Input!$C$18/'_IRR Engine'!$Q$7</f>
        <v>2475.7281553398057</v>
      </c>
      <c r="F74" s="75">
        <f>SUMIF('_Month Engine'!$C$5:$DR$5,F$4,INDEX('_Month Engine'!$C:$DR,MATCH("Renting All-In Basis",'_Month Engine'!$A:$A,0)+MATCH($A74,'_Month Engine'!$B$110:$B$119,0),0))*Input!$C$18/'_IRR Engine'!$Q$7</f>
        <v>0</v>
      </c>
      <c r="G74" s="75">
        <f>SUMIF('_Month Engine'!$C$5:$DR$5,G$4,INDEX('_Month Engine'!$C:$DR,MATCH("Renting All-In Basis",'_Month Engine'!$A:$A,0)+MATCH($A74,'_Month Engine'!$B$110:$B$119,0),0))*Input!$C$18/'_IRR Engine'!$Q$7</f>
        <v>0</v>
      </c>
      <c r="H74" s="75">
        <f>SUMIF('_Month Engine'!$C$5:$DR$5,H$4,INDEX('_Month Engine'!$C:$DR,MATCH("Renting All-In Basis",'_Month Engine'!$A:$A,0)+MATCH($A74,'_Month Engine'!$B$110:$B$119,0),0))*Input!$C$18/'_IRR Engine'!$Q$7</f>
        <v>0</v>
      </c>
      <c r="I74" s="75">
        <f>SUMIF('_Month Engine'!$C$5:$DR$5,I$4,INDEX('_Month Engine'!$C:$DR,MATCH("Renting All-In Basis",'_Month Engine'!$A:$A,0)+MATCH($A74,'_Month Engine'!$B$110:$B$119,0),0))*Input!$C$18/'_IRR Engine'!$Q$7</f>
        <v>0</v>
      </c>
      <c r="J74" s="75">
        <f>SUMIF('_Month Engine'!$C$5:$DR$5,J$4,INDEX('_Month Engine'!$C:$DR,MATCH("Renting All-In Basis",'_Month Engine'!$A:$A,0)+MATCH($A74,'_Month Engine'!$B$110:$B$119,0),0))*Input!$C$18/'_IRR Engine'!$Q$7</f>
        <v>0</v>
      </c>
      <c r="K74" s="75">
        <f>SUMIF('_Month Engine'!$C$5:$DR$5,K$4,INDEX('_Month Engine'!$C:$DR,MATCH("Renting All-In Basis",'_Month Engine'!$A:$A,0)+MATCH($A74,'_Month Engine'!$B$110:$B$119,0),0))*Input!$C$18/'_IRR Engine'!$Q$7</f>
        <v>0</v>
      </c>
      <c r="L74" s="75">
        <f>SUMIF('_Month Engine'!$C$5:$DR$5,L$4,INDEX('_Month Engine'!$C:$DR,MATCH("Renting All-In Basis",'_Month Engine'!$A:$A,0)+MATCH($A74,'_Month Engine'!$B$110:$B$119,0),0))*Input!$C$18/'_IRR Engine'!$Q$7</f>
        <v>0</v>
      </c>
    </row>
    <row r="75" spans="1:12" ht="18" customHeight="1" x14ac:dyDescent="0.3">
      <c r="A75" s="9">
        <v>5</v>
      </c>
      <c r="B75" s="66" t="s">
        <v>168</v>
      </c>
      <c r="C75" s="75" cm="1">
        <f t="array" ref="C75">SUMIF('_Month Engine'!$C$5:$DR$5,C$4,INDEX('_Month Engine'!$C:$DR,MATCH("Owned Flag (1 = owned in month)",'_Month Engine'!$A:$A,0)+MATCH($A75,'_Month Engine'!$B$86:$B$95,0),0))*INDEX(Input!$D$80:$D$89,$A75)*1000000/Input!$C$5</f>
        <v>6472.4919093851131</v>
      </c>
      <c r="D75" s="75" cm="1">
        <f t="array" ref="D75">SUMIF('_Month Engine'!$C$5:$DR$5,D$4,INDEX('_Month Engine'!$C:$DR,MATCH("Owned Flag (1 = owned in month)",'_Month Engine'!$A:$A,0)+MATCH($A75,'_Month Engine'!$B$86:$B$95,0),0))*INDEX(Input!$D$80:$D$89,$A75)*1000000/Input!$C$5</f>
        <v>9708.7378640776697</v>
      </c>
      <c r="E75" s="75" cm="1">
        <f t="array" ref="E75">SUMIF('_Month Engine'!$C$5:$DR$5,E$4,INDEX('_Month Engine'!$C:$DR,MATCH("Owned Flag (1 = owned in month)",'_Month Engine'!$A:$A,0)+MATCH($A75,'_Month Engine'!$B$86:$B$95,0),0))*INDEX(Input!$D$80:$D$89,$A75)*1000000/Input!$C$5</f>
        <v>9708.7378640776697</v>
      </c>
      <c r="F75" s="75" cm="1">
        <f t="array" ref="F75">SUMIF('_Month Engine'!$C$5:$DR$5,F$4,INDEX('_Month Engine'!$C:$DR,MATCH("Owned Flag (1 = owned in month)",'_Month Engine'!$A:$A,0)+MATCH($A75,'_Month Engine'!$B$86:$B$95,0),0))*INDEX(Input!$D$80:$D$89,$A75)*1000000/Input!$C$5</f>
        <v>0</v>
      </c>
      <c r="G75" s="75" cm="1">
        <f t="array" ref="G75">SUMIF('_Month Engine'!$C$5:$DR$5,G$4,INDEX('_Month Engine'!$C:$DR,MATCH("Owned Flag (1 = owned in month)",'_Month Engine'!$A:$A,0)+MATCH($A75,'_Month Engine'!$B$86:$B$95,0),0))*INDEX(Input!$D$80:$D$89,$A75)*1000000/Input!$C$5</f>
        <v>0</v>
      </c>
      <c r="H75" s="75" cm="1">
        <f t="array" ref="H75">SUMIF('_Month Engine'!$C$5:$DR$5,H$4,INDEX('_Month Engine'!$C:$DR,MATCH("Owned Flag (1 = owned in month)",'_Month Engine'!$A:$A,0)+MATCH($A75,'_Month Engine'!$B$86:$B$95,0),0))*INDEX(Input!$D$80:$D$89,$A75)*1000000/Input!$C$5</f>
        <v>0</v>
      </c>
      <c r="I75" s="75" cm="1">
        <f t="array" ref="I75">SUMIF('_Month Engine'!$C$5:$DR$5,I$4,INDEX('_Month Engine'!$C:$DR,MATCH("Owned Flag (1 = owned in month)",'_Month Engine'!$A:$A,0)+MATCH($A75,'_Month Engine'!$B$86:$B$95,0),0))*INDEX(Input!$D$80:$D$89,$A75)*1000000/Input!$C$5</f>
        <v>0</v>
      </c>
      <c r="J75" s="75" cm="1">
        <f t="array" ref="J75">SUMIF('_Month Engine'!$C$5:$DR$5,J$4,INDEX('_Month Engine'!$C:$DR,MATCH("Owned Flag (1 = owned in month)",'_Month Engine'!$A:$A,0)+MATCH($A75,'_Month Engine'!$B$86:$B$95,0),0))*INDEX(Input!$D$80:$D$89,$A75)*1000000/Input!$C$5</f>
        <v>0</v>
      </c>
      <c r="K75" s="75" cm="1">
        <f t="array" ref="K75">SUMIF('_Month Engine'!$C$5:$DR$5,K$4,INDEX('_Month Engine'!$C:$DR,MATCH("Owned Flag (1 = owned in month)",'_Month Engine'!$A:$A,0)+MATCH($A75,'_Month Engine'!$B$86:$B$95,0),0))*INDEX(Input!$D$80:$D$89,$A75)*1000000/Input!$C$5</f>
        <v>0</v>
      </c>
      <c r="L75" s="75" cm="1">
        <f t="array" ref="L75">SUMIF('_Month Engine'!$C$5:$DR$5,L$4,INDEX('_Month Engine'!$C:$DR,MATCH("Owned Flag (1 = owned in month)",'_Month Engine'!$A:$A,0)+MATCH($A75,'_Month Engine'!$B$86:$B$95,0),0))*INDEX(Input!$D$80:$D$89,$A75)*1000000/Input!$C$5</f>
        <v>0</v>
      </c>
    </row>
    <row r="76" spans="1:12" ht="18" customHeight="1" x14ac:dyDescent="0.3">
      <c r="A76" s="9">
        <v>5</v>
      </c>
      <c r="B76" s="66" t="s">
        <v>169</v>
      </c>
      <c r="C76" s="75" cm="1">
        <f t="array" ref="C76">SUMIF('_Month Engine'!$C$5:$DR$5,C$4,INDEX('_Month Engine'!$C:$DR,MATCH("Owned Flag (1 = owned in month)",'_Month Engine'!$A:$A,0)+MATCH($A76,'_Month Engine'!$B$86:$B$95,0),0))*INDEX(Input!$E$80:$E$89,$A76)*1000000/Input!$C$5</f>
        <v>3106.7961165048546</v>
      </c>
      <c r="D76" s="75" cm="1">
        <f t="array" ref="D76">SUMIF('_Month Engine'!$C$5:$DR$5,D$4,INDEX('_Month Engine'!$C:$DR,MATCH("Owned Flag (1 = owned in month)",'_Month Engine'!$A:$A,0)+MATCH($A76,'_Month Engine'!$B$86:$B$95,0),0))*INDEX(Input!$E$80:$E$89,$A76)*1000000/Input!$C$5</f>
        <v>4660.194174757281</v>
      </c>
      <c r="E76" s="75" cm="1">
        <f t="array" ref="E76">SUMIF('_Month Engine'!$C$5:$DR$5,E$4,INDEX('_Month Engine'!$C:$DR,MATCH("Owned Flag (1 = owned in month)",'_Month Engine'!$A:$A,0)+MATCH($A76,'_Month Engine'!$B$86:$B$95,0),0))*INDEX(Input!$E$80:$E$89,$A76)*1000000/Input!$C$5</f>
        <v>4660.194174757281</v>
      </c>
      <c r="F76" s="75" cm="1">
        <f t="array" ref="F76">SUMIF('_Month Engine'!$C$5:$DR$5,F$4,INDEX('_Month Engine'!$C:$DR,MATCH("Owned Flag (1 = owned in month)",'_Month Engine'!$A:$A,0)+MATCH($A76,'_Month Engine'!$B$86:$B$95,0),0))*INDEX(Input!$E$80:$E$89,$A76)*1000000/Input!$C$5</f>
        <v>0</v>
      </c>
      <c r="G76" s="75" cm="1">
        <f t="array" ref="G76">SUMIF('_Month Engine'!$C$5:$DR$5,G$4,INDEX('_Month Engine'!$C:$DR,MATCH("Owned Flag (1 = owned in month)",'_Month Engine'!$A:$A,0)+MATCH($A76,'_Month Engine'!$B$86:$B$95,0),0))*INDEX(Input!$E$80:$E$89,$A76)*1000000/Input!$C$5</f>
        <v>0</v>
      </c>
      <c r="H76" s="75" cm="1">
        <f t="array" ref="H76">SUMIF('_Month Engine'!$C$5:$DR$5,H$4,INDEX('_Month Engine'!$C:$DR,MATCH("Owned Flag (1 = owned in month)",'_Month Engine'!$A:$A,0)+MATCH($A76,'_Month Engine'!$B$86:$B$95,0),0))*INDEX(Input!$E$80:$E$89,$A76)*1000000/Input!$C$5</f>
        <v>0</v>
      </c>
      <c r="I76" s="75" cm="1">
        <f t="array" ref="I76">SUMIF('_Month Engine'!$C$5:$DR$5,I$4,INDEX('_Month Engine'!$C:$DR,MATCH("Owned Flag (1 = owned in month)",'_Month Engine'!$A:$A,0)+MATCH($A76,'_Month Engine'!$B$86:$B$95,0),0))*INDEX(Input!$E$80:$E$89,$A76)*1000000/Input!$C$5</f>
        <v>0</v>
      </c>
      <c r="J76" s="75" cm="1">
        <f t="array" ref="J76">SUMIF('_Month Engine'!$C$5:$DR$5,J$4,INDEX('_Month Engine'!$C:$DR,MATCH("Owned Flag (1 = owned in month)",'_Month Engine'!$A:$A,0)+MATCH($A76,'_Month Engine'!$B$86:$B$95,0),0))*INDEX(Input!$E$80:$E$89,$A76)*1000000/Input!$C$5</f>
        <v>0</v>
      </c>
      <c r="K76" s="75" cm="1">
        <f t="array" ref="K76">SUMIF('_Month Engine'!$C$5:$DR$5,K$4,INDEX('_Month Engine'!$C:$DR,MATCH("Owned Flag (1 = owned in month)",'_Month Engine'!$A:$A,0)+MATCH($A76,'_Month Engine'!$B$86:$B$95,0),0))*INDEX(Input!$E$80:$E$89,$A76)*1000000/Input!$C$5</f>
        <v>0</v>
      </c>
      <c r="L76" s="75" cm="1">
        <f t="array" ref="L76">SUMIF('_Month Engine'!$C$5:$DR$5,L$4,INDEX('_Month Engine'!$C:$DR,MATCH("Owned Flag (1 = owned in month)",'_Month Engine'!$A:$A,0)+MATCH($A76,'_Month Engine'!$B$86:$B$95,0),0))*INDEX(Input!$E$80:$E$89,$A76)*1000000/Input!$C$5</f>
        <v>0</v>
      </c>
    </row>
    <row r="77" spans="1:12" ht="18" customHeight="1" x14ac:dyDescent="0.3">
      <c r="A77" s="9">
        <v>5</v>
      </c>
      <c r="B77" s="66" t="s">
        <v>170</v>
      </c>
      <c r="C77" s="75">
        <f>IFERROR(SUMIF('_Month Engine'!$C$5:$DR$5,C$4,INDEX('_Month Engine'!$C:$DR,MATCH("Renting All-In Basis",'_Month Engine'!$A:$A,0)+MATCH($A77,'_Month Engine'!$B$110:$B$119,0),0))*Input!$C$19/'_IRR Engine'!$Q$7,0)</f>
        <v>1375.4045307443366</v>
      </c>
      <c r="D77" s="75">
        <f>IFERROR(SUMIF('_Month Engine'!$C$5:$DR$5,D$4,INDEX('_Month Engine'!$C:$DR,MATCH("Renting All-In Basis",'_Month Engine'!$A:$A,0)+MATCH($A77,'_Month Engine'!$B$110:$B$119,0),0))*Input!$C$19/'_IRR Engine'!$Q$7,0)</f>
        <v>8252.4271844660198</v>
      </c>
      <c r="E77" s="75">
        <f>IFERROR(SUMIF('_Month Engine'!$C$5:$DR$5,E$4,INDEX('_Month Engine'!$C:$DR,MATCH("Renting All-In Basis",'_Month Engine'!$A:$A,0)+MATCH($A77,'_Month Engine'!$B$110:$B$119,0),0))*Input!$C$19/'_IRR Engine'!$Q$7,0)</f>
        <v>8252.4271844660198</v>
      </c>
      <c r="F77" s="75">
        <f>IFERROR(SUMIF('_Month Engine'!$C$5:$DR$5,F$4,INDEX('_Month Engine'!$C:$DR,MATCH("Renting All-In Basis",'_Month Engine'!$A:$A,0)+MATCH($A77,'_Month Engine'!$B$110:$B$119,0),0))*Input!$C$19/'_IRR Engine'!$Q$7,0)</f>
        <v>0</v>
      </c>
      <c r="G77" s="75">
        <f>IFERROR(SUMIF('_Month Engine'!$C$5:$DR$5,G$4,INDEX('_Month Engine'!$C:$DR,MATCH("Renting All-In Basis",'_Month Engine'!$A:$A,0)+MATCH($A77,'_Month Engine'!$B$110:$B$119,0),0))*Input!$C$19/'_IRR Engine'!$Q$7,0)</f>
        <v>0</v>
      </c>
      <c r="H77" s="75">
        <f>IFERROR(SUMIF('_Month Engine'!$C$5:$DR$5,H$4,INDEX('_Month Engine'!$C:$DR,MATCH("Renting All-In Basis",'_Month Engine'!$A:$A,0)+MATCH($A77,'_Month Engine'!$B$110:$B$119,0),0))*Input!$C$19/'_IRR Engine'!$Q$7,0)</f>
        <v>0</v>
      </c>
      <c r="I77" s="75">
        <f>IFERROR(SUMIF('_Month Engine'!$C$5:$DR$5,I$4,INDEX('_Month Engine'!$C:$DR,MATCH("Renting All-In Basis",'_Month Engine'!$A:$A,0)+MATCH($A77,'_Month Engine'!$B$110:$B$119,0),0))*Input!$C$19/'_IRR Engine'!$Q$7,0)</f>
        <v>0</v>
      </c>
      <c r="J77" s="75">
        <f>IFERROR(SUMIF('_Month Engine'!$C$5:$DR$5,J$4,INDEX('_Month Engine'!$C:$DR,MATCH("Renting All-In Basis",'_Month Engine'!$A:$A,0)+MATCH($A77,'_Month Engine'!$B$110:$B$119,0),0))*Input!$C$19/'_IRR Engine'!$Q$7,0)</f>
        <v>0</v>
      </c>
      <c r="K77" s="75">
        <f>IFERROR(SUMIF('_Month Engine'!$C$5:$DR$5,K$4,INDEX('_Month Engine'!$C:$DR,MATCH("Renting All-In Basis",'_Month Engine'!$A:$A,0)+MATCH($A77,'_Month Engine'!$B$110:$B$119,0),0))*Input!$C$19/'_IRR Engine'!$Q$7,0)</f>
        <v>0</v>
      </c>
      <c r="L77" s="75">
        <f>IFERROR(SUMIF('_Month Engine'!$C$5:$DR$5,L$4,INDEX('_Month Engine'!$C:$DR,MATCH("Renting All-In Basis",'_Month Engine'!$A:$A,0)+MATCH($A77,'_Month Engine'!$B$110:$B$119,0),0))*Input!$C$19/'_IRR Engine'!$Q$7,0)</f>
        <v>0</v>
      </c>
    </row>
    <row r="78" spans="1:12" ht="18" customHeight="1" x14ac:dyDescent="0.3">
      <c r="A78" s="9">
        <v>5</v>
      </c>
      <c r="B78" s="66" t="s">
        <v>171</v>
      </c>
      <c r="C78" s="75">
        <f>C72*Input!$C$20</f>
        <v>0</v>
      </c>
      <c r="D78" s="75">
        <f>D72*Input!$C$20</f>
        <v>0</v>
      </c>
      <c r="E78" s="75">
        <f>E72*Input!$C$20</f>
        <v>0</v>
      </c>
      <c r="F78" s="75">
        <f>F72*Input!$C$20</f>
        <v>0</v>
      </c>
      <c r="G78" s="75">
        <f>G72*Input!$C$20</f>
        <v>0</v>
      </c>
      <c r="H78" s="75">
        <f>H72*Input!$C$20</f>
        <v>0</v>
      </c>
      <c r="I78" s="75">
        <f>I72*Input!$C$20</f>
        <v>0</v>
      </c>
      <c r="J78" s="75">
        <f>J72*Input!$C$20</f>
        <v>0</v>
      </c>
      <c r="K78" s="75">
        <f>K72*Input!$C$20</f>
        <v>0</v>
      </c>
      <c r="L78" s="75">
        <f>L72*Input!$C$20</f>
        <v>0</v>
      </c>
    </row>
    <row r="79" spans="1:12" x14ac:dyDescent="0.3">
      <c r="A79" s="9">
        <v>5</v>
      </c>
      <c r="B79" s="66" t="s">
        <v>1180</v>
      </c>
      <c r="C79" s="75" cm="1">
        <f t="array" ref="C79">C72*IFERROR(INDEX(Input!$U$80:$U$89,$A79),0)</f>
        <v>114.96937500000001</v>
      </c>
      <c r="D79" s="75" cm="1">
        <f t="array" ref="D79">D72*IFERROR(INDEX(Input!$U$80:$U$89,$A79),0)</f>
        <v>764.46736874999999</v>
      </c>
      <c r="E79" s="75" cm="1">
        <f t="array" ref="E79">E72*IFERROR(INDEX(Input!$U$80:$U$89,$A79),0)</f>
        <v>779.75671612500003</v>
      </c>
      <c r="F79" s="75" cm="1">
        <f t="array" ref="F79">F72*IFERROR(INDEX(Input!$U$80:$U$89,$A79),0)</f>
        <v>0</v>
      </c>
      <c r="G79" s="75" cm="1">
        <f t="array" ref="G79">G72*IFERROR(INDEX(Input!$U$80:$U$89,$A79),0)</f>
        <v>0</v>
      </c>
      <c r="H79" s="75" cm="1">
        <f t="array" ref="H79">H72*IFERROR(INDEX(Input!$U$80:$U$89,$A79),0)</f>
        <v>0</v>
      </c>
      <c r="I79" s="75" cm="1">
        <f t="array" ref="I79">I72*IFERROR(INDEX(Input!$U$80:$U$89,$A79),0)</f>
        <v>0</v>
      </c>
      <c r="J79" s="75" cm="1">
        <f t="array" ref="J79">J72*IFERROR(INDEX(Input!$U$80:$U$89,$A79),0)</f>
        <v>0</v>
      </c>
      <c r="K79" s="75" cm="1">
        <f t="array" ref="K79">K72*IFERROR(INDEX(Input!$U$80:$U$89,$A79),0)</f>
        <v>0</v>
      </c>
      <c r="L79" s="75" cm="1">
        <f t="array" ref="L79">L72*IFERROR(INDEX(Input!$U$80:$U$89,$A79),0)</f>
        <v>0</v>
      </c>
    </row>
    <row r="80" spans="1:12" ht="18" customHeight="1" x14ac:dyDescent="0.3">
      <c r="A80" s="9">
        <v>5</v>
      </c>
      <c r="B80" s="66" t="str">
        <f>"ServCo property management ("&amp;TEXT(Input!$C$31,"0%")&amp;")"</f>
        <v>ServCo property management (20%)</v>
      </c>
      <c r="C80" s="75">
        <f>C72*Input!$C$31</f>
        <v>1839.5100000000002</v>
      </c>
      <c r="D80" s="75">
        <f>D72*Input!$C$31</f>
        <v>12231.4779</v>
      </c>
      <c r="E80" s="75">
        <f>E72*Input!$C$31</f>
        <v>12476.107458</v>
      </c>
      <c r="F80" s="75">
        <f>F72*Input!$C$31</f>
        <v>0</v>
      </c>
      <c r="G80" s="75">
        <f>G72*Input!$C$31</f>
        <v>0</v>
      </c>
      <c r="H80" s="75">
        <f>H72*Input!$C$31</f>
        <v>0</v>
      </c>
      <c r="I80" s="75">
        <f>I72*Input!$C$31</f>
        <v>0</v>
      </c>
      <c r="J80" s="75">
        <f>J72*Input!$C$31</f>
        <v>0</v>
      </c>
      <c r="K80" s="75">
        <f>K72*Input!$C$31</f>
        <v>0</v>
      </c>
      <c r="L80" s="75">
        <f>L72*Input!$C$31</f>
        <v>0</v>
      </c>
    </row>
    <row r="81" spans="1:12" ht="18" customHeight="1" x14ac:dyDescent="0.3">
      <c r="A81" s="9">
        <v>5</v>
      </c>
      <c r="B81" s="66" t="s">
        <v>980</v>
      </c>
      <c r="C81" s="75">
        <f>IFERROR(SUMIF('_Month Engine'!$C$5:$DR$5,C$4,INDEX('_Month Engine'!$C:$DR,MATCH("Renting Flag (1 = renting in month)",'_Month Engine'!$A:$A,0)+MATCH($A81,'_Month Engine'!$B$98:$B$107,0),0))*Input!$C$32,0)</f>
        <v>0</v>
      </c>
      <c r="D81" s="75">
        <f>IFERROR(SUMIF('_Month Engine'!$C$5:$DR$5,D$4,INDEX('_Month Engine'!$C:$DR,MATCH("Renting Flag (1 = renting in month)",'_Month Engine'!$A:$A,0)+MATCH($A81,'_Month Engine'!$B$98:$B$107,0),0))*Input!$C$32,0)</f>
        <v>0</v>
      </c>
      <c r="E81" s="75">
        <f>IFERROR(SUMIF('_Month Engine'!$C$5:$DR$5,E$4,INDEX('_Month Engine'!$C:$DR,MATCH("Renting Flag (1 = renting in month)",'_Month Engine'!$A:$A,0)+MATCH($A81,'_Month Engine'!$B$98:$B$107,0),0))*Input!$C$32,0)</f>
        <v>0</v>
      </c>
      <c r="F81" s="75">
        <f>IFERROR(SUMIF('_Month Engine'!$C$5:$DR$5,F$4,INDEX('_Month Engine'!$C:$DR,MATCH("Renting Flag (1 = renting in month)",'_Month Engine'!$A:$A,0)+MATCH($A81,'_Month Engine'!$B$98:$B$107,0),0))*Input!$C$32,0)</f>
        <v>0</v>
      </c>
      <c r="G81" s="75">
        <f>IFERROR(SUMIF('_Month Engine'!$C$5:$DR$5,G$4,INDEX('_Month Engine'!$C:$DR,MATCH("Renting Flag (1 = renting in month)",'_Month Engine'!$A:$A,0)+MATCH($A81,'_Month Engine'!$B$98:$B$107,0),0))*Input!$C$32,0)</f>
        <v>0</v>
      </c>
      <c r="H81" s="75">
        <f>IFERROR(SUMIF('_Month Engine'!$C$5:$DR$5,H$4,INDEX('_Month Engine'!$C:$DR,MATCH("Renting Flag (1 = renting in month)",'_Month Engine'!$A:$A,0)+MATCH($A81,'_Month Engine'!$B$98:$B$107,0),0))*Input!$C$32,0)</f>
        <v>0</v>
      </c>
      <c r="I81" s="75">
        <f>IFERROR(SUMIF('_Month Engine'!$C$5:$DR$5,I$4,INDEX('_Month Engine'!$C:$DR,MATCH("Renting Flag (1 = renting in month)",'_Month Engine'!$A:$A,0)+MATCH($A81,'_Month Engine'!$B$98:$B$107,0),0))*Input!$C$32,0)</f>
        <v>0</v>
      </c>
      <c r="J81" s="75">
        <f>IFERROR(SUMIF('_Month Engine'!$C$5:$DR$5,J$4,INDEX('_Month Engine'!$C:$DR,MATCH("Renting Flag (1 = renting in month)",'_Month Engine'!$A:$A,0)+MATCH($A81,'_Month Engine'!$B$98:$B$107,0),0))*Input!$C$32,0)</f>
        <v>0</v>
      </c>
      <c r="K81" s="75">
        <f>IFERROR(SUMIF('_Month Engine'!$C$5:$DR$5,K$4,INDEX('_Month Engine'!$C:$DR,MATCH("Renting Flag (1 = renting in month)",'_Month Engine'!$A:$A,0)+MATCH($A81,'_Month Engine'!$B$98:$B$107,0),0))*Input!$C$32,0)</f>
        <v>0</v>
      </c>
      <c r="L81" s="75">
        <f>IFERROR(SUMIF('_Month Engine'!$C$5:$DR$5,L$4,INDEX('_Month Engine'!$C:$DR,MATCH("Renting Flag (1 = renting in month)",'_Month Engine'!$A:$A,0)+MATCH($A81,'_Month Engine'!$B$98:$B$107,0),0))*Input!$C$32,0)</f>
        <v>0</v>
      </c>
    </row>
    <row r="82" spans="1:12" ht="18" customHeight="1" x14ac:dyDescent="0.3">
      <c r="A82" s="9">
        <v>5</v>
      </c>
      <c r="B82" s="11" t="s">
        <v>76</v>
      </c>
      <c r="C82" s="68">
        <f t="shared" ref="C82:L82" si="9">SUM(C73:C81)</f>
        <v>19535.385523867313</v>
      </c>
      <c r="D82" s="68">
        <f t="shared" si="9"/>
        <v>47413.420996905341</v>
      </c>
      <c r="E82" s="68">
        <f t="shared" si="9"/>
        <v>47673.339902280335</v>
      </c>
      <c r="F82" s="68">
        <f t="shared" si="9"/>
        <v>0</v>
      </c>
      <c r="G82" s="68">
        <f t="shared" si="9"/>
        <v>0</v>
      </c>
      <c r="H82" s="68">
        <f t="shared" si="9"/>
        <v>0</v>
      </c>
      <c r="I82" s="68">
        <f t="shared" si="9"/>
        <v>0</v>
      </c>
      <c r="J82" s="68">
        <f t="shared" si="9"/>
        <v>0</v>
      </c>
      <c r="K82" s="68">
        <f t="shared" si="9"/>
        <v>0</v>
      </c>
      <c r="L82" s="68">
        <f t="shared" si="9"/>
        <v>0</v>
      </c>
    </row>
    <row r="83" spans="1:12" ht="18" customHeight="1" x14ac:dyDescent="0.3">
      <c r="A83" s="9">
        <v>5</v>
      </c>
      <c r="B83" s="11" t="s">
        <v>172</v>
      </c>
      <c r="C83" s="68">
        <f t="shared" ref="C83:L83" si="10">C72-C82</f>
        <v>-10337.835523867312</v>
      </c>
      <c r="D83" s="68">
        <f t="shared" si="10"/>
        <v>13743.968503094657</v>
      </c>
      <c r="E83" s="68">
        <f t="shared" si="10"/>
        <v>14707.197387719665</v>
      </c>
      <c r="F83" s="68">
        <f t="shared" si="10"/>
        <v>0</v>
      </c>
      <c r="G83" s="68">
        <f t="shared" si="10"/>
        <v>0</v>
      </c>
      <c r="H83" s="68">
        <f t="shared" si="10"/>
        <v>0</v>
      </c>
      <c r="I83" s="68">
        <f t="shared" si="10"/>
        <v>0</v>
      </c>
      <c r="J83" s="68">
        <f t="shared" si="10"/>
        <v>0</v>
      </c>
      <c r="K83" s="68">
        <f t="shared" si="10"/>
        <v>0</v>
      </c>
      <c r="L83" s="68">
        <f t="shared" si="10"/>
        <v>0</v>
      </c>
    </row>
    <row r="84" spans="1:12" ht="18" customHeight="1" x14ac:dyDescent="0.3">
      <c r="A84" s="9">
        <v>5</v>
      </c>
      <c r="B84" s="22" t="s">
        <v>173</v>
      </c>
      <c r="C84" s="77">
        <f>SUMIF('_Month Engine'!$C$5:$DR$5,C$4,INDEX('_Month Engine'!$C:$DR,MATCH("Acquisition Outflow (Purchase + Closing)",'_Month Engine'!$A:$A,0)+MATCH($A84,'_Month Engine'!$B$8:$B$17,0),0))+SUMIF('_Month Engine'!$C$5:$DR$5,C$4,INDEX('_Month Engine'!$C:$DR,MATCH("Acquisition Outflow (Purchase + Closing)",'_Month Engine'!$A:$A,0)+MATCH($A84,'_Month Engine'!$B$21:$B$30,0),0))</f>
        <v>2653721.6828478961</v>
      </c>
      <c r="D84" s="77">
        <f>SUMIF('_Month Engine'!$C$5:$DR$5,D$4,INDEX('_Month Engine'!$C:$DR,MATCH("Acquisition Outflow (Purchase + Closing)",'_Month Engine'!$A:$A,0)+MATCH($A84,'_Month Engine'!$B$8:$B$17,0),0))+SUMIF('_Month Engine'!$C$5:$DR$5,D$4,INDEX('_Month Engine'!$C:$DR,MATCH("Acquisition Outflow (Purchase + Closing)",'_Month Engine'!$A:$A,0)+MATCH($A84,'_Month Engine'!$B$21:$B$30,0),0))</f>
        <v>0</v>
      </c>
      <c r="E84" s="77">
        <f>SUMIF('_Month Engine'!$C$5:$DR$5,E$4,INDEX('_Month Engine'!$C:$DR,MATCH("Acquisition Outflow (Purchase + Closing)",'_Month Engine'!$A:$A,0)+MATCH($A84,'_Month Engine'!$B$8:$B$17,0),0))+SUMIF('_Month Engine'!$C$5:$DR$5,E$4,INDEX('_Month Engine'!$C:$DR,MATCH("Acquisition Outflow (Purchase + Closing)",'_Month Engine'!$A:$A,0)+MATCH($A84,'_Month Engine'!$B$21:$B$30,0),0))</f>
        <v>0</v>
      </c>
      <c r="F84" s="77">
        <f>SUMIF('_Month Engine'!$C$5:$DR$5,F$4,INDEX('_Month Engine'!$C:$DR,MATCH("Acquisition Outflow (Purchase + Closing)",'_Month Engine'!$A:$A,0)+MATCH($A84,'_Month Engine'!$B$8:$B$17,0),0))+SUMIF('_Month Engine'!$C$5:$DR$5,F$4,INDEX('_Month Engine'!$C:$DR,MATCH("Acquisition Outflow (Purchase + Closing)",'_Month Engine'!$A:$A,0)+MATCH($A84,'_Month Engine'!$B$21:$B$30,0),0))</f>
        <v>0</v>
      </c>
      <c r="G84" s="77">
        <f>SUMIF('_Month Engine'!$C$5:$DR$5,G$4,INDEX('_Month Engine'!$C:$DR,MATCH("Acquisition Outflow (Purchase + Closing)",'_Month Engine'!$A:$A,0)+MATCH($A84,'_Month Engine'!$B$8:$B$17,0),0))+SUMIF('_Month Engine'!$C$5:$DR$5,G$4,INDEX('_Month Engine'!$C:$DR,MATCH("Acquisition Outflow (Purchase + Closing)",'_Month Engine'!$A:$A,0)+MATCH($A84,'_Month Engine'!$B$21:$B$30,0),0))</f>
        <v>0</v>
      </c>
      <c r="H84" s="77">
        <f>SUMIF('_Month Engine'!$C$5:$DR$5,H$4,INDEX('_Month Engine'!$C:$DR,MATCH("Acquisition Outflow (Purchase + Closing)",'_Month Engine'!$A:$A,0)+MATCH($A84,'_Month Engine'!$B$8:$B$17,0),0))+SUMIF('_Month Engine'!$C$5:$DR$5,H$4,INDEX('_Month Engine'!$C:$DR,MATCH("Acquisition Outflow (Purchase + Closing)",'_Month Engine'!$A:$A,0)+MATCH($A84,'_Month Engine'!$B$21:$B$30,0),0))</f>
        <v>0</v>
      </c>
      <c r="I84" s="77">
        <f>SUMIF('_Month Engine'!$C$5:$DR$5,I$4,INDEX('_Month Engine'!$C:$DR,MATCH("Acquisition Outflow (Purchase + Closing)",'_Month Engine'!$A:$A,0)+MATCH($A84,'_Month Engine'!$B$8:$B$17,0),0))+SUMIF('_Month Engine'!$C$5:$DR$5,I$4,INDEX('_Month Engine'!$C:$DR,MATCH("Acquisition Outflow (Purchase + Closing)",'_Month Engine'!$A:$A,0)+MATCH($A84,'_Month Engine'!$B$21:$B$30,0),0))</f>
        <v>0</v>
      </c>
      <c r="J84" s="77">
        <f>SUMIF('_Month Engine'!$C$5:$DR$5,J$4,INDEX('_Month Engine'!$C:$DR,MATCH("Acquisition Outflow (Purchase + Closing)",'_Month Engine'!$A:$A,0)+MATCH($A84,'_Month Engine'!$B$8:$B$17,0),0))+SUMIF('_Month Engine'!$C$5:$DR$5,J$4,INDEX('_Month Engine'!$C:$DR,MATCH("Acquisition Outflow (Purchase + Closing)",'_Month Engine'!$A:$A,0)+MATCH($A84,'_Month Engine'!$B$21:$B$30,0),0))</f>
        <v>0</v>
      </c>
      <c r="K84" s="77">
        <f>SUMIF('_Month Engine'!$C$5:$DR$5,K$4,INDEX('_Month Engine'!$C:$DR,MATCH("Acquisition Outflow (Purchase + Closing)",'_Month Engine'!$A:$A,0)+MATCH($A84,'_Month Engine'!$B$8:$B$17,0),0))+SUMIF('_Month Engine'!$C$5:$DR$5,K$4,INDEX('_Month Engine'!$C:$DR,MATCH("Acquisition Outflow (Purchase + Closing)",'_Month Engine'!$A:$A,0)+MATCH($A84,'_Month Engine'!$B$21:$B$30,0),0))</f>
        <v>0</v>
      </c>
      <c r="L84" s="77">
        <f>SUMIF('_Month Engine'!$C$5:$DR$5,L$4,INDEX('_Month Engine'!$C:$DR,MATCH("Acquisition Outflow (Purchase + Closing)",'_Month Engine'!$A:$A,0)+MATCH($A84,'_Month Engine'!$B$8:$B$17,0),0))+SUMIF('_Month Engine'!$C$5:$DR$5,L$4,INDEX('_Month Engine'!$C:$DR,MATCH("Acquisition Outflow (Purchase + Closing)",'_Month Engine'!$A:$A,0)+MATCH($A84,'_Month Engine'!$B$21:$B$30,0),0))</f>
        <v>0</v>
      </c>
    </row>
    <row r="85" spans="1:12" ht="34.049999999999997" customHeight="1" x14ac:dyDescent="0.3">
      <c r="A85" s="9">
        <v>5</v>
      </c>
      <c r="B85" s="517" t="s">
        <v>1181</v>
      </c>
      <c r="C85" s="77" cm="1">
        <f t="array" ref="C85">SUMIF('_Month Engine'!$C$5:$DR$5,C$4,INDEX('_Month Engine'!$C:$DR,MATCH("Gross Sale Value",'_Month Engine'!$A:$A,0)+MATCH($A85,'_Month Engine'!$B$61:$B$70,0),0))*(1-Input!$C$15)-IF(SUMIF('_Month Engine'!$C$5:$DR$5,C$4,INDEX('_Month Engine'!$C:$DR,MATCH("Gross Sale Value",'_Month Engine'!$A:$A,0)+MATCH($A85,'_Month Engine'!$B$61:$B$70,0),0))&gt;0,INDEX(Properties!$AD:$AD,$A85+5),0)</f>
        <v>0</v>
      </c>
      <c r="D85" s="77" cm="1">
        <f t="array" ref="D85">SUMIF('_Month Engine'!$C$5:$DR$5,D$4,INDEX('_Month Engine'!$C:$DR,MATCH("Gross Sale Value",'_Month Engine'!$A:$A,0)+MATCH($A85,'_Month Engine'!$B$61:$B$70,0),0))*(1-Input!$C$15)-IF(SUMIF('_Month Engine'!$C$5:$DR$5,D$4,INDEX('_Month Engine'!$C:$DR,MATCH("Gross Sale Value",'_Month Engine'!$A:$A,0)+MATCH($A85,'_Month Engine'!$B$61:$B$70,0),0))&gt;0,INDEX(Properties!$AD:$AD,$A85+5),0)</f>
        <v>0</v>
      </c>
      <c r="E85" s="77" cm="1">
        <f t="array" ref="E85">SUMIF('_Month Engine'!$C$5:$DR$5,E$4,INDEX('_Month Engine'!$C:$DR,MATCH("Gross Sale Value",'_Month Engine'!$A:$A,0)+MATCH($A85,'_Month Engine'!$B$61:$B$70,0),0))*(1-Input!$C$15)-IF(SUMIF('_Month Engine'!$C$5:$DR$5,E$4,INDEX('_Month Engine'!$C:$DR,MATCH("Gross Sale Value",'_Month Engine'!$A:$A,0)+MATCH($A85,'_Month Engine'!$B$61:$B$70,0),0))&gt;0,INDEX(Properties!$AD:$AD,$A85+5),0)</f>
        <v>0</v>
      </c>
      <c r="F85" s="77" cm="1">
        <f t="array" ref="F85">SUMIF('_Month Engine'!$C$5:$DR$5,F$4,INDEX('_Month Engine'!$C:$DR,MATCH("Gross Sale Value",'_Month Engine'!$A:$A,0)+MATCH($A85,'_Month Engine'!$B$61:$B$70,0),0))*(1-Input!$C$15)-IF(SUMIF('_Month Engine'!$C$5:$DR$5,F$4,INDEX('_Month Engine'!$C:$DR,MATCH("Gross Sale Value",'_Month Engine'!$A:$A,0)+MATCH($A85,'_Month Engine'!$B$61:$B$70,0),0))&gt;0,INDEX(Properties!$AD:$AD,$A85+5),0)</f>
        <v>2588169.1239897087</v>
      </c>
      <c r="G85" s="77" cm="1">
        <f t="array" ref="G85">SUMIF('_Month Engine'!$C$5:$DR$5,G$4,INDEX('_Month Engine'!$C:$DR,MATCH("Gross Sale Value",'_Month Engine'!$A:$A,0)+MATCH($A85,'_Month Engine'!$B$61:$B$70,0),0))*(1-Input!$C$15)-IF(SUMIF('_Month Engine'!$C$5:$DR$5,G$4,INDEX('_Month Engine'!$C:$DR,MATCH("Gross Sale Value",'_Month Engine'!$A:$A,0)+MATCH($A85,'_Month Engine'!$B$61:$B$70,0),0))&gt;0,INDEX(Properties!$AD:$AD,$A85+5),0)</f>
        <v>0</v>
      </c>
      <c r="H85" s="77" cm="1">
        <f t="array" ref="H85">SUMIF('_Month Engine'!$C$5:$DR$5,H$4,INDEX('_Month Engine'!$C:$DR,MATCH("Gross Sale Value",'_Month Engine'!$A:$A,0)+MATCH($A85,'_Month Engine'!$B$61:$B$70,0),0))*(1-Input!$C$15)-IF(SUMIF('_Month Engine'!$C$5:$DR$5,H$4,INDEX('_Month Engine'!$C:$DR,MATCH("Gross Sale Value",'_Month Engine'!$A:$A,0)+MATCH($A85,'_Month Engine'!$B$61:$B$70,0),0))&gt;0,INDEX(Properties!$AD:$AD,$A85+5),0)</f>
        <v>0</v>
      </c>
      <c r="I85" s="77" cm="1">
        <f t="array" ref="I85">SUMIF('_Month Engine'!$C$5:$DR$5,I$4,INDEX('_Month Engine'!$C:$DR,MATCH("Gross Sale Value",'_Month Engine'!$A:$A,0)+MATCH($A85,'_Month Engine'!$B$61:$B$70,0),0))*(1-Input!$C$15)-IF(SUMIF('_Month Engine'!$C$5:$DR$5,I$4,INDEX('_Month Engine'!$C:$DR,MATCH("Gross Sale Value",'_Month Engine'!$A:$A,0)+MATCH($A85,'_Month Engine'!$B$61:$B$70,0),0))&gt;0,INDEX(Properties!$AD:$AD,$A85+5),0)</f>
        <v>0</v>
      </c>
      <c r="J85" s="77" cm="1">
        <f t="array" ref="J85">SUMIF('_Month Engine'!$C$5:$DR$5,J$4,INDEX('_Month Engine'!$C:$DR,MATCH("Gross Sale Value",'_Month Engine'!$A:$A,0)+MATCH($A85,'_Month Engine'!$B$61:$B$70,0),0))*(1-Input!$C$15)-IF(SUMIF('_Month Engine'!$C$5:$DR$5,J$4,INDEX('_Month Engine'!$C:$DR,MATCH("Gross Sale Value",'_Month Engine'!$A:$A,0)+MATCH($A85,'_Month Engine'!$B$61:$B$70,0),0))&gt;0,INDEX(Properties!$AD:$AD,$A85+5),0)</f>
        <v>0</v>
      </c>
      <c r="K85" s="77" cm="1">
        <f t="array" ref="K85">SUMIF('_Month Engine'!$C$5:$DR$5,K$4,INDEX('_Month Engine'!$C:$DR,MATCH("Gross Sale Value",'_Month Engine'!$A:$A,0)+MATCH($A85,'_Month Engine'!$B$61:$B$70,0),0))*(1-Input!$C$15)-IF(SUMIF('_Month Engine'!$C$5:$DR$5,K$4,INDEX('_Month Engine'!$C:$DR,MATCH("Gross Sale Value",'_Month Engine'!$A:$A,0)+MATCH($A85,'_Month Engine'!$B$61:$B$70,0),0))&gt;0,INDEX(Properties!$AD:$AD,$A85+5),0)</f>
        <v>0</v>
      </c>
      <c r="L85" s="77" cm="1">
        <f t="array" ref="L85">SUMIF('_Month Engine'!$C$5:$DR$5,L$4,INDEX('_Month Engine'!$C:$DR,MATCH("Gross Sale Value",'_Month Engine'!$A:$A,0)+MATCH($A85,'_Month Engine'!$B$61:$B$70,0),0))*(1-Input!$C$15)-IF(SUMIF('_Month Engine'!$C$5:$DR$5,L$4,INDEX('_Month Engine'!$C:$DR,MATCH("Gross Sale Value",'_Month Engine'!$A:$A,0)+MATCH($A85,'_Month Engine'!$B$61:$B$70,0),0))&gt;0,INDEX(Properties!$AD:$AD,$A85+5),0)</f>
        <v>0</v>
      </c>
    </row>
    <row r="86" spans="1:12" ht="18" customHeight="1" x14ac:dyDescent="0.3">
      <c r="A86" s="9"/>
      <c r="B86" s="9"/>
      <c r="C86" s="66"/>
      <c r="D86" s="66"/>
      <c r="E86" s="66"/>
      <c r="F86" s="66"/>
      <c r="G86" s="66"/>
      <c r="H86" s="66"/>
      <c r="I86" s="66"/>
      <c r="J86" s="66"/>
      <c r="K86" s="66"/>
      <c r="L86" s="66"/>
    </row>
    <row r="87" spans="1:12" ht="19.95" customHeight="1" x14ac:dyDescent="0.3">
      <c r="A87" s="40">
        <v>6</v>
      </c>
      <c r="B87" s="40" t="str" cm="1">
        <f t="array" ref="B87">INDEX(Properties!$E:$E,$A87+5)&amp;"   ·   "&amp;INDEX(Properties!$F:$F,$A87+5)&amp;"   ·   "&amp;INDEX(Properties!$H:$H,$A87+5)</f>
        <v xml:space="preserve">   ·      ·   </v>
      </c>
      <c r="C87" s="67"/>
      <c r="D87" s="67"/>
      <c r="E87" s="67"/>
      <c r="F87" s="67"/>
      <c r="G87" s="67"/>
      <c r="H87" s="67"/>
      <c r="I87" s="67"/>
      <c r="J87" s="67"/>
      <c r="K87" s="67"/>
      <c r="L87" s="67"/>
    </row>
    <row r="88" spans="1:12" ht="18" customHeight="1" x14ac:dyDescent="0.3">
      <c r="A88" s="9">
        <v>6</v>
      </c>
      <c r="B88" s="66" t="s">
        <v>167</v>
      </c>
      <c r="C88" s="75">
        <f>SUMIF('_Month Engine'!$C$5:$DR$5,C$4,INDEX('_Month Engine'!$C:$DR,MATCH("Gross STR Revenue",'_Month Engine'!$A:$A,0)+MATCH($A88,'_Month Engine'!$B$34:$B$43,0),0))</f>
        <v>0</v>
      </c>
      <c r="D88" s="75">
        <f>SUMIF('_Month Engine'!$C$5:$DR$5,D$4,INDEX('_Month Engine'!$C:$DR,MATCH("Gross STR Revenue",'_Month Engine'!$A:$A,0)+MATCH($A88,'_Month Engine'!$B$34:$B$43,0),0))</f>
        <v>0</v>
      </c>
      <c r="E88" s="75">
        <f>SUMIF('_Month Engine'!$C$5:$DR$5,E$4,INDEX('_Month Engine'!$C:$DR,MATCH("Gross STR Revenue",'_Month Engine'!$A:$A,0)+MATCH($A88,'_Month Engine'!$B$34:$B$43,0),0))</f>
        <v>0</v>
      </c>
      <c r="F88" s="75">
        <f>SUMIF('_Month Engine'!$C$5:$DR$5,F$4,INDEX('_Month Engine'!$C:$DR,MATCH("Gross STR Revenue",'_Month Engine'!$A:$A,0)+MATCH($A88,'_Month Engine'!$B$34:$B$43,0),0))</f>
        <v>0</v>
      </c>
      <c r="G88" s="75">
        <f>SUMIF('_Month Engine'!$C$5:$DR$5,G$4,INDEX('_Month Engine'!$C:$DR,MATCH("Gross STR Revenue",'_Month Engine'!$A:$A,0)+MATCH($A88,'_Month Engine'!$B$34:$B$43,0),0))</f>
        <v>0</v>
      </c>
      <c r="H88" s="75">
        <f>SUMIF('_Month Engine'!$C$5:$DR$5,H$4,INDEX('_Month Engine'!$C:$DR,MATCH("Gross STR Revenue",'_Month Engine'!$A:$A,0)+MATCH($A88,'_Month Engine'!$B$34:$B$43,0),0))</f>
        <v>0</v>
      </c>
      <c r="I88" s="75">
        <f>SUMIF('_Month Engine'!$C$5:$DR$5,I$4,INDEX('_Month Engine'!$C:$DR,MATCH("Gross STR Revenue",'_Month Engine'!$A:$A,0)+MATCH($A88,'_Month Engine'!$B$34:$B$43,0),0))</f>
        <v>0</v>
      </c>
      <c r="J88" s="75">
        <f>SUMIF('_Month Engine'!$C$5:$DR$5,J$4,INDEX('_Month Engine'!$C:$DR,MATCH("Gross STR Revenue",'_Month Engine'!$A:$A,0)+MATCH($A88,'_Month Engine'!$B$34:$B$43,0),0))</f>
        <v>0</v>
      </c>
      <c r="K88" s="75">
        <f>SUMIF('_Month Engine'!$C$5:$DR$5,K$4,INDEX('_Month Engine'!$C:$DR,MATCH("Gross STR Revenue",'_Month Engine'!$A:$A,0)+MATCH($A88,'_Month Engine'!$B$34:$B$43,0),0))</f>
        <v>0</v>
      </c>
      <c r="L88" s="75">
        <f>SUMIF('_Month Engine'!$C$5:$DR$5,L$4,INDEX('_Month Engine'!$C:$DR,MATCH("Gross STR Revenue",'_Month Engine'!$A:$A,0)+MATCH($A88,'_Month Engine'!$B$34:$B$43,0),0))</f>
        <v>0</v>
      </c>
    </row>
    <row r="89" spans="1:12" ht="18" customHeight="1" x14ac:dyDescent="0.3">
      <c r="A89" s="9">
        <v>6</v>
      </c>
      <c r="B89" s="66" t="s">
        <v>1179</v>
      </c>
      <c r="C89" s="75" cm="1">
        <f t="array" ref="C89">SUMIF('_Month Engine'!$C$5:$DR$5,C$4,INDEX('_Month Engine'!$C:$DR,MATCH("Owned All-In Basis",'_Month Engine'!$A:$A,0)+MATCH($A89,'_Month Engine'!$B$47:$B$56,0),0))*INDEX(Input!$C$80:$C$89,$A89)/'_IRR Engine'!$Q$7</f>
        <v>0</v>
      </c>
      <c r="D89" s="75" cm="1">
        <f t="array" ref="D89">SUMIF('_Month Engine'!$C$5:$DR$5,D$4,INDEX('_Month Engine'!$C:$DR,MATCH("Owned All-In Basis",'_Month Engine'!$A:$A,0)+MATCH($A89,'_Month Engine'!$B$47:$B$56,0),0))*INDEX(Input!$C$80:$C$89,$A89)/'_IRR Engine'!$Q$7</f>
        <v>0</v>
      </c>
      <c r="E89" s="75" cm="1">
        <f t="array" ref="E89">SUMIF('_Month Engine'!$C$5:$DR$5,E$4,INDEX('_Month Engine'!$C:$DR,MATCH("Owned All-In Basis",'_Month Engine'!$A:$A,0)+MATCH($A89,'_Month Engine'!$B$47:$B$56,0),0))*INDEX(Input!$C$80:$C$89,$A89)/'_IRR Engine'!$Q$7</f>
        <v>0</v>
      </c>
      <c r="F89" s="75" cm="1">
        <f t="array" ref="F89">SUMIF('_Month Engine'!$C$5:$DR$5,F$4,INDEX('_Month Engine'!$C:$DR,MATCH("Owned All-In Basis",'_Month Engine'!$A:$A,0)+MATCH($A89,'_Month Engine'!$B$47:$B$56,0),0))*INDEX(Input!$C$80:$C$89,$A89)/'_IRR Engine'!$Q$7</f>
        <v>0</v>
      </c>
      <c r="G89" s="75" cm="1">
        <f t="array" ref="G89">SUMIF('_Month Engine'!$C$5:$DR$5,G$4,INDEX('_Month Engine'!$C:$DR,MATCH("Owned All-In Basis",'_Month Engine'!$A:$A,0)+MATCH($A89,'_Month Engine'!$B$47:$B$56,0),0))*INDEX(Input!$C$80:$C$89,$A89)/'_IRR Engine'!$Q$7</f>
        <v>0</v>
      </c>
      <c r="H89" s="75" cm="1">
        <f t="array" ref="H89">SUMIF('_Month Engine'!$C$5:$DR$5,H$4,INDEX('_Month Engine'!$C:$DR,MATCH("Owned All-In Basis",'_Month Engine'!$A:$A,0)+MATCH($A89,'_Month Engine'!$B$47:$B$56,0),0))*INDEX(Input!$C$80:$C$89,$A89)/'_IRR Engine'!$Q$7</f>
        <v>0</v>
      </c>
      <c r="I89" s="75" cm="1">
        <f t="array" ref="I89">SUMIF('_Month Engine'!$C$5:$DR$5,I$4,INDEX('_Month Engine'!$C:$DR,MATCH("Owned All-In Basis",'_Month Engine'!$A:$A,0)+MATCH($A89,'_Month Engine'!$B$47:$B$56,0),0))*INDEX(Input!$C$80:$C$89,$A89)/'_IRR Engine'!$Q$7</f>
        <v>0</v>
      </c>
      <c r="J89" s="75" cm="1">
        <f t="array" ref="J89">SUMIF('_Month Engine'!$C$5:$DR$5,J$4,INDEX('_Month Engine'!$C:$DR,MATCH("Owned All-In Basis",'_Month Engine'!$A:$A,0)+MATCH($A89,'_Month Engine'!$B$47:$B$56,0),0))*INDEX(Input!$C$80:$C$89,$A89)/'_IRR Engine'!$Q$7</f>
        <v>0</v>
      </c>
      <c r="K89" s="75" cm="1">
        <f t="array" ref="K89">SUMIF('_Month Engine'!$C$5:$DR$5,K$4,INDEX('_Month Engine'!$C:$DR,MATCH("Owned All-In Basis",'_Month Engine'!$A:$A,0)+MATCH($A89,'_Month Engine'!$B$47:$B$56,0),0))*INDEX(Input!$C$80:$C$89,$A89)/'_IRR Engine'!$Q$7</f>
        <v>0</v>
      </c>
      <c r="L89" s="75" cm="1">
        <f t="array" ref="L89">SUMIF('_Month Engine'!$C$5:$DR$5,L$4,INDEX('_Month Engine'!$C:$DR,MATCH("Owned All-In Basis",'_Month Engine'!$A:$A,0)+MATCH($A89,'_Month Engine'!$B$47:$B$56,0),0))*INDEX(Input!$C$80:$C$89,$A89)/'_IRR Engine'!$Q$7</f>
        <v>0</v>
      </c>
    </row>
    <row r="90" spans="1:12" ht="18" customHeight="1" x14ac:dyDescent="0.3">
      <c r="A90" s="9">
        <v>6</v>
      </c>
      <c r="B90" s="66" t="s">
        <v>72</v>
      </c>
      <c r="C90" s="75">
        <f>SUMIF('_Month Engine'!$C$5:$DR$5,C$4,INDEX('_Month Engine'!$C:$DR,MATCH("Renting All-In Basis",'_Month Engine'!$A:$A,0)+MATCH($A90,'_Month Engine'!$B$110:$B$119,0),0))*Input!$C$18/'_IRR Engine'!$Q$7</f>
        <v>0</v>
      </c>
      <c r="D90" s="75">
        <f>SUMIF('_Month Engine'!$C$5:$DR$5,D$4,INDEX('_Month Engine'!$C:$DR,MATCH("Renting All-In Basis",'_Month Engine'!$A:$A,0)+MATCH($A90,'_Month Engine'!$B$110:$B$119,0),0))*Input!$C$18/'_IRR Engine'!$Q$7</f>
        <v>0</v>
      </c>
      <c r="E90" s="75">
        <f>SUMIF('_Month Engine'!$C$5:$DR$5,E$4,INDEX('_Month Engine'!$C:$DR,MATCH("Renting All-In Basis",'_Month Engine'!$A:$A,0)+MATCH($A90,'_Month Engine'!$B$110:$B$119,0),0))*Input!$C$18/'_IRR Engine'!$Q$7</f>
        <v>0</v>
      </c>
      <c r="F90" s="75">
        <f>SUMIF('_Month Engine'!$C$5:$DR$5,F$4,INDEX('_Month Engine'!$C:$DR,MATCH("Renting All-In Basis",'_Month Engine'!$A:$A,0)+MATCH($A90,'_Month Engine'!$B$110:$B$119,0),0))*Input!$C$18/'_IRR Engine'!$Q$7</f>
        <v>0</v>
      </c>
      <c r="G90" s="75">
        <f>SUMIF('_Month Engine'!$C$5:$DR$5,G$4,INDEX('_Month Engine'!$C:$DR,MATCH("Renting All-In Basis",'_Month Engine'!$A:$A,0)+MATCH($A90,'_Month Engine'!$B$110:$B$119,0),0))*Input!$C$18/'_IRR Engine'!$Q$7</f>
        <v>0</v>
      </c>
      <c r="H90" s="75">
        <f>SUMIF('_Month Engine'!$C$5:$DR$5,H$4,INDEX('_Month Engine'!$C:$DR,MATCH("Renting All-In Basis",'_Month Engine'!$A:$A,0)+MATCH($A90,'_Month Engine'!$B$110:$B$119,0),0))*Input!$C$18/'_IRR Engine'!$Q$7</f>
        <v>0</v>
      </c>
      <c r="I90" s="75">
        <f>SUMIF('_Month Engine'!$C$5:$DR$5,I$4,INDEX('_Month Engine'!$C:$DR,MATCH("Renting All-In Basis",'_Month Engine'!$A:$A,0)+MATCH($A90,'_Month Engine'!$B$110:$B$119,0),0))*Input!$C$18/'_IRR Engine'!$Q$7</f>
        <v>0</v>
      </c>
      <c r="J90" s="75">
        <f>SUMIF('_Month Engine'!$C$5:$DR$5,J$4,INDEX('_Month Engine'!$C:$DR,MATCH("Renting All-In Basis",'_Month Engine'!$A:$A,0)+MATCH($A90,'_Month Engine'!$B$110:$B$119,0),0))*Input!$C$18/'_IRR Engine'!$Q$7</f>
        <v>0</v>
      </c>
      <c r="K90" s="75">
        <f>SUMIF('_Month Engine'!$C$5:$DR$5,K$4,INDEX('_Month Engine'!$C:$DR,MATCH("Renting All-In Basis",'_Month Engine'!$A:$A,0)+MATCH($A90,'_Month Engine'!$B$110:$B$119,0),0))*Input!$C$18/'_IRR Engine'!$Q$7</f>
        <v>0</v>
      </c>
      <c r="L90" s="75">
        <f>SUMIF('_Month Engine'!$C$5:$DR$5,L$4,INDEX('_Month Engine'!$C:$DR,MATCH("Renting All-In Basis",'_Month Engine'!$A:$A,0)+MATCH($A90,'_Month Engine'!$B$110:$B$119,0),0))*Input!$C$18/'_IRR Engine'!$Q$7</f>
        <v>0</v>
      </c>
    </row>
    <row r="91" spans="1:12" ht="18" customHeight="1" x14ac:dyDescent="0.3">
      <c r="A91" s="9">
        <v>6</v>
      </c>
      <c r="B91" s="66" t="s">
        <v>168</v>
      </c>
      <c r="C91" s="75" cm="1">
        <f t="array" ref="C91">SUMIF('_Month Engine'!$C$5:$DR$5,C$4,INDEX('_Month Engine'!$C:$DR,MATCH("Owned Flag (1 = owned in month)",'_Month Engine'!$A:$A,0)+MATCH($A91,'_Month Engine'!$B$86:$B$95,0),0))*INDEX(Input!$D$80:$D$89,$A91)*1000000/Input!$C$5</f>
        <v>0</v>
      </c>
      <c r="D91" s="75" cm="1">
        <f t="array" ref="D91">SUMIF('_Month Engine'!$C$5:$DR$5,D$4,INDEX('_Month Engine'!$C:$DR,MATCH("Owned Flag (1 = owned in month)",'_Month Engine'!$A:$A,0)+MATCH($A91,'_Month Engine'!$B$86:$B$95,0),0))*INDEX(Input!$D$80:$D$89,$A91)*1000000/Input!$C$5</f>
        <v>0</v>
      </c>
      <c r="E91" s="75" cm="1">
        <f t="array" ref="E91">SUMIF('_Month Engine'!$C$5:$DR$5,E$4,INDEX('_Month Engine'!$C:$DR,MATCH("Owned Flag (1 = owned in month)",'_Month Engine'!$A:$A,0)+MATCH($A91,'_Month Engine'!$B$86:$B$95,0),0))*INDEX(Input!$D$80:$D$89,$A91)*1000000/Input!$C$5</f>
        <v>0</v>
      </c>
      <c r="F91" s="75" cm="1">
        <f t="array" ref="F91">SUMIF('_Month Engine'!$C$5:$DR$5,F$4,INDEX('_Month Engine'!$C:$DR,MATCH("Owned Flag (1 = owned in month)",'_Month Engine'!$A:$A,0)+MATCH($A91,'_Month Engine'!$B$86:$B$95,0),0))*INDEX(Input!$D$80:$D$89,$A91)*1000000/Input!$C$5</f>
        <v>0</v>
      </c>
      <c r="G91" s="75" cm="1">
        <f t="array" ref="G91">SUMIF('_Month Engine'!$C$5:$DR$5,G$4,INDEX('_Month Engine'!$C:$DR,MATCH("Owned Flag (1 = owned in month)",'_Month Engine'!$A:$A,0)+MATCH($A91,'_Month Engine'!$B$86:$B$95,0),0))*INDEX(Input!$D$80:$D$89,$A91)*1000000/Input!$C$5</f>
        <v>0</v>
      </c>
      <c r="H91" s="75" cm="1">
        <f t="array" ref="H91">SUMIF('_Month Engine'!$C$5:$DR$5,H$4,INDEX('_Month Engine'!$C:$DR,MATCH("Owned Flag (1 = owned in month)",'_Month Engine'!$A:$A,0)+MATCH($A91,'_Month Engine'!$B$86:$B$95,0),0))*INDEX(Input!$D$80:$D$89,$A91)*1000000/Input!$C$5</f>
        <v>0</v>
      </c>
      <c r="I91" s="75" cm="1">
        <f t="array" ref="I91">SUMIF('_Month Engine'!$C$5:$DR$5,I$4,INDEX('_Month Engine'!$C:$DR,MATCH("Owned Flag (1 = owned in month)",'_Month Engine'!$A:$A,0)+MATCH($A91,'_Month Engine'!$B$86:$B$95,0),0))*INDEX(Input!$D$80:$D$89,$A91)*1000000/Input!$C$5</f>
        <v>0</v>
      </c>
      <c r="J91" s="75" cm="1">
        <f t="array" ref="J91">SUMIF('_Month Engine'!$C$5:$DR$5,J$4,INDEX('_Month Engine'!$C:$DR,MATCH("Owned Flag (1 = owned in month)",'_Month Engine'!$A:$A,0)+MATCH($A91,'_Month Engine'!$B$86:$B$95,0),0))*INDEX(Input!$D$80:$D$89,$A91)*1000000/Input!$C$5</f>
        <v>0</v>
      </c>
      <c r="K91" s="75" cm="1">
        <f t="array" ref="K91">SUMIF('_Month Engine'!$C$5:$DR$5,K$4,INDEX('_Month Engine'!$C:$DR,MATCH("Owned Flag (1 = owned in month)",'_Month Engine'!$A:$A,0)+MATCH($A91,'_Month Engine'!$B$86:$B$95,0),0))*INDEX(Input!$D$80:$D$89,$A91)*1000000/Input!$C$5</f>
        <v>0</v>
      </c>
      <c r="L91" s="75" cm="1">
        <f t="array" ref="L91">SUMIF('_Month Engine'!$C$5:$DR$5,L$4,INDEX('_Month Engine'!$C:$DR,MATCH("Owned Flag (1 = owned in month)",'_Month Engine'!$A:$A,0)+MATCH($A91,'_Month Engine'!$B$86:$B$95,0),0))*INDEX(Input!$D$80:$D$89,$A91)*1000000/Input!$C$5</f>
        <v>0</v>
      </c>
    </row>
    <row r="92" spans="1:12" ht="18" customHeight="1" x14ac:dyDescent="0.3">
      <c r="A92" s="9">
        <v>6</v>
      </c>
      <c r="B92" s="66" t="s">
        <v>169</v>
      </c>
      <c r="C92" s="75" cm="1">
        <f t="array" ref="C92">SUMIF('_Month Engine'!$C$5:$DR$5,C$4,INDEX('_Month Engine'!$C:$DR,MATCH("Owned Flag (1 = owned in month)",'_Month Engine'!$A:$A,0)+MATCH($A92,'_Month Engine'!$B$86:$B$95,0),0))*INDEX(Input!$E$80:$E$89,$A92)*1000000/Input!$C$5</f>
        <v>0</v>
      </c>
      <c r="D92" s="75" cm="1">
        <f t="array" ref="D92">SUMIF('_Month Engine'!$C$5:$DR$5,D$4,INDEX('_Month Engine'!$C:$DR,MATCH("Owned Flag (1 = owned in month)",'_Month Engine'!$A:$A,0)+MATCH($A92,'_Month Engine'!$B$86:$B$95,0),0))*INDEX(Input!$E$80:$E$89,$A92)*1000000/Input!$C$5</f>
        <v>0</v>
      </c>
      <c r="E92" s="75" cm="1">
        <f t="array" ref="E92">SUMIF('_Month Engine'!$C$5:$DR$5,E$4,INDEX('_Month Engine'!$C:$DR,MATCH("Owned Flag (1 = owned in month)",'_Month Engine'!$A:$A,0)+MATCH($A92,'_Month Engine'!$B$86:$B$95,0),0))*INDEX(Input!$E$80:$E$89,$A92)*1000000/Input!$C$5</f>
        <v>0</v>
      </c>
      <c r="F92" s="75" cm="1">
        <f t="array" ref="F92">SUMIF('_Month Engine'!$C$5:$DR$5,F$4,INDEX('_Month Engine'!$C:$DR,MATCH("Owned Flag (1 = owned in month)",'_Month Engine'!$A:$A,0)+MATCH($A92,'_Month Engine'!$B$86:$B$95,0),0))*INDEX(Input!$E$80:$E$89,$A92)*1000000/Input!$C$5</f>
        <v>0</v>
      </c>
      <c r="G92" s="75" cm="1">
        <f t="array" ref="G92">SUMIF('_Month Engine'!$C$5:$DR$5,G$4,INDEX('_Month Engine'!$C:$DR,MATCH("Owned Flag (1 = owned in month)",'_Month Engine'!$A:$A,0)+MATCH($A92,'_Month Engine'!$B$86:$B$95,0),0))*INDEX(Input!$E$80:$E$89,$A92)*1000000/Input!$C$5</f>
        <v>0</v>
      </c>
      <c r="H92" s="75" cm="1">
        <f t="array" ref="H92">SUMIF('_Month Engine'!$C$5:$DR$5,H$4,INDEX('_Month Engine'!$C:$DR,MATCH("Owned Flag (1 = owned in month)",'_Month Engine'!$A:$A,0)+MATCH($A92,'_Month Engine'!$B$86:$B$95,0),0))*INDEX(Input!$E$80:$E$89,$A92)*1000000/Input!$C$5</f>
        <v>0</v>
      </c>
      <c r="I92" s="75" cm="1">
        <f t="array" ref="I92">SUMIF('_Month Engine'!$C$5:$DR$5,I$4,INDEX('_Month Engine'!$C:$DR,MATCH("Owned Flag (1 = owned in month)",'_Month Engine'!$A:$A,0)+MATCH($A92,'_Month Engine'!$B$86:$B$95,0),0))*INDEX(Input!$E$80:$E$89,$A92)*1000000/Input!$C$5</f>
        <v>0</v>
      </c>
      <c r="J92" s="75" cm="1">
        <f t="array" ref="J92">SUMIF('_Month Engine'!$C$5:$DR$5,J$4,INDEX('_Month Engine'!$C:$DR,MATCH("Owned Flag (1 = owned in month)",'_Month Engine'!$A:$A,0)+MATCH($A92,'_Month Engine'!$B$86:$B$95,0),0))*INDEX(Input!$E$80:$E$89,$A92)*1000000/Input!$C$5</f>
        <v>0</v>
      </c>
      <c r="K92" s="75" cm="1">
        <f t="array" ref="K92">SUMIF('_Month Engine'!$C$5:$DR$5,K$4,INDEX('_Month Engine'!$C:$DR,MATCH("Owned Flag (1 = owned in month)",'_Month Engine'!$A:$A,0)+MATCH($A92,'_Month Engine'!$B$86:$B$95,0),0))*INDEX(Input!$E$80:$E$89,$A92)*1000000/Input!$C$5</f>
        <v>0</v>
      </c>
      <c r="L92" s="75" cm="1">
        <f t="array" ref="L92">SUMIF('_Month Engine'!$C$5:$DR$5,L$4,INDEX('_Month Engine'!$C:$DR,MATCH("Owned Flag (1 = owned in month)",'_Month Engine'!$A:$A,0)+MATCH($A92,'_Month Engine'!$B$86:$B$95,0),0))*INDEX(Input!$E$80:$E$89,$A92)*1000000/Input!$C$5</f>
        <v>0</v>
      </c>
    </row>
    <row r="93" spans="1:12" ht="18" customHeight="1" x14ac:dyDescent="0.3">
      <c r="A93" s="9">
        <v>6</v>
      </c>
      <c r="B93" s="66" t="s">
        <v>170</v>
      </c>
      <c r="C93" s="75">
        <f>IFERROR(SUMIF('_Month Engine'!$C$5:$DR$5,C$4,INDEX('_Month Engine'!$C:$DR,MATCH("Renting All-In Basis",'_Month Engine'!$A:$A,0)+MATCH($A93,'_Month Engine'!$B$110:$B$119,0),0))*Input!$C$19/'_IRR Engine'!$Q$7,0)</f>
        <v>0</v>
      </c>
      <c r="D93" s="75">
        <f>IFERROR(SUMIF('_Month Engine'!$C$5:$DR$5,D$4,INDEX('_Month Engine'!$C:$DR,MATCH("Renting All-In Basis",'_Month Engine'!$A:$A,0)+MATCH($A93,'_Month Engine'!$B$110:$B$119,0),0))*Input!$C$19/'_IRR Engine'!$Q$7,0)</f>
        <v>0</v>
      </c>
      <c r="E93" s="75">
        <f>IFERROR(SUMIF('_Month Engine'!$C$5:$DR$5,E$4,INDEX('_Month Engine'!$C:$DR,MATCH("Renting All-In Basis",'_Month Engine'!$A:$A,0)+MATCH($A93,'_Month Engine'!$B$110:$B$119,0),0))*Input!$C$19/'_IRR Engine'!$Q$7,0)</f>
        <v>0</v>
      </c>
      <c r="F93" s="75">
        <f>IFERROR(SUMIF('_Month Engine'!$C$5:$DR$5,F$4,INDEX('_Month Engine'!$C:$DR,MATCH("Renting All-In Basis",'_Month Engine'!$A:$A,0)+MATCH($A93,'_Month Engine'!$B$110:$B$119,0),0))*Input!$C$19/'_IRR Engine'!$Q$7,0)</f>
        <v>0</v>
      </c>
      <c r="G93" s="75">
        <f>IFERROR(SUMIF('_Month Engine'!$C$5:$DR$5,G$4,INDEX('_Month Engine'!$C:$DR,MATCH("Renting All-In Basis",'_Month Engine'!$A:$A,0)+MATCH($A93,'_Month Engine'!$B$110:$B$119,0),0))*Input!$C$19/'_IRR Engine'!$Q$7,0)</f>
        <v>0</v>
      </c>
      <c r="H93" s="75">
        <f>IFERROR(SUMIF('_Month Engine'!$C$5:$DR$5,H$4,INDEX('_Month Engine'!$C:$DR,MATCH("Renting All-In Basis",'_Month Engine'!$A:$A,0)+MATCH($A93,'_Month Engine'!$B$110:$B$119,0),0))*Input!$C$19/'_IRR Engine'!$Q$7,0)</f>
        <v>0</v>
      </c>
      <c r="I93" s="75">
        <f>IFERROR(SUMIF('_Month Engine'!$C$5:$DR$5,I$4,INDEX('_Month Engine'!$C:$DR,MATCH("Renting All-In Basis",'_Month Engine'!$A:$A,0)+MATCH($A93,'_Month Engine'!$B$110:$B$119,0),0))*Input!$C$19/'_IRR Engine'!$Q$7,0)</f>
        <v>0</v>
      </c>
      <c r="J93" s="75">
        <f>IFERROR(SUMIF('_Month Engine'!$C$5:$DR$5,J$4,INDEX('_Month Engine'!$C:$DR,MATCH("Renting All-In Basis",'_Month Engine'!$A:$A,0)+MATCH($A93,'_Month Engine'!$B$110:$B$119,0),0))*Input!$C$19/'_IRR Engine'!$Q$7,0)</f>
        <v>0</v>
      </c>
      <c r="K93" s="75">
        <f>IFERROR(SUMIF('_Month Engine'!$C$5:$DR$5,K$4,INDEX('_Month Engine'!$C:$DR,MATCH("Renting All-In Basis",'_Month Engine'!$A:$A,0)+MATCH($A93,'_Month Engine'!$B$110:$B$119,0),0))*Input!$C$19/'_IRR Engine'!$Q$7,0)</f>
        <v>0</v>
      </c>
      <c r="L93" s="75">
        <f>IFERROR(SUMIF('_Month Engine'!$C$5:$DR$5,L$4,INDEX('_Month Engine'!$C:$DR,MATCH("Renting All-In Basis",'_Month Engine'!$A:$A,0)+MATCH($A93,'_Month Engine'!$B$110:$B$119,0),0))*Input!$C$19/'_IRR Engine'!$Q$7,0)</f>
        <v>0</v>
      </c>
    </row>
    <row r="94" spans="1:12" ht="18" customHeight="1" x14ac:dyDescent="0.3">
      <c r="A94" s="9">
        <v>6</v>
      </c>
      <c r="B94" s="66" t="s">
        <v>171</v>
      </c>
      <c r="C94" s="75">
        <f>C88*Input!$C$20</f>
        <v>0</v>
      </c>
      <c r="D94" s="75">
        <f>D88*Input!$C$20</f>
        <v>0</v>
      </c>
      <c r="E94" s="75">
        <f>E88*Input!$C$20</f>
        <v>0</v>
      </c>
      <c r="F94" s="75">
        <f>F88*Input!$C$20</f>
        <v>0</v>
      </c>
      <c r="G94" s="75">
        <f>G88*Input!$C$20</f>
        <v>0</v>
      </c>
      <c r="H94" s="75">
        <f>H88*Input!$C$20</f>
        <v>0</v>
      </c>
      <c r="I94" s="75">
        <f>I88*Input!$C$20</f>
        <v>0</v>
      </c>
      <c r="J94" s="75">
        <f>J88*Input!$C$20</f>
        <v>0</v>
      </c>
      <c r="K94" s="75">
        <f>K88*Input!$C$20</f>
        <v>0</v>
      </c>
      <c r="L94" s="75">
        <f>L88*Input!$C$20</f>
        <v>0</v>
      </c>
    </row>
    <row r="95" spans="1:12" x14ac:dyDescent="0.3">
      <c r="A95" s="9">
        <v>6</v>
      </c>
      <c r="B95" s="66" t="s">
        <v>1180</v>
      </c>
      <c r="C95" s="75" cm="1">
        <f t="array" ref="C95">C88*IFERROR(INDEX(Input!$U$80:$U$89,$A95),0)</f>
        <v>0</v>
      </c>
      <c r="D95" s="75" cm="1">
        <f t="array" ref="D95">D88*IFERROR(INDEX(Input!$U$80:$U$89,$A95),0)</f>
        <v>0</v>
      </c>
      <c r="E95" s="75" cm="1">
        <f t="array" ref="E95">E88*IFERROR(INDEX(Input!$U$80:$U$89,$A95),0)</f>
        <v>0</v>
      </c>
      <c r="F95" s="75" cm="1">
        <f t="array" ref="F95">F88*IFERROR(INDEX(Input!$U$80:$U$89,$A95),0)</f>
        <v>0</v>
      </c>
      <c r="G95" s="75" cm="1">
        <f t="array" ref="G95">G88*IFERROR(INDEX(Input!$U$80:$U$89,$A95),0)</f>
        <v>0</v>
      </c>
      <c r="H95" s="75" cm="1">
        <f t="array" ref="H95">H88*IFERROR(INDEX(Input!$U$80:$U$89,$A95),0)</f>
        <v>0</v>
      </c>
      <c r="I95" s="75" cm="1">
        <f t="array" ref="I95">I88*IFERROR(INDEX(Input!$U$80:$U$89,$A95),0)</f>
        <v>0</v>
      </c>
      <c r="J95" s="75" cm="1">
        <f t="array" ref="J95">J88*IFERROR(INDEX(Input!$U$80:$U$89,$A95),0)</f>
        <v>0</v>
      </c>
      <c r="K95" s="75" cm="1">
        <f t="array" ref="K95">K88*IFERROR(INDEX(Input!$U$80:$U$89,$A95),0)</f>
        <v>0</v>
      </c>
      <c r="L95" s="75" cm="1">
        <f t="array" ref="L95">L88*IFERROR(INDEX(Input!$U$80:$U$89,$A95),0)</f>
        <v>0</v>
      </c>
    </row>
    <row r="96" spans="1:12" ht="18" customHeight="1" x14ac:dyDescent="0.3">
      <c r="A96" s="9">
        <v>6</v>
      </c>
      <c r="B96" s="66" t="str">
        <f>"ServCo property management ("&amp;TEXT(Input!$C$31,"0%")&amp;")"</f>
        <v>ServCo property management (20%)</v>
      </c>
      <c r="C96" s="75">
        <f>C88*Input!$C$31</f>
        <v>0</v>
      </c>
      <c r="D96" s="75">
        <f>D88*Input!$C$31</f>
        <v>0</v>
      </c>
      <c r="E96" s="75">
        <f>E88*Input!$C$31</f>
        <v>0</v>
      </c>
      <c r="F96" s="75">
        <f>F88*Input!$C$31</f>
        <v>0</v>
      </c>
      <c r="G96" s="75">
        <f>G88*Input!$C$31</f>
        <v>0</v>
      </c>
      <c r="H96" s="75">
        <f>H88*Input!$C$31</f>
        <v>0</v>
      </c>
      <c r="I96" s="75">
        <f>I88*Input!$C$31</f>
        <v>0</v>
      </c>
      <c r="J96" s="75">
        <f>J88*Input!$C$31</f>
        <v>0</v>
      </c>
      <c r="K96" s="75">
        <f>K88*Input!$C$31</f>
        <v>0</v>
      </c>
      <c r="L96" s="75">
        <f>L88*Input!$C$31</f>
        <v>0</v>
      </c>
    </row>
    <row r="97" spans="1:12" ht="18" customHeight="1" x14ac:dyDescent="0.3">
      <c r="A97" s="9">
        <v>6</v>
      </c>
      <c r="B97" s="66" t="s">
        <v>980</v>
      </c>
      <c r="C97" s="75">
        <f>IFERROR(SUMIF('_Month Engine'!$C$5:$DR$5,C$4,INDEX('_Month Engine'!$C:$DR,MATCH("Renting Flag (1 = renting in month)",'_Month Engine'!$A:$A,0)+MATCH($A97,'_Month Engine'!$B$98:$B$107,0),0))*Input!$C$32,0)</f>
        <v>0</v>
      </c>
      <c r="D97" s="75">
        <f>IFERROR(SUMIF('_Month Engine'!$C$5:$DR$5,D$4,INDEX('_Month Engine'!$C:$DR,MATCH("Renting Flag (1 = renting in month)",'_Month Engine'!$A:$A,0)+MATCH($A97,'_Month Engine'!$B$98:$B$107,0),0))*Input!$C$32,0)</f>
        <v>0</v>
      </c>
      <c r="E97" s="75">
        <f>IFERROR(SUMIF('_Month Engine'!$C$5:$DR$5,E$4,INDEX('_Month Engine'!$C:$DR,MATCH("Renting Flag (1 = renting in month)",'_Month Engine'!$A:$A,0)+MATCH($A97,'_Month Engine'!$B$98:$B$107,0),0))*Input!$C$32,0)</f>
        <v>0</v>
      </c>
      <c r="F97" s="75">
        <f>IFERROR(SUMIF('_Month Engine'!$C$5:$DR$5,F$4,INDEX('_Month Engine'!$C:$DR,MATCH("Renting Flag (1 = renting in month)",'_Month Engine'!$A:$A,0)+MATCH($A97,'_Month Engine'!$B$98:$B$107,0),0))*Input!$C$32,0)</f>
        <v>0</v>
      </c>
      <c r="G97" s="75">
        <f>IFERROR(SUMIF('_Month Engine'!$C$5:$DR$5,G$4,INDEX('_Month Engine'!$C:$DR,MATCH("Renting Flag (1 = renting in month)",'_Month Engine'!$A:$A,0)+MATCH($A97,'_Month Engine'!$B$98:$B$107,0),0))*Input!$C$32,0)</f>
        <v>0</v>
      </c>
      <c r="H97" s="75">
        <f>IFERROR(SUMIF('_Month Engine'!$C$5:$DR$5,H$4,INDEX('_Month Engine'!$C:$DR,MATCH("Renting Flag (1 = renting in month)",'_Month Engine'!$A:$A,0)+MATCH($A97,'_Month Engine'!$B$98:$B$107,0),0))*Input!$C$32,0)</f>
        <v>0</v>
      </c>
      <c r="I97" s="75">
        <f>IFERROR(SUMIF('_Month Engine'!$C$5:$DR$5,I$4,INDEX('_Month Engine'!$C:$DR,MATCH("Renting Flag (1 = renting in month)",'_Month Engine'!$A:$A,0)+MATCH($A97,'_Month Engine'!$B$98:$B$107,0),0))*Input!$C$32,0)</f>
        <v>0</v>
      </c>
      <c r="J97" s="75">
        <f>IFERROR(SUMIF('_Month Engine'!$C$5:$DR$5,J$4,INDEX('_Month Engine'!$C:$DR,MATCH("Renting Flag (1 = renting in month)",'_Month Engine'!$A:$A,0)+MATCH($A97,'_Month Engine'!$B$98:$B$107,0),0))*Input!$C$32,0)</f>
        <v>0</v>
      </c>
      <c r="K97" s="75">
        <f>IFERROR(SUMIF('_Month Engine'!$C$5:$DR$5,K$4,INDEX('_Month Engine'!$C:$DR,MATCH("Renting Flag (1 = renting in month)",'_Month Engine'!$A:$A,0)+MATCH($A97,'_Month Engine'!$B$98:$B$107,0),0))*Input!$C$32,0)</f>
        <v>0</v>
      </c>
      <c r="L97" s="75">
        <f>IFERROR(SUMIF('_Month Engine'!$C$5:$DR$5,L$4,INDEX('_Month Engine'!$C:$DR,MATCH("Renting Flag (1 = renting in month)",'_Month Engine'!$A:$A,0)+MATCH($A97,'_Month Engine'!$B$98:$B$107,0),0))*Input!$C$32,0)</f>
        <v>0</v>
      </c>
    </row>
    <row r="98" spans="1:12" ht="18" customHeight="1" x14ac:dyDescent="0.3">
      <c r="A98" s="9">
        <v>6</v>
      </c>
      <c r="B98" s="11" t="s">
        <v>76</v>
      </c>
      <c r="C98" s="68">
        <f t="shared" ref="C98:L98" si="11">SUM(C89:C97)</f>
        <v>0</v>
      </c>
      <c r="D98" s="68">
        <f t="shared" si="11"/>
        <v>0</v>
      </c>
      <c r="E98" s="68">
        <f t="shared" si="11"/>
        <v>0</v>
      </c>
      <c r="F98" s="68">
        <f t="shared" si="11"/>
        <v>0</v>
      </c>
      <c r="G98" s="68">
        <f t="shared" si="11"/>
        <v>0</v>
      </c>
      <c r="H98" s="68">
        <f t="shared" si="11"/>
        <v>0</v>
      </c>
      <c r="I98" s="68">
        <f t="shared" si="11"/>
        <v>0</v>
      </c>
      <c r="J98" s="68">
        <f t="shared" si="11"/>
        <v>0</v>
      </c>
      <c r="K98" s="68">
        <f t="shared" si="11"/>
        <v>0</v>
      </c>
      <c r="L98" s="68">
        <f t="shared" si="11"/>
        <v>0</v>
      </c>
    </row>
    <row r="99" spans="1:12" ht="18" customHeight="1" x14ac:dyDescent="0.3">
      <c r="A99" s="9">
        <v>6</v>
      </c>
      <c r="B99" s="11" t="s">
        <v>172</v>
      </c>
      <c r="C99" s="68">
        <f t="shared" ref="C99:L99" si="12">C88-C98</f>
        <v>0</v>
      </c>
      <c r="D99" s="68">
        <f t="shared" si="12"/>
        <v>0</v>
      </c>
      <c r="E99" s="68">
        <f t="shared" si="12"/>
        <v>0</v>
      </c>
      <c r="F99" s="68">
        <f t="shared" si="12"/>
        <v>0</v>
      </c>
      <c r="G99" s="68">
        <f t="shared" si="12"/>
        <v>0</v>
      </c>
      <c r="H99" s="68">
        <f t="shared" si="12"/>
        <v>0</v>
      </c>
      <c r="I99" s="68">
        <f t="shared" si="12"/>
        <v>0</v>
      </c>
      <c r="J99" s="68">
        <f t="shared" si="12"/>
        <v>0</v>
      </c>
      <c r="K99" s="68">
        <f t="shared" si="12"/>
        <v>0</v>
      </c>
      <c r="L99" s="68">
        <f t="shared" si="12"/>
        <v>0</v>
      </c>
    </row>
    <row r="100" spans="1:12" ht="18" customHeight="1" x14ac:dyDescent="0.3">
      <c r="A100" s="9">
        <v>6</v>
      </c>
      <c r="B100" s="22" t="s">
        <v>173</v>
      </c>
      <c r="C100" s="77">
        <f>SUMIF('_Month Engine'!$C$5:$DR$5,C$4,INDEX('_Month Engine'!$C:$DR,MATCH("Acquisition Outflow (Purchase + Closing)",'_Month Engine'!$A:$A,0)+MATCH($A100,'_Month Engine'!$B$8:$B$17,0),0))+SUMIF('_Month Engine'!$C$5:$DR$5,C$4,INDEX('_Month Engine'!$C:$DR,MATCH("Acquisition Outflow (Purchase + Closing)",'_Month Engine'!$A:$A,0)+MATCH($A100,'_Month Engine'!$B$21:$B$30,0),0))</f>
        <v>0</v>
      </c>
      <c r="D100" s="77">
        <f>SUMIF('_Month Engine'!$C$5:$DR$5,D$4,INDEX('_Month Engine'!$C:$DR,MATCH("Acquisition Outflow (Purchase + Closing)",'_Month Engine'!$A:$A,0)+MATCH($A100,'_Month Engine'!$B$8:$B$17,0),0))+SUMIF('_Month Engine'!$C$5:$DR$5,D$4,INDEX('_Month Engine'!$C:$DR,MATCH("Acquisition Outflow (Purchase + Closing)",'_Month Engine'!$A:$A,0)+MATCH($A100,'_Month Engine'!$B$21:$B$30,0),0))</f>
        <v>0</v>
      </c>
      <c r="E100" s="77">
        <f>SUMIF('_Month Engine'!$C$5:$DR$5,E$4,INDEX('_Month Engine'!$C:$DR,MATCH("Acquisition Outflow (Purchase + Closing)",'_Month Engine'!$A:$A,0)+MATCH($A100,'_Month Engine'!$B$8:$B$17,0),0))+SUMIF('_Month Engine'!$C$5:$DR$5,E$4,INDEX('_Month Engine'!$C:$DR,MATCH("Acquisition Outflow (Purchase + Closing)",'_Month Engine'!$A:$A,0)+MATCH($A100,'_Month Engine'!$B$21:$B$30,0),0))</f>
        <v>0</v>
      </c>
      <c r="F100" s="77">
        <f>SUMIF('_Month Engine'!$C$5:$DR$5,F$4,INDEX('_Month Engine'!$C:$DR,MATCH("Acquisition Outflow (Purchase + Closing)",'_Month Engine'!$A:$A,0)+MATCH($A100,'_Month Engine'!$B$8:$B$17,0),0))+SUMIF('_Month Engine'!$C$5:$DR$5,F$4,INDEX('_Month Engine'!$C:$DR,MATCH("Acquisition Outflow (Purchase + Closing)",'_Month Engine'!$A:$A,0)+MATCH($A100,'_Month Engine'!$B$21:$B$30,0),0))</f>
        <v>0</v>
      </c>
      <c r="G100" s="77">
        <f>SUMIF('_Month Engine'!$C$5:$DR$5,G$4,INDEX('_Month Engine'!$C:$DR,MATCH("Acquisition Outflow (Purchase + Closing)",'_Month Engine'!$A:$A,0)+MATCH($A100,'_Month Engine'!$B$8:$B$17,0),0))+SUMIF('_Month Engine'!$C$5:$DR$5,G$4,INDEX('_Month Engine'!$C:$DR,MATCH("Acquisition Outflow (Purchase + Closing)",'_Month Engine'!$A:$A,0)+MATCH($A100,'_Month Engine'!$B$21:$B$30,0),0))</f>
        <v>0</v>
      </c>
      <c r="H100" s="77">
        <f>SUMIF('_Month Engine'!$C$5:$DR$5,H$4,INDEX('_Month Engine'!$C:$DR,MATCH("Acquisition Outflow (Purchase + Closing)",'_Month Engine'!$A:$A,0)+MATCH($A100,'_Month Engine'!$B$8:$B$17,0),0))+SUMIF('_Month Engine'!$C$5:$DR$5,H$4,INDEX('_Month Engine'!$C:$DR,MATCH("Acquisition Outflow (Purchase + Closing)",'_Month Engine'!$A:$A,0)+MATCH($A100,'_Month Engine'!$B$21:$B$30,0),0))</f>
        <v>0</v>
      </c>
      <c r="I100" s="77">
        <f>SUMIF('_Month Engine'!$C$5:$DR$5,I$4,INDEX('_Month Engine'!$C:$DR,MATCH("Acquisition Outflow (Purchase + Closing)",'_Month Engine'!$A:$A,0)+MATCH($A100,'_Month Engine'!$B$8:$B$17,0),0))+SUMIF('_Month Engine'!$C$5:$DR$5,I$4,INDEX('_Month Engine'!$C:$DR,MATCH("Acquisition Outflow (Purchase + Closing)",'_Month Engine'!$A:$A,0)+MATCH($A100,'_Month Engine'!$B$21:$B$30,0),0))</f>
        <v>0</v>
      </c>
      <c r="J100" s="77">
        <f>SUMIF('_Month Engine'!$C$5:$DR$5,J$4,INDEX('_Month Engine'!$C:$DR,MATCH("Acquisition Outflow (Purchase + Closing)",'_Month Engine'!$A:$A,0)+MATCH($A100,'_Month Engine'!$B$8:$B$17,0),0))+SUMIF('_Month Engine'!$C$5:$DR$5,J$4,INDEX('_Month Engine'!$C:$DR,MATCH("Acquisition Outflow (Purchase + Closing)",'_Month Engine'!$A:$A,0)+MATCH($A100,'_Month Engine'!$B$21:$B$30,0),0))</f>
        <v>0</v>
      </c>
      <c r="K100" s="77">
        <f>SUMIF('_Month Engine'!$C$5:$DR$5,K$4,INDEX('_Month Engine'!$C:$DR,MATCH("Acquisition Outflow (Purchase + Closing)",'_Month Engine'!$A:$A,0)+MATCH($A100,'_Month Engine'!$B$8:$B$17,0),0))+SUMIF('_Month Engine'!$C$5:$DR$5,K$4,INDEX('_Month Engine'!$C:$DR,MATCH("Acquisition Outflow (Purchase + Closing)",'_Month Engine'!$A:$A,0)+MATCH($A100,'_Month Engine'!$B$21:$B$30,0),0))</f>
        <v>0</v>
      </c>
      <c r="L100" s="77">
        <f>SUMIF('_Month Engine'!$C$5:$DR$5,L$4,INDEX('_Month Engine'!$C:$DR,MATCH("Acquisition Outflow (Purchase + Closing)",'_Month Engine'!$A:$A,0)+MATCH($A100,'_Month Engine'!$B$8:$B$17,0),0))+SUMIF('_Month Engine'!$C$5:$DR$5,L$4,INDEX('_Month Engine'!$C:$DR,MATCH("Acquisition Outflow (Purchase + Closing)",'_Month Engine'!$A:$A,0)+MATCH($A100,'_Month Engine'!$B$21:$B$30,0),0))</f>
        <v>0</v>
      </c>
    </row>
    <row r="101" spans="1:12" ht="34.049999999999997" customHeight="1" x14ac:dyDescent="0.3">
      <c r="A101" s="9">
        <v>6</v>
      </c>
      <c r="B101" s="517" t="s">
        <v>1181</v>
      </c>
      <c r="C101" s="77" cm="1">
        <f t="array" ref="C101">SUMIF('_Month Engine'!$C$5:$DR$5,C$4,INDEX('_Month Engine'!$C:$DR,MATCH("Gross Sale Value",'_Month Engine'!$A:$A,0)+MATCH($A101,'_Month Engine'!$B$61:$B$70,0),0))*(1-Input!$C$15)-IF(SUMIF('_Month Engine'!$C$5:$DR$5,C$4,INDEX('_Month Engine'!$C:$DR,MATCH("Gross Sale Value",'_Month Engine'!$A:$A,0)+MATCH($A101,'_Month Engine'!$B$61:$B$70,0),0))&gt;0,INDEX(Properties!$AD:$AD,$A101+5),0)</f>
        <v>0</v>
      </c>
      <c r="D101" s="77" cm="1">
        <f t="array" ref="D101">SUMIF('_Month Engine'!$C$5:$DR$5,D$4,INDEX('_Month Engine'!$C:$DR,MATCH("Gross Sale Value",'_Month Engine'!$A:$A,0)+MATCH($A101,'_Month Engine'!$B$61:$B$70,0),0))*(1-Input!$C$15)-IF(SUMIF('_Month Engine'!$C$5:$DR$5,D$4,INDEX('_Month Engine'!$C:$DR,MATCH("Gross Sale Value",'_Month Engine'!$A:$A,0)+MATCH($A101,'_Month Engine'!$B$61:$B$70,0),0))&gt;0,INDEX(Properties!$AD:$AD,$A101+5),0)</f>
        <v>0</v>
      </c>
      <c r="E101" s="77" cm="1">
        <f t="array" ref="E101">SUMIF('_Month Engine'!$C$5:$DR$5,E$4,INDEX('_Month Engine'!$C:$DR,MATCH("Gross Sale Value",'_Month Engine'!$A:$A,0)+MATCH($A101,'_Month Engine'!$B$61:$B$70,0),0))*(1-Input!$C$15)-IF(SUMIF('_Month Engine'!$C$5:$DR$5,E$4,INDEX('_Month Engine'!$C:$DR,MATCH("Gross Sale Value",'_Month Engine'!$A:$A,0)+MATCH($A101,'_Month Engine'!$B$61:$B$70,0),0))&gt;0,INDEX(Properties!$AD:$AD,$A101+5),0)</f>
        <v>0</v>
      </c>
      <c r="F101" s="77" cm="1">
        <f t="array" ref="F101">SUMIF('_Month Engine'!$C$5:$DR$5,F$4,INDEX('_Month Engine'!$C:$DR,MATCH("Gross Sale Value",'_Month Engine'!$A:$A,0)+MATCH($A101,'_Month Engine'!$B$61:$B$70,0),0))*(1-Input!$C$15)-IF(SUMIF('_Month Engine'!$C$5:$DR$5,F$4,INDEX('_Month Engine'!$C:$DR,MATCH("Gross Sale Value",'_Month Engine'!$A:$A,0)+MATCH($A101,'_Month Engine'!$B$61:$B$70,0),0))&gt;0,INDEX(Properties!$AD:$AD,$A101+5),0)</f>
        <v>0</v>
      </c>
      <c r="G101" s="77" cm="1">
        <f t="array" ref="G101">SUMIF('_Month Engine'!$C$5:$DR$5,G$4,INDEX('_Month Engine'!$C:$DR,MATCH("Gross Sale Value",'_Month Engine'!$A:$A,0)+MATCH($A101,'_Month Engine'!$B$61:$B$70,0),0))*(1-Input!$C$15)-IF(SUMIF('_Month Engine'!$C$5:$DR$5,G$4,INDEX('_Month Engine'!$C:$DR,MATCH("Gross Sale Value",'_Month Engine'!$A:$A,0)+MATCH($A101,'_Month Engine'!$B$61:$B$70,0),0))&gt;0,INDEX(Properties!$AD:$AD,$A101+5),0)</f>
        <v>0</v>
      </c>
      <c r="H101" s="77" cm="1">
        <f t="array" ref="H101">SUMIF('_Month Engine'!$C$5:$DR$5,H$4,INDEX('_Month Engine'!$C:$DR,MATCH("Gross Sale Value",'_Month Engine'!$A:$A,0)+MATCH($A101,'_Month Engine'!$B$61:$B$70,0),0))*(1-Input!$C$15)-IF(SUMIF('_Month Engine'!$C$5:$DR$5,H$4,INDEX('_Month Engine'!$C:$DR,MATCH("Gross Sale Value",'_Month Engine'!$A:$A,0)+MATCH($A101,'_Month Engine'!$B$61:$B$70,0),0))&gt;0,INDEX(Properties!$AD:$AD,$A101+5),0)</f>
        <v>0</v>
      </c>
      <c r="I101" s="77" cm="1">
        <f t="array" ref="I101">SUMIF('_Month Engine'!$C$5:$DR$5,I$4,INDEX('_Month Engine'!$C:$DR,MATCH("Gross Sale Value",'_Month Engine'!$A:$A,0)+MATCH($A101,'_Month Engine'!$B$61:$B$70,0),0))*(1-Input!$C$15)-IF(SUMIF('_Month Engine'!$C$5:$DR$5,I$4,INDEX('_Month Engine'!$C:$DR,MATCH("Gross Sale Value",'_Month Engine'!$A:$A,0)+MATCH($A101,'_Month Engine'!$B$61:$B$70,0),0))&gt;0,INDEX(Properties!$AD:$AD,$A101+5),0)</f>
        <v>0</v>
      </c>
      <c r="J101" s="77" cm="1">
        <f t="array" ref="J101">SUMIF('_Month Engine'!$C$5:$DR$5,J$4,INDEX('_Month Engine'!$C:$DR,MATCH("Gross Sale Value",'_Month Engine'!$A:$A,0)+MATCH($A101,'_Month Engine'!$B$61:$B$70,0),0))*(1-Input!$C$15)-IF(SUMIF('_Month Engine'!$C$5:$DR$5,J$4,INDEX('_Month Engine'!$C:$DR,MATCH("Gross Sale Value",'_Month Engine'!$A:$A,0)+MATCH($A101,'_Month Engine'!$B$61:$B$70,0),0))&gt;0,INDEX(Properties!$AD:$AD,$A101+5),0)</f>
        <v>0</v>
      </c>
      <c r="K101" s="77" cm="1">
        <f t="array" ref="K101">SUMIF('_Month Engine'!$C$5:$DR$5,K$4,INDEX('_Month Engine'!$C:$DR,MATCH("Gross Sale Value",'_Month Engine'!$A:$A,0)+MATCH($A101,'_Month Engine'!$B$61:$B$70,0),0))*(1-Input!$C$15)-IF(SUMIF('_Month Engine'!$C$5:$DR$5,K$4,INDEX('_Month Engine'!$C:$DR,MATCH("Gross Sale Value",'_Month Engine'!$A:$A,0)+MATCH($A101,'_Month Engine'!$B$61:$B$70,0),0))&gt;0,INDEX(Properties!$AD:$AD,$A101+5),0)</f>
        <v>0</v>
      </c>
      <c r="L101" s="77" cm="1">
        <f t="array" ref="L101">SUMIF('_Month Engine'!$C$5:$DR$5,L$4,INDEX('_Month Engine'!$C:$DR,MATCH("Gross Sale Value",'_Month Engine'!$A:$A,0)+MATCH($A101,'_Month Engine'!$B$61:$B$70,0),0))*(1-Input!$C$15)-IF(SUMIF('_Month Engine'!$C$5:$DR$5,L$4,INDEX('_Month Engine'!$C:$DR,MATCH("Gross Sale Value",'_Month Engine'!$A:$A,0)+MATCH($A101,'_Month Engine'!$B$61:$B$70,0),0))&gt;0,INDEX(Properties!$AD:$AD,$A101+5),0)</f>
        <v>0</v>
      </c>
    </row>
    <row r="102" spans="1:12" ht="18" customHeight="1" x14ac:dyDescent="0.3">
      <c r="A102" s="9"/>
      <c r="B102" s="9"/>
      <c r="C102" s="66"/>
      <c r="D102" s="66"/>
      <c r="E102" s="66"/>
      <c r="F102" s="66"/>
      <c r="G102" s="66"/>
      <c r="H102" s="66"/>
      <c r="I102" s="66"/>
      <c r="J102" s="66"/>
      <c r="K102" s="66"/>
      <c r="L102" s="66"/>
    </row>
    <row r="103" spans="1:12" ht="19.95" customHeight="1" x14ac:dyDescent="0.3">
      <c r="A103" s="40">
        <v>7</v>
      </c>
      <c r="B103" s="40" t="str" cm="1">
        <f t="array" ref="B103">INDEX(Properties!$E:$E,$A103+5)&amp;"   ·   "&amp;INDEX(Properties!$F:$F,$A103+5)&amp;"   ·   "&amp;INDEX(Properties!$H:$H,$A103+5)</f>
        <v xml:space="preserve">   ·      ·   </v>
      </c>
      <c r="C103" s="67"/>
      <c r="D103" s="67"/>
      <c r="E103" s="67"/>
      <c r="F103" s="67"/>
      <c r="G103" s="67"/>
      <c r="H103" s="67"/>
      <c r="I103" s="67"/>
      <c r="J103" s="67"/>
      <c r="K103" s="67"/>
      <c r="L103" s="67"/>
    </row>
    <row r="104" spans="1:12" ht="18" customHeight="1" x14ac:dyDescent="0.3">
      <c r="A104" s="9">
        <v>7</v>
      </c>
      <c r="B104" s="66" t="s">
        <v>167</v>
      </c>
      <c r="C104" s="75">
        <f>SUMIF('_Month Engine'!$C$5:$DR$5,C$4,INDEX('_Month Engine'!$C:$DR,MATCH("Gross STR Revenue",'_Month Engine'!$A:$A,0)+MATCH($A104,'_Month Engine'!$B$34:$B$43,0),0))</f>
        <v>0</v>
      </c>
      <c r="D104" s="75">
        <f>SUMIF('_Month Engine'!$C$5:$DR$5,D$4,INDEX('_Month Engine'!$C:$DR,MATCH("Gross STR Revenue",'_Month Engine'!$A:$A,0)+MATCH($A104,'_Month Engine'!$B$34:$B$43,0),0))</f>
        <v>0</v>
      </c>
      <c r="E104" s="75">
        <f>SUMIF('_Month Engine'!$C$5:$DR$5,E$4,INDEX('_Month Engine'!$C:$DR,MATCH("Gross STR Revenue",'_Month Engine'!$A:$A,0)+MATCH($A104,'_Month Engine'!$B$34:$B$43,0),0))</f>
        <v>0</v>
      </c>
      <c r="F104" s="75">
        <f>SUMIF('_Month Engine'!$C$5:$DR$5,F$4,INDEX('_Month Engine'!$C:$DR,MATCH("Gross STR Revenue",'_Month Engine'!$A:$A,0)+MATCH($A104,'_Month Engine'!$B$34:$B$43,0),0))</f>
        <v>0</v>
      </c>
      <c r="G104" s="75">
        <f>SUMIF('_Month Engine'!$C$5:$DR$5,G$4,INDEX('_Month Engine'!$C:$DR,MATCH("Gross STR Revenue",'_Month Engine'!$A:$A,0)+MATCH($A104,'_Month Engine'!$B$34:$B$43,0),0))</f>
        <v>0</v>
      </c>
      <c r="H104" s="75">
        <f>SUMIF('_Month Engine'!$C$5:$DR$5,H$4,INDEX('_Month Engine'!$C:$DR,MATCH("Gross STR Revenue",'_Month Engine'!$A:$A,0)+MATCH($A104,'_Month Engine'!$B$34:$B$43,0),0))</f>
        <v>0</v>
      </c>
      <c r="I104" s="75">
        <f>SUMIF('_Month Engine'!$C$5:$DR$5,I$4,INDEX('_Month Engine'!$C:$DR,MATCH("Gross STR Revenue",'_Month Engine'!$A:$A,0)+MATCH($A104,'_Month Engine'!$B$34:$B$43,0),0))</f>
        <v>0</v>
      </c>
      <c r="J104" s="75">
        <f>SUMIF('_Month Engine'!$C$5:$DR$5,J$4,INDEX('_Month Engine'!$C:$DR,MATCH("Gross STR Revenue",'_Month Engine'!$A:$A,0)+MATCH($A104,'_Month Engine'!$B$34:$B$43,0),0))</f>
        <v>0</v>
      </c>
      <c r="K104" s="75">
        <f>SUMIF('_Month Engine'!$C$5:$DR$5,K$4,INDEX('_Month Engine'!$C:$DR,MATCH("Gross STR Revenue",'_Month Engine'!$A:$A,0)+MATCH($A104,'_Month Engine'!$B$34:$B$43,0),0))</f>
        <v>0</v>
      </c>
      <c r="L104" s="75">
        <f>SUMIF('_Month Engine'!$C$5:$DR$5,L$4,INDEX('_Month Engine'!$C:$DR,MATCH("Gross STR Revenue",'_Month Engine'!$A:$A,0)+MATCH($A104,'_Month Engine'!$B$34:$B$43,0),0))</f>
        <v>0</v>
      </c>
    </row>
    <row r="105" spans="1:12" ht="18" customHeight="1" x14ac:dyDescent="0.3">
      <c r="A105" s="9">
        <v>7</v>
      </c>
      <c r="B105" s="66" t="s">
        <v>1179</v>
      </c>
      <c r="C105" s="75" cm="1">
        <f t="array" ref="C105">SUMIF('_Month Engine'!$C$5:$DR$5,C$4,INDEX('_Month Engine'!$C:$DR,MATCH("Owned All-In Basis",'_Month Engine'!$A:$A,0)+MATCH($A105,'_Month Engine'!$B$47:$B$56,0),0))*INDEX(Input!$C$80:$C$89,$A105)/'_IRR Engine'!$Q$7</f>
        <v>0</v>
      </c>
      <c r="D105" s="75" cm="1">
        <f t="array" ref="D105">SUMIF('_Month Engine'!$C$5:$DR$5,D$4,INDEX('_Month Engine'!$C:$DR,MATCH("Owned All-In Basis",'_Month Engine'!$A:$A,0)+MATCH($A105,'_Month Engine'!$B$47:$B$56,0),0))*INDEX(Input!$C$80:$C$89,$A105)/'_IRR Engine'!$Q$7</f>
        <v>0</v>
      </c>
      <c r="E105" s="75" cm="1">
        <f t="array" ref="E105">SUMIF('_Month Engine'!$C$5:$DR$5,E$4,INDEX('_Month Engine'!$C:$DR,MATCH("Owned All-In Basis",'_Month Engine'!$A:$A,0)+MATCH($A105,'_Month Engine'!$B$47:$B$56,0),0))*INDEX(Input!$C$80:$C$89,$A105)/'_IRR Engine'!$Q$7</f>
        <v>0</v>
      </c>
      <c r="F105" s="75" cm="1">
        <f t="array" ref="F105">SUMIF('_Month Engine'!$C$5:$DR$5,F$4,INDEX('_Month Engine'!$C:$DR,MATCH("Owned All-In Basis",'_Month Engine'!$A:$A,0)+MATCH($A105,'_Month Engine'!$B$47:$B$56,0),0))*INDEX(Input!$C$80:$C$89,$A105)/'_IRR Engine'!$Q$7</f>
        <v>0</v>
      </c>
      <c r="G105" s="75" cm="1">
        <f t="array" ref="G105">SUMIF('_Month Engine'!$C$5:$DR$5,G$4,INDEX('_Month Engine'!$C:$DR,MATCH("Owned All-In Basis",'_Month Engine'!$A:$A,0)+MATCH($A105,'_Month Engine'!$B$47:$B$56,0),0))*INDEX(Input!$C$80:$C$89,$A105)/'_IRR Engine'!$Q$7</f>
        <v>0</v>
      </c>
      <c r="H105" s="75" cm="1">
        <f t="array" ref="H105">SUMIF('_Month Engine'!$C$5:$DR$5,H$4,INDEX('_Month Engine'!$C:$DR,MATCH("Owned All-In Basis",'_Month Engine'!$A:$A,0)+MATCH($A105,'_Month Engine'!$B$47:$B$56,0),0))*INDEX(Input!$C$80:$C$89,$A105)/'_IRR Engine'!$Q$7</f>
        <v>0</v>
      </c>
      <c r="I105" s="75" cm="1">
        <f t="array" ref="I105">SUMIF('_Month Engine'!$C$5:$DR$5,I$4,INDEX('_Month Engine'!$C:$DR,MATCH("Owned All-In Basis",'_Month Engine'!$A:$A,0)+MATCH($A105,'_Month Engine'!$B$47:$B$56,0),0))*INDEX(Input!$C$80:$C$89,$A105)/'_IRR Engine'!$Q$7</f>
        <v>0</v>
      </c>
      <c r="J105" s="75" cm="1">
        <f t="array" ref="J105">SUMIF('_Month Engine'!$C$5:$DR$5,J$4,INDEX('_Month Engine'!$C:$DR,MATCH("Owned All-In Basis",'_Month Engine'!$A:$A,0)+MATCH($A105,'_Month Engine'!$B$47:$B$56,0),0))*INDEX(Input!$C$80:$C$89,$A105)/'_IRR Engine'!$Q$7</f>
        <v>0</v>
      </c>
      <c r="K105" s="75" cm="1">
        <f t="array" ref="K105">SUMIF('_Month Engine'!$C$5:$DR$5,K$4,INDEX('_Month Engine'!$C:$DR,MATCH("Owned All-In Basis",'_Month Engine'!$A:$A,0)+MATCH($A105,'_Month Engine'!$B$47:$B$56,0),0))*INDEX(Input!$C$80:$C$89,$A105)/'_IRR Engine'!$Q$7</f>
        <v>0</v>
      </c>
      <c r="L105" s="75" cm="1">
        <f t="array" ref="L105">SUMIF('_Month Engine'!$C$5:$DR$5,L$4,INDEX('_Month Engine'!$C:$DR,MATCH("Owned All-In Basis",'_Month Engine'!$A:$A,0)+MATCH($A105,'_Month Engine'!$B$47:$B$56,0),0))*INDEX(Input!$C$80:$C$89,$A105)/'_IRR Engine'!$Q$7</f>
        <v>0</v>
      </c>
    </row>
    <row r="106" spans="1:12" ht="18" customHeight="1" x14ac:dyDescent="0.3">
      <c r="A106" s="9">
        <v>7</v>
      </c>
      <c r="B106" s="66" t="s">
        <v>72</v>
      </c>
      <c r="C106" s="75">
        <f>SUMIF('_Month Engine'!$C$5:$DR$5,C$4,INDEX('_Month Engine'!$C:$DR,MATCH("Renting All-In Basis",'_Month Engine'!$A:$A,0)+MATCH($A106,'_Month Engine'!$B$110:$B$119,0),0))*Input!$C$18/'_IRR Engine'!$Q$7</f>
        <v>0</v>
      </c>
      <c r="D106" s="75">
        <f>SUMIF('_Month Engine'!$C$5:$DR$5,D$4,INDEX('_Month Engine'!$C:$DR,MATCH("Renting All-In Basis",'_Month Engine'!$A:$A,0)+MATCH($A106,'_Month Engine'!$B$110:$B$119,0),0))*Input!$C$18/'_IRR Engine'!$Q$7</f>
        <v>0</v>
      </c>
      <c r="E106" s="75">
        <f>SUMIF('_Month Engine'!$C$5:$DR$5,E$4,INDEX('_Month Engine'!$C:$DR,MATCH("Renting All-In Basis",'_Month Engine'!$A:$A,0)+MATCH($A106,'_Month Engine'!$B$110:$B$119,0),0))*Input!$C$18/'_IRR Engine'!$Q$7</f>
        <v>0</v>
      </c>
      <c r="F106" s="75">
        <f>SUMIF('_Month Engine'!$C$5:$DR$5,F$4,INDEX('_Month Engine'!$C:$DR,MATCH("Renting All-In Basis",'_Month Engine'!$A:$A,0)+MATCH($A106,'_Month Engine'!$B$110:$B$119,0),0))*Input!$C$18/'_IRR Engine'!$Q$7</f>
        <v>0</v>
      </c>
      <c r="G106" s="75">
        <f>SUMIF('_Month Engine'!$C$5:$DR$5,G$4,INDEX('_Month Engine'!$C:$DR,MATCH("Renting All-In Basis",'_Month Engine'!$A:$A,0)+MATCH($A106,'_Month Engine'!$B$110:$B$119,0),0))*Input!$C$18/'_IRR Engine'!$Q$7</f>
        <v>0</v>
      </c>
      <c r="H106" s="75">
        <f>SUMIF('_Month Engine'!$C$5:$DR$5,H$4,INDEX('_Month Engine'!$C:$DR,MATCH("Renting All-In Basis",'_Month Engine'!$A:$A,0)+MATCH($A106,'_Month Engine'!$B$110:$B$119,0),0))*Input!$C$18/'_IRR Engine'!$Q$7</f>
        <v>0</v>
      </c>
      <c r="I106" s="75">
        <f>SUMIF('_Month Engine'!$C$5:$DR$5,I$4,INDEX('_Month Engine'!$C:$DR,MATCH("Renting All-In Basis",'_Month Engine'!$A:$A,0)+MATCH($A106,'_Month Engine'!$B$110:$B$119,0),0))*Input!$C$18/'_IRR Engine'!$Q$7</f>
        <v>0</v>
      </c>
      <c r="J106" s="75">
        <f>SUMIF('_Month Engine'!$C$5:$DR$5,J$4,INDEX('_Month Engine'!$C:$DR,MATCH("Renting All-In Basis",'_Month Engine'!$A:$A,0)+MATCH($A106,'_Month Engine'!$B$110:$B$119,0),0))*Input!$C$18/'_IRR Engine'!$Q$7</f>
        <v>0</v>
      </c>
      <c r="K106" s="75">
        <f>SUMIF('_Month Engine'!$C$5:$DR$5,K$4,INDEX('_Month Engine'!$C:$DR,MATCH("Renting All-In Basis",'_Month Engine'!$A:$A,0)+MATCH($A106,'_Month Engine'!$B$110:$B$119,0),0))*Input!$C$18/'_IRR Engine'!$Q$7</f>
        <v>0</v>
      </c>
      <c r="L106" s="75">
        <f>SUMIF('_Month Engine'!$C$5:$DR$5,L$4,INDEX('_Month Engine'!$C:$DR,MATCH("Renting All-In Basis",'_Month Engine'!$A:$A,0)+MATCH($A106,'_Month Engine'!$B$110:$B$119,0),0))*Input!$C$18/'_IRR Engine'!$Q$7</f>
        <v>0</v>
      </c>
    </row>
    <row r="107" spans="1:12" ht="18" customHeight="1" x14ac:dyDescent="0.3">
      <c r="A107" s="9">
        <v>7</v>
      </c>
      <c r="B107" s="66" t="s">
        <v>168</v>
      </c>
      <c r="C107" s="75" cm="1">
        <f t="array" ref="C107">SUMIF('_Month Engine'!$C$5:$DR$5,C$4,INDEX('_Month Engine'!$C:$DR,MATCH("Owned Flag (1 = owned in month)",'_Month Engine'!$A:$A,0)+MATCH($A107,'_Month Engine'!$B$86:$B$95,0),0))*INDEX(Input!$D$80:$D$89,$A107)*1000000/Input!$C$5</f>
        <v>0</v>
      </c>
      <c r="D107" s="75" cm="1">
        <f t="array" ref="D107">SUMIF('_Month Engine'!$C$5:$DR$5,D$4,INDEX('_Month Engine'!$C:$DR,MATCH("Owned Flag (1 = owned in month)",'_Month Engine'!$A:$A,0)+MATCH($A107,'_Month Engine'!$B$86:$B$95,0),0))*INDEX(Input!$D$80:$D$89,$A107)*1000000/Input!$C$5</f>
        <v>0</v>
      </c>
      <c r="E107" s="75" cm="1">
        <f t="array" ref="E107">SUMIF('_Month Engine'!$C$5:$DR$5,E$4,INDEX('_Month Engine'!$C:$DR,MATCH("Owned Flag (1 = owned in month)",'_Month Engine'!$A:$A,0)+MATCH($A107,'_Month Engine'!$B$86:$B$95,0),0))*INDEX(Input!$D$80:$D$89,$A107)*1000000/Input!$C$5</f>
        <v>0</v>
      </c>
      <c r="F107" s="75" cm="1">
        <f t="array" ref="F107">SUMIF('_Month Engine'!$C$5:$DR$5,F$4,INDEX('_Month Engine'!$C:$DR,MATCH("Owned Flag (1 = owned in month)",'_Month Engine'!$A:$A,0)+MATCH($A107,'_Month Engine'!$B$86:$B$95,0),0))*INDEX(Input!$D$80:$D$89,$A107)*1000000/Input!$C$5</f>
        <v>0</v>
      </c>
      <c r="G107" s="75" cm="1">
        <f t="array" ref="G107">SUMIF('_Month Engine'!$C$5:$DR$5,G$4,INDEX('_Month Engine'!$C:$DR,MATCH("Owned Flag (1 = owned in month)",'_Month Engine'!$A:$A,0)+MATCH($A107,'_Month Engine'!$B$86:$B$95,0),0))*INDEX(Input!$D$80:$D$89,$A107)*1000000/Input!$C$5</f>
        <v>0</v>
      </c>
      <c r="H107" s="75" cm="1">
        <f t="array" ref="H107">SUMIF('_Month Engine'!$C$5:$DR$5,H$4,INDEX('_Month Engine'!$C:$DR,MATCH("Owned Flag (1 = owned in month)",'_Month Engine'!$A:$A,0)+MATCH($A107,'_Month Engine'!$B$86:$B$95,0),0))*INDEX(Input!$D$80:$D$89,$A107)*1000000/Input!$C$5</f>
        <v>0</v>
      </c>
      <c r="I107" s="75" cm="1">
        <f t="array" ref="I107">SUMIF('_Month Engine'!$C$5:$DR$5,I$4,INDEX('_Month Engine'!$C:$DR,MATCH("Owned Flag (1 = owned in month)",'_Month Engine'!$A:$A,0)+MATCH($A107,'_Month Engine'!$B$86:$B$95,0),0))*INDEX(Input!$D$80:$D$89,$A107)*1000000/Input!$C$5</f>
        <v>0</v>
      </c>
      <c r="J107" s="75" cm="1">
        <f t="array" ref="J107">SUMIF('_Month Engine'!$C$5:$DR$5,J$4,INDEX('_Month Engine'!$C:$DR,MATCH("Owned Flag (1 = owned in month)",'_Month Engine'!$A:$A,0)+MATCH($A107,'_Month Engine'!$B$86:$B$95,0),0))*INDEX(Input!$D$80:$D$89,$A107)*1000000/Input!$C$5</f>
        <v>0</v>
      </c>
      <c r="K107" s="75" cm="1">
        <f t="array" ref="K107">SUMIF('_Month Engine'!$C$5:$DR$5,K$4,INDEX('_Month Engine'!$C:$DR,MATCH("Owned Flag (1 = owned in month)",'_Month Engine'!$A:$A,0)+MATCH($A107,'_Month Engine'!$B$86:$B$95,0),0))*INDEX(Input!$D$80:$D$89,$A107)*1000000/Input!$C$5</f>
        <v>0</v>
      </c>
      <c r="L107" s="75" cm="1">
        <f t="array" ref="L107">SUMIF('_Month Engine'!$C$5:$DR$5,L$4,INDEX('_Month Engine'!$C:$DR,MATCH("Owned Flag (1 = owned in month)",'_Month Engine'!$A:$A,0)+MATCH($A107,'_Month Engine'!$B$86:$B$95,0),0))*INDEX(Input!$D$80:$D$89,$A107)*1000000/Input!$C$5</f>
        <v>0</v>
      </c>
    </row>
    <row r="108" spans="1:12" ht="18" customHeight="1" x14ac:dyDescent="0.3">
      <c r="A108" s="9">
        <v>7</v>
      </c>
      <c r="B108" s="66" t="s">
        <v>169</v>
      </c>
      <c r="C108" s="75" cm="1">
        <f t="array" ref="C108">SUMIF('_Month Engine'!$C$5:$DR$5,C$4,INDEX('_Month Engine'!$C:$DR,MATCH("Owned Flag (1 = owned in month)",'_Month Engine'!$A:$A,0)+MATCH($A108,'_Month Engine'!$B$86:$B$95,0),0))*INDEX(Input!$E$80:$E$89,$A108)*1000000/Input!$C$5</f>
        <v>0</v>
      </c>
      <c r="D108" s="75" cm="1">
        <f t="array" ref="D108">SUMIF('_Month Engine'!$C$5:$DR$5,D$4,INDEX('_Month Engine'!$C:$DR,MATCH("Owned Flag (1 = owned in month)",'_Month Engine'!$A:$A,0)+MATCH($A108,'_Month Engine'!$B$86:$B$95,0),0))*INDEX(Input!$E$80:$E$89,$A108)*1000000/Input!$C$5</f>
        <v>0</v>
      </c>
      <c r="E108" s="75" cm="1">
        <f t="array" ref="E108">SUMIF('_Month Engine'!$C$5:$DR$5,E$4,INDEX('_Month Engine'!$C:$DR,MATCH("Owned Flag (1 = owned in month)",'_Month Engine'!$A:$A,0)+MATCH($A108,'_Month Engine'!$B$86:$B$95,0),0))*INDEX(Input!$E$80:$E$89,$A108)*1000000/Input!$C$5</f>
        <v>0</v>
      </c>
      <c r="F108" s="75" cm="1">
        <f t="array" ref="F108">SUMIF('_Month Engine'!$C$5:$DR$5,F$4,INDEX('_Month Engine'!$C:$DR,MATCH("Owned Flag (1 = owned in month)",'_Month Engine'!$A:$A,0)+MATCH($A108,'_Month Engine'!$B$86:$B$95,0),0))*INDEX(Input!$E$80:$E$89,$A108)*1000000/Input!$C$5</f>
        <v>0</v>
      </c>
      <c r="G108" s="75" cm="1">
        <f t="array" ref="G108">SUMIF('_Month Engine'!$C$5:$DR$5,G$4,INDEX('_Month Engine'!$C:$DR,MATCH("Owned Flag (1 = owned in month)",'_Month Engine'!$A:$A,0)+MATCH($A108,'_Month Engine'!$B$86:$B$95,0),0))*INDEX(Input!$E$80:$E$89,$A108)*1000000/Input!$C$5</f>
        <v>0</v>
      </c>
      <c r="H108" s="75" cm="1">
        <f t="array" ref="H108">SUMIF('_Month Engine'!$C$5:$DR$5,H$4,INDEX('_Month Engine'!$C:$DR,MATCH("Owned Flag (1 = owned in month)",'_Month Engine'!$A:$A,0)+MATCH($A108,'_Month Engine'!$B$86:$B$95,0),0))*INDEX(Input!$E$80:$E$89,$A108)*1000000/Input!$C$5</f>
        <v>0</v>
      </c>
      <c r="I108" s="75" cm="1">
        <f t="array" ref="I108">SUMIF('_Month Engine'!$C$5:$DR$5,I$4,INDEX('_Month Engine'!$C:$DR,MATCH("Owned Flag (1 = owned in month)",'_Month Engine'!$A:$A,0)+MATCH($A108,'_Month Engine'!$B$86:$B$95,0),0))*INDEX(Input!$E$80:$E$89,$A108)*1000000/Input!$C$5</f>
        <v>0</v>
      </c>
      <c r="J108" s="75" cm="1">
        <f t="array" ref="J108">SUMIF('_Month Engine'!$C$5:$DR$5,J$4,INDEX('_Month Engine'!$C:$DR,MATCH("Owned Flag (1 = owned in month)",'_Month Engine'!$A:$A,0)+MATCH($A108,'_Month Engine'!$B$86:$B$95,0),0))*INDEX(Input!$E$80:$E$89,$A108)*1000000/Input!$C$5</f>
        <v>0</v>
      </c>
      <c r="K108" s="75" cm="1">
        <f t="array" ref="K108">SUMIF('_Month Engine'!$C$5:$DR$5,K$4,INDEX('_Month Engine'!$C:$DR,MATCH("Owned Flag (1 = owned in month)",'_Month Engine'!$A:$A,0)+MATCH($A108,'_Month Engine'!$B$86:$B$95,0),0))*INDEX(Input!$E$80:$E$89,$A108)*1000000/Input!$C$5</f>
        <v>0</v>
      </c>
      <c r="L108" s="75" cm="1">
        <f t="array" ref="L108">SUMIF('_Month Engine'!$C$5:$DR$5,L$4,INDEX('_Month Engine'!$C:$DR,MATCH("Owned Flag (1 = owned in month)",'_Month Engine'!$A:$A,0)+MATCH($A108,'_Month Engine'!$B$86:$B$95,0),0))*INDEX(Input!$E$80:$E$89,$A108)*1000000/Input!$C$5</f>
        <v>0</v>
      </c>
    </row>
    <row r="109" spans="1:12" ht="18" customHeight="1" x14ac:dyDescent="0.3">
      <c r="A109" s="9">
        <v>7</v>
      </c>
      <c r="B109" s="66" t="s">
        <v>170</v>
      </c>
      <c r="C109" s="75">
        <f>IFERROR(SUMIF('_Month Engine'!$C$5:$DR$5,C$4,INDEX('_Month Engine'!$C:$DR,MATCH("Renting All-In Basis",'_Month Engine'!$A:$A,0)+MATCH($A109,'_Month Engine'!$B$110:$B$119,0),0))*Input!$C$19/'_IRR Engine'!$Q$7,0)</f>
        <v>0</v>
      </c>
      <c r="D109" s="75">
        <f>IFERROR(SUMIF('_Month Engine'!$C$5:$DR$5,D$4,INDEX('_Month Engine'!$C:$DR,MATCH("Renting All-In Basis",'_Month Engine'!$A:$A,0)+MATCH($A109,'_Month Engine'!$B$110:$B$119,0),0))*Input!$C$19/'_IRR Engine'!$Q$7,0)</f>
        <v>0</v>
      </c>
      <c r="E109" s="75">
        <f>IFERROR(SUMIF('_Month Engine'!$C$5:$DR$5,E$4,INDEX('_Month Engine'!$C:$DR,MATCH("Renting All-In Basis",'_Month Engine'!$A:$A,0)+MATCH($A109,'_Month Engine'!$B$110:$B$119,0),0))*Input!$C$19/'_IRR Engine'!$Q$7,0)</f>
        <v>0</v>
      </c>
      <c r="F109" s="75">
        <f>IFERROR(SUMIF('_Month Engine'!$C$5:$DR$5,F$4,INDEX('_Month Engine'!$C:$DR,MATCH("Renting All-In Basis",'_Month Engine'!$A:$A,0)+MATCH($A109,'_Month Engine'!$B$110:$B$119,0),0))*Input!$C$19/'_IRR Engine'!$Q$7,0)</f>
        <v>0</v>
      </c>
      <c r="G109" s="75">
        <f>IFERROR(SUMIF('_Month Engine'!$C$5:$DR$5,G$4,INDEX('_Month Engine'!$C:$DR,MATCH("Renting All-In Basis",'_Month Engine'!$A:$A,0)+MATCH($A109,'_Month Engine'!$B$110:$B$119,0),0))*Input!$C$19/'_IRR Engine'!$Q$7,0)</f>
        <v>0</v>
      </c>
      <c r="H109" s="75">
        <f>IFERROR(SUMIF('_Month Engine'!$C$5:$DR$5,H$4,INDEX('_Month Engine'!$C:$DR,MATCH("Renting All-In Basis",'_Month Engine'!$A:$A,0)+MATCH($A109,'_Month Engine'!$B$110:$B$119,0),0))*Input!$C$19/'_IRR Engine'!$Q$7,0)</f>
        <v>0</v>
      </c>
      <c r="I109" s="75">
        <f>IFERROR(SUMIF('_Month Engine'!$C$5:$DR$5,I$4,INDEX('_Month Engine'!$C:$DR,MATCH("Renting All-In Basis",'_Month Engine'!$A:$A,0)+MATCH($A109,'_Month Engine'!$B$110:$B$119,0),0))*Input!$C$19/'_IRR Engine'!$Q$7,0)</f>
        <v>0</v>
      </c>
      <c r="J109" s="75">
        <f>IFERROR(SUMIF('_Month Engine'!$C$5:$DR$5,J$4,INDEX('_Month Engine'!$C:$DR,MATCH("Renting All-In Basis",'_Month Engine'!$A:$A,0)+MATCH($A109,'_Month Engine'!$B$110:$B$119,0),0))*Input!$C$19/'_IRR Engine'!$Q$7,0)</f>
        <v>0</v>
      </c>
      <c r="K109" s="75">
        <f>IFERROR(SUMIF('_Month Engine'!$C$5:$DR$5,K$4,INDEX('_Month Engine'!$C:$DR,MATCH("Renting All-In Basis",'_Month Engine'!$A:$A,0)+MATCH($A109,'_Month Engine'!$B$110:$B$119,0),0))*Input!$C$19/'_IRR Engine'!$Q$7,0)</f>
        <v>0</v>
      </c>
      <c r="L109" s="75">
        <f>IFERROR(SUMIF('_Month Engine'!$C$5:$DR$5,L$4,INDEX('_Month Engine'!$C:$DR,MATCH("Renting All-In Basis",'_Month Engine'!$A:$A,0)+MATCH($A109,'_Month Engine'!$B$110:$B$119,0),0))*Input!$C$19/'_IRR Engine'!$Q$7,0)</f>
        <v>0</v>
      </c>
    </row>
    <row r="110" spans="1:12" ht="18" customHeight="1" x14ac:dyDescent="0.3">
      <c r="A110" s="9">
        <v>7</v>
      </c>
      <c r="B110" s="66" t="s">
        <v>171</v>
      </c>
      <c r="C110" s="75">
        <f>C104*Input!$C$20</f>
        <v>0</v>
      </c>
      <c r="D110" s="75">
        <f>D104*Input!$C$20</f>
        <v>0</v>
      </c>
      <c r="E110" s="75">
        <f>E104*Input!$C$20</f>
        <v>0</v>
      </c>
      <c r="F110" s="75">
        <f>F104*Input!$C$20</f>
        <v>0</v>
      </c>
      <c r="G110" s="75">
        <f>G104*Input!$C$20</f>
        <v>0</v>
      </c>
      <c r="H110" s="75">
        <f>H104*Input!$C$20</f>
        <v>0</v>
      </c>
      <c r="I110" s="75">
        <f>I104*Input!$C$20</f>
        <v>0</v>
      </c>
      <c r="J110" s="75">
        <f>J104*Input!$C$20</f>
        <v>0</v>
      </c>
      <c r="K110" s="75">
        <f>K104*Input!$C$20</f>
        <v>0</v>
      </c>
      <c r="L110" s="75">
        <f>L104*Input!$C$20</f>
        <v>0</v>
      </c>
    </row>
    <row r="111" spans="1:12" x14ac:dyDescent="0.3">
      <c r="A111" s="9">
        <v>7</v>
      </c>
      <c r="B111" s="66" t="s">
        <v>1180</v>
      </c>
      <c r="C111" s="75" cm="1">
        <f t="array" ref="C111">C104*IFERROR(INDEX(Input!$U$80:$U$89,$A111),0)</f>
        <v>0</v>
      </c>
      <c r="D111" s="75" cm="1">
        <f t="array" ref="D111">D104*IFERROR(INDEX(Input!$U$80:$U$89,$A111),0)</f>
        <v>0</v>
      </c>
      <c r="E111" s="75" cm="1">
        <f t="array" ref="E111">E104*IFERROR(INDEX(Input!$U$80:$U$89,$A111),0)</f>
        <v>0</v>
      </c>
      <c r="F111" s="75" cm="1">
        <f t="array" ref="F111">F104*IFERROR(INDEX(Input!$U$80:$U$89,$A111),0)</f>
        <v>0</v>
      </c>
      <c r="G111" s="75" cm="1">
        <f t="array" ref="G111">G104*IFERROR(INDEX(Input!$U$80:$U$89,$A111),0)</f>
        <v>0</v>
      </c>
      <c r="H111" s="75" cm="1">
        <f t="array" ref="H111">H104*IFERROR(INDEX(Input!$U$80:$U$89,$A111),0)</f>
        <v>0</v>
      </c>
      <c r="I111" s="75" cm="1">
        <f t="array" ref="I111">I104*IFERROR(INDEX(Input!$U$80:$U$89,$A111),0)</f>
        <v>0</v>
      </c>
      <c r="J111" s="75" cm="1">
        <f t="array" ref="J111">J104*IFERROR(INDEX(Input!$U$80:$U$89,$A111),0)</f>
        <v>0</v>
      </c>
      <c r="K111" s="75" cm="1">
        <f t="array" ref="K111">K104*IFERROR(INDEX(Input!$U$80:$U$89,$A111),0)</f>
        <v>0</v>
      </c>
      <c r="L111" s="75" cm="1">
        <f t="array" ref="L111">L104*IFERROR(INDEX(Input!$U$80:$U$89,$A111),0)</f>
        <v>0</v>
      </c>
    </row>
    <row r="112" spans="1:12" ht="18" customHeight="1" x14ac:dyDescent="0.3">
      <c r="A112" s="9">
        <v>7</v>
      </c>
      <c r="B112" s="66" t="str">
        <f>"ServCo property management ("&amp;TEXT(Input!$C$31,"0%")&amp;")"</f>
        <v>ServCo property management (20%)</v>
      </c>
      <c r="C112" s="75">
        <f>C104*Input!$C$31</f>
        <v>0</v>
      </c>
      <c r="D112" s="75">
        <f>D104*Input!$C$31</f>
        <v>0</v>
      </c>
      <c r="E112" s="75">
        <f>E104*Input!$C$31</f>
        <v>0</v>
      </c>
      <c r="F112" s="75">
        <f>F104*Input!$C$31</f>
        <v>0</v>
      </c>
      <c r="G112" s="75">
        <f>G104*Input!$C$31</f>
        <v>0</v>
      </c>
      <c r="H112" s="75">
        <f>H104*Input!$C$31</f>
        <v>0</v>
      </c>
      <c r="I112" s="75">
        <f>I104*Input!$C$31</f>
        <v>0</v>
      </c>
      <c r="J112" s="75">
        <f>J104*Input!$C$31</f>
        <v>0</v>
      </c>
      <c r="K112" s="75">
        <f>K104*Input!$C$31</f>
        <v>0</v>
      </c>
      <c r="L112" s="75">
        <f>L104*Input!$C$31</f>
        <v>0</v>
      </c>
    </row>
    <row r="113" spans="1:12" ht="18" customHeight="1" x14ac:dyDescent="0.3">
      <c r="A113" s="9">
        <v>7</v>
      </c>
      <c r="B113" s="66" t="s">
        <v>980</v>
      </c>
      <c r="C113" s="75">
        <f>IFERROR(SUMIF('_Month Engine'!$C$5:$DR$5,C$4,INDEX('_Month Engine'!$C:$DR,MATCH("Renting Flag (1 = renting in month)",'_Month Engine'!$A:$A,0)+MATCH($A113,'_Month Engine'!$B$98:$B$107,0),0))*Input!$C$32,0)</f>
        <v>0</v>
      </c>
      <c r="D113" s="75">
        <f>IFERROR(SUMIF('_Month Engine'!$C$5:$DR$5,D$4,INDEX('_Month Engine'!$C:$DR,MATCH("Renting Flag (1 = renting in month)",'_Month Engine'!$A:$A,0)+MATCH($A113,'_Month Engine'!$B$98:$B$107,0),0))*Input!$C$32,0)</f>
        <v>0</v>
      </c>
      <c r="E113" s="75">
        <f>IFERROR(SUMIF('_Month Engine'!$C$5:$DR$5,E$4,INDEX('_Month Engine'!$C:$DR,MATCH("Renting Flag (1 = renting in month)",'_Month Engine'!$A:$A,0)+MATCH($A113,'_Month Engine'!$B$98:$B$107,0),0))*Input!$C$32,0)</f>
        <v>0</v>
      </c>
      <c r="F113" s="75">
        <f>IFERROR(SUMIF('_Month Engine'!$C$5:$DR$5,F$4,INDEX('_Month Engine'!$C:$DR,MATCH("Renting Flag (1 = renting in month)",'_Month Engine'!$A:$A,0)+MATCH($A113,'_Month Engine'!$B$98:$B$107,0),0))*Input!$C$32,0)</f>
        <v>0</v>
      </c>
      <c r="G113" s="75">
        <f>IFERROR(SUMIF('_Month Engine'!$C$5:$DR$5,G$4,INDEX('_Month Engine'!$C:$DR,MATCH("Renting Flag (1 = renting in month)",'_Month Engine'!$A:$A,0)+MATCH($A113,'_Month Engine'!$B$98:$B$107,0),0))*Input!$C$32,0)</f>
        <v>0</v>
      </c>
      <c r="H113" s="75">
        <f>IFERROR(SUMIF('_Month Engine'!$C$5:$DR$5,H$4,INDEX('_Month Engine'!$C:$DR,MATCH("Renting Flag (1 = renting in month)",'_Month Engine'!$A:$A,0)+MATCH($A113,'_Month Engine'!$B$98:$B$107,0),0))*Input!$C$32,0)</f>
        <v>0</v>
      </c>
      <c r="I113" s="75">
        <f>IFERROR(SUMIF('_Month Engine'!$C$5:$DR$5,I$4,INDEX('_Month Engine'!$C:$DR,MATCH("Renting Flag (1 = renting in month)",'_Month Engine'!$A:$A,0)+MATCH($A113,'_Month Engine'!$B$98:$B$107,0),0))*Input!$C$32,0)</f>
        <v>0</v>
      </c>
      <c r="J113" s="75">
        <f>IFERROR(SUMIF('_Month Engine'!$C$5:$DR$5,J$4,INDEX('_Month Engine'!$C:$DR,MATCH("Renting Flag (1 = renting in month)",'_Month Engine'!$A:$A,0)+MATCH($A113,'_Month Engine'!$B$98:$B$107,0),0))*Input!$C$32,0)</f>
        <v>0</v>
      </c>
      <c r="K113" s="75">
        <f>IFERROR(SUMIF('_Month Engine'!$C$5:$DR$5,K$4,INDEX('_Month Engine'!$C:$DR,MATCH("Renting Flag (1 = renting in month)",'_Month Engine'!$A:$A,0)+MATCH($A113,'_Month Engine'!$B$98:$B$107,0),0))*Input!$C$32,0)</f>
        <v>0</v>
      </c>
      <c r="L113" s="75">
        <f>IFERROR(SUMIF('_Month Engine'!$C$5:$DR$5,L$4,INDEX('_Month Engine'!$C:$DR,MATCH("Renting Flag (1 = renting in month)",'_Month Engine'!$A:$A,0)+MATCH($A113,'_Month Engine'!$B$98:$B$107,0),0))*Input!$C$32,0)</f>
        <v>0</v>
      </c>
    </row>
    <row r="114" spans="1:12" ht="18" customHeight="1" x14ac:dyDescent="0.3">
      <c r="A114" s="9">
        <v>7</v>
      </c>
      <c r="B114" s="11" t="s">
        <v>76</v>
      </c>
      <c r="C114" s="68">
        <f t="shared" ref="C114:L114" si="13">SUM(C105:C113)</f>
        <v>0</v>
      </c>
      <c r="D114" s="68">
        <f t="shared" si="13"/>
        <v>0</v>
      </c>
      <c r="E114" s="68">
        <f t="shared" si="13"/>
        <v>0</v>
      </c>
      <c r="F114" s="68">
        <f t="shared" si="13"/>
        <v>0</v>
      </c>
      <c r="G114" s="68">
        <f t="shared" si="13"/>
        <v>0</v>
      </c>
      <c r="H114" s="68">
        <f t="shared" si="13"/>
        <v>0</v>
      </c>
      <c r="I114" s="68">
        <f t="shared" si="13"/>
        <v>0</v>
      </c>
      <c r="J114" s="68">
        <f t="shared" si="13"/>
        <v>0</v>
      </c>
      <c r="K114" s="68">
        <f t="shared" si="13"/>
        <v>0</v>
      </c>
      <c r="L114" s="68">
        <f t="shared" si="13"/>
        <v>0</v>
      </c>
    </row>
    <row r="115" spans="1:12" ht="18" customHeight="1" x14ac:dyDescent="0.3">
      <c r="A115" s="9">
        <v>7</v>
      </c>
      <c r="B115" s="11" t="s">
        <v>172</v>
      </c>
      <c r="C115" s="68">
        <f t="shared" ref="C115:L115" si="14">C104-C114</f>
        <v>0</v>
      </c>
      <c r="D115" s="68">
        <f t="shared" si="14"/>
        <v>0</v>
      </c>
      <c r="E115" s="68">
        <f t="shared" si="14"/>
        <v>0</v>
      </c>
      <c r="F115" s="68">
        <f t="shared" si="14"/>
        <v>0</v>
      </c>
      <c r="G115" s="68">
        <f t="shared" si="14"/>
        <v>0</v>
      </c>
      <c r="H115" s="68">
        <f t="shared" si="14"/>
        <v>0</v>
      </c>
      <c r="I115" s="68">
        <f t="shared" si="14"/>
        <v>0</v>
      </c>
      <c r="J115" s="68">
        <f t="shared" si="14"/>
        <v>0</v>
      </c>
      <c r="K115" s="68">
        <f t="shared" si="14"/>
        <v>0</v>
      </c>
      <c r="L115" s="68">
        <f t="shared" si="14"/>
        <v>0</v>
      </c>
    </row>
    <row r="116" spans="1:12" ht="18" customHeight="1" x14ac:dyDescent="0.3">
      <c r="A116" s="9">
        <v>7</v>
      </c>
      <c r="B116" s="22" t="s">
        <v>173</v>
      </c>
      <c r="C116" s="77">
        <f>SUMIF('_Month Engine'!$C$5:$DR$5,C$4,INDEX('_Month Engine'!$C:$DR,MATCH("Acquisition Outflow (Purchase + Closing)",'_Month Engine'!$A:$A,0)+MATCH($A116,'_Month Engine'!$B$8:$B$17,0),0))+SUMIF('_Month Engine'!$C$5:$DR$5,C$4,INDEX('_Month Engine'!$C:$DR,MATCH("Acquisition Outflow (Purchase + Closing)",'_Month Engine'!$A:$A,0)+MATCH($A116,'_Month Engine'!$B$21:$B$30,0),0))</f>
        <v>0</v>
      </c>
      <c r="D116" s="77">
        <f>SUMIF('_Month Engine'!$C$5:$DR$5,D$4,INDEX('_Month Engine'!$C:$DR,MATCH("Acquisition Outflow (Purchase + Closing)",'_Month Engine'!$A:$A,0)+MATCH($A116,'_Month Engine'!$B$8:$B$17,0),0))+SUMIF('_Month Engine'!$C$5:$DR$5,D$4,INDEX('_Month Engine'!$C:$DR,MATCH("Acquisition Outflow (Purchase + Closing)",'_Month Engine'!$A:$A,0)+MATCH($A116,'_Month Engine'!$B$21:$B$30,0),0))</f>
        <v>0</v>
      </c>
      <c r="E116" s="77">
        <f>SUMIF('_Month Engine'!$C$5:$DR$5,E$4,INDEX('_Month Engine'!$C:$DR,MATCH("Acquisition Outflow (Purchase + Closing)",'_Month Engine'!$A:$A,0)+MATCH($A116,'_Month Engine'!$B$8:$B$17,0),0))+SUMIF('_Month Engine'!$C$5:$DR$5,E$4,INDEX('_Month Engine'!$C:$DR,MATCH("Acquisition Outflow (Purchase + Closing)",'_Month Engine'!$A:$A,0)+MATCH($A116,'_Month Engine'!$B$21:$B$30,0),0))</f>
        <v>0</v>
      </c>
      <c r="F116" s="77">
        <f>SUMIF('_Month Engine'!$C$5:$DR$5,F$4,INDEX('_Month Engine'!$C:$DR,MATCH("Acquisition Outflow (Purchase + Closing)",'_Month Engine'!$A:$A,0)+MATCH($A116,'_Month Engine'!$B$8:$B$17,0),0))+SUMIF('_Month Engine'!$C$5:$DR$5,F$4,INDEX('_Month Engine'!$C:$DR,MATCH("Acquisition Outflow (Purchase + Closing)",'_Month Engine'!$A:$A,0)+MATCH($A116,'_Month Engine'!$B$21:$B$30,0),0))</f>
        <v>0</v>
      </c>
      <c r="G116" s="77">
        <f>SUMIF('_Month Engine'!$C$5:$DR$5,G$4,INDEX('_Month Engine'!$C:$DR,MATCH("Acquisition Outflow (Purchase + Closing)",'_Month Engine'!$A:$A,0)+MATCH($A116,'_Month Engine'!$B$8:$B$17,0),0))+SUMIF('_Month Engine'!$C$5:$DR$5,G$4,INDEX('_Month Engine'!$C:$DR,MATCH("Acquisition Outflow (Purchase + Closing)",'_Month Engine'!$A:$A,0)+MATCH($A116,'_Month Engine'!$B$21:$B$30,0),0))</f>
        <v>0</v>
      </c>
      <c r="H116" s="77">
        <f>SUMIF('_Month Engine'!$C$5:$DR$5,H$4,INDEX('_Month Engine'!$C:$DR,MATCH("Acquisition Outflow (Purchase + Closing)",'_Month Engine'!$A:$A,0)+MATCH($A116,'_Month Engine'!$B$8:$B$17,0),0))+SUMIF('_Month Engine'!$C$5:$DR$5,H$4,INDEX('_Month Engine'!$C:$DR,MATCH("Acquisition Outflow (Purchase + Closing)",'_Month Engine'!$A:$A,0)+MATCH($A116,'_Month Engine'!$B$21:$B$30,0),0))</f>
        <v>0</v>
      </c>
      <c r="I116" s="77">
        <f>SUMIF('_Month Engine'!$C$5:$DR$5,I$4,INDEX('_Month Engine'!$C:$DR,MATCH("Acquisition Outflow (Purchase + Closing)",'_Month Engine'!$A:$A,0)+MATCH($A116,'_Month Engine'!$B$8:$B$17,0),0))+SUMIF('_Month Engine'!$C$5:$DR$5,I$4,INDEX('_Month Engine'!$C:$DR,MATCH("Acquisition Outflow (Purchase + Closing)",'_Month Engine'!$A:$A,0)+MATCH($A116,'_Month Engine'!$B$21:$B$30,0),0))</f>
        <v>0</v>
      </c>
      <c r="J116" s="77">
        <f>SUMIF('_Month Engine'!$C$5:$DR$5,J$4,INDEX('_Month Engine'!$C:$DR,MATCH("Acquisition Outflow (Purchase + Closing)",'_Month Engine'!$A:$A,0)+MATCH($A116,'_Month Engine'!$B$8:$B$17,0),0))+SUMIF('_Month Engine'!$C$5:$DR$5,J$4,INDEX('_Month Engine'!$C:$DR,MATCH("Acquisition Outflow (Purchase + Closing)",'_Month Engine'!$A:$A,0)+MATCH($A116,'_Month Engine'!$B$21:$B$30,0),0))</f>
        <v>0</v>
      </c>
      <c r="K116" s="77">
        <f>SUMIF('_Month Engine'!$C$5:$DR$5,K$4,INDEX('_Month Engine'!$C:$DR,MATCH("Acquisition Outflow (Purchase + Closing)",'_Month Engine'!$A:$A,0)+MATCH($A116,'_Month Engine'!$B$8:$B$17,0),0))+SUMIF('_Month Engine'!$C$5:$DR$5,K$4,INDEX('_Month Engine'!$C:$DR,MATCH("Acquisition Outflow (Purchase + Closing)",'_Month Engine'!$A:$A,0)+MATCH($A116,'_Month Engine'!$B$21:$B$30,0),0))</f>
        <v>0</v>
      </c>
      <c r="L116" s="77">
        <f>SUMIF('_Month Engine'!$C$5:$DR$5,L$4,INDEX('_Month Engine'!$C:$DR,MATCH("Acquisition Outflow (Purchase + Closing)",'_Month Engine'!$A:$A,0)+MATCH($A116,'_Month Engine'!$B$8:$B$17,0),0))+SUMIF('_Month Engine'!$C$5:$DR$5,L$4,INDEX('_Month Engine'!$C:$DR,MATCH("Acquisition Outflow (Purchase + Closing)",'_Month Engine'!$A:$A,0)+MATCH($A116,'_Month Engine'!$B$21:$B$30,0),0))</f>
        <v>0</v>
      </c>
    </row>
    <row r="117" spans="1:12" ht="34.049999999999997" customHeight="1" x14ac:dyDescent="0.3">
      <c r="A117" s="9">
        <v>7</v>
      </c>
      <c r="B117" s="517" t="s">
        <v>1181</v>
      </c>
      <c r="C117" s="77" cm="1">
        <f t="array" ref="C117">SUMIF('_Month Engine'!$C$5:$DR$5,C$4,INDEX('_Month Engine'!$C:$DR,MATCH("Gross Sale Value",'_Month Engine'!$A:$A,0)+MATCH($A117,'_Month Engine'!$B$61:$B$70,0),0))*(1-Input!$C$15)-IF(SUMIF('_Month Engine'!$C$5:$DR$5,C$4,INDEX('_Month Engine'!$C:$DR,MATCH("Gross Sale Value",'_Month Engine'!$A:$A,0)+MATCH($A117,'_Month Engine'!$B$61:$B$70,0),0))&gt;0,INDEX(Properties!$AD:$AD,$A117+5),0)</f>
        <v>0</v>
      </c>
      <c r="D117" s="77" cm="1">
        <f t="array" ref="D117">SUMIF('_Month Engine'!$C$5:$DR$5,D$4,INDEX('_Month Engine'!$C:$DR,MATCH("Gross Sale Value",'_Month Engine'!$A:$A,0)+MATCH($A117,'_Month Engine'!$B$61:$B$70,0),0))*(1-Input!$C$15)-IF(SUMIF('_Month Engine'!$C$5:$DR$5,D$4,INDEX('_Month Engine'!$C:$DR,MATCH("Gross Sale Value",'_Month Engine'!$A:$A,0)+MATCH($A117,'_Month Engine'!$B$61:$B$70,0),0))&gt;0,INDEX(Properties!$AD:$AD,$A117+5),0)</f>
        <v>0</v>
      </c>
      <c r="E117" s="77" cm="1">
        <f t="array" ref="E117">SUMIF('_Month Engine'!$C$5:$DR$5,E$4,INDEX('_Month Engine'!$C:$DR,MATCH("Gross Sale Value",'_Month Engine'!$A:$A,0)+MATCH($A117,'_Month Engine'!$B$61:$B$70,0),0))*(1-Input!$C$15)-IF(SUMIF('_Month Engine'!$C$5:$DR$5,E$4,INDEX('_Month Engine'!$C:$DR,MATCH("Gross Sale Value",'_Month Engine'!$A:$A,0)+MATCH($A117,'_Month Engine'!$B$61:$B$70,0),0))&gt;0,INDEX(Properties!$AD:$AD,$A117+5),0)</f>
        <v>0</v>
      </c>
      <c r="F117" s="77" cm="1">
        <f t="array" ref="F117">SUMIF('_Month Engine'!$C$5:$DR$5,F$4,INDEX('_Month Engine'!$C:$DR,MATCH("Gross Sale Value",'_Month Engine'!$A:$A,0)+MATCH($A117,'_Month Engine'!$B$61:$B$70,0),0))*(1-Input!$C$15)-IF(SUMIF('_Month Engine'!$C$5:$DR$5,F$4,INDEX('_Month Engine'!$C:$DR,MATCH("Gross Sale Value",'_Month Engine'!$A:$A,0)+MATCH($A117,'_Month Engine'!$B$61:$B$70,0),0))&gt;0,INDEX(Properties!$AD:$AD,$A117+5),0)</f>
        <v>0</v>
      </c>
      <c r="G117" s="77" cm="1">
        <f t="array" ref="G117">SUMIF('_Month Engine'!$C$5:$DR$5,G$4,INDEX('_Month Engine'!$C:$DR,MATCH("Gross Sale Value",'_Month Engine'!$A:$A,0)+MATCH($A117,'_Month Engine'!$B$61:$B$70,0),0))*(1-Input!$C$15)-IF(SUMIF('_Month Engine'!$C$5:$DR$5,G$4,INDEX('_Month Engine'!$C:$DR,MATCH("Gross Sale Value",'_Month Engine'!$A:$A,0)+MATCH($A117,'_Month Engine'!$B$61:$B$70,0),0))&gt;0,INDEX(Properties!$AD:$AD,$A117+5),0)</f>
        <v>0</v>
      </c>
      <c r="H117" s="77" cm="1">
        <f t="array" ref="H117">SUMIF('_Month Engine'!$C$5:$DR$5,H$4,INDEX('_Month Engine'!$C:$DR,MATCH("Gross Sale Value",'_Month Engine'!$A:$A,0)+MATCH($A117,'_Month Engine'!$B$61:$B$70,0),0))*(1-Input!$C$15)-IF(SUMIF('_Month Engine'!$C$5:$DR$5,H$4,INDEX('_Month Engine'!$C:$DR,MATCH("Gross Sale Value",'_Month Engine'!$A:$A,0)+MATCH($A117,'_Month Engine'!$B$61:$B$70,0),0))&gt;0,INDEX(Properties!$AD:$AD,$A117+5),0)</f>
        <v>0</v>
      </c>
      <c r="I117" s="77" cm="1">
        <f t="array" ref="I117">SUMIF('_Month Engine'!$C$5:$DR$5,I$4,INDEX('_Month Engine'!$C:$DR,MATCH("Gross Sale Value",'_Month Engine'!$A:$A,0)+MATCH($A117,'_Month Engine'!$B$61:$B$70,0),0))*(1-Input!$C$15)-IF(SUMIF('_Month Engine'!$C$5:$DR$5,I$4,INDEX('_Month Engine'!$C:$DR,MATCH("Gross Sale Value",'_Month Engine'!$A:$A,0)+MATCH($A117,'_Month Engine'!$B$61:$B$70,0),0))&gt;0,INDEX(Properties!$AD:$AD,$A117+5),0)</f>
        <v>0</v>
      </c>
      <c r="J117" s="77" cm="1">
        <f t="array" ref="J117">SUMIF('_Month Engine'!$C$5:$DR$5,J$4,INDEX('_Month Engine'!$C:$DR,MATCH("Gross Sale Value",'_Month Engine'!$A:$A,0)+MATCH($A117,'_Month Engine'!$B$61:$B$70,0),0))*(1-Input!$C$15)-IF(SUMIF('_Month Engine'!$C$5:$DR$5,J$4,INDEX('_Month Engine'!$C:$DR,MATCH("Gross Sale Value",'_Month Engine'!$A:$A,0)+MATCH($A117,'_Month Engine'!$B$61:$B$70,0),0))&gt;0,INDEX(Properties!$AD:$AD,$A117+5),0)</f>
        <v>0</v>
      </c>
      <c r="K117" s="77" cm="1">
        <f t="array" ref="K117">SUMIF('_Month Engine'!$C$5:$DR$5,K$4,INDEX('_Month Engine'!$C:$DR,MATCH("Gross Sale Value",'_Month Engine'!$A:$A,0)+MATCH($A117,'_Month Engine'!$B$61:$B$70,0),0))*(1-Input!$C$15)-IF(SUMIF('_Month Engine'!$C$5:$DR$5,K$4,INDEX('_Month Engine'!$C:$DR,MATCH("Gross Sale Value",'_Month Engine'!$A:$A,0)+MATCH($A117,'_Month Engine'!$B$61:$B$70,0),0))&gt;0,INDEX(Properties!$AD:$AD,$A117+5),0)</f>
        <v>0</v>
      </c>
      <c r="L117" s="77" cm="1">
        <f t="array" ref="L117">SUMIF('_Month Engine'!$C$5:$DR$5,L$4,INDEX('_Month Engine'!$C:$DR,MATCH("Gross Sale Value",'_Month Engine'!$A:$A,0)+MATCH($A117,'_Month Engine'!$B$61:$B$70,0),0))*(1-Input!$C$15)-IF(SUMIF('_Month Engine'!$C$5:$DR$5,L$4,INDEX('_Month Engine'!$C:$DR,MATCH("Gross Sale Value",'_Month Engine'!$A:$A,0)+MATCH($A117,'_Month Engine'!$B$61:$B$70,0),0))&gt;0,INDEX(Properties!$AD:$AD,$A117+5),0)</f>
        <v>0</v>
      </c>
    </row>
    <row r="118" spans="1:12" ht="18" customHeight="1" x14ac:dyDescent="0.3">
      <c r="A118" s="9"/>
      <c r="B118" s="9"/>
      <c r="C118" s="66"/>
      <c r="D118" s="66"/>
      <c r="E118" s="66"/>
      <c r="F118" s="66"/>
      <c r="G118" s="66"/>
      <c r="H118" s="66"/>
      <c r="I118" s="66"/>
      <c r="J118" s="66"/>
      <c r="K118" s="66"/>
      <c r="L118" s="66"/>
    </row>
    <row r="119" spans="1:12" ht="19.95" customHeight="1" x14ac:dyDescent="0.3">
      <c r="A119" s="40">
        <v>8</v>
      </c>
      <c r="B119" s="40" t="str" cm="1">
        <f t="array" ref="B119">INDEX(Properties!$E:$E,$A119+5)&amp;"   ·   "&amp;INDEX(Properties!$F:$F,$A119+5)&amp;"   ·   "&amp;INDEX(Properties!$H:$H,$A119+5)</f>
        <v xml:space="preserve">   ·      ·   </v>
      </c>
      <c r="C119" s="67"/>
      <c r="D119" s="67"/>
      <c r="E119" s="67"/>
      <c r="F119" s="67"/>
      <c r="G119" s="67"/>
      <c r="H119" s="67"/>
      <c r="I119" s="67"/>
      <c r="J119" s="67"/>
      <c r="K119" s="67"/>
      <c r="L119" s="67"/>
    </row>
    <row r="120" spans="1:12" ht="18" customHeight="1" x14ac:dyDescent="0.3">
      <c r="A120" s="9">
        <v>8</v>
      </c>
      <c r="B120" s="66" t="s">
        <v>167</v>
      </c>
      <c r="C120" s="75">
        <f>SUMIF('_Month Engine'!$C$5:$DR$5,C$4,INDEX('_Month Engine'!$C:$DR,MATCH("Gross STR Revenue",'_Month Engine'!$A:$A,0)+MATCH($A120,'_Month Engine'!$B$34:$B$43,0),0))</f>
        <v>0</v>
      </c>
      <c r="D120" s="75">
        <f>SUMIF('_Month Engine'!$C$5:$DR$5,D$4,INDEX('_Month Engine'!$C:$DR,MATCH("Gross STR Revenue",'_Month Engine'!$A:$A,0)+MATCH($A120,'_Month Engine'!$B$34:$B$43,0),0))</f>
        <v>0</v>
      </c>
      <c r="E120" s="75">
        <f>SUMIF('_Month Engine'!$C$5:$DR$5,E$4,INDEX('_Month Engine'!$C:$DR,MATCH("Gross STR Revenue",'_Month Engine'!$A:$A,0)+MATCH($A120,'_Month Engine'!$B$34:$B$43,0),0))</f>
        <v>0</v>
      </c>
      <c r="F120" s="75">
        <f>SUMIF('_Month Engine'!$C$5:$DR$5,F$4,INDEX('_Month Engine'!$C:$DR,MATCH("Gross STR Revenue",'_Month Engine'!$A:$A,0)+MATCH($A120,'_Month Engine'!$B$34:$B$43,0),0))</f>
        <v>0</v>
      </c>
      <c r="G120" s="75">
        <f>SUMIF('_Month Engine'!$C$5:$DR$5,G$4,INDEX('_Month Engine'!$C:$DR,MATCH("Gross STR Revenue",'_Month Engine'!$A:$A,0)+MATCH($A120,'_Month Engine'!$B$34:$B$43,0),0))</f>
        <v>0</v>
      </c>
      <c r="H120" s="75">
        <f>SUMIF('_Month Engine'!$C$5:$DR$5,H$4,INDEX('_Month Engine'!$C:$DR,MATCH("Gross STR Revenue",'_Month Engine'!$A:$A,0)+MATCH($A120,'_Month Engine'!$B$34:$B$43,0),0))</f>
        <v>0</v>
      </c>
      <c r="I120" s="75">
        <f>SUMIF('_Month Engine'!$C$5:$DR$5,I$4,INDEX('_Month Engine'!$C:$DR,MATCH("Gross STR Revenue",'_Month Engine'!$A:$A,0)+MATCH($A120,'_Month Engine'!$B$34:$B$43,0),0))</f>
        <v>0</v>
      </c>
      <c r="J120" s="75">
        <f>SUMIF('_Month Engine'!$C$5:$DR$5,J$4,INDEX('_Month Engine'!$C:$DR,MATCH("Gross STR Revenue",'_Month Engine'!$A:$A,0)+MATCH($A120,'_Month Engine'!$B$34:$B$43,0),0))</f>
        <v>0</v>
      </c>
      <c r="K120" s="75">
        <f>SUMIF('_Month Engine'!$C$5:$DR$5,K$4,INDEX('_Month Engine'!$C:$DR,MATCH("Gross STR Revenue",'_Month Engine'!$A:$A,0)+MATCH($A120,'_Month Engine'!$B$34:$B$43,0),0))</f>
        <v>0</v>
      </c>
      <c r="L120" s="75">
        <f>SUMIF('_Month Engine'!$C$5:$DR$5,L$4,INDEX('_Month Engine'!$C:$DR,MATCH("Gross STR Revenue",'_Month Engine'!$A:$A,0)+MATCH($A120,'_Month Engine'!$B$34:$B$43,0),0))</f>
        <v>0</v>
      </c>
    </row>
    <row r="121" spans="1:12" ht="18" customHeight="1" x14ac:dyDescent="0.3">
      <c r="A121" s="9">
        <v>8</v>
      </c>
      <c r="B121" s="66" t="s">
        <v>1179</v>
      </c>
      <c r="C121" s="75" cm="1">
        <f t="array" ref="C121">SUMIF('_Month Engine'!$C$5:$DR$5,C$4,INDEX('_Month Engine'!$C:$DR,MATCH("Owned All-In Basis",'_Month Engine'!$A:$A,0)+MATCH($A121,'_Month Engine'!$B$47:$B$56,0),0))*INDEX(Input!$C$80:$C$89,$A121)/'_IRR Engine'!$Q$7</f>
        <v>0</v>
      </c>
      <c r="D121" s="75" cm="1">
        <f t="array" ref="D121">SUMIF('_Month Engine'!$C$5:$DR$5,D$4,INDEX('_Month Engine'!$C:$DR,MATCH("Owned All-In Basis",'_Month Engine'!$A:$A,0)+MATCH($A121,'_Month Engine'!$B$47:$B$56,0),0))*INDEX(Input!$C$80:$C$89,$A121)/'_IRR Engine'!$Q$7</f>
        <v>0</v>
      </c>
      <c r="E121" s="75" cm="1">
        <f t="array" ref="E121">SUMIF('_Month Engine'!$C$5:$DR$5,E$4,INDEX('_Month Engine'!$C:$DR,MATCH("Owned All-In Basis",'_Month Engine'!$A:$A,0)+MATCH($A121,'_Month Engine'!$B$47:$B$56,0),0))*INDEX(Input!$C$80:$C$89,$A121)/'_IRR Engine'!$Q$7</f>
        <v>0</v>
      </c>
      <c r="F121" s="75" cm="1">
        <f t="array" ref="F121">SUMIF('_Month Engine'!$C$5:$DR$5,F$4,INDEX('_Month Engine'!$C:$DR,MATCH("Owned All-In Basis",'_Month Engine'!$A:$A,0)+MATCH($A121,'_Month Engine'!$B$47:$B$56,0),0))*INDEX(Input!$C$80:$C$89,$A121)/'_IRR Engine'!$Q$7</f>
        <v>0</v>
      </c>
      <c r="G121" s="75" cm="1">
        <f t="array" ref="G121">SUMIF('_Month Engine'!$C$5:$DR$5,G$4,INDEX('_Month Engine'!$C:$DR,MATCH("Owned All-In Basis",'_Month Engine'!$A:$A,0)+MATCH($A121,'_Month Engine'!$B$47:$B$56,0),0))*INDEX(Input!$C$80:$C$89,$A121)/'_IRR Engine'!$Q$7</f>
        <v>0</v>
      </c>
      <c r="H121" s="75" cm="1">
        <f t="array" ref="H121">SUMIF('_Month Engine'!$C$5:$DR$5,H$4,INDEX('_Month Engine'!$C:$DR,MATCH("Owned All-In Basis",'_Month Engine'!$A:$A,0)+MATCH($A121,'_Month Engine'!$B$47:$B$56,0),0))*INDEX(Input!$C$80:$C$89,$A121)/'_IRR Engine'!$Q$7</f>
        <v>0</v>
      </c>
      <c r="I121" s="75" cm="1">
        <f t="array" ref="I121">SUMIF('_Month Engine'!$C$5:$DR$5,I$4,INDEX('_Month Engine'!$C:$DR,MATCH("Owned All-In Basis",'_Month Engine'!$A:$A,0)+MATCH($A121,'_Month Engine'!$B$47:$B$56,0),0))*INDEX(Input!$C$80:$C$89,$A121)/'_IRR Engine'!$Q$7</f>
        <v>0</v>
      </c>
      <c r="J121" s="75" cm="1">
        <f t="array" ref="J121">SUMIF('_Month Engine'!$C$5:$DR$5,J$4,INDEX('_Month Engine'!$C:$DR,MATCH("Owned All-In Basis",'_Month Engine'!$A:$A,0)+MATCH($A121,'_Month Engine'!$B$47:$B$56,0),0))*INDEX(Input!$C$80:$C$89,$A121)/'_IRR Engine'!$Q$7</f>
        <v>0</v>
      </c>
      <c r="K121" s="75" cm="1">
        <f t="array" ref="K121">SUMIF('_Month Engine'!$C$5:$DR$5,K$4,INDEX('_Month Engine'!$C:$DR,MATCH("Owned All-In Basis",'_Month Engine'!$A:$A,0)+MATCH($A121,'_Month Engine'!$B$47:$B$56,0),0))*INDEX(Input!$C$80:$C$89,$A121)/'_IRR Engine'!$Q$7</f>
        <v>0</v>
      </c>
      <c r="L121" s="75" cm="1">
        <f t="array" ref="L121">SUMIF('_Month Engine'!$C$5:$DR$5,L$4,INDEX('_Month Engine'!$C:$DR,MATCH("Owned All-In Basis",'_Month Engine'!$A:$A,0)+MATCH($A121,'_Month Engine'!$B$47:$B$56,0),0))*INDEX(Input!$C$80:$C$89,$A121)/'_IRR Engine'!$Q$7</f>
        <v>0</v>
      </c>
    </row>
    <row r="122" spans="1:12" ht="18" customHeight="1" x14ac:dyDescent="0.3">
      <c r="A122" s="9">
        <v>8</v>
      </c>
      <c r="B122" s="66" t="s">
        <v>72</v>
      </c>
      <c r="C122" s="75">
        <f>SUMIF('_Month Engine'!$C$5:$DR$5,C$4,INDEX('_Month Engine'!$C:$DR,MATCH("Renting All-In Basis",'_Month Engine'!$A:$A,0)+MATCH($A122,'_Month Engine'!$B$110:$B$119,0),0))*Input!$C$18/'_IRR Engine'!$Q$7</f>
        <v>0</v>
      </c>
      <c r="D122" s="75">
        <f>SUMIF('_Month Engine'!$C$5:$DR$5,D$4,INDEX('_Month Engine'!$C:$DR,MATCH("Renting All-In Basis",'_Month Engine'!$A:$A,0)+MATCH($A122,'_Month Engine'!$B$110:$B$119,0),0))*Input!$C$18/'_IRR Engine'!$Q$7</f>
        <v>0</v>
      </c>
      <c r="E122" s="75">
        <f>SUMIF('_Month Engine'!$C$5:$DR$5,E$4,INDEX('_Month Engine'!$C:$DR,MATCH("Renting All-In Basis",'_Month Engine'!$A:$A,0)+MATCH($A122,'_Month Engine'!$B$110:$B$119,0),0))*Input!$C$18/'_IRR Engine'!$Q$7</f>
        <v>0</v>
      </c>
      <c r="F122" s="75">
        <f>SUMIF('_Month Engine'!$C$5:$DR$5,F$4,INDEX('_Month Engine'!$C:$DR,MATCH("Renting All-In Basis",'_Month Engine'!$A:$A,0)+MATCH($A122,'_Month Engine'!$B$110:$B$119,0),0))*Input!$C$18/'_IRR Engine'!$Q$7</f>
        <v>0</v>
      </c>
      <c r="G122" s="75">
        <f>SUMIF('_Month Engine'!$C$5:$DR$5,G$4,INDEX('_Month Engine'!$C:$DR,MATCH("Renting All-In Basis",'_Month Engine'!$A:$A,0)+MATCH($A122,'_Month Engine'!$B$110:$B$119,0),0))*Input!$C$18/'_IRR Engine'!$Q$7</f>
        <v>0</v>
      </c>
      <c r="H122" s="75">
        <f>SUMIF('_Month Engine'!$C$5:$DR$5,H$4,INDEX('_Month Engine'!$C:$DR,MATCH("Renting All-In Basis",'_Month Engine'!$A:$A,0)+MATCH($A122,'_Month Engine'!$B$110:$B$119,0),0))*Input!$C$18/'_IRR Engine'!$Q$7</f>
        <v>0</v>
      </c>
      <c r="I122" s="75">
        <f>SUMIF('_Month Engine'!$C$5:$DR$5,I$4,INDEX('_Month Engine'!$C:$DR,MATCH("Renting All-In Basis",'_Month Engine'!$A:$A,0)+MATCH($A122,'_Month Engine'!$B$110:$B$119,0),0))*Input!$C$18/'_IRR Engine'!$Q$7</f>
        <v>0</v>
      </c>
      <c r="J122" s="75">
        <f>SUMIF('_Month Engine'!$C$5:$DR$5,J$4,INDEX('_Month Engine'!$C:$DR,MATCH("Renting All-In Basis",'_Month Engine'!$A:$A,0)+MATCH($A122,'_Month Engine'!$B$110:$B$119,0),0))*Input!$C$18/'_IRR Engine'!$Q$7</f>
        <v>0</v>
      </c>
      <c r="K122" s="75">
        <f>SUMIF('_Month Engine'!$C$5:$DR$5,K$4,INDEX('_Month Engine'!$C:$DR,MATCH("Renting All-In Basis",'_Month Engine'!$A:$A,0)+MATCH($A122,'_Month Engine'!$B$110:$B$119,0),0))*Input!$C$18/'_IRR Engine'!$Q$7</f>
        <v>0</v>
      </c>
      <c r="L122" s="75">
        <f>SUMIF('_Month Engine'!$C$5:$DR$5,L$4,INDEX('_Month Engine'!$C:$DR,MATCH("Renting All-In Basis",'_Month Engine'!$A:$A,0)+MATCH($A122,'_Month Engine'!$B$110:$B$119,0),0))*Input!$C$18/'_IRR Engine'!$Q$7</f>
        <v>0</v>
      </c>
    </row>
    <row r="123" spans="1:12" ht="18" customHeight="1" x14ac:dyDescent="0.3">
      <c r="A123" s="9">
        <v>8</v>
      </c>
      <c r="B123" s="66" t="s">
        <v>168</v>
      </c>
      <c r="C123" s="75" cm="1">
        <f t="array" ref="C123">SUMIF('_Month Engine'!$C$5:$DR$5,C$4,INDEX('_Month Engine'!$C:$DR,MATCH("Owned Flag (1 = owned in month)",'_Month Engine'!$A:$A,0)+MATCH($A123,'_Month Engine'!$B$86:$B$95,0),0))*INDEX(Input!$D$80:$D$89,$A123)*1000000/Input!$C$5</f>
        <v>0</v>
      </c>
      <c r="D123" s="75" cm="1">
        <f t="array" ref="D123">SUMIF('_Month Engine'!$C$5:$DR$5,D$4,INDEX('_Month Engine'!$C:$DR,MATCH("Owned Flag (1 = owned in month)",'_Month Engine'!$A:$A,0)+MATCH($A123,'_Month Engine'!$B$86:$B$95,0),0))*INDEX(Input!$D$80:$D$89,$A123)*1000000/Input!$C$5</f>
        <v>0</v>
      </c>
      <c r="E123" s="75" cm="1">
        <f t="array" ref="E123">SUMIF('_Month Engine'!$C$5:$DR$5,E$4,INDEX('_Month Engine'!$C:$DR,MATCH("Owned Flag (1 = owned in month)",'_Month Engine'!$A:$A,0)+MATCH($A123,'_Month Engine'!$B$86:$B$95,0),0))*INDEX(Input!$D$80:$D$89,$A123)*1000000/Input!$C$5</f>
        <v>0</v>
      </c>
      <c r="F123" s="75" cm="1">
        <f t="array" ref="F123">SUMIF('_Month Engine'!$C$5:$DR$5,F$4,INDEX('_Month Engine'!$C:$DR,MATCH("Owned Flag (1 = owned in month)",'_Month Engine'!$A:$A,0)+MATCH($A123,'_Month Engine'!$B$86:$B$95,0),0))*INDEX(Input!$D$80:$D$89,$A123)*1000000/Input!$C$5</f>
        <v>0</v>
      </c>
      <c r="G123" s="75" cm="1">
        <f t="array" ref="G123">SUMIF('_Month Engine'!$C$5:$DR$5,G$4,INDEX('_Month Engine'!$C:$DR,MATCH("Owned Flag (1 = owned in month)",'_Month Engine'!$A:$A,0)+MATCH($A123,'_Month Engine'!$B$86:$B$95,0),0))*INDEX(Input!$D$80:$D$89,$A123)*1000000/Input!$C$5</f>
        <v>0</v>
      </c>
      <c r="H123" s="75" cm="1">
        <f t="array" ref="H123">SUMIF('_Month Engine'!$C$5:$DR$5,H$4,INDEX('_Month Engine'!$C:$DR,MATCH("Owned Flag (1 = owned in month)",'_Month Engine'!$A:$A,0)+MATCH($A123,'_Month Engine'!$B$86:$B$95,0),0))*INDEX(Input!$D$80:$D$89,$A123)*1000000/Input!$C$5</f>
        <v>0</v>
      </c>
      <c r="I123" s="75" cm="1">
        <f t="array" ref="I123">SUMIF('_Month Engine'!$C$5:$DR$5,I$4,INDEX('_Month Engine'!$C:$DR,MATCH("Owned Flag (1 = owned in month)",'_Month Engine'!$A:$A,0)+MATCH($A123,'_Month Engine'!$B$86:$B$95,0),0))*INDEX(Input!$D$80:$D$89,$A123)*1000000/Input!$C$5</f>
        <v>0</v>
      </c>
      <c r="J123" s="75" cm="1">
        <f t="array" ref="J123">SUMIF('_Month Engine'!$C$5:$DR$5,J$4,INDEX('_Month Engine'!$C:$DR,MATCH("Owned Flag (1 = owned in month)",'_Month Engine'!$A:$A,0)+MATCH($A123,'_Month Engine'!$B$86:$B$95,0),0))*INDEX(Input!$D$80:$D$89,$A123)*1000000/Input!$C$5</f>
        <v>0</v>
      </c>
      <c r="K123" s="75" cm="1">
        <f t="array" ref="K123">SUMIF('_Month Engine'!$C$5:$DR$5,K$4,INDEX('_Month Engine'!$C:$DR,MATCH("Owned Flag (1 = owned in month)",'_Month Engine'!$A:$A,0)+MATCH($A123,'_Month Engine'!$B$86:$B$95,0),0))*INDEX(Input!$D$80:$D$89,$A123)*1000000/Input!$C$5</f>
        <v>0</v>
      </c>
      <c r="L123" s="75" cm="1">
        <f t="array" ref="L123">SUMIF('_Month Engine'!$C$5:$DR$5,L$4,INDEX('_Month Engine'!$C:$DR,MATCH("Owned Flag (1 = owned in month)",'_Month Engine'!$A:$A,0)+MATCH($A123,'_Month Engine'!$B$86:$B$95,0),0))*INDEX(Input!$D$80:$D$89,$A123)*1000000/Input!$C$5</f>
        <v>0</v>
      </c>
    </row>
    <row r="124" spans="1:12" ht="18" customHeight="1" x14ac:dyDescent="0.3">
      <c r="A124" s="9">
        <v>8</v>
      </c>
      <c r="B124" s="66" t="s">
        <v>169</v>
      </c>
      <c r="C124" s="75" cm="1">
        <f t="array" ref="C124">SUMIF('_Month Engine'!$C$5:$DR$5,C$4,INDEX('_Month Engine'!$C:$DR,MATCH("Owned Flag (1 = owned in month)",'_Month Engine'!$A:$A,0)+MATCH($A124,'_Month Engine'!$B$86:$B$95,0),0))*INDEX(Input!$E$80:$E$89,$A124)*1000000/Input!$C$5</f>
        <v>0</v>
      </c>
      <c r="D124" s="75" cm="1">
        <f t="array" ref="D124">SUMIF('_Month Engine'!$C$5:$DR$5,D$4,INDEX('_Month Engine'!$C:$DR,MATCH("Owned Flag (1 = owned in month)",'_Month Engine'!$A:$A,0)+MATCH($A124,'_Month Engine'!$B$86:$B$95,0),0))*INDEX(Input!$E$80:$E$89,$A124)*1000000/Input!$C$5</f>
        <v>0</v>
      </c>
      <c r="E124" s="75" cm="1">
        <f t="array" ref="E124">SUMIF('_Month Engine'!$C$5:$DR$5,E$4,INDEX('_Month Engine'!$C:$DR,MATCH("Owned Flag (1 = owned in month)",'_Month Engine'!$A:$A,0)+MATCH($A124,'_Month Engine'!$B$86:$B$95,0),0))*INDEX(Input!$E$80:$E$89,$A124)*1000000/Input!$C$5</f>
        <v>0</v>
      </c>
      <c r="F124" s="75" cm="1">
        <f t="array" ref="F124">SUMIF('_Month Engine'!$C$5:$DR$5,F$4,INDEX('_Month Engine'!$C:$DR,MATCH("Owned Flag (1 = owned in month)",'_Month Engine'!$A:$A,0)+MATCH($A124,'_Month Engine'!$B$86:$B$95,0),0))*INDEX(Input!$E$80:$E$89,$A124)*1000000/Input!$C$5</f>
        <v>0</v>
      </c>
      <c r="G124" s="75" cm="1">
        <f t="array" ref="G124">SUMIF('_Month Engine'!$C$5:$DR$5,G$4,INDEX('_Month Engine'!$C:$DR,MATCH("Owned Flag (1 = owned in month)",'_Month Engine'!$A:$A,0)+MATCH($A124,'_Month Engine'!$B$86:$B$95,0),0))*INDEX(Input!$E$80:$E$89,$A124)*1000000/Input!$C$5</f>
        <v>0</v>
      </c>
      <c r="H124" s="75" cm="1">
        <f t="array" ref="H124">SUMIF('_Month Engine'!$C$5:$DR$5,H$4,INDEX('_Month Engine'!$C:$DR,MATCH("Owned Flag (1 = owned in month)",'_Month Engine'!$A:$A,0)+MATCH($A124,'_Month Engine'!$B$86:$B$95,0),0))*INDEX(Input!$E$80:$E$89,$A124)*1000000/Input!$C$5</f>
        <v>0</v>
      </c>
      <c r="I124" s="75" cm="1">
        <f t="array" ref="I124">SUMIF('_Month Engine'!$C$5:$DR$5,I$4,INDEX('_Month Engine'!$C:$DR,MATCH("Owned Flag (1 = owned in month)",'_Month Engine'!$A:$A,0)+MATCH($A124,'_Month Engine'!$B$86:$B$95,0),0))*INDEX(Input!$E$80:$E$89,$A124)*1000000/Input!$C$5</f>
        <v>0</v>
      </c>
      <c r="J124" s="75" cm="1">
        <f t="array" ref="J124">SUMIF('_Month Engine'!$C$5:$DR$5,J$4,INDEX('_Month Engine'!$C:$DR,MATCH("Owned Flag (1 = owned in month)",'_Month Engine'!$A:$A,0)+MATCH($A124,'_Month Engine'!$B$86:$B$95,0),0))*INDEX(Input!$E$80:$E$89,$A124)*1000000/Input!$C$5</f>
        <v>0</v>
      </c>
      <c r="K124" s="75" cm="1">
        <f t="array" ref="K124">SUMIF('_Month Engine'!$C$5:$DR$5,K$4,INDEX('_Month Engine'!$C:$DR,MATCH("Owned Flag (1 = owned in month)",'_Month Engine'!$A:$A,0)+MATCH($A124,'_Month Engine'!$B$86:$B$95,0),0))*INDEX(Input!$E$80:$E$89,$A124)*1000000/Input!$C$5</f>
        <v>0</v>
      </c>
      <c r="L124" s="75" cm="1">
        <f t="array" ref="L124">SUMIF('_Month Engine'!$C$5:$DR$5,L$4,INDEX('_Month Engine'!$C:$DR,MATCH("Owned Flag (1 = owned in month)",'_Month Engine'!$A:$A,0)+MATCH($A124,'_Month Engine'!$B$86:$B$95,0),0))*INDEX(Input!$E$80:$E$89,$A124)*1000000/Input!$C$5</f>
        <v>0</v>
      </c>
    </row>
    <row r="125" spans="1:12" ht="18" customHeight="1" x14ac:dyDescent="0.3">
      <c r="A125" s="9">
        <v>8</v>
      </c>
      <c r="B125" s="66" t="s">
        <v>170</v>
      </c>
      <c r="C125" s="75">
        <f>IFERROR(SUMIF('_Month Engine'!$C$5:$DR$5,C$4,INDEX('_Month Engine'!$C:$DR,MATCH("Renting All-In Basis",'_Month Engine'!$A:$A,0)+MATCH($A125,'_Month Engine'!$B$110:$B$119,0),0))*Input!$C$19/'_IRR Engine'!$Q$7,0)</f>
        <v>0</v>
      </c>
      <c r="D125" s="75">
        <f>IFERROR(SUMIF('_Month Engine'!$C$5:$DR$5,D$4,INDEX('_Month Engine'!$C:$DR,MATCH("Renting All-In Basis",'_Month Engine'!$A:$A,0)+MATCH($A125,'_Month Engine'!$B$110:$B$119,0),0))*Input!$C$19/'_IRR Engine'!$Q$7,0)</f>
        <v>0</v>
      </c>
      <c r="E125" s="75">
        <f>IFERROR(SUMIF('_Month Engine'!$C$5:$DR$5,E$4,INDEX('_Month Engine'!$C:$DR,MATCH("Renting All-In Basis",'_Month Engine'!$A:$A,0)+MATCH($A125,'_Month Engine'!$B$110:$B$119,0),0))*Input!$C$19/'_IRR Engine'!$Q$7,0)</f>
        <v>0</v>
      </c>
      <c r="F125" s="75">
        <f>IFERROR(SUMIF('_Month Engine'!$C$5:$DR$5,F$4,INDEX('_Month Engine'!$C:$DR,MATCH("Renting All-In Basis",'_Month Engine'!$A:$A,0)+MATCH($A125,'_Month Engine'!$B$110:$B$119,0),0))*Input!$C$19/'_IRR Engine'!$Q$7,0)</f>
        <v>0</v>
      </c>
      <c r="G125" s="75">
        <f>IFERROR(SUMIF('_Month Engine'!$C$5:$DR$5,G$4,INDEX('_Month Engine'!$C:$DR,MATCH("Renting All-In Basis",'_Month Engine'!$A:$A,0)+MATCH($A125,'_Month Engine'!$B$110:$B$119,0),0))*Input!$C$19/'_IRR Engine'!$Q$7,0)</f>
        <v>0</v>
      </c>
      <c r="H125" s="75">
        <f>IFERROR(SUMIF('_Month Engine'!$C$5:$DR$5,H$4,INDEX('_Month Engine'!$C:$DR,MATCH("Renting All-In Basis",'_Month Engine'!$A:$A,0)+MATCH($A125,'_Month Engine'!$B$110:$B$119,0),0))*Input!$C$19/'_IRR Engine'!$Q$7,0)</f>
        <v>0</v>
      </c>
      <c r="I125" s="75">
        <f>IFERROR(SUMIF('_Month Engine'!$C$5:$DR$5,I$4,INDEX('_Month Engine'!$C:$DR,MATCH("Renting All-In Basis",'_Month Engine'!$A:$A,0)+MATCH($A125,'_Month Engine'!$B$110:$B$119,0),0))*Input!$C$19/'_IRR Engine'!$Q$7,0)</f>
        <v>0</v>
      </c>
      <c r="J125" s="75">
        <f>IFERROR(SUMIF('_Month Engine'!$C$5:$DR$5,J$4,INDEX('_Month Engine'!$C:$DR,MATCH("Renting All-In Basis",'_Month Engine'!$A:$A,0)+MATCH($A125,'_Month Engine'!$B$110:$B$119,0),0))*Input!$C$19/'_IRR Engine'!$Q$7,0)</f>
        <v>0</v>
      </c>
      <c r="K125" s="75">
        <f>IFERROR(SUMIF('_Month Engine'!$C$5:$DR$5,K$4,INDEX('_Month Engine'!$C:$DR,MATCH("Renting All-In Basis",'_Month Engine'!$A:$A,0)+MATCH($A125,'_Month Engine'!$B$110:$B$119,0),0))*Input!$C$19/'_IRR Engine'!$Q$7,0)</f>
        <v>0</v>
      </c>
      <c r="L125" s="75">
        <f>IFERROR(SUMIF('_Month Engine'!$C$5:$DR$5,L$4,INDEX('_Month Engine'!$C:$DR,MATCH("Renting All-In Basis",'_Month Engine'!$A:$A,0)+MATCH($A125,'_Month Engine'!$B$110:$B$119,0),0))*Input!$C$19/'_IRR Engine'!$Q$7,0)</f>
        <v>0</v>
      </c>
    </row>
    <row r="126" spans="1:12" ht="18" customHeight="1" x14ac:dyDescent="0.3">
      <c r="A126" s="9">
        <v>8</v>
      </c>
      <c r="B126" s="66" t="s">
        <v>171</v>
      </c>
      <c r="C126" s="75">
        <f>C120*Input!$C$20</f>
        <v>0</v>
      </c>
      <c r="D126" s="75">
        <f>D120*Input!$C$20</f>
        <v>0</v>
      </c>
      <c r="E126" s="75">
        <f>E120*Input!$C$20</f>
        <v>0</v>
      </c>
      <c r="F126" s="75">
        <f>F120*Input!$C$20</f>
        <v>0</v>
      </c>
      <c r="G126" s="75">
        <f>G120*Input!$C$20</f>
        <v>0</v>
      </c>
      <c r="H126" s="75">
        <f>H120*Input!$C$20</f>
        <v>0</v>
      </c>
      <c r="I126" s="75">
        <f>I120*Input!$C$20</f>
        <v>0</v>
      </c>
      <c r="J126" s="75">
        <f>J120*Input!$C$20</f>
        <v>0</v>
      </c>
      <c r="K126" s="75">
        <f>K120*Input!$C$20</f>
        <v>0</v>
      </c>
      <c r="L126" s="75">
        <f>L120*Input!$C$20</f>
        <v>0</v>
      </c>
    </row>
    <row r="127" spans="1:12" x14ac:dyDescent="0.3">
      <c r="A127" s="9">
        <v>8</v>
      </c>
      <c r="B127" s="66" t="s">
        <v>1180</v>
      </c>
      <c r="C127" s="75" cm="1">
        <f t="array" ref="C127">C120*IFERROR(INDEX(Input!$U$80:$U$89,$A127),0)</f>
        <v>0</v>
      </c>
      <c r="D127" s="75" cm="1">
        <f t="array" ref="D127">D120*IFERROR(INDEX(Input!$U$80:$U$89,$A127),0)</f>
        <v>0</v>
      </c>
      <c r="E127" s="75" cm="1">
        <f t="array" ref="E127">E120*IFERROR(INDEX(Input!$U$80:$U$89,$A127),0)</f>
        <v>0</v>
      </c>
      <c r="F127" s="75" cm="1">
        <f t="array" ref="F127">F120*IFERROR(INDEX(Input!$U$80:$U$89,$A127),0)</f>
        <v>0</v>
      </c>
      <c r="G127" s="75" cm="1">
        <f t="array" ref="G127">G120*IFERROR(INDEX(Input!$U$80:$U$89,$A127),0)</f>
        <v>0</v>
      </c>
      <c r="H127" s="75" cm="1">
        <f t="array" ref="H127">H120*IFERROR(INDEX(Input!$U$80:$U$89,$A127),0)</f>
        <v>0</v>
      </c>
      <c r="I127" s="75" cm="1">
        <f t="array" ref="I127">I120*IFERROR(INDEX(Input!$U$80:$U$89,$A127),0)</f>
        <v>0</v>
      </c>
      <c r="J127" s="75" cm="1">
        <f t="array" ref="J127">J120*IFERROR(INDEX(Input!$U$80:$U$89,$A127),0)</f>
        <v>0</v>
      </c>
      <c r="K127" s="75" cm="1">
        <f t="array" ref="K127">K120*IFERROR(INDEX(Input!$U$80:$U$89,$A127),0)</f>
        <v>0</v>
      </c>
      <c r="L127" s="75" cm="1">
        <f t="array" ref="L127">L120*IFERROR(INDEX(Input!$U$80:$U$89,$A127),0)</f>
        <v>0</v>
      </c>
    </row>
    <row r="128" spans="1:12" ht="18" customHeight="1" x14ac:dyDescent="0.3">
      <c r="A128" s="9">
        <v>8</v>
      </c>
      <c r="B128" s="66" t="str">
        <f>"ServCo property management ("&amp;TEXT(Input!$C$31,"0%")&amp;")"</f>
        <v>ServCo property management (20%)</v>
      </c>
      <c r="C128" s="75">
        <f>C120*Input!$C$31</f>
        <v>0</v>
      </c>
      <c r="D128" s="75">
        <f>D120*Input!$C$31</f>
        <v>0</v>
      </c>
      <c r="E128" s="75">
        <f>E120*Input!$C$31</f>
        <v>0</v>
      </c>
      <c r="F128" s="75">
        <f>F120*Input!$C$31</f>
        <v>0</v>
      </c>
      <c r="G128" s="75">
        <f>G120*Input!$C$31</f>
        <v>0</v>
      </c>
      <c r="H128" s="75">
        <f>H120*Input!$C$31</f>
        <v>0</v>
      </c>
      <c r="I128" s="75">
        <f>I120*Input!$C$31</f>
        <v>0</v>
      </c>
      <c r="J128" s="75">
        <f>J120*Input!$C$31</f>
        <v>0</v>
      </c>
      <c r="K128" s="75">
        <f>K120*Input!$C$31</f>
        <v>0</v>
      </c>
      <c r="L128" s="75">
        <f>L120*Input!$C$31</f>
        <v>0</v>
      </c>
    </row>
    <row r="129" spans="1:12" ht="18" customHeight="1" x14ac:dyDescent="0.3">
      <c r="A129" s="9">
        <v>8</v>
      </c>
      <c r="B129" s="66" t="s">
        <v>980</v>
      </c>
      <c r="C129" s="75">
        <f>IFERROR(SUMIF('_Month Engine'!$C$5:$DR$5,C$4,INDEX('_Month Engine'!$C:$DR,MATCH("Renting Flag (1 = renting in month)",'_Month Engine'!$A:$A,0)+MATCH($A129,'_Month Engine'!$B$98:$B$107,0),0))*Input!$C$32,0)</f>
        <v>0</v>
      </c>
      <c r="D129" s="75">
        <f>IFERROR(SUMIF('_Month Engine'!$C$5:$DR$5,D$4,INDEX('_Month Engine'!$C:$DR,MATCH("Renting Flag (1 = renting in month)",'_Month Engine'!$A:$A,0)+MATCH($A129,'_Month Engine'!$B$98:$B$107,0),0))*Input!$C$32,0)</f>
        <v>0</v>
      </c>
      <c r="E129" s="75">
        <f>IFERROR(SUMIF('_Month Engine'!$C$5:$DR$5,E$4,INDEX('_Month Engine'!$C:$DR,MATCH("Renting Flag (1 = renting in month)",'_Month Engine'!$A:$A,0)+MATCH($A129,'_Month Engine'!$B$98:$B$107,0),0))*Input!$C$32,0)</f>
        <v>0</v>
      </c>
      <c r="F129" s="75">
        <f>IFERROR(SUMIF('_Month Engine'!$C$5:$DR$5,F$4,INDEX('_Month Engine'!$C:$DR,MATCH("Renting Flag (1 = renting in month)",'_Month Engine'!$A:$A,0)+MATCH($A129,'_Month Engine'!$B$98:$B$107,0),0))*Input!$C$32,0)</f>
        <v>0</v>
      </c>
      <c r="G129" s="75">
        <f>IFERROR(SUMIF('_Month Engine'!$C$5:$DR$5,G$4,INDEX('_Month Engine'!$C:$DR,MATCH("Renting Flag (1 = renting in month)",'_Month Engine'!$A:$A,0)+MATCH($A129,'_Month Engine'!$B$98:$B$107,0),0))*Input!$C$32,0)</f>
        <v>0</v>
      </c>
      <c r="H129" s="75">
        <f>IFERROR(SUMIF('_Month Engine'!$C$5:$DR$5,H$4,INDEX('_Month Engine'!$C:$DR,MATCH("Renting Flag (1 = renting in month)",'_Month Engine'!$A:$A,0)+MATCH($A129,'_Month Engine'!$B$98:$B$107,0),0))*Input!$C$32,0)</f>
        <v>0</v>
      </c>
      <c r="I129" s="75">
        <f>IFERROR(SUMIF('_Month Engine'!$C$5:$DR$5,I$4,INDEX('_Month Engine'!$C:$DR,MATCH("Renting Flag (1 = renting in month)",'_Month Engine'!$A:$A,0)+MATCH($A129,'_Month Engine'!$B$98:$B$107,0),0))*Input!$C$32,0)</f>
        <v>0</v>
      </c>
      <c r="J129" s="75">
        <f>IFERROR(SUMIF('_Month Engine'!$C$5:$DR$5,J$4,INDEX('_Month Engine'!$C:$DR,MATCH("Renting Flag (1 = renting in month)",'_Month Engine'!$A:$A,0)+MATCH($A129,'_Month Engine'!$B$98:$B$107,0),0))*Input!$C$32,0)</f>
        <v>0</v>
      </c>
      <c r="K129" s="75">
        <f>IFERROR(SUMIF('_Month Engine'!$C$5:$DR$5,K$4,INDEX('_Month Engine'!$C:$DR,MATCH("Renting Flag (1 = renting in month)",'_Month Engine'!$A:$A,0)+MATCH($A129,'_Month Engine'!$B$98:$B$107,0),0))*Input!$C$32,0)</f>
        <v>0</v>
      </c>
      <c r="L129" s="75">
        <f>IFERROR(SUMIF('_Month Engine'!$C$5:$DR$5,L$4,INDEX('_Month Engine'!$C:$DR,MATCH("Renting Flag (1 = renting in month)",'_Month Engine'!$A:$A,0)+MATCH($A129,'_Month Engine'!$B$98:$B$107,0),0))*Input!$C$32,0)</f>
        <v>0</v>
      </c>
    </row>
    <row r="130" spans="1:12" ht="18" customHeight="1" x14ac:dyDescent="0.3">
      <c r="A130" s="9">
        <v>8</v>
      </c>
      <c r="B130" s="11" t="s">
        <v>76</v>
      </c>
      <c r="C130" s="68">
        <f t="shared" ref="C130:L130" si="15">SUM(C121:C129)</f>
        <v>0</v>
      </c>
      <c r="D130" s="68">
        <f t="shared" si="15"/>
        <v>0</v>
      </c>
      <c r="E130" s="68">
        <f t="shared" si="15"/>
        <v>0</v>
      </c>
      <c r="F130" s="68">
        <f t="shared" si="15"/>
        <v>0</v>
      </c>
      <c r="G130" s="68">
        <f t="shared" si="15"/>
        <v>0</v>
      </c>
      <c r="H130" s="68">
        <f t="shared" si="15"/>
        <v>0</v>
      </c>
      <c r="I130" s="68">
        <f t="shared" si="15"/>
        <v>0</v>
      </c>
      <c r="J130" s="68">
        <f t="shared" si="15"/>
        <v>0</v>
      </c>
      <c r="K130" s="68">
        <f t="shared" si="15"/>
        <v>0</v>
      </c>
      <c r="L130" s="68">
        <f t="shared" si="15"/>
        <v>0</v>
      </c>
    </row>
    <row r="131" spans="1:12" ht="18" customHeight="1" x14ac:dyDescent="0.3">
      <c r="A131" s="9">
        <v>8</v>
      </c>
      <c r="B131" s="11" t="s">
        <v>172</v>
      </c>
      <c r="C131" s="68">
        <f t="shared" ref="C131:L131" si="16">C120-C130</f>
        <v>0</v>
      </c>
      <c r="D131" s="68">
        <f t="shared" si="16"/>
        <v>0</v>
      </c>
      <c r="E131" s="68">
        <f t="shared" si="16"/>
        <v>0</v>
      </c>
      <c r="F131" s="68">
        <f t="shared" si="16"/>
        <v>0</v>
      </c>
      <c r="G131" s="68">
        <f t="shared" si="16"/>
        <v>0</v>
      </c>
      <c r="H131" s="68">
        <f t="shared" si="16"/>
        <v>0</v>
      </c>
      <c r="I131" s="68">
        <f t="shared" si="16"/>
        <v>0</v>
      </c>
      <c r="J131" s="68">
        <f t="shared" si="16"/>
        <v>0</v>
      </c>
      <c r="K131" s="68">
        <f t="shared" si="16"/>
        <v>0</v>
      </c>
      <c r="L131" s="68">
        <f t="shared" si="16"/>
        <v>0</v>
      </c>
    </row>
    <row r="132" spans="1:12" ht="18" customHeight="1" x14ac:dyDescent="0.3">
      <c r="A132" s="9">
        <v>8</v>
      </c>
      <c r="B132" s="22" t="s">
        <v>173</v>
      </c>
      <c r="C132" s="77">
        <f>SUMIF('_Month Engine'!$C$5:$DR$5,C$4,INDEX('_Month Engine'!$C:$DR,MATCH("Acquisition Outflow (Purchase + Closing)",'_Month Engine'!$A:$A,0)+MATCH($A132,'_Month Engine'!$B$8:$B$17,0),0))+SUMIF('_Month Engine'!$C$5:$DR$5,C$4,INDEX('_Month Engine'!$C:$DR,MATCH("Acquisition Outflow (Purchase + Closing)",'_Month Engine'!$A:$A,0)+MATCH($A132,'_Month Engine'!$B$21:$B$30,0),0))</f>
        <v>0</v>
      </c>
      <c r="D132" s="77">
        <f>SUMIF('_Month Engine'!$C$5:$DR$5,D$4,INDEX('_Month Engine'!$C:$DR,MATCH("Acquisition Outflow (Purchase + Closing)",'_Month Engine'!$A:$A,0)+MATCH($A132,'_Month Engine'!$B$8:$B$17,0),0))+SUMIF('_Month Engine'!$C$5:$DR$5,D$4,INDEX('_Month Engine'!$C:$DR,MATCH("Acquisition Outflow (Purchase + Closing)",'_Month Engine'!$A:$A,0)+MATCH($A132,'_Month Engine'!$B$21:$B$30,0),0))</f>
        <v>0</v>
      </c>
      <c r="E132" s="77">
        <f>SUMIF('_Month Engine'!$C$5:$DR$5,E$4,INDEX('_Month Engine'!$C:$DR,MATCH("Acquisition Outflow (Purchase + Closing)",'_Month Engine'!$A:$A,0)+MATCH($A132,'_Month Engine'!$B$8:$B$17,0),0))+SUMIF('_Month Engine'!$C$5:$DR$5,E$4,INDEX('_Month Engine'!$C:$DR,MATCH("Acquisition Outflow (Purchase + Closing)",'_Month Engine'!$A:$A,0)+MATCH($A132,'_Month Engine'!$B$21:$B$30,0),0))</f>
        <v>0</v>
      </c>
      <c r="F132" s="77">
        <f>SUMIF('_Month Engine'!$C$5:$DR$5,F$4,INDEX('_Month Engine'!$C:$DR,MATCH("Acquisition Outflow (Purchase + Closing)",'_Month Engine'!$A:$A,0)+MATCH($A132,'_Month Engine'!$B$8:$B$17,0),0))+SUMIF('_Month Engine'!$C$5:$DR$5,F$4,INDEX('_Month Engine'!$C:$DR,MATCH("Acquisition Outflow (Purchase + Closing)",'_Month Engine'!$A:$A,0)+MATCH($A132,'_Month Engine'!$B$21:$B$30,0),0))</f>
        <v>0</v>
      </c>
      <c r="G132" s="77">
        <f>SUMIF('_Month Engine'!$C$5:$DR$5,G$4,INDEX('_Month Engine'!$C:$DR,MATCH("Acquisition Outflow (Purchase + Closing)",'_Month Engine'!$A:$A,0)+MATCH($A132,'_Month Engine'!$B$8:$B$17,0),0))+SUMIF('_Month Engine'!$C$5:$DR$5,G$4,INDEX('_Month Engine'!$C:$DR,MATCH("Acquisition Outflow (Purchase + Closing)",'_Month Engine'!$A:$A,0)+MATCH($A132,'_Month Engine'!$B$21:$B$30,0),0))</f>
        <v>0</v>
      </c>
      <c r="H132" s="77">
        <f>SUMIF('_Month Engine'!$C$5:$DR$5,H$4,INDEX('_Month Engine'!$C:$DR,MATCH("Acquisition Outflow (Purchase + Closing)",'_Month Engine'!$A:$A,0)+MATCH($A132,'_Month Engine'!$B$8:$B$17,0),0))+SUMIF('_Month Engine'!$C$5:$DR$5,H$4,INDEX('_Month Engine'!$C:$DR,MATCH("Acquisition Outflow (Purchase + Closing)",'_Month Engine'!$A:$A,0)+MATCH($A132,'_Month Engine'!$B$21:$B$30,0),0))</f>
        <v>0</v>
      </c>
      <c r="I132" s="77">
        <f>SUMIF('_Month Engine'!$C$5:$DR$5,I$4,INDEX('_Month Engine'!$C:$DR,MATCH("Acquisition Outflow (Purchase + Closing)",'_Month Engine'!$A:$A,0)+MATCH($A132,'_Month Engine'!$B$8:$B$17,0),0))+SUMIF('_Month Engine'!$C$5:$DR$5,I$4,INDEX('_Month Engine'!$C:$DR,MATCH("Acquisition Outflow (Purchase + Closing)",'_Month Engine'!$A:$A,0)+MATCH($A132,'_Month Engine'!$B$21:$B$30,0),0))</f>
        <v>0</v>
      </c>
      <c r="J132" s="77">
        <f>SUMIF('_Month Engine'!$C$5:$DR$5,J$4,INDEX('_Month Engine'!$C:$DR,MATCH("Acquisition Outflow (Purchase + Closing)",'_Month Engine'!$A:$A,0)+MATCH($A132,'_Month Engine'!$B$8:$B$17,0),0))+SUMIF('_Month Engine'!$C$5:$DR$5,J$4,INDEX('_Month Engine'!$C:$DR,MATCH("Acquisition Outflow (Purchase + Closing)",'_Month Engine'!$A:$A,0)+MATCH($A132,'_Month Engine'!$B$21:$B$30,0),0))</f>
        <v>0</v>
      </c>
      <c r="K132" s="77">
        <f>SUMIF('_Month Engine'!$C$5:$DR$5,K$4,INDEX('_Month Engine'!$C:$DR,MATCH("Acquisition Outflow (Purchase + Closing)",'_Month Engine'!$A:$A,0)+MATCH($A132,'_Month Engine'!$B$8:$B$17,0),0))+SUMIF('_Month Engine'!$C$5:$DR$5,K$4,INDEX('_Month Engine'!$C:$DR,MATCH("Acquisition Outflow (Purchase + Closing)",'_Month Engine'!$A:$A,0)+MATCH($A132,'_Month Engine'!$B$21:$B$30,0),0))</f>
        <v>0</v>
      </c>
      <c r="L132" s="77">
        <f>SUMIF('_Month Engine'!$C$5:$DR$5,L$4,INDEX('_Month Engine'!$C:$DR,MATCH("Acquisition Outflow (Purchase + Closing)",'_Month Engine'!$A:$A,0)+MATCH($A132,'_Month Engine'!$B$8:$B$17,0),0))+SUMIF('_Month Engine'!$C$5:$DR$5,L$4,INDEX('_Month Engine'!$C:$DR,MATCH("Acquisition Outflow (Purchase + Closing)",'_Month Engine'!$A:$A,0)+MATCH($A132,'_Month Engine'!$B$21:$B$30,0),0))</f>
        <v>0</v>
      </c>
    </row>
    <row r="133" spans="1:12" ht="34.049999999999997" customHeight="1" x14ac:dyDescent="0.3">
      <c r="A133" s="9">
        <v>8</v>
      </c>
      <c r="B133" s="517" t="s">
        <v>1181</v>
      </c>
      <c r="C133" s="77" cm="1">
        <f t="array" ref="C133">SUMIF('_Month Engine'!$C$5:$DR$5,C$4,INDEX('_Month Engine'!$C:$DR,MATCH("Gross Sale Value",'_Month Engine'!$A:$A,0)+MATCH($A133,'_Month Engine'!$B$61:$B$70,0),0))*(1-Input!$C$15)-IF(SUMIF('_Month Engine'!$C$5:$DR$5,C$4,INDEX('_Month Engine'!$C:$DR,MATCH("Gross Sale Value",'_Month Engine'!$A:$A,0)+MATCH($A133,'_Month Engine'!$B$61:$B$70,0),0))&gt;0,INDEX(Properties!$AD:$AD,$A133+5),0)</f>
        <v>0</v>
      </c>
      <c r="D133" s="77" cm="1">
        <f t="array" ref="D133">SUMIF('_Month Engine'!$C$5:$DR$5,D$4,INDEX('_Month Engine'!$C:$DR,MATCH("Gross Sale Value",'_Month Engine'!$A:$A,0)+MATCH($A133,'_Month Engine'!$B$61:$B$70,0),0))*(1-Input!$C$15)-IF(SUMIF('_Month Engine'!$C$5:$DR$5,D$4,INDEX('_Month Engine'!$C:$DR,MATCH("Gross Sale Value",'_Month Engine'!$A:$A,0)+MATCH($A133,'_Month Engine'!$B$61:$B$70,0),0))&gt;0,INDEX(Properties!$AD:$AD,$A133+5),0)</f>
        <v>0</v>
      </c>
      <c r="E133" s="77" cm="1">
        <f t="array" ref="E133">SUMIF('_Month Engine'!$C$5:$DR$5,E$4,INDEX('_Month Engine'!$C:$DR,MATCH("Gross Sale Value",'_Month Engine'!$A:$A,0)+MATCH($A133,'_Month Engine'!$B$61:$B$70,0),0))*(1-Input!$C$15)-IF(SUMIF('_Month Engine'!$C$5:$DR$5,E$4,INDEX('_Month Engine'!$C:$DR,MATCH("Gross Sale Value",'_Month Engine'!$A:$A,0)+MATCH($A133,'_Month Engine'!$B$61:$B$70,0),0))&gt;0,INDEX(Properties!$AD:$AD,$A133+5),0)</f>
        <v>0</v>
      </c>
      <c r="F133" s="77" cm="1">
        <f t="array" ref="F133">SUMIF('_Month Engine'!$C$5:$DR$5,F$4,INDEX('_Month Engine'!$C:$DR,MATCH("Gross Sale Value",'_Month Engine'!$A:$A,0)+MATCH($A133,'_Month Engine'!$B$61:$B$70,0),0))*(1-Input!$C$15)-IF(SUMIF('_Month Engine'!$C$5:$DR$5,F$4,INDEX('_Month Engine'!$C:$DR,MATCH("Gross Sale Value",'_Month Engine'!$A:$A,0)+MATCH($A133,'_Month Engine'!$B$61:$B$70,0),0))&gt;0,INDEX(Properties!$AD:$AD,$A133+5),0)</f>
        <v>0</v>
      </c>
      <c r="G133" s="77" cm="1">
        <f t="array" ref="G133">SUMIF('_Month Engine'!$C$5:$DR$5,G$4,INDEX('_Month Engine'!$C:$DR,MATCH("Gross Sale Value",'_Month Engine'!$A:$A,0)+MATCH($A133,'_Month Engine'!$B$61:$B$70,0),0))*(1-Input!$C$15)-IF(SUMIF('_Month Engine'!$C$5:$DR$5,G$4,INDEX('_Month Engine'!$C:$DR,MATCH("Gross Sale Value",'_Month Engine'!$A:$A,0)+MATCH($A133,'_Month Engine'!$B$61:$B$70,0),0))&gt;0,INDEX(Properties!$AD:$AD,$A133+5),0)</f>
        <v>0</v>
      </c>
      <c r="H133" s="77" cm="1">
        <f t="array" ref="H133">SUMIF('_Month Engine'!$C$5:$DR$5,H$4,INDEX('_Month Engine'!$C:$DR,MATCH("Gross Sale Value",'_Month Engine'!$A:$A,0)+MATCH($A133,'_Month Engine'!$B$61:$B$70,0),0))*(1-Input!$C$15)-IF(SUMIF('_Month Engine'!$C$5:$DR$5,H$4,INDEX('_Month Engine'!$C:$DR,MATCH("Gross Sale Value",'_Month Engine'!$A:$A,0)+MATCH($A133,'_Month Engine'!$B$61:$B$70,0),0))&gt;0,INDEX(Properties!$AD:$AD,$A133+5),0)</f>
        <v>0</v>
      </c>
      <c r="I133" s="77" cm="1">
        <f t="array" ref="I133">SUMIF('_Month Engine'!$C$5:$DR$5,I$4,INDEX('_Month Engine'!$C:$DR,MATCH("Gross Sale Value",'_Month Engine'!$A:$A,0)+MATCH($A133,'_Month Engine'!$B$61:$B$70,0),0))*(1-Input!$C$15)-IF(SUMIF('_Month Engine'!$C$5:$DR$5,I$4,INDEX('_Month Engine'!$C:$DR,MATCH("Gross Sale Value",'_Month Engine'!$A:$A,0)+MATCH($A133,'_Month Engine'!$B$61:$B$70,0),0))&gt;0,INDEX(Properties!$AD:$AD,$A133+5),0)</f>
        <v>0</v>
      </c>
      <c r="J133" s="77" cm="1">
        <f t="array" ref="J133">SUMIF('_Month Engine'!$C$5:$DR$5,J$4,INDEX('_Month Engine'!$C:$DR,MATCH("Gross Sale Value",'_Month Engine'!$A:$A,0)+MATCH($A133,'_Month Engine'!$B$61:$B$70,0),0))*(1-Input!$C$15)-IF(SUMIF('_Month Engine'!$C$5:$DR$5,J$4,INDEX('_Month Engine'!$C:$DR,MATCH("Gross Sale Value",'_Month Engine'!$A:$A,0)+MATCH($A133,'_Month Engine'!$B$61:$B$70,0),0))&gt;0,INDEX(Properties!$AD:$AD,$A133+5),0)</f>
        <v>0</v>
      </c>
      <c r="K133" s="77" cm="1">
        <f t="array" ref="K133">SUMIF('_Month Engine'!$C$5:$DR$5,K$4,INDEX('_Month Engine'!$C:$DR,MATCH("Gross Sale Value",'_Month Engine'!$A:$A,0)+MATCH($A133,'_Month Engine'!$B$61:$B$70,0),0))*(1-Input!$C$15)-IF(SUMIF('_Month Engine'!$C$5:$DR$5,K$4,INDEX('_Month Engine'!$C:$DR,MATCH("Gross Sale Value",'_Month Engine'!$A:$A,0)+MATCH($A133,'_Month Engine'!$B$61:$B$70,0),0))&gt;0,INDEX(Properties!$AD:$AD,$A133+5),0)</f>
        <v>0</v>
      </c>
      <c r="L133" s="77" cm="1">
        <f t="array" ref="L133">SUMIF('_Month Engine'!$C$5:$DR$5,L$4,INDEX('_Month Engine'!$C:$DR,MATCH("Gross Sale Value",'_Month Engine'!$A:$A,0)+MATCH($A133,'_Month Engine'!$B$61:$B$70,0),0))*(1-Input!$C$15)-IF(SUMIF('_Month Engine'!$C$5:$DR$5,L$4,INDEX('_Month Engine'!$C:$DR,MATCH("Gross Sale Value",'_Month Engine'!$A:$A,0)+MATCH($A133,'_Month Engine'!$B$61:$B$70,0),0))&gt;0,INDEX(Properties!$AD:$AD,$A133+5),0)</f>
        <v>0</v>
      </c>
    </row>
    <row r="134" spans="1:12" ht="18" customHeight="1" x14ac:dyDescent="0.3">
      <c r="A134" s="9"/>
      <c r="B134" s="9"/>
      <c r="C134" s="66"/>
      <c r="D134" s="66"/>
      <c r="E134" s="66"/>
      <c r="F134" s="66"/>
      <c r="G134" s="66"/>
      <c r="H134" s="66"/>
      <c r="I134" s="66"/>
      <c r="J134" s="66"/>
      <c r="K134" s="66"/>
      <c r="L134" s="66"/>
    </row>
    <row r="135" spans="1:12" ht="18" customHeight="1" x14ac:dyDescent="0.3">
      <c r="A135" s="40">
        <v>9</v>
      </c>
      <c r="B135" s="40" t="str" cm="1">
        <f t="array" ref="B135">INDEX(Properties!$E:$E,$A135+5)&amp;"   ·   "&amp;INDEX(Properties!$F:$F,$A135+5)&amp;"   ·   "&amp;INDEX(Properties!$H:$H,$A135+5)</f>
        <v xml:space="preserve">   ·      ·   </v>
      </c>
      <c r="C135" s="67"/>
      <c r="D135" s="67"/>
      <c r="E135" s="67"/>
      <c r="F135" s="67"/>
      <c r="G135" s="67"/>
      <c r="H135" s="67"/>
      <c r="I135" s="67"/>
      <c r="J135" s="67"/>
      <c r="K135" s="67"/>
      <c r="L135" s="67"/>
    </row>
    <row r="136" spans="1:12" ht="18" customHeight="1" x14ac:dyDescent="0.3">
      <c r="A136" s="9">
        <v>9</v>
      </c>
      <c r="B136" s="66" t="s">
        <v>167</v>
      </c>
      <c r="C136" s="75">
        <f>SUMIF('_Month Engine'!$C$5:$DR$5,C$4,INDEX('_Month Engine'!$C:$DR,MATCH("Gross STR Revenue",'_Month Engine'!$A:$A,0)+MATCH($A136,'_Month Engine'!$B$34:$B$43,0),0))</f>
        <v>0</v>
      </c>
      <c r="D136" s="75">
        <f>SUMIF('_Month Engine'!$C$5:$DR$5,D$4,INDEX('_Month Engine'!$C:$DR,MATCH("Gross STR Revenue",'_Month Engine'!$A:$A,0)+MATCH($A136,'_Month Engine'!$B$34:$B$43,0),0))</f>
        <v>0</v>
      </c>
      <c r="E136" s="75">
        <f>SUMIF('_Month Engine'!$C$5:$DR$5,E$4,INDEX('_Month Engine'!$C:$DR,MATCH("Gross STR Revenue",'_Month Engine'!$A:$A,0)+MATCH($A136,'_Month Engine'!$B$34:$B$43,0),0))</f>
        <v>0</v>
      </c>
      <c r="F136" s="75">
        <f>SUMIF('_Month Engine'!$C$5:$DR$5,F$4,INDEX('_Month Engine'!$C:$DR,MATCH("Gross STR Revenue",'_Month Engine'!$A:$A,0)+MATCH($A136,'_Month Engine'!$B$34:$B$43,0),0))</f>
        <v>0</v>
      </c>
      <c r="G136" s="75">
        <f>SUMIF('_Month Engine'!$C$5:$DR$5,G$4,INDEX('_Month Engine'!$C:$DR,MATCH("Gross STR Revenue",'_Month Engine'!$A:$A,0)+MATCH($A136,'_Month Engine'!$B$34:$B$43,0),0))</f>
        <v>0</v>
      </c>
      <c r="H136" s="75">
        <f>SUMIF('_Month Engine'!$C$5:$DR$5,H$4,INDEX('_Month Engine'!$C:$DR,MATCH("Gross STR Revenue",'_Month Engine'!$A:$A,0)+MATCH($A136,'_Month Engine'!$B$34:$B$43,0),0))</f>
        <v>0</v>
      </c>
      <c r="I136" s="75">
        <f>SUMIF('_Month Engine'!$C$5:$DR$5,I$4,INDEX('_Month Engine'!$C:$DR,MATCH("Gross STR Revenue",'_Month Engine'!$A:$A,0)+MATCH($A136,'_Month Engine'!$B$34:$B$43,0),0))</f>
        <v>0</v>
      </c>
      <c r="J136" s="75">
        <f>SUMIF('_Month Engine'!$C$5:$DR$5,J$4,INDEX('_Month Engine'!$C:$DR,MATCH("Gross STR Revenue",'_Month Engine'!$A:$A,0)+MATCH($A136,'_Month Engine'!$B$34:$B$43,0),0))</f>
        <v>0</v>
      </c>
      <c r="K136" s="75">
        <f>SUMIF('_Month Engine'!$C$5:$DR$5,K$4,INDEX('_Month Engine'!$C:$DR,MATCH("Gross STR Revenue",'_Month Engine'!$A:$A,0)+MATCH($A136,'_Month Engine'!$B$34:$B$43,0),0))</f>
        <v>0</v>
      </c>
      <c r="L136" s="75">
        <f>SUMIF('_Month Engine'!$C$5:$DR$5,L$4,INDEX('_Month Engine'!$C:$DR,MATCH("Gross STR Revenue",'_Month Engine'!$A:$A,0)+MATCH($A136,'_Month Engine'!$B$34:$B$43,0),0))</f>
        <v>0</v>
      </c>
    </row>
    <row r="137" spans="1:12" ht="18" customHeight="1" x14ac:dyDescent="0.3">
      <c r="A137" s="9">
        <v>9</v>
      </c>
      <c r="B137" s="66" t="s">
        <v>1179</v>
      </c>
      <c r="C137" s="75" cm="1">
        <f t="array" ref="C137">SUMIF('_Month Engine'!$C$5:$DR$5,C$4,INDEX('_Month Engine'!$C:$DR,MATCH("Owned All-In Basis",'_Month Engine'!$A:$A,0)+MATCH($A137,'_Month Engine'!$B$47:$B$56,0),0))*INDEX(Input!$C$80:$C$89,$A137)/'_IRR Engine'!$Q$7</f>
        <v>0</v>
      </c>
      <c r="D137" s="75" cm="1">
        <f t="array" ref="D137">SUMIF('_Month Engine'!$C$5:$DR$5,D$4,INDEX('_Month Engine'!$C:$DR,MATCH("Owned All-In Basis",'_Month Engine'!$A:$A,0)+MATCH($A137,'_Month Engine'!$B$47:$B$56,0),0))*INDEX(Input!$C$80:$C$89,$A137)/'_IRR Engine'!$Q$7</f>
        <v>0</v>
      </c>
      <c r="E137" s="75" cm="1">
        <f t="array" ref="E137">SUMIF('_Month Engine'!$C$5:$DR$5,E$4,INDEX('_Month Engine'!$C:$DR,MATCH("Owned All-In Basis",'_Month Engine'!$A:$A,0)+MATCH($A137,'_Month Engine'!$B$47:$B$56,0),0))*INDEX(Input!$C$80:$C$89,$A137)/'_IRR Engine'!$Q$7</f>
        <v>0</v>
      </c>
      <c r="F137" s="75" cm="1">
        <f t="array" ref="F137">SUMIF('_Month Engine'!$C$5:$DR$5,F$4,INDEX('_Month Engine'!$C:$DR,MATCH("Owned All-In Basis",'_Month Engine'!$A:$A,0)+MATCH($A137,'_Month Engine'!$B$47:$B$56,0),0))*INDEX(Input!$C$80:$C$89,$A137)/'_IRR Engine'!$Q$7</f>
        <v>0</v>
      </c>
      <c r="G137" s="75" cm="1">
        <f t="array" ref="G137">SUMIF('_Month Engine'!$C$5:$DR$5,G$4,INDEX('_Month Engine'!$C:$DR,MATCH("Owned All-In Basis",'_Month Engine'!$A:$A,0)+MATCH($A137,'_Month Engine'!$B$47:$B$56,0),0))*INDEX(Input!$C$80:$C$89,$A137)/'_IRR Engine'!$Q$7</f>
        <v>0</v>
      </c>
      <c r="H137" s="75" cm="1">
        <f t="array" ref="H137">SUMIF('_Month Engine'!$C$5:$DR$5,H$4,INDEX('_Month Engine'!$C:$DR,MATCH("Owned All-In Basis",'_Month Engine'!$A:$A,0)+MATCH($A137,'_Month Engine'!$B$47:$B$56,0),0))*INDEX(Input!$C$80:$C$89,$A137)/'_IRR Engine'!$Q$7</f>
        <v>0</v>
      </c>
      <c r="I137" s="75" cm="1">
        <f t="array" ref="I137">SUMIF('_Month Engine'!$C$5:$DR$5,I$4,INDEX('_Month Engine'!$C:$DR,MATCH("Owned All-In Basis",'_Month Engine'!$A:$A,0)+MATCH($A137,'_Month Engine'!$B$47:$B$56,0),0))*INDEX(Input!$C$80:$C$89,$A137)/'_IRR Engine'!$Q$7</f>
        <v>0</v>
      </c>
      <c r="J137" s="75" cm="1">
        <f t="array" ref="J137">SUMIF('_Month Engine'!$C$5:$DR$5,J$4,INDEX('_Month Engine'!$C:$DR,MATCH("Owned All-In Basis",'_Month Engine'!$A:$A,0)+MATCH($A137,'_Month Engine'!$B$47:$B$56,0),0))*INDEX(Input!$C$80:$C$89,$A137)/'_IRR Engine'!$Q$7</f>
        <v>0</v>
      </c>
      <c r="K137" s="75" cm="1">
        <f t="array" ref="K137">SUMIF('_Month Engine'!$C$5:$DR$5,K$4,INDEX('_Month Engine'!$C:$DR,MATCH("Owned All-In Basis",'_Month Engine'!$A:$A,0)+MATCH($A137,'_Month Engine'!$B$47:$B$56,0),0))*INDEX(Input!$C$80:$C$89,$A137)/'_IRR Engine'!$Q$7</f>
        <v>0</v>
      </c>
      <c r="L137" s="75" cm="1">
        <f t="array" ref="L137">SUMIF('_Month Engine'!$C$5:$DR$5,L$4,INDEX('_Month Engine'!$C:$DR,MATCH("Owned All-In Basis",'_Month Engine'!$A:$A,0)+MATCH($A137,'_Month Engine'!$B$47:$B$56,0),0))*INDEX(Input!$C$80:$C$89,$A137)/'_IRR Engine'!$Q$7</f>
        <v>0</v>
      </c>
    </row>
    <row r="138" spans="1:12" ht="18" customHeight="1" x14ac:dyDescent="0.3">
      <c r="A138" s="9">
        <v>9</v>
      </c>
      <c r="B138" s="66" t="s">
        <v>72</v>
      </c>
      <c r="C138" s="75">
        <f>SUMIF('_Month Engine'!$C$5:$DR$5,C$4,INDEX('_Month Engine'!$C:$DR,MATCH("Renting All-In Basis",'_Month Engine'!$A:$A,0)+MATCH($A138,'_Month Engine'!$B$110:$B$119,0),0))*Input!$C$18/'_IRR Engine'!$Q$7</f>
        <v>0</v>
      </c>
      <c r="D138" s="75">
        <f>SUMIF('_Month Engine'!$C$5:$DR$5,D$4,INDEX('_Month Engine'!$C:$DR,MATCH("Renting All-In Basis",'_Month Engine'!$A:$A,0)+MATCH($A138,'_Month Engine'!$B$110:$B$119,0),0))*Input!$C$18/'_IRR Engine'!$Q$7</f>
        <v>0</v>
      </c>
      <c r="E138" s="75">
        <f>SUMIF('_Month Engine'!$C$5:$DR$5,E$4,INDEX('_Month Engine'!$C:$DR,MATCH("Renting All-In Basis",'_Month Engine'!$A:$A,0)+MATCH($A138,'_Month Engine'!$B$110:$B$119,0),0))*Input!$C$18/'_IRR Engine'!$Q$7</f>
        <v>0</v>
      </c>
      <c r="F138" s="75">
        <f>SUMIF('_Month Engine'!$C$5:$DR$5,F$4,INDEX('_Month Engine'!$C:$DR,MATCH("Renting All-In Basis",'_Month Engine'!$A:$A,0)+MATCH($A138,'_Month Engine'!$B$110:$B$119,0),0))*Input!$C$18/'_IRR Engine'!$Q$7</f>
        <v>0</v>
      </c>
      <c r="G138" s="75">
        <f>SUMIF('_Month Engine'!$C$5:$DR$5,G$4,INDEX('_Month Engine'!$C:$DR,MATCH("Renting All-In Basis",'_Month Engine'!$A:$A,0)+MATCH($A138,'_Month Engine'!$B$110:$B$119,0),0))*Input!$C$18/'_IRR Engine'!$Q$7</f>
        <v>0</v>
      </c>
      <c r="H138" s="75">
        <f>SUMIF('_Month Engine'!$C$5:$DR$5,H$4,INDEX('_Month Engine'!$C:$DR,MATCH("Renting All-In Basis",'_Month Engine'!$A:$A,0)+MATCH($A138,'_Month Engine'!$B$110:$B$119,0),0))*Input!$C$18/'_IRR Engine'!$Q$7</f>
        <v>0</v>
      </c>
      <c r="I138" s="75">
        <f>SUMIF('_Month Engine'!$C$5:$DR$5,I$4,INDEX('_Month Engine'!$C:$DR,MATCH("Renting All-In Basis",'_Month Engine'!$A:$A,0)+MATCH($A138,'_Month Engine'!$B$110:$B$119,0),0))*Input!$C$18/'_IRR Engine'!$Q$7</f>
        <v>0</v>
      </c>
      <c r="J138" s="75">
        <f>SUMIF('_Month Engine'!$C$5:$DR$5,J$4,INDEX('_Month Engine'!$C:$DR,MATCH("Renting All-In Basis",'_Month Engine'!$A:$A,0)+MATCH($A138,'_Month Engine'!$B$110:$B$119,0),0))*Input!$C$18/'_IRR Engine'!$Q$7</f>
        <v>0</v>
      </c>
      <c r="K138" s="75">
        <f>SUMIF('_Month Engine'!$C$5:$DR$5,K$4,INDEX('_Month Engine'!$C:$DR,MATCH("Renting All-In Basis",'_Month Engine'!$A:$A,0)+MATCH($A138,'_Month Engine'!$B$110:$B$119,0),0))*Input!$C$18/'_IRR Engine'!$Q$7</f>
        <v>0</v>
      </c>
      <c r="L138" s="75">
        <f>SUMIF('_Month Engine'!$C$5:$DR$5,L$4,INDEX('_Month Engine'!$C:$DR,MATCH("Renting All-In Basis",'_Month Engine'!$A:$A,0)+MATCH($A138,'_Month Engine'!$B$110:$B$119,0),0))*Input!$C$18/'_IRR Engine'!$Q$7</f>
        <v>0</v>
      </c>
    </row>
    <row r="139" spans="1:12" ht="18" customHeight="1" x14ac:dyDescent="0.3">
      <c r="A139" s="9">
        <v>9</v>
      </c>
      <c r="B139" s="66" t="s">
        <v>168</v>
      </c>
      <c r="C139" s="75" cm="1">
        <f t="array" ref="C139">SUMIF('_Month Engine'!$C$5:$DR$5,C$4,INDEX('_Month Engine'!$C:$DR,MATCH("Owned Flag (1 = owned in month)",'_Month Engine'!$A:$A,0)+MATCH($A139,'_Month Engine'!$B$86:$B$95,0),0))*INDEX(Input!$D$80:$D$89,$A139)*1000000/Input!$C$5</f>
        <v>0</v>
      </c>
      <c r="D139" s="75" cm="1">
        <f t="array" ref="D139">SUMIF('_Month Engine'!$C$5:$DR$5,D$4,INDEX('_Month Engine'!$C:$DR,MATCH("Owned Flag (1 = owned in month)",'_Month Engine'!$A:$A,0)+MATCH($A139,'_Month Engine'!$B$86:$B$95,0),0))*INDEX(Input!$D$80:$D$89,$A139)*1000000/Input!$C$5</f>
        <v>0</v>
      </c>
      <c r="E139" s="75" cm="1">
        <f t="array" ref="E139">SUMIF('_Month Engine'!$C$5:$DR$5,E$4,INDEX('_Month Engine'!$C:$DR,MATCH("Owned Flag (1 = owned in month)",'_Month Engine'!$A:$A,0)+MATCH($A139,'_Month Engine'!$B$86:$B$95,0),0))*INDEX(Input!$D$80:$D$89,$A139)*1000000/Input!$C$5</f>
        <v>0</v>
      </c>
      <c r="F139" s="75" cm="1">
        <f t="array" ref="F139">SUMIF('_Month Engine'!$C$5:$DR$5,F$4,INDEX('_Month Engine'!$C:$DR,MATCH("Owned Flag (1 = owned in month)",'_Month Engine'!$A:$A,0)+MATCH($A139,'_Month Engine'!$B$86:$B$95,0),0))*INDEX(Input!$D$80:$D$89,$A139)*1000000/Input!$C$5</f>
        <v>0</v>
      </c>
      <c r="G139" s="75" cm="1">
        <f t="array" ref="G139">SUMIF('_Month Engine'!$C$5:$DR$5,G$4,INDEX('_Month Engine'!$C:$DR,MATCH("Owned Flag (1 = owned in month)",'_Month Engine'!$A:$A,0)+MATCH($A139,'_Month Engine'!$B$86:$B$95,0),0))*INDEX(Input!$D$80:$D$89,$A139)*1000000/Input!$C$5</f>
        <v>0</v>
      </c>
      <c r="H139" s="75" cm="1">
        <f t="array" ref="H139">SUMIF('_Month Engine'!$C$5:$DR$5,H$4,INDEX('_Month Engine'!$C:$DR,MATCH("Owned Flag (1 = owned in month)",'_Month Engine'!$A:$A,0)+MATCH($A139,'_Month Engine'!$B$86:$B$95,0),0))*INDEX(Input!$D$80:$D$89,$A139)*1000000/Input!$C$5</f>
        <v>0</v>
      </c>
      <c r="I139" s="75" cm="1">
        <f t="array" ref="I139">SUMIF('_Month Engine'!$C$5:$DR$5,I$4,INDEX('_Month Engine'!$C:$DR,MATCH("Owned Flag (1 = owned in month)",'_Month Engine'!$A:$A,0)+MATCH($A139,'_Month Engine'!$B$86:$B$95,0),0))*INDEX(Input!$D$80:$D$89,$A139)*1000000/Input!$C$5</f>
        <v>0</v>
      </c>
      <c r="J139" s="75" cm="1">
        <f t="array" ref="J139">SUMIF('_Month Engine'!$C$5:$DR$5,J$4,INDEX('_Month Engine'!$C:$DR,MATCH("Owned Flag (1 = owned in month)",'_Month Engine'!$A:$A,0)+MATCH($A139,'_Month Engine'!$B$86:$B$95,0),0))*INDEX(Input!$D$80:$D$89,$A139)*1000000/Input!$C$5</f>
        <v>0</v>
      </c>
      <c r="K139" s="75" cm="1">
        <f t="array" ref="K139">SUMIF('_Month Engine'!$C$5:$DR$5,K$4,INDEX('_Month Engine'!$C:$DR,MATCH("Owned Flag (1 = owned in month)",'_Month Engine'!$A:$A,0)+MATCH($A139,'_Month Engine'!$B$86:$B$95,0),0))*INDEX(Input!$D$80:$D$89,$A139)*1000000/Input!$C$5</f>
        <v>0</v>
      </c>
      <c r="L139" s="75" cm="1">
        <f t="array" ref="L139">SUMIF('_Month Engine'!$C$5:$DR$5,L$4,INDEX('_Month Engine'!$C:$DR,MATCH("Owned Flag (1 = owned in month)",'_Month Engine'!$A:$A,0)+MATCH($A139,'_Month Engine'!$B$86:$B$95,0),0))*INDEX(Input!$D$80:$D$89,$A139)*1000000/Input!$C$5</f>
        <v>0</v>
      </c>
    </row>
    <row r="140" spans="1:12" ht="18" customHeight="1" x14ac:dyDescent="0.3">
      <c r="A140" s="9">
        <v>9</v>
      </c>
      <c r="B140" s="66" t="s">
        <v>169</v>
      </c>
      <c r="C140" s="75" cm="1">
        <f t="array" ref="C140">SUMIF('_Month Engine'!$C$5:$DR$5,C$4,INDEX('_Month Engine'!$C:$DR,MATCH("Owned Flag (1 = owned in month)",'_Month Engine'!$A:$A,0)+MATCH($A140,'_Month Engine'!$B$86:$B$95,0),0))*INDEX(Input!$E$80:$E$89,$A140)*1000000/Input!$C$5</f>
        <v>0</v>
      </c>
      <c r="D140" s="75" cm="1">
        <f t="array" ref="D140">SUMIF('_Month Engine'!$C$5:$DR$5,D$4,INDEX('_Month Engine'!$C:$DR,MATCH("Owned Flag (1 = owned in month)",'_Month Engine'!$A:$A,0)+MATCH($A140,'_Month Engine'!$B$86:$B$95,0),0))*INDEX(Input!$E$80:$E$89,$A140)*1000000/Input!$C$5</f>
        <v>0</v>
      </c>
      <c r="E140" s="75" cm="1">
        <f t="array" ref="E140">SUMIF('_Month Engine'!$C$5:$DR$5,E$4,INDEX('_Month Engine'!$C:$DR,MATCH("Owned Flag (1 = owned in month)",'_Month Engine'!$A:$A,0)+MATCH($A140,'_Month Engine'!$B$86:$B$95,0),0))*INDEX(Input!$E$80:$E$89,$A140)*1000000/Input!$C$5</f>
        <v>0</v>
      </c>
      <c r="F140" s="75" cm="1">
        <f t="array" ref="F140">SUMIF('_Month Engine'!$C$5:$DR$5,F$4,INDEX('_Month Engine'!$C:$DR,MATCH("Owned Flag (1 = owned in month)",'_Month Engine'!$A:$A,0)+MATCH($A140,'_Month Engine'!$B$86:$B$95,0),0))*INDEX(Input!$E$80:$E$89,$A140)*1000000/Input!$C$5</f>
        <v>0</v>
      </c>
      <c r="G140" s="75" cm="1">
        <f t="array" ref="G140">SUMIF('_Month Engine'!$C$5:$DR$5,G$4,INDEX('_Month Engine'!$C:$DR,MATCH("Owned Flag (1 = owned in month)",'_Month Engine'!$A:$A,0)+MATCH($A140,'_Month Engine'!$B$86:$B$95,0),0))*INDEX(Input!$E$80:$E$89,$A140)*1000000/Input!$C$5</f>
        <v>0</v>
      </c>
      <c r="H140" s="75" cm="1">
        <f t="array" ref="H140">SUMIF('_Month Engine'!$C$5:$DR$5,H$4,INDEX('_Month Engine'!$C:$DR,MATCH("Owned Flag (1 = owned in month)",'_Month Engine'!$A:$A,0)+MATCH($A140,'_Month Engine'!$B$86:$B$95,0),0))*INDEX(Input!$E$80:$E$89,$A140)*1000000/Input!$C$5</f>
        <v>0</v>
      </c>
      <c r="I140" s="75" cm="1">
        <f t="array" ref="I140">SUMIF('_Month Engine'!$C$5:$DR$5,I$4,INDEX('_Month Engine'!$C:$DR,MATCH("Owned Flag (1 = owned in month)",'_Month Engine'!$A:$A,0)+MATCH($A140,'_Month Engine'!$B$86:$B$95,0),0))*INDEX(Input!$E$80:$E$89,$A140)*1000000/Input!$C$5</f>
        <v>0</v>
      </c>
      <c r="J140" s="75" cm="1">
        <f t="array" ref="J140">SUMIF('_Month Engine'!$C$5:$DR$5,J$4,INDEX('_Month Engine'!$C:$DR,MATCH("Owned Flag (1 = owned in month)",'_Month Engine'!$A:$A,0)+MATCH($A140,'_Month Engine'!$B$86:$B$95,0),0))*INDEX(Input!$E$80:$E$89,$A140)*1000000/Input!$C$5</f>
        <v>0</v>
      </c>
      <c r="K140" s="75" cm="1">
        <f t="array" ref="K140">SUMIF('_Month Engine'!$C$5:$DR$5,K$4,INDEX('_Month Engine'!$C:$DR,MATCH("Owned Flag (1 = owned in month)",'_Month Engine'!$A:$A,0)+MATCH($A140,'_Month Engine'!$B$86:$B$95,0),0))*INDEX(Input!$E$80:$E$89,$A140)*1000000/Input!$C$5</f>
        <v>0</v>
      </c>
      <c r="L140" s="75" cm="1">
        <f t="array" ref="L140">SUMIF('_Month Engine'!$C$5:$DR$5,L$4,INDEX('_Month Engine'!$C:$DR,MATCH("Owned Flag (1 = owned in month)",'_Month Engine'!$A:$A,0)+MATCH($A140,'_Month Engine'!$B$86:$B$95,0),0))*INDEX(Input!$E$80:$E$89,$A140)*1000000/Input!$C$5</f>
        <v>0</v>
      </c>
    </row>
    <row r="141" spans="1:12" ht="18" customHeight="1" x14ac:dyDescent="0.3">
      <c r="A141" s="9">
        <v>9</v>
      </c>
      <c r="B141" s="66" t="s">
        <v>170</v>
      </c>
      <c r="C141" s="75">
        <f>IFERROR(SUMIF('_Month Engine'!$C$5:$DR$5,C$4,INDEX('_Month Engine'!$C:$DR,MATCH("Renting All-In Basis",'_Month Engine'!$A:$A,0)+MATCH($A141,'_Month Engine'!$B$110:$B$119,0),0))*Input!$C$19/'_IRR Engine'!$Q$7,0)</f>
        <v>0</v>
      </c>
      <c r="D141" s="75">
        <f>IFERROR(SUMIF('_Month Engine'!$C$5:$DR$5,D$4,INDEX('_Month Engine'!$C:$DR,MATCH("Renting All-In Basis",'_Month Engine'!$A:$A,0)+MATCH($A141,'_Month Engine'!$B$110:$B$119,0),0))*Input!$C$19/'_IRR Engine'!$Q$7,0)</f>
        <v>0</v>
      </c>
      <c r="E141" s="75">
        <f>IFERROR(SUMIF('_Month Engine'!$C$5:$DR$5,E$4,INDEX('_Month Engine'!$C:$DR,MATCH("Renting All-In Basis",'_Month Engine'!$A:$A,0)+MATCH($A141,'_Month Engine'!$B$110:$B$119,0),0))*Input!$C$19/'_IRR Engine'!$Q$7,0)</f>
        <v>0</v>
      </c>
      <c r="F141" s="75">
        <f>IFERROR(SUMIF('_Month Engine'!$C$5:$DR$5,F$4,INDEX('_Month Engine'!$C:$DR,MATCH("Renting All-In Basis",'_Month Engine'!$A:$A,0)+MATCH($A141,'_Month Engine'!$B$110:$B$119,0),0))*Input!$C$19/'_IRR Engine'!$Q$7,0)</f>
        <v>0</v>
      </c>
      <c r="G141" s="75">
        <f>IFERROR(SUMIF('_Month Engine'!$C$5:$DR$5,G$4,INDEX('_Month Engine'!$C:$DR,MATCH("Renting All-In Basis",'_Month Engine'!$A:$A,0)+MATCH($A141,'_Month Engine'!$B$110:$B$119,0),0))*Input!$C$19/'_IRR Engine'!$Q$7,0)</f>
        <v>0</v>
      </c>
      <c r="H141" s="75">
        <f>IFERROR(SUMIF('_Month Engine'!$C$5:$DR$5,H$4,INDEX('_Month Engine'!$C:$DR,MATCH("Renting All-In Basis",'_Month Engine'!$A:$A,0)+MATCH($A141,'_Month Engine'!$B$110:$B$119,0),0))*Input!$C$19/'_IRR Engine'!$Q$7,0)</f>
        <v>0</v>
      </c>
      <c r="I141" s="75">
        <f>IFERROR(SUMIF('_Month Engine'!$C$5:$DR$5,I$4,INDEX('_Month Engine'!$C:$DR,MATCH("Renting All-In Basis",'_Month Engine'!$A:$A,0)+MATCH($A141,'_Month Engine'!$B$110:$B$119,0),0))*Input!$C$19/'_IRR Engine'!$Q$7,0)</f>
        <v>0</v>
      </c>
      <c r="J141" s="75">
        <f>IFERROR(SUMIF('_Month Engine'!$C$5:$DR$5,J$4,INDEX('_Month Engine'!$C:$DR,MATCH("Renting All-In Basis",'_Month Engine'!$A:$A,0)+MATCH($A141,'_Month Engine'!$B$110:$B$119,0),0))*Input!$C$19/'_IRR Engine'!$Q$7,0)</f>
        <v>0</v>
      </c>
      <c r="K141" s="75">
        <f>IFERROR(SUMIF('_Month Engine'!$C$5:$DR$5,K$4,INDEX('_Month Engine'!$C:$DR,MATCH("Renting All-In Basis",'_Month Engine'!$A:$A,0)+MATCH($A141,'_Month Engine'!$B$110:$B$119,0),0))*Input!$C$19/'_IRR Engine'!$Q$7,0)</f>
        <v>0</v>
      </c>
      <c r="L141" s="75">
        <f>IFERROR(SUMIF('_Month Engine'!$C$5:$DR$5,L$4,INDEX('_Month Engine'!$C:$DR,MATCH("Renting All-In Basis",'_Month Engine'!$A:$A,0)+MATCH($A141,'_Month Engine'!$B$110:$B$119,0),0))*Input!$C$19/'_IRR Engine'!$Q$7,0)</f>
        <v>0</v>
      </c>
    </row>
    <row r="142" spans="1:12" ht="18" customHeight="1" x14ac:dyDescent="0.3">
      <c r="A142" s="9">
        <v>9</v>
      </c>
      <c r="B142" s="66" t="s">
        <v>171</v>
      </c>
      <c r="C142" s="75">
        <f>C136*Input!$C$20</f>
        <v>0</v>
      </c>
      <c r="D142" s="75">
        <f>D136*Input!$C$20</f>
        <v>0</v>
      </c>
      <c r="E142" s="75">
        <f>E136*Input!$C$20</f>
        <v>0</v>
      </c>
      <c r="F142" s="75">
        <f>F136*Input!$C$20</f>
        <v>0</v>
      </c>
      <c r="G142" s="75">
        <f>G136*Input!$C$20</f>
        <v>0</v>
      </c>
      <c r="H142" s="75">
        <f>H136*Input!$C$20</f>
        <v>0</v>
      </c>
      <c r="I142" s="75">
        <f>I136*Input!$C$20</f>
        <v>0</v>
      </c>
      <c r="J142" s="75">
        <f>J136*Input!$C$20</f>
        <v>0</v>
      </c>
      <c r="K142" s="75">
        <f>K136*Input!$C$20</f>
        <v>0</v>
      </c>
      <c r="L142" s="75">
        <f>L136*Input!$C$20</f>
        <v>0</v>
      </c>
    </row>
    <row r="143" spans="1:12" x14ac:dyDescent="0.3">
      <c r="A143" s="9">
        <v>9</v>
      </c>
      <c r="B143" s="66" t="s">
        <v>1180</v>
      </c>
      <c r="C143" s="75" cm="1">
        <f t="array" ref="C143">C136*IFERROR(INDEX(Input!$U$80:$U$89,$A143),0)</f>
        <v>0</v>
      </c>
      <c r="D143" s="75" cm="1">
        <f t="array" ref="D143">D136*IFERROR(INDEX(Input!$U$80:$U$89,$A143),0)</f>
        <v>0</v>
      </c>
      <c r="E143" s="75" cm="1">
        <f t="array" ref="E143">E136*IFERROR(INDEX(Input!$U$80:$U$89,$A143),0)</f>
        <v>0</v>
      </c>
      <c r="F143" s="75" cm="1">
        <f t="array" ref="F143">F136*IFERROR(INDEX(Input!$U$80:$U$89,$A143),0)</f>
        <v>0</v>
      </c>
      <c r="G143" s="75" cm="1">
        <f t="array" ref="G143">G136*IFERROR(INDEX(Input!$U$80:$U$89,$A143),0)</f>
        <v>0</v>
      </c>
      <c r="H143" s="75" cm="1">
        <f t="array" ref="H143">H136*IFERROR(INDEX(Input!$U$80:$U$89,$A143),0)</f>
        <v>0</v>
      </c>
      <c r="I143" s="75" cm="1">
        <f t="array" ref="I143">I136*IFERROR(INDEX(Input!$U$80:$U$89,$A143),0)</f>
        <v>0</v>
      </c>
      <c r="J143" s="75" cm="1">
        <f t="array" ref="J143">J136*IFERROR(INDEX(Input!$U$80:$U$89,$A143),0)</f>
        <v>0</v>
      </c>
      <c r="K143" s="75" cm="1">
        <f t="array" ref="K143">K136*IFERROR(INDEX(Input!$U$80:$U$89,$A143),0)</f>
        <v>0</v>
      </c>
      <c r="L143" s="75" cm="1">
        <f t="array" ref="L143">L136*IFERROR(INDEX(Input!$U$80:$U$89,$A143),0)</f>
        <v>0</v>
      </c>
    </row>
    <row r="144" spans="1:12" ht="18" customHeight="1" x14ac:dyDescent="0.3">
      <c r="A144" s="9">
        <v>9</v>
      </c>
      <c r="B144" s="66" t="str">
        <f>"ServCo property management ("&amp;TEXT(Input!$C$31,"0%")&amp;")"</f>
        <v>ServCo property management (20%)</v>
      </c>
      <c r="C144" s="75">
        <f>C136*Input!$C$31</f>
        <v>0</v>
      </c>
      <c r="D144" s="75">
        <f>D136*Input!$C$31</f>
        <v>0</v>
      </c>
      <c r="E144" s="75">
        <f>E136*Input!$C$31</f>
        <v>0</v>
      </c>
      <c r="F144" s="75">
        <f>F136*Input!$C$31</f>
        <v>0</v>
      </c>
      <c r="G144" s="75">
        <f>G136*Input!$C$31</f>
        <v>0</v>
      </c>
      <c r="H144" s="75">
        <f>H136*Input!$C$31</f>
        <v>0</v>
      </c>
      <c r="I144" s="75">
        <f>I136*Input!$C$31</f>
        <v>0</v>
      </c>
      <c r="J144" s="75">
        <f>J136*Input!$C$31</f>
        <v>0</v>
      </c>
      <c r="K144" s="75">
        <f>K136*Input!$C$31</f>
        <v>0</v>
      </c>
      <c r="L144" s="75">
        <f>L136*Input!$C$31</f>
        <v>0</v>
      </c>
    </row>
    <row r="145" spans="1:12" ht="18" customHeight="1" x14ac:dyDescent="0.3">
      <c r="A145" s="9">
        <v>9</v>
      </c>
      <c r="B145" s="66" t="s">
        <v>980</v>
      </c>
      <c r="C145" s="75">
        <f>IFERROR(SUMIF('_Month Engine'!$C$5:$DR$5,C$4,INDEX('_Month Engine'!$C:$DR,MATCH("Renting Flag (1 = renting in month)",'_Month Engine'!$A:$A,0)+MATCH($A145,'_Month Engine'!$B$98:$B$107,0),0))*Input!$C$32,0)</f>
        <v>0</v>
      </c>
      <c r="D145" s="75">
        <f>IFERROR(SUMIF('_Month Engine'!$C$5:$DR$5,D$4,INDEX('_Month Engine'!$C:$DR,MATCH("Renting Flag (1 = renting in month)",'_Month Engine'!$A:$A,0)+MATCH($A145,'_Month Engine'!$B$98:$B$107,0),0))*Input!$C$32,0)</f>
        <v>0</v>
      </c>
      <c r="E145" s="75">
        <f>IFERROR(SUMIF('_Month Engine'!$C$5:$DR$5,E$4,INDEX('_Month Engine'!$C:$DR,MATCH("Renting Flag (1 = renting in month)",'_Month Engine'!$A:$A,0)+MATCH($A145,'_Month Engine'!$B$98:$B$107,0),0))*Input!$C$32,0)</f>
        <v>0</v>
      </c>
      <c r="F145" s="75">
        <f>IFERROR(SUMIF('_Month Engine'!$C$5:$DR$5,F$4,INDEX('_Month Engine'!$C:$DR,MATCH("Renting Flag (1 = renting in month)",'_Month Engine'!$A:$A,0)+MATCH($A145,'_Month Engine'!$B$98:$B$107,0),0))*Input!$C$32,0)</f>
        <v>0</v>
      </c>
      <c r="G145" s="75">
        <f>IFERROR(SUMIF('_Month Engine'!$C$5:$DR$5,G$4,INDEX('_Month Engine'!$C:$DR,MATCH("Renting Flag (1 = renting in month)",'_Month Engine'!$A:$A,0)+MATCH($A145,'_Month Engine'!$B$98:$B$107,0),0))*Input!$C$32,0)</f>
        <v>0</v>
      </c>
      <c r="H145" s="75">
        <f>IFERROR(SUMIF('_Month Engine'!$C$5:$DR$5,H$4,INDEX('_Month Engine'!$C:$DR,MATCH("Renting Flag (1 = renting in month)",'_Month Engine'!$A:$A,0)+MATCH($A145,'_Month Engine'!$B$98:$B$107,0),0))*Input!$C$32,0)</f>
        <v>0</v>
      </c>
      <c r="I145" s="75">
        <f>IFERROR(SUMIF('_Month Engine'!$C$5:$DR$5,I$4,INDEX('_Month Engine'!$C:$DR,MATCH("Renting Flag (1 = renting in month)",'_Month Engine'!$A:$A,0)+MATCH($A145,'_Month Engine'!$B$98:$B$107,0),0))*Input!$C$32,0)</f>
        <v>0</v>
      </c>
      <c r="J145" s="75">
        <f>IFERROR(SUMIF('_Month Engine'!$C$5:$DR$5,J$4,INDEX('_Month Engine'!$C:$DR,MATCH("Renting Flag (1 = renting in month)",'_Month Engine'!$A:$A,0)+MATCH($A145,'_Month Engine'!$B$98:$B$107,0),0))*Input!$C$32,0)</f>
        <v>0</v>
      </c>
      <c r="K145" s="75">
        <f>IFERROR(SUMIF('_Month Engine'!$C$5:$DR$5,K$4,INDEX('_Month Engine'!$C:$DR,MATCH("Renting Flag (1 = renting in month)",'_Month Engine'!$A:$A,0)+MATCH($A145,'_Month Engine'!$B$98:$B$107,0),0))*Input!$C$32,0)</f>
        <v>0</v>
      </c>
      <c r="L145" s="75">
        <f>IFERROR(SUMIF('_Month Engine'!$C$5:$DR$5,L$4,INDEX('_Month Engine'!$C:$DR,MATCH("Renting Flag (1 = renting in month)",'_Month Engine'!$A:$A,0)+MATCH($A145,'_Month Engine'!$B$98:$B$107,0),0))*Input!$C$32,0)</f>
        <v>0</v>
      </c>
    </row>
    <row r="146" spans="1:12" ht="18" customHeight="1" x14ac:dyDescent="0.3">
      <c r="A146" s="9">
        <v>9</v>
      </c>
      <c r="B146" s="11" t="s">
        <v>76</v>
      </c>
      <c r="C146" s="68">
        <f t="shared" ref="C146:L146" si="17">SUM(C137:C145)</f>
        <v>0</v>
      </c>
      <c r="D146" s="68">
        <f t="shared" si="17"/>
        <v>0</v>
      </c>
      <c r="E146" s="68">
        <f t="shared" si="17"/>
        <v>0</v>
      </c>
      <c r="F146" s="68">
        <f t="shared" si="17"/>
        <v>0</v>
      </c>
      <c r="G146" s="68">
        <f t="shared" si="17"/>
        <v>0</v>
      </c>
      <c r="H146" s="68">
        <f t="shared" si="17"/>
        <v>0</v>
      </c>
      <c r="I146" s="68">
        <f t="shared" si="17"/>
        <v>0</v>
      </c>
      <c r="J146" s="68">
        <f t="shared" si="17"/>
        <v>0</v>
      </c>
      <c r="K146" s="68">
        <f t="shared" si="17"/>
        <v>0</v>
      </c>
      <c r="L146" s="68">
        <f t="shared" si="17"/>
        <v>0</v>
      </c>
    </row>
    <row r="147" spans="1:12" ht="18" customHeight="1" x14ac:dyDescent="0.3">
      <c r="A147" s="9">
        <v>9</v>
      </c>
      <c r="B147" s="11" t="s">
        <v>172</v>
      </c>
      <c r="C147" s="68">
        <f t="shared" ref="C147:L147" si="18">C136-C146</f>
        <v>0</v>
      </c>
      <c r="D147" s="68">
        <f t="shared" si="18"/>
        <v>0</v>
      </c>
      <c r="E147" s="68">
        <f t="shared" si="18"/>
        <v>0</v>
      </c>
      <c r="F147" s="68">
        <f t="shared" si="18"/>
        <v>0</v>
      </c>
      <c r="G147" s="68">
        <f t="shared" si="18"/>
        <v>0</v>
      </c>
      <c r="H147" s="68">
        <f t="shared" si="18"/>
        <v>0</v>
      </c>
      <c r="I147" s="68">
        <f t="shared" si="18"/>
        <v>0</v>
      </c>
      <c r="J147" s="68">
        <f t="shared" si="18"/>
        <v>0</v>
      </c>
      <c r="K147" s="68">
        <f t="shared" si="18"/>
        <v>0</v>
      </c>
      <c r="L147" s="68">
        <f t="shared" si="18"/>
        <v>0</v>
      </c>
    </row>
    <row r="148" spans="1:12" ht="18" customHeight="1" x14ac:dyDescent="0.3">
      <c r="A148" s="9">
        <v>9</v>
      </c>
      <c r="B148" s="22" t="s">
        <v>173</v>
      </c>
      <c r="C148" s="77">
        <f>SUMIF('_Month Engine'!$C$5:$DR$5,C$4,INDEX('_Month Engine'!$C:$DR,MATCH("Acquisition Outflow (Purchase + Closing)",'_Month Engine'!$A:$A,0)+MATCH($A148,'_Month Engine'!$B$8:$B$17,0),0))+SUMIF('_Month Engine'!$C$5:$DR$5,C$4,INDEX('_Month Engine'!$C:$DR,MATCH("Acquisition Outflow (Purchase + Closing)",'_Month Engine'!$A:$A,0)+MATCH($A148,'_Month Engine'!$B$21:$B$30,0),0))</f>
        <v>0</v>
      </c>
      <c r="D148" s="77">
        <f>SUMIF('_Month Engine'!$C$5:$DR$5,D$4,INDEX('_Month Engine'!$C:$DR,MATCH("Acquisition Outflow (Purchase + Closing)",'_Month Engine'!$A:$A,0)+MATCH($A148,'_Month Engine'!$B$8:$B$17,0),0))+SUMIF('_Month Engine'!$C$5:$DR$5,D$4,INDEX('_Month Engine'!$C:$DR,MATCH("Acquisition Outflow (Purchase + Closing)",'_Month Engine'!$A:$A,0)+MATCH($A148,'_Month Engine'!$B$21:$B$30,0),0))</f>
        <v>0</v>
      </c>
      <c r="E148" s="77">
        <f>SUMIF('_Month Engine'!$C$5:$DR$5,E$4,INDEX('_Month Engine'!$C:$DR,MATCH("Acquisition Outflow (Purchase + Closing)",'_Month Engine'!$A:$A,0)+MATCH($A148,'_Month Engine'!$B$8:$B$17,0),0))+SUMIF('_Month Engine'!$C$5:$DR$5,E$4,INDEX('_Month Engine'!$C:$DR,MATCH("Acquisition Outflow (Purchase + Closing)",'_Month Engine'!$A:$A,0)+MATCH($A148,'_Month Engine'!$B$21:$B$30,0),0))</f>
        <v>0</v>
      </c>
      <c r="F148" s="77">
        <f>SUMIF('_Month Engine'!$C$5:$DR$5,F$4,INDEX('_Month Engine'!$C:$DR,MATCH("Acquisition Outflow (Purchase + Closing)",'_Month Engine'!$A:$A,0)+MATCH($A148,'_Month Engine'!$B$8:$B$17,0),0))+SUMIF('_Month Engine'!$C$5:$DR$5,F$4,INDEX('_Month Engine'!$C:$DR,MATCH("Acquisition Outflow (Purchase + Closing)",'_Month Engine'!$A:$A,0)+MATCH($A148,'_Month Engine'!$B$21:$B$30,0),0))</f>
        <v>0</v>
      </c>
      <c r="G148" s="77">
        <f>SUMIF('_Month Engine'!$C$5:$DR$5,G$4,INDEX('_Month Engine'!$C:$DR,MATCH("Acquisition Outflow (Purchase + Closing)",'_Month Engine'!$A:$A,0)+MATCH($A148,'_Month Engine'!$B$8:$B$17,0),0))+SUMIF('_Month Engine'!$C$5:$DR$5,G$4,INDEX('_Month Engine'!$C:$DR,MATCH("Acquisition Outflow (Purchase + Closing)",'_Month Engine'!$A:$A,0)+MATCH($A148,'_Month Engine'!$B$21:$B$30,0),0))</f>
        <v>0</v>
      </c>
      <c r="H148" s="77">
        <f>SUMIF('_Month Engine'!$C$5:$DR$5,H$4,INDEX('_Month Engine'!$C:$DR,MATCH("Acquisition Outflow (Purchase + Closing)",'_Month Engine'!$A:$A,0)+MATCH($A148,'_Month Engine'!$B$8:$B$17,0),0))+SUMIF('_Month Engine'!$C$5:$DR$5,H$4,INDEX('_Month Engine'!$C:$DR,MATCH("Acquisition Outflow (Purchase + Closing)",'_Month Engine'!$A:$A,0)+MATCH($A148,'_Month Engine'!$B$21:$B$30,0),0))</f>
        <v>0</v>
      </c>
      <c r="I148" s="77">
        <f>SUMIF('_Month Engine'!$C$5:$DR$5,I$4,INDEX('_Month Engine'!$C:$DR,MATCH("Acquisition Outflow (Purchase + Closing)",'_Month Engine'!$A:$A,0)+MATCH($A148,'_Month Engine'!$B$8:$B$17,0),0))+SUMIF('_Month Engine'!$C$5:$DR$5,I$4,INDEX('_Month Engine'!$C:$DR,MATCH("Acquisition Outflow (Purchase + Closing)",'_Month Engine'!$A:$A,0)+MATCH($A148,'_Month Engine'!$B$21:$B$30,0),0))</f>
        <v>0</v>
      </c>
      <c r="J148" s="77">
        <f>SUMIF('_Month Engine'!$C$5:$DR$5,J$4,INDEX('_Month Engine'!$C:$DR,MATCH("Acquisition Outflow (Purchase + Closing)",'_Month Engine'!$A:$A,0)+MATCH($A148,'_Month Engine'!$B$8:$B$17,0),0))+SUMIF('_Month Engine'!$C$5:$DR$5,J$4,INDEX('_Month Engine'!$C:$DR,MATCH("Acquisition Outflow (Purchase + Closing)",'_Month Engine'!$A:$A,0)+MATCH($A148,'_Month Engine'!$B$21:$B$30,0),0))</f>
        <v>0</v>
      </c>
      <c r="K148" s="77">
        <f>SUMIF('_Month Engine'!$C$5:$DR$5,K$4,INDEX('_Month Engine'!$C:$DR,MATCH("Acquisition Outflow (Purchase + Closing)",'_Month Engine'!$A:$A,0)+MATCH($A148,'_Month Engine'!$B$8:$B$17,0),0))+SUMIF('_Month Engine'!$C$5:$DR$5,K$4,INDEX('_Month Engine'!$C:$DR,MATCH("Acquisition Outflow (Purchase + Closing)",'_Month Engine'!$A:$A,0)+MATCH($A148,'_Month Engine'!$B$21:$B$30,0),0))</f>
        <v>0</v>
      </c>
      <c r="L148" s="77">
        <f>SUMIF('_Month Engine'!$C$5:$DR$5,L$4,INDEX('_Month Engine'!$C:$DR,MATCH("Acquisition Outflow (Purchase + Closing)",'_Month Engine'!$A:$A,0)+MATCH($A148,'_Month Engine'!$B$8:$B$17,0),0))+SUMIF('_Month Engine'!$C$5:$DR$5,L$4,INDEX('_Month Engine'!$C:$DR,MATCH("Acquisition Outflow (Purchase + Closing)",'_Month Engine'!$A:$A,0)+MATCH($A148,'_Month Engine'!$B$21:$B$30,0),0))</f>
        <v>0</v>
      </c>
    </row>
    <row r="149" spans="1:12" ht="34.049999999999997" customHeight="1" x14ac:dyDescent="0.3">
      <c r="A149" s="9">
        <v>9</v>
      </c>
      <c r="B149" s="517" t="s">
        <v>1181</v>
      </c>
      <c r="C149" s="77" cm="1">
        <f t="array" ref="C149">SUMIF('_Month Engine'!$C$5:$DR$5,C$4,INDEX('_Month Engine'!$C:$DR,MATCH("Gross Sale Value",'_Month Engine'!$A:$A,0)+MATCH($A149,'_Month Engine'!$B$61:$B$70,0),0))*(1-Input!$C$15)-IF(SUMIF('_Month Engine'!$C$5:$DR$5,C$4,INDEX('_Month Engine'!$C:$DR,MATCH("Gross Sale Value",'_Month Engine'!$A:$A,0)+MATCH($A149,'_Month Engine'!$B$61:$B$70,0),0))&gt;0,INDEX(Properties!$AD:$AD,$A149+5),0)</f>
        <v>0</v>
      </c>
      <c r="D149" s="77" cm="1">
        <f t="array" ref="D149">SUMIF('_Month Engine'!$C$5:$DR$5,D$4,INDEX('_Month Engine'!$C:$DR,MATCH("Gross Sale Value",'_Month Engine'!$A:$A,0)+MATCH($A149,'_Month Engine'!$B$61:$B$70,0),0))*(1-Input!$C$15)-IF(SUMIF('_Month Engine'!$C$5:$DR$5,D$4,INDEX('_Month Engine'!$C:$DR,MATCH("Gross Sale Value",'_Month Engine'!$A:$A,0)+MATCH($A149,'_Month Engine'!$B$61:$B$70,0),0))&gt;0,INDEX(Properties!$AD:$AD,$A149+5),0)</f>
        <v>0</v>
      </c>
      <c r="E149" s="77" cm="1">
        <f t="array" ref="E149">SUMIF('_Month Engine'!$C$5:$DR$5,E$4,INDEX('_Month Engine'!$C:$DR,MATCH("Gross Sale Value",'_Month Engine'!$A:$A,0)+MATCH($A149,'_Month Engine'!$B$61:$B$70,0),0))*(1-Input!$C$15)-IF(SUMIF('_Month Engine'!$C$5:$DR$5,E$4,INDEX('_Month Engine'!$C:$DR,MATCH("Gross Sale Value",'_Month Engine'!$A:$A,0)+MATCH($A149,'_Month Engine'!$B$61:$B$70,0),0))&gt;0,INDEX(Properties!$AD:$AD,$A149+5),0)</f>
        <v>0</v>
      </c>
      <c r="F149" s="77" cm="1">
        <f t="array" ref="F149">SUMIF('_Month Engine'!$C$5:$DR$5,F$4,INDEX('_Month Engine'!$C:$DR,MATCH("Gross Sale Value",'_Month Engine'!$A:$A,0)+MATCH($A149,'_Month Engine'!$B$61:$B$70,0),0))*(1-Input!$C$15)-IF(SUMIF('_Month Engine'!$C$5:$DR$5,F$4,INDEX('_Month Engine'!$C:$DR,MATCH("Gross Sale Value",'_Month Engine'!$A:$A,0)+MATCH($A149,'_Month Engine'!$B$61:$B$70,0),0))&gt;0,INDEX(Properties!$AD:$AD,$A149+5),0)</f>
        <v>0</v>
      </c>
      <c r="G149" s="77" cm="1">
        <f t="array" ref="G149">SUMIF('_Month Engine'!$C$5:$DR$5,G$4,INDEX('_Month Engine'!$C:$DR,MATCH("Gross Sale Value",'_Month Engine'!$A:$A,0)+MATCH($A149,'_Month Engine'!$B$61:$B$70,0),0))*(1-Input!$C$15)-IF(SUMIF('_Month Engine'!$C$5:$DR$5,G$4,INDEX('_Month Engine'!$C:$DR,MATCH("Gross Sale Value",'_Month Engine'!$A:$A,0)+MATCH($A149,'_Month Engine'!$B$61:$B$70,0),0))&gt;0,INDEX(Properties!$AD:$AD,$A149+5),0)</f>
        <v>0</v>
      </c>
      <c r="H149" s="77" cm="1">
        <f t="array" ref="H149">SUMIF('_Month Engine'!$C$5:$DR$5,H$4,INDEX('_Month Engine'!$C:$DR,MATCH("Gross Sale Value",'_Month Engine'!$A:$A,0)+MATCH($A149,'_Month Engine'!$B$61:$B$70,0),0))*(1-Input!$C$15)-IF(SUMIF('_Month Engine'!$C$5:$DR$5,H$4,INDEX('_Month Engine'!$C:$DR,MATCH("Gross Sale Value",'_Month Engine'!$A:$A,0)+MATCH($A149,'_Month Engine'!$B$61:$B$70,0),0))&gt;0,INDEX(Properties!$AD:$AD,$A149+5),0)</f>
        <v>0</v>
      </c>
      <c r="I149" s="77" cm="1">
        <f t="array" ref="I149">SUMIF('_Month Engine'!$C$5:$DR$5,I$4,INDEX('_Month Engine'!$C:$DR,MATCH("Gross Sale Value",'_Month Engine'!$A:$A,0)+MATCH($A149,'_Month Engine'!$B$61:$B$70,0),0))*(1-Input!$C$15)-IF(SUMIF('_Month Engine'!$C$5:$DR$5,I$4,INDEX('_Month Engine'!$C:$DR,MATCH("Gross Sale Value",'_Month Engine'!$A:$A,0)+MATCH($A149,'_Month Engine'!$B$61:$B$70,0),0))&gt;0,INDEX(Properties!$AD:$AD,$A149+5),0)</f>
        <v>0</v>
      </c>
      <c r="J149" s="77" cm="1">
        <f t="array" ref="J149">SUMIF('_Month Engine'!$C$5:$DR$5,J$4,INDEX('_Month Engine'!$C:$DR,MATCH("Gross Sale Value",'_Month Engine'!$A:$A,0)+MATCH($A149,'_Month Engine'!$B$61:$B$70,0),0))*(1-Input!$C$15)-IF(SUMIF('_Month Engine'!$C$5:$DR$5,J$4,INDEX('_Month Engine'!$C:$DR,MATCH("Gross Sale Value",'_Month Engine'!$A:$A,0)+MATCH($A149,'_Month Engine'!$B$61:$B$70,0),0))&gt;0,INDEX(Properties!$AD:$AD,$A149+5),0)</f>
        <v>0</v>
      </c>
      <c r="K149" s="77" cm="1">
        <f t="array" ref="K149">SUMIF('_Month Engine'!$C$5:$DR$5,K$4,INDEX('_Month Engine'!$C:$DR,MATCH("Gross Sale Value",'_Month Engine'!$A:$A,0)+MATCH($A149,'_Month Engine'!$B$61:$B$70,0),0))*(1-Input!$C$15)-IF(SUMIF('_Month Engine'!$C$5:$DR$5,K$4,INDEX('_Month Engine'!$C:$DR,MATCH("Gross Sale Value",'_Month Engine'!$A:$A,0)+MATCH($A149,'_Month Engine'!$B$61:$B$70,0),0))&gt;0,INDEX(Properties!$AD:$AD,$A149+5),0)</f>
        <v>0</v>
      </c>
      <c r="L149" s="77" cm="1">
        <f t="array" ref="L149">SUMIF('_Month Engine'!$C$5:$DR$5,L$4,INDEX('_Month Engine'!$C:$DR,MATCH("Gross Sale Value",'_Month Engine'!$A:$A,0)+MATCH($A149,'_Month Engine'!$B$61:$B$70,0),0))*(1-Input!$C$15)-IF(SUMIF('_Month Engine'!$C$5:$DR$5,L$4,INDEX('_Month Engine'!$C:$DR,MATCH("Gross Sale Value",'_Month Engine'!$A:$A,0)+MATCH($A149,'_Month Engine'!$B$61:$B$70,0),0))&gt;0,INDEX(Properties!$AD:$AD,$A149+5),0)</f>
        <v>0</v>
      </c>
    </row>
    <row r="150" spans="1:12" ht="18" customHeight="1" x14ac:dyDescent="0.3">
      <c r="A150" s="9"/>
      <c r="B150" s="9"/>
      <c r="C150" s="66"/>
      <c r="D150" s="66"/>
      <c r="E150" s="66"/>
      <c r="F150" s="66"/>
      <c r="G150" s="66"/>
      <c r="H150" s="66"/>
      <c r="I150" s="66"/>
      <c r="J150" s="66"/>
      <c r="K150" s="66"/>
      <c r="L150" s="66"/>
    </row>
    <row r="151" spans="1:12" ht="18" customHeight="1" x14ac:dyDescent="0.3">
      <c r="A151" s="40">
        <v>10</v>
      </c>
      <c r="B151" s="40" t="str" cm="1">
        <f t="array" ref="B151">INDEX(Properties!$E:$E,$A151+5)&amp;"   ·   "&amp;INDEX(Properties!$F:$F,$A151+5)&amp;"   ·   "&amp;INDEX(Properties!$H:$H,$A151+5)</f>
        <v xml:space="preserve">   ·      ·   </v>
      </c>
      <c r="C151" s="67"/>
      <c r="D151" s="67"/>
      <c r="E151" s="67"/>
      <c r="F151" s="67"/>
      <c r="G151" s="67"/>
      <c r="H151" s="67"/>
      <c r="I151" s="67"/>
      <c r="J151" s="67"/>
      <c r="K151" s="67"/>
      <c r="L151" s="67"/>
    </row>
    <row r="152" spans="1:12" ht="18" customHeight="1" x14ac:dyDescent="0.3">
      <c r="A152" s="9">
        <v>10</v>
      </c>
      <c r="B152" s="66" t="s">
        <v>167</v>
      </c>
      <c r="C152" s="75">
        <f>SUMIF('_Month Engine'!$C$5:$DR$5,C$4,INDEX('_Month Engine'!$C:$DR,MATCH("Gross STR Revenue",'_Month Engine'!$A:$A,0)+MATCH($A152,'_Month Engine'!$B$34:$B$43,0),0))</f>
        <v>0</v>
      </c>
      <c r="D152" s="75">
        <f>SUMIF('_Month Engine'!$C$5:$DR$5,D$4,INDEX('_Month Engine'!$C:$DR,MATCH("Gross STR Revenue",'_Month Engine'!$A:$A,0)+MATCH($A152,'_Month Engine'!$B$34:$B$43,0),0))</f>
        <v>0</v>
      </c>
      <c r="E152" s="75">
        <f>SUMIF('_Month Engine'!$C$5:$DR$5,E$4,INDEX('_Month Engine'!$C:$DR,MATCH("Gross STR Revenue",'_Month Engine'!$A:$A,0)+MATCH($A152,'_Month Engine'!$B$34:$B$43,0),0))</f>
        <v>0</v>
      </c>
      <c r="F152" s="75">
        <f>SUMIF('_Month Engine'!$C$5:$DR$5,F$4,INDEX('_Month Engine'!$C:$DR,MATCH("Gross STR Revenue",'_Month Engine'!$A:$A,0)+MATCH($A152,'_Month Engine'!$B$34:$B$43,0),0))</f>
        <v>0</v>
      </c>
      <c r="G152" s="75">
        <f>SUMIF('_Month Engine'!$C$5:$DR$5,G$4,INDEX('_Month Engine'!$C:$DR,MATCH("Gross STR Revenue",'_Month Engine'!$A:$A,0)+MATCH($A152,'_Month Engine'!$B$34:$B$43,0),0))</f>
        <v>0</v>
      </c>
      <c r="H152" s="75">
        <f>SUMIF('_Month Engine'!$C$5:$DR$5,H$4,INDEX('_Month Engine'!$C:$DR,MATCH("Gross STR Revenue",'_Month Engine'!$A:$A,0)+MATCH($A152,'_Month Engine'!$B$34:$B$43,0),0))</f>
        <v>0</v>
      </c>
      <c r="I152" s="75">
        <f>SUMIF('_Month Engine'!$C$5:$DR$5,I$4,INDEX('_Month Engine'!$C:$DR,MATCH("Gross STR Revenue",'_Month Engine'!$A:$A,0)+MATCH($A152,'_Month Engine'!$B$34:$B$43,0),0))</f>
        <v>0</v>
      </c>
      <c r="J152" s="75">
        <f>SUMIF('_Month Engine'!$C$5:$DR$5,J$4,INDEX('_Month Engine'!$C:$DR,MATCH("Gross STR Revenue",'_Month Engine'!$A:$A,0)+MATCH($A152,'_Month Engine'!$B$34:$B$43,0),0))</f>
        <v>0</v>
      </c>
      <c r="K152" s="75">
        <f>SUMIF('_Month Engine'!$C$5:$DR$5,K$4,INDEX('_Month Engine'!$C:$DR,MATCH("Gross STR Revenue",'_Month Engine'!$A:$A,0)+MATCH($A152,'_Month Engine'!$B$34:$B$43,0),0))</f>
        <v>0</v>
      </c>
      <c r="L152" s="75">
        <f>SUMIF('_Month Engine'!$C$5:$DR$5,L$4,INDEX('_Month Engine'!$C:$DR,MATCH("Gross STR Revenue",'_Month Engine'!$A:$A,0)+MATCH($A152,'_Month Engine'!$B$34:$B$43,0),0))</f>
        <v>0</v>
      </c>
    </row>
    <row r="153" spans="1:12" ht="18" customHeight="1" x14ac:dyDescent="0.3">
      <c r="A153" s="9">
        <v>10</v>
      </c>
      <c r="B153" s="66" t="s">
        <v>1179</v>
      </c>
      <c r="C153" s="75" cm="1">
        <f t="array" ref="C153">SUMIF('_Month Engine'!$C$5:$DR$5,C$4,INDEX('_Month Engine'!$C:$DR,MATCH("Owned All-In Basis",'_Month Engine'!$A:$A,0)+MATCH($A153,'_Month Engine'!$B$47:$B$56,0),0))*INDEX(Input!$C$80:$C$89,$A153)/'_IRR Engine'!$Q$7</f>
        <v>0</v>
      </c>
      <c r="D153" s="75" cm="1">
        <f t="array" ref="D153">SUMIF('_Month Engine'!$C$5:$DR$5,D$4,INDEX('_Month Engine'!$C:$DR,MATCH("Owned All-In Basis",'_Month Engine'!$A:$A,0)+MATCH($A153,'_Month Engine'!$B$47:$B$56,0),0))*INDEX(Input!$C$80:$C$89,$A153)/'_IRR Engine'!$Q$7</f>
        <v>0</v>
      </c>
      <c r="E153" s="75" cm="1">
        <f t="array" ref="E153">SUMIF('_Month Engine'!$C$5:$DR$5,E$4,INDEX('_Month Engine'!$C:$DR,MATCH("Owned All-In Basis",'_Month Engine'!$A:$A,0)+MATCH($A153,'_Month Engine'!$B$47:$B$56,0),0))*INDEX(Input!$C$80:$C$89,$A153)/'_IRR Engine'!$Q$7</f>
        <v>0</v>
      </c>
      <c r="F153" s="75" cm="1">
        <f t="array" ref="F153">SUMIF('_Month Engine'!$C$5:$DR$5,F$4,INDEX('_Month Engine'!$C:$DR,MATCH("Owned All-In Basis",'_Month Engine'!$A:$A,0)+MATCH($A153,'_Month Engine'!$B$47:$B$56,0),0))*INDEX(Input!$C$80:$C$89,$A153)/'_IRR Engine'!$Q$7</f>
        <v>0</v>
      </c>
      <c r="G153" s="75" cm="1">
        <f t="array" ref="G153">SUMIF('_Month Engine'!$C$5:$DR$5,G$4,INDEX('_Month Engine'!$C:$DR,MATCH("Owned All-In Basis",'_Month Engine'!$A:$A,0)+MATCH($A153,'_Month Engine'!$B$47:$B$56,0),0))*INDEX(Input!$C$80:$C$89,$A153)/'_IRR Engine'!$Q$7</f>
        <v>0</v>
      </c>
      <c r="H153" s="75" cm="1">
        <f t="array" ref="H153">SUMIF('_Month Engine'!$C$5:$DR$5,H$4,INDEX('_Month Engine'!$C:$DR,MATCH("Owned All-In Basis",'_Month Engine'!$A:$A,0)+MATCH($A153,'_Month Engine'!$B$47:$B$56,0),0))*INDEX(Input!$C$80:$C$89,$A153)/'_IRR Engine'!$Q$7</f>
        <v>0</v>
      </c>
      <c r="I153" s="75" cm="1">
        <f t="array" ref="I153">SUMIF('_Month Engine'!$C$5:$DR$5,I$4,INDEX('_Month Engine'!$C:$DR,MATCH("Owned All-In Basis",'_Month Engine'!$A:$A,0)+MATCH($A153,'_Month Engine'!$B$47:$B$56,0),0))*INDEX(Input!$C$80:$C$89,$A153)/'_IRR Engine'!$Q$7</f>
        <v>0</v>
      </c>
      <c r="J153" s="75" cm="1">
        <f t="array" ref="J153">SUMIF('_Month Engine'!$C$5:$DR$5,J$4,INDEX('_Month Engine'!$C:$DR,MATCH("Owned All-In Basis",'_Month Engine'!$A:$A,0)+MATCH($A153,'_Month Engine'!$B$47:$B$56,0),0))*INDEX(Input!$C$80:$C$89,$A153)/'_IRR Engine'!$Q$7</f>
        <v>0</v>
      </c>
      <c r="K153" s="75" cm="1">
        <f t="array" ref="K153">SUMIF('_Month Engine'!$C$5:$DR$5,K$4,INDEX('_Month Engine'!$C:$DR,MATCH("Owned All-In Basis",'_Month Engine'!$A:$A,0)+MATCH($A153,'_Month Engine'!$B$47:$B$56,0),0))*INDEX(Input!$C$80:$C$89,$A153)/'_IRR Engine'!$Q$7</f>
        <v>0</v>
      </c>
      <c r="L153" s="75" cm="1">
        <f t="array" ref="L153">SUMIF('_Month Engine'!$C$5:$DR$5,L$4,INDEX('_Month Engine'!$C:$DR,MATCH("Owned All-In Basis",'_Month Engine'!$A:$A,0)+MATCH($A153,'_Month Engine'!$B$47:$B$56,0),0))*INDEX(Input!$C$80:$C$89,$A153)/'_IRR Engine'!$Q$7</f>
        <v>0</v>
      </c>
    </row>
    <row r="154" spans="1:12" ht="18" customHeight="1" x14ac:dyDescent="0.3">
      <c r="A154" s="9">
        <v>10</v>
      </c>
      <c r="B154" s="66" t="s">
        <v>72</v>
      </c>
      <c r="C154" s="75">
        <f>SUMIF('_Month Engine'!$C$5:$DR$5,C$4,INDEX('_Month Engine'!$C:$DR,MATCH("Renting All-In Basis",'_Month Engine'!$A:$A,0)+MATCH($A154,'_Month Engine'!$B$110:$B$119,0),0))*Input!$C$18/'_IRR Engine'!$Q$7</f>
        <v>0</v>
      </c>
      <c r="D154" s="75">
        <f>SUMIF('_Month Engine'!$C$5:$DR$5,D$4,INDEX('_Month Engine'!$C:$DR,MATCH("Renting All-In Basis",'_Month Engine'!$A:$A,0)+MATCH($A154,'_Month Engine'!$B$110:$B$119,0),0))*Input!$C$18/'_IRR Engine'!$Q$7</f>
        <v>0</v>
      </c>
      <c r="E154" s="75">
        <f>SUMIF('_Month Engine'!$C$5:$DR$5,E$4,INDEX('_Month Engine'!$C:$DR,MATCH("Renting All-In Basis",'_Month Engine'!$A:$A,0)+MATCH($A154,'_Month Engine'!$B$110:$B$119,0),0))*Input!$C$18/'_IRR Engine'!$Q$7</f>
        <v>0</v>
      </c>
      <c r="F154" s="75">
        <f>SUMIF('_Month Engine'!$C$5:$DR$5,F$4,INDEX('_Month Engine'!$C:$DR,MATCH("Renting All-In Basis",'_Month Engine'!$A:$A,0)+MATCH($A154,'_Month Engine'!$B$110:$B$119,0),0))*Input!$C$18/'_IRR Engine'!$Q$7</f>
        <v>0</v>
      </c>
      <c r="G154" s="75">
        <f>SUMIF('_Month Engine'!$C$5:$DR$5,G$4,INDEX('_Month Engine'!$C:$DR,MATCH("Renting All-In Basis",'_Month Engine'!$A:$A,0)+MATCH($A154,'_Month Engine'!$B$110:$B$119,0),0))*Input!$C$18/'_IRR Engine'!$Q$7</f>
        <v>0</v>
      </c>
      <c r="H154" s="75">
        <f>SUMIF('_Month Engine'!$C$5:$DR$5,H$4,INDEX('_Month Engine'!$C:$DR,MATCH("Renting All-In Basis",'_Month Engine'!$A:$A,0)+MATCH($A154,'_Month Engine'!$B$110:$B$119,0),0))*Input!$C$18/'_IRR Engine'!$Q$7</f>
        <v>0</v>
      </c>
      <c r="I154" s="75">
        <f>SUMIF('_Month Engine'!$C$5:$DR$5,I$4,INDEX('_Month Engine'!$C:$DR,MATCH("Renting All-In Basis",'_Month Engine'!$A:$A,0)+MATCH($A154,'_Month Engine'!$B$110:$B$119,0),0))*Input!$C$18/'_IRR Engine'!$Q$7</f>
        <v>0</v>
      </c>
      <c r="J154" s="75">
        <f>SUMIF('_Month Engine'!$C$5:$DR$5,J$4,INDEX('_Month Engine'!$C:$DR,MATCH("Renting All-In Basis",'_Month Engine'!$A:$A,0)+MATCH($A154,'_Month Engine'!$B$110:$B$119,0),0))*Input!$C$18/'_IRR Engine'!$Q$7</f>
        <v>0</v>
      </c>
      <c r="K154" s="75">
        <f>SUMIF('_Month Engine'!$C$5:$DR$5,K$4,INDEX('_Month Engine'!$C:$DR,MATCH("Renting All-In Basis",'_Month Engine'!$A:$A,0)+MATCH($A154,'_Month Engine'!$B$110:$B$119,0),0))*Input!$C$18/'_IRR Engine'!$Q$7</f>
        <v>0</v>
      </c>
      <c r="L154" s="75">
        <f>SUMIF('_Month Engine'!$C$5:$DR$5,L$4,INDEX('_Month Engine'!$C:$DR,MATCH("Renting All-In Basis",'_Month Engine'!$A:$A,0)+MATCH($A154,'_Month Engine'!$B$110:$B$119,0),0))*Input!$C$18/'_IRR Engine'!$Q$7</f>
        <v>0</v>
      </c>
    </row>
    <row r="155" spans="1:12" ht="18" customHeight="1" x14ac:dyDescent="0.3">
      <c r="A155" s="9">
        <v>10</v>
      </c>
      <c r="B155" s="66" t="s">
        <v>168</v>
      </c>
      <c r="C155" s="75" cm="1">
        <f t="array" ref="C155">SUMIF('_Month Engine'!$C$5:$DR$5,C$4,INDEX('_Month Engine'!$C:$DR,MATCH("Owned Flag (1 = owned in month)",'_Month Engine'!$A:$A,0)+MATCH($A155,'_Month Engine'!$B$86:$B$95,0),0))*INDEX(Input!$D$80:$D$89,$A155)*1000000/Input!$C$5</f>
        <v>0</v>
      </c>
      <c r="D155" s="75" cm="1">
        <f t="array" ref="D155">SUMIF('_Month Engine'!$C$5:$DR$5,D$4,INDEX('_Month Engine'!$C:$DR,MATCH("Owned Flag (1 = owned in month)",'_Month Engine'!$A:$A,0)+MATCH($A155,'_Month Engine'!$B$86:$B$95,0),0))*INDEX(Input!$D$80:$D$89,$A155)*1000000/Input!$C$5</f>
        <v>0</v>
      </c>
      <c r="E155" s="75" cm="1">
        <f t="array" ref="E155">SUMIF('_Month Engine'!$C$5:$DR$5,E$4,INDEX('_Month Engine'!$C:$DR,MATCH("Owned Flag (1 = owned in month)",'_Month Engine'!$A:$A,0)+MATCH($A155,'_Month Engine'!$B$86:$B$95,0),0))*INDEX(Input!$D$80:$D$89,$A155)*1000000/Input!$C$5</f>
        <v>0</v>
      </c>
      <c r="F155" s="75" cm="1">
        <f t="array" ref="F155">SUMIF('_Month Engine'!$C$5:$DR$5,F$4,INDEX('_Month Engine'!$C:$DR,MATCH("Owned Flag (1 = owned in month)",'_Month Engine'!$A:$A,0)+MATCH($A155,'_Month Engine'!$B$86:$B$95,0),0))*INDEX(Input!$D$80:$D$89,$A155)*1000000/Input!$C$5</f>
        <v>0</v>
      </c>
      <c r="G155" s="75" cm="1">
        <f t="array" ref="G155">SUMIF('_Month Engine'!$C$5:$DR$5,G$4,INDEX('_Month Engine'!$C:$DR,MATCH("Owned Flag (1 = owned in month)",'_Month Engine'!$A:$A,0)+MATCH($A155,'_Month Engine'!$B$86:$B$95,0),0))*INDEX(Input!$D$80:$D$89,$A155)*1000000/Input!$C$5</f>
        <v>0</v>
      </c>
      <c r="H155" s="75" cm="1">
        <f t="array" ref="H155">SUMIF('_Month Engine'!$C$5:$DR$5,H$4,INDEX('_Month Engine'!$C:$DR,MATCH("Owned Flag (1 = owned in month)",'_Month Engine'!$A:$A,0)+MATCH($A155,'_Month Engine'!$B$86:$B$95,0),0))*INDEX(Input!$D$80:$D$89,$A155)*1000000/Input!$C$5</f>
        <v>0</v>
      </c>
      <c r="I155" s="75" cm="1">
        <f t="array" ref="I155">SUMIF('_Month Engine'!$C$5:$DR$5,I$4,INDEX('_Month Engine'!$C:$DR,MATCH("Owned Flag (1 = owned in month)",'_Month Engine'!$A:$A,0)+MATCH($A155,'_Month Engine'!$B$86:$B$95,0),0))*INDEX(Input!$D$80:$D$89,$A155)*1000000/Input!$C$5</f>
        <v>0</v>
      </c>
      <c r="J155" s="75" cm="1">
        <f t="array" ref="J155">SUMIF('_Month Engine'!$C$5:$DR$5,J$4,INDEX('_Month Engine'!$C:$DR,MATCH("Owned Flag (1 = owned in month)",'_Month Engine'!$A:$A,0)+MATCH($A155,'_Month Engine'!$B$86:$B$95,0),0))*INDEX(Input!$D$80:$D$89,$A155)*1000000/Input!$C$5</f>
        <v>0</v>
      </c>
      <c r="K155" s="75" cm="1">
        <f t="array" ref="K155">SUMIF('_Month Engine'!$C$5:$DR$5,K$4,INDEX('_Month Engine'!$C:$DR,MATCH("Owned Flag (1 = owned in month)",'_Month Engine'!$A:$A,0)+MATCH($A155,'_Month Engine'!$B$86:$B$95,0),0))*INDEX(Input!$D$80:$D$89,$A155)*1000000/Input!$C$5</f>
        <v>0</v>
      </c>
      <c r="L155" s="75" cm="1">
        <f t="array" ref="L155">SUMIF('_Month Engine'!$C$5:$DR$5,L$4,INDEX('_Month Engine'!$C:$DR,MATCH("Owned Flag (1 = owned in month)",'_Month Engine'!$A:$A,0)+MATCH($A155,'_Month Engine'!$B$86:$B$95,0),0))*INDEX(Input!$D$80:$D$89,$A155)*1000000/Input!$C$5</f>
        <v>0</v>
      </c>
    </row>
    <row r="156" spans="1:12" ht="18" customHeight="1" x14ac:dyDescent="0.3">
      <c r="A156" s="9">
        <v>10</v>
      </c>
      <c r="B156" s="66" t="s">
        <v>169</v>
      </c>
      <c r="C156" s="75" cm="1">
        <f t="array" ref="C156">SUMIF('_Month Engine'!$C$5:$DR$5,C$4,INDEX('_Month Engine'!$C:$DR,MATCH("Owned Flag (1 = owned in month)",'_Month Engine'!$A:$A,0)+MATCH($A156,'_Month Engine'!$B$86:$B$95,0),0))*INDEX(Input!$E$80:$E$89,$A156)*1000000/Input!$C$5</f>
        <v>0</v>
      </c>
      <c r="D156" s="75" cm="1">
        <f t="array" ref="D156">SUMIF('_Month Engine'!$C$5:$DR$5,D$4,INDEX('_Month Engine'!$C:$DR,MATCH("Owned Flag (1 = owned in month)",'_Month Engine'!$A:$A,0)+MATCH($A156,'_Month Engine'!$B$86:$B$95,0),0))*INDEX(Input!$E$80:$E$89,$A156)*1000000/Input!$C$5</f>
        <v>0</v>
      </c>
      <c r="E156" s="75" cm="1">
        <f t="array" ref="E156">SUMIF('_Month Engine'!$C$5:$DR$5,E$4,INDEX('_Month Engine'!$C:$DR,MATCH("Owned Flag (1 = owned in month)",'_Month Engine'!$A:$A,0)+MATCH($A156,'_Month Engine'!$B$86:$B$95,0),0))*INDEX(Input!$E$80:$E$89,$A156)*1000000/Input!$C$5</f>
        <v>0</v>
      </c>
      <c r="F156" s="75" cm="1">
        <f t="array" ref="F156">SUMIF('_Month Engine'!$C$5:$DR$5,F$4,INDEX('_Month Engine'!$C:$DR,MATCH("Owned Flag (1 = owned in month)",'_Month Engine'!$A:$A,0)+MATCH($A156,'_Month Engine'!$B$86:$B$95,0),0))*INDEX(Input!$E$80:$E$89,$A156)*1000000/Input!$C$5</f>
        <v>0</v>
      </c>
      <c r="G156" s="75" cm="1">
        <f t="array" ref="G156">SUMIF('_Month Engine'!$C$5:$DR$5,G$4,INDEX('_Month Engine'!$C:$DR,MATCH("Owned Flag (1 = owned in month)",'_Month Engine'!$A:$A,0)+MATCH($A156,'_Month Engine'!$B$86:$B$95,0),0))*INDEX(Input!$E$80:$E$89,$A156)*1000000/Input!$C$5</f>
        <v>0</v>
      </c>
      <c r="H156" s="75" cm="1">
        <f t="array" ref="H156">SUMIF('_Month Engine'!$C$5:$DR$5,H$4,INDEX('_Month Engine'!$C:$DR,MATCH("Owned Flag (1 = owned in month)",'_Month Engine'!$A:$A,0)+MATCH($A156,'_Month Engine'!$B$86:$B$95,0),0))*INDEX(Input!$E$80:$E$89,$A156)*1000000/Input!$C$5</f>
        <v>0</v>
      </c>
      <c r="I156" s="75" cm="1">
        <f t="array" ref="I156">SUMIF('_Month Engine'!$C$5:$DR$5,I$4,INDEX('_Month Engine'!$C:$DR,MATCH("Owned Flag (1 = owned in month)",'_Month Engine'!$A:$A,0)+MATCH($A156,'_Month Engine'!$B$86:$B$95,0),0))*INDEX(Input!$E$80:$E$89,$A156)*1000000/Input!$C$5</f>
        <v>0</v>
      </c>
      <c r="J156" s="75" cm="1">
        <f t="array" ref="J156">SUMIF('_Month Engine'!$C$5:$DR$5,J$4,INDEX('_Month Engine'!$C:$DR,MATCH("Owned Flag (1 = owned in month)",'_Month Engine'!$A:$A,0)+MATCH($A156,'_Month Engine'!$B$86:$B$95,0),0))*INDEX(Input!$E$80:$E$89,$A156)*1000000/Input!$C$5</f>
        <v>0</v>
      </c>
      <c r="K156" s="75" cm="1">
        <f t="array" ref="K156">SUMIF('_Month Engine'!$C$5:$DR$5,K$4,INDEX('_Month Engine'!$C:$DR,MATCH("Owned Flag (1 = owned in month)",'_Month Engine'!$A:$A,0)+MATCH($A156,'_Month Engine'!$B$86:$B$95,0),0))*INDEX(Input!$E$80:$E$89,$A156)*1000000/Input!$C$5</f>
        <v>0</v>
      </c>
      <c r="L156" s="75" cm="1">
        <f t="array" ref="L156">SUMIF('_Month Engine'!$C$5:$DR$5,L$4,INDEX('_Month Engine'!$C:$DR,MATCH("Owned Flag (1 = owned in month)",'_Month Engine'!$A:$A,0)+MATCH($A156,'_Month Engine'!$B$86:$B$95,0),0))*INDEX(Input!$E$80:$E$89,$A156)*1000000/Input!$C$5</f>
        <v>0</v>
      </c>
    </row>
    <row r="157" spans="1:12" ht="18" customHeight="1" x14ac:dyDescent="0.3">
      <c r="A157" s="9">
        <v>10</v>
      </c>
      <c r="B157" s="66" t="s">
        <v>170</v>
      </c>
      <c r="C157" s="75">
        <f>IFERROR(SUMIF('_Month Engine'!$C$5:$DR$5,C$4,INDEX('_Month Engine'!$C:$DR,MATCH("Renting All-In Basis",'_Month Engine'!$A:$A,0)+MATCH($A157,'_Month Engine'!$B$110:$B$119,0),0))*Input!$C$19/'_IRR Engine'!$Q$7,0)</f>
        <v>0</v>
      </c>
      <c r="D157" s="75">
        <f>IFERROR(SUMIF('_Month Engine'!$C$5:$DR$5,D$4,INDEX('_Month Engine'!$C:$DR,MATCH("Renting All-In Basis",'_Month Engine'!$A:$A,0)+MATCH($A157,'_Month Engine'!$B$110:$B$119,0),0))*Input!$C$19/'_IRR Engine'!$Q$7,0)</f>
        <v>0</v>
      </c>
      <c r="E157" s="75">
        <f>IFERROR(SUMIF('_Month Engine'!$C$5:$DR$5,E$4,INDEX('_Month Engine'!$C:$DR,MATCH("Renting All-In Basis",'_Month Engine'!$A:$A,0)+MATCH($A157,'_Month Engine'!$B$110:$B$119,0),0))*Input!$C$19/'_IRR Engine'!$Q$7,0)</f>
        <v>0</v>
      </c>
      <c r="F157" s="75">
        <f>IFERROR(SUMIF('_Month Engine'!$C$5:$DR$5,F$4,INDEX('_Month Engine'!$C:$DR,MATCH("Renting All-In Basis",'_Month Engine'!$A:$A,0)+MATCH($A157,'_Month Engine'!$B$110:$B$119,0),0))*Input!$C$19/'_IRR Engine'!$Q$7,0)</f>
        <v>0</v>
      </c>
      <c r="G157" s="75">
        <f>IFERROR(SUMIF('_Month Engine'!$C$5:$DR$5,G$4,INDEX('_Month Engine'!$C:$DR,MATCH("Renting All-In Basis",'_Month Engine'!$A:$A,0)+MATCH($A157,'_Month Engine'!$B$110:$B$119,0),0))*Input!$C$19/'_IRR Engine'!$Q$7,0)</f>
        <v>0</v>
      </c>
      <c r="H157" s="75">
        <f>IFERROR(SUMIF('_Month Engine'!$C$5:$DR$5,H$4,INDEX('_Month Engine'!$C:$DR,MATCH("Renting All-In Basis",'_Month Engine'!$A:$A,0)+MATCH($A157,'_Month Engine'!$B$110:$B$119,0),0))*Input!$C$19/'_IRR Engine'!$Q$7,0)</f>
        <v>0</v>
      </c>
      <c r="I157" s="75">
        <f>IFERROR(SUMIF('_Month Engine'!$C$5:$DR$5,I$4,INDEX('_Month Engine'!$C:$DR,MATCH("Renting All-In Basis",'_Month Engine'!$A:$A,0)+MATCH($A157,'_Month Engine'!$B$110:$B$119,0),0))*Input!$C$19/'_IRR Engine'!$Q$7,0)</f>
        <v>0</v>
      </c>
      <c r="J157" s="75">
        <f>IFERROR(SUMIF('_Month Engine'!$C$5:$DR$5,J$4,INDEX('_Month Engine'!$C:$DR,MATCH("Renting All-In Basis",'_Month Engine'!$A:$A,0)+MATCH($A157,'_Month Engine'!$B$110:$B$119,0),0))*Input!$C$19/'_IRR Engine'!$Q$7,0)</f>
        <v>0</v>
      </c>
      <c r="K157" s="75">
        <f>IFERROR(SUMIF('_Month Engine'!$C$5:$DR$5,K$4,INDEX('_Month Engine'!$C:$DR,MATCH("Renting All-In Basis",'_Month Engine'!$A:$A,0)+MATCH($A157,'_Month Engine'!$B$110:$B$119,0),0))*Input!$C$19/'_IRR Engine'!$Q$7,0)</f>
        <v>0</v>
      </c>
      <c r="L157" s="75">
        <f>IFERROR(SUMIF('_Month Engine'!$C$5:$DR$5,L$4,INDEX('_Month Engine'!$C:$DR,MATCH("Renting All-In Basis",'_Month Engine'!$A:$A,0)+MATCH($A157,'_Month Engine'!$B$110:$B$119,0),0))*Input!$C$19/'_IRR Engine'!$Q$7,0)</f>
        <v>0</v>
      </c>
    </row>
    <row r="158" spans="1:12" ht="18" customHeight="1" x14ac:dyDescent="0.3">
      <c r="A158" s="9">
        <v>10</v>
      </c>
      <c r="B158" s="66" t="s">
        <v>171</v>
      </c>
      <c r="C158" s="75">
        <f>C152*Input!$C$20</f>
        <v>0</v>
      </c>
      <c r="D158" s="75">
        <f>D152*Input!$C$20</f>
        <v>0</v>
      </c>
      <c r="E158" s="75">
        <f>E152*Input!$C$20</f>
        <v>0</v>
      </c>
      <c r="F158" s="75">
        <f>F152*Input!$C$20</f>
        <v>0</v>
      </c>
      <c r="G158" s="75">
        <f>G152*Input!$C$20</f>
        <v>0</v>
      </c>
      <c r="H158" s="75">
        <f>H152*Input!$C$20</f>
        <v>0</v>
      </c>
      <c r="I158" s="75">
        <f>I152*Input!$C$20</f>
        <v>0</v>
      </c>
      <c r="J158" s="75">
        <f>J152*Input!$C$20</f>
        <v>0</v>
      </c>
      <c r="K158" s="75">
        <f>K152*Input!$C$20</f>
        <v>0</v>
      </c>
      <c r="L158" s="75">
        <f>L152*Input!$C$20</f>
        <v>0</v>
      </c>
    </row>
    <row r="159" spans="1:12" x14ac:dyDescent="0.3">
      <c r="A159" s="9">
        <v>10</v>
      </c>
      <c r="B159" s="66" t="s">
        <v>1180</v>
      </c>
      <c r="C159" s="75" cm="1">
        <f t="array" ref="C159">C152*IFERROR(INDEX(Input!$U$80:$U$89,$A159),0)</f>
        <v>0</v>
      </c>
      <c r="D159" s="75" cm="1">
        <f t="array" ref="D159">D152*IFERROR(INDEX(Input!$U$80:$U$89,$A159),0)</f>
        <v>0</v>
      </c>
      <c r="E159" s="75" cm="1">
        <f t="array" ref="E159">E152*IFERROR(INDEX(Input!$U$80:$U$89,$A159),0)</f>
        <v>0</v>
      </c>
      <c r="F159" s="75" cm="1">
        <f t="array" ref="F159">F152*IFERROR(INDEX(Input!$U$80:$U$89,$A159),0)</f>
        <v>0</v>
      </c>
      <c r="G159" s="75" cm="1">
        <f t="array" ref="G159">G152*IFERROR(INDEX(Input!$U$80:$U$89,$A159),0)</f>
        <v>0</v>
      </c>
      <c r="H159" s="75" cm="1">
        <f t="array" ref="H159">H152*IFERROR(INDEX(Input!$U$80:$U$89,$A159),0)</f>
        <v>0</v>
      </c>
      <c r="I159" s="75" cm="1">
        <f t="array" ref="I159">I152*IFERROR(INDEX(Input!$U$80:$U$89,$A159),0)</f>
        <v>0</v>
      </c>
      <c r="J159" s="75" cm="1">
        <f t="array" ref="J159">J152*IFERROR(INDEX(Input!$U$80:$U$89,$A159),0)</f>
        <v>0</v>
      </c>
      <c r="K159" s="75" cm="1">
        <f t="array" ref="K159">K152*IFERROR(INDEX(Input!$U$80:$U$89,$A159),0)</f>
        <v>0</v>
      </c>
      <c r="L159" s="75" cm="1">
        <f t="array" ref="L159">L152*IFERROR(INDEX(Input!$U$80:$U$89,$A159),0)</f>
        <v>0</v>
      </c>
    </row>
    <row r="160" spans="1:12" ht="18" customHeight="1" x14ac:dyDescent="0.3">
      <c r="A160" s="9">
        <v>10</v>
      </c>
      <c r="B160" s="66" t="str">
        <f>"ServCo property management ("&amp;TEXT(Input!$C$31,"0%")&amp;")"</f>
        <v>ServCo property management (20%)</v>
      </c>
      <c r="C160" s="75">
        <f>C152*Input!$C$31</f>
        <v>0</v>
      </c>
      <c r="D160" s="75">
        <f>D152*Input!$C$31</f>
        <v>0</v>
      </c>
      <c r="E160" s="75">
        <f>E152*Input!$C$31</f>
        <v>0</v>
      </c>
      <c r="F160" s="75">
        <f>F152*Input!$C$31</f>
        <v>0</v>
      </c>
      <c r="G160" s="75">
        <f>G152*Input!$C$31</f>
        <v>0</v>
      </c>
      <c r="H160" s="75">
        <f>H152*Input!$C$31</f>
        <v>0</v>
      </c>
      <c r="I160" s="75">
        <f>I152*Input!$C$31</f>
        <v>0</v>
      </c>
      <c r="J160" s="75">
        <f>J152*Input!$C$31</f>
        <v>0</v>
      </c>
      <c r="K160" s="75">
        <f>K152*Input!$C$31</f>
        <v>0</v>
      </c>
      <c r="L160" s="75">
        <f>L152*Input!$C$31</f>
        <v>0</v>
      </c>
    </row>
    <row r="161" spans="1:12" ht="18" customHeight="1" x14ac:dyDescent="0.3">
      <c r="A161" s="9">
        <v>10</v>
      </c>
      <c r="B161" s="66" t="s">
        <v>980</v>
      </c>
      <c r="C161" s="75">
        <f>IFERROR(SUMIF('_Month Engine'!$C$5:$DR$5,C$4,INDEX('_Month Engine'!$C:$DR,MATCH("Renting Flag (1 = renting in month)",'_Month Engine'!$A:$A,0)+MATCH($A161,'_Month Engine'!$B$98:$B$107,0),0))*Input!$C$32,0)</f>
        <v>0</v>
      </c>
      <c r="D161" s="75">
        <f>IFERROR(SUMIF('_Month Engine'!$C$5:$DR$5,D$4,INDEX('_Month Engine'!$C:$DR,MATCH("Renting Flag (1 = renting in month)",'_Month Engine'!$A:$A,0)+MATCH($A161,'_Month Engine'!$B$98:$B$107,0),0))*Input!$C$32,0)</f>
        <v>0</v>
      </c>
      <c r="E161" s="75">
        <f>IFERROR(SUMIF('_Month Engine'!$C$5:$DR$5,E$4,INDEX('_Month Engine'!$C:$DR,MATCH("Renting Flag (1 = renting in month)",'_Month Engine'!$A:$A,0)+MATCH($A161,'_Month Engine'!$B$98:$B$107,0),0))*Input!$C$32,0)</f>
        <v>0</v>
      </c>
      <c r="F161" s="75">
        <f>IFERROR(SUMIF('_Month Engine'!$C$5:$DR$5,F$4,INDEX('_Month Engine'!$C:$DR,MATCH("Renting Flag (1 = renting in month)",'_Month Engine'!$A:$A,0)+MATCH($A161,'_Month Engine'!$B$98:$B$107,0),0))*Input!$C$32,0)</f>
        <v>0</v>
      </c>
      <c r="G161" s="75">
        <f>IFERROR(SUMIF('_Month Engine'!$C$5:$DR$5,G$4,INDEX('_Month Engine'!$C:$DR,MATCH("Renting Flag (1 = renting in month)",'_Month Engine'!$A:$A,0)+MATCH($A161,'_Month Engine'!$B$98:$B$107,0),0))*Input!$C$32,0)</f>
        <v>0</v>
      </c>
      <c r="H161" s="75">
        <f>IFERROR(SUMIF('_Month Engine'!$C$5:$DR$5,H$4,INDEX('_Month Engine'!$C:$DR,MATCH("Renting Flag (1 = renting in month)",'_Month Engine'!$A:$A,0)+MATCH($A161,'_Month Engine'!$B$98:$B$107,0),0))*Input!$C$32,0)</f>
        <v>0</v>
      </c>
      <c r="I161" s="75">
        <f>IFERROR(SUMIF('_Month Engine'!$C$5:$DR$5,I$4,INDEX('_Month Engine'!$C:$DR,MATCH("Renting Flag (1 = renting in month)",'_Month Engine'!$A:$A,0)+MATCH($A161,'_Month Engine'!$B$98:$B$107,0),0))*Input!$C$32,0)</f>
        <v>0</v>
      </c>
      <c r="J161" s="75">
        <f>IFERROR(SUMIF('_Month Engine'!$C$5:$DR$5,J$4,INDEX('_Month Engine'!$C:$DR,MATCH("Renting Flag (1 = renting in month)",'_Month Engine'!$A:$A,0)+MATCH($A161,'_Month Engine'!$B$98:$B$107,0),0))*Input!$C$32,0)</f>
        <v>0</v>
      </c>
      <c r="K161" s="75">
        <f>IFERROR(SUMIF('_Month Engine'!$C$5:$DR$5,K$4,INDEX('_Month Engine'!$C:$DR,MATCH("Renting Flag (1 = renting in month)",'_Month Engine'!$A:$A,0)+MATCH($A161,'_Month Engine'!$B$98:$B$107,0),0))*Input!$C$32,0)</f>
        <v>0</v>
      </c>
      <c r="L161" s="75">
        <f>IFERROR(SUMIF('_Month Engine'!$C$5:$DR$5,L$4,INDEX('_Month Engine'!$C:$DR,MATCH("Renting Flag (1 = renting in month)",'_Month Engine'!$A:$A,0)+MATCH($A161,'_Month Engine'!$B$98:$B$107,0),0))*Input!$C$32,0)</f>
        <v>0</v>
      </c>
    </row>
    <row r="162" spans="1:12" ht="18" customHeight="1" x14ac:dyDescent="0.3">
      <c r="A162" s="9">
        <v>10</v>
      </c>
      <c r="B162" s="11" t="s">
        <v>76</v>
      </c>
      <c r="C162" s="68">
        <f t="shared" ref="C162:L162" si="19">SUM(C153:C161)</f>
        <v>0</v>
      </c>
      <c r="D162" s="68">
        <f t="shared" si="19"/>
        <v>0</v>
      </c>
      <c r="E162" s="68">
        <f t="shared" si="19"/>
        <v>0</v>
      </c>
      <c r="F162" s="68">
        <f t="shared" si="19"/>
        <v>0</v>
      </c>
      <c r="G162" s="68">
        <f t="shared" si="19"/>
        <v>0</v>
      </c>
      <c r="H162" s="68">
        <f t="shared" si="19"/>
        <v>0</v>
      </c>
      <c r="I162" s="68">
        <f t="shared" si="19"/>
        <v>0</v>
      </c>
      <c r="J162" s="68">
        <f t="shared" si="19"/>
        <v>0</v>
      </c>
      <c r="K162" s="68">
        <f t="shared" si="19"/>
        <v>0</v>
      </c>
      <c r="L162" s="68">
        <f t="shared" si="19"/>
        <v>0</v>
      </c>
    </row>
    <row r="163" spans="1:12" ht="18" customHeight="1" x14ac:dyDescent="0.3">
      <c r="A163" s="9">
        <v>10</v>
      </c>
      <c r="B163" s="11" t="s">
        <v>172</v>
      </c>
      <c r="C163" s="68">
        <f t="shared" ref="C163:L163" si="20">C152-C162</f>
        <v>0</v>
      </c>
      <c r="D163" s="68">
        <f t="shared" si="20"/>
        <v>0</v>
      </c>
      <c r="E163" s="68">
        <f t="shared" si="20"/>
        <v>0</v>
      </c>
      <c r="F163" s="68">
        <f t="shared" si="20"/>
        <v>0</v>
      </c>
      <c r="G163" s="68">
        <f t="shared" si="20"/>
        <v>0</v>
      </c>
      <c r="H163" s="68">
        <f t="shared" si="20"/>
        <v>0</v>
      </c>
      <c r="I163" s="68">
        <f t="shared" si="20"/>
        <v>0</v>
      </c>
      <c r="J163" s="68">
        <f t="shared" si="20"/>
        <v>0</v>
      </c>
      <c r="K163" s="68">
        <f t="shared" si="20"/>
        <v>0</v>
      </c>
      <c r="L163" s="68">
        <f t="shared" si="20"/>
        <v>0</v>
      </c>
    </row>
    <row r="164" spans="1:12" ht="18" customHeight="1" x14ac:dyDescent="0.3">
      <c r="A164" s="9">
        <v>10</v>
      </c>
      <c r="B164" s="22" t="s">
        <v>173</v>
      </c>
      <c r="C164" s="77">
        <f>SUMIF('_Month Engine'!$C$5:$DR$5,C$4,INDEX('_Month Engine'!$C:$DR,MATCH("Acquisition Outflow (Purchase + Closing)",'_Month Engine'!$A:$A,0)+MATCH($A164,'_Month Engine'!$B$8:$B$17,0),0))+SUMIF('_Month Engine'!$C$5:$DR$5,C$4,INDEX('_Month Engine'!$C:$DR,MATCH("Acquisition Outflow (Purchase + Closing)",'_Month Engine'!$A:$A,0)+MATCH($A164,'_Month Engine'!$B$21:$B$30,0),0))</f>
        <v>0</v>
      </c>
      <c r="D164" s="77">
        <f>SUMIF('_Month Engine'!$C$5:$DR$5,D$4,INDEX('_Month Engine'!$C:$DR,MATCH("Acquisition Outflow (Purchase + Closing)",'_Month Engine'!$A:$A,0)+MATCH($A164,'_Month Engine'!$B$8:$B$17,0),0))+SUMIF('_Month Engine'!$C$5:$DR$5,D$4,INDEX('_Month Engine'!$C:$DR,MATCH("Acquisition Outflow (Purchase + Closing)",'_Month Engine'!$A:$A,0)+MATCH($A164,'_Month Engine'!$B$21:$B$30,0),0))</f>
        <v>0</v>
      </c>
      <c r="E164" s="77">
        <f>SUMIF('_Month Engine'!$C$5:$DR$5,E$4,INDEX('_Month Engine'!$C:$DR,MATCH("Acquisition Outflow (Purchase + Closing)",'_Month Engine'!$A:$A,0)+MATCH($A164,'_Month Engine'!$B$8:$B$17,0),0))+SUMIF('_Month Engine'!$C$5:$DR$5,E$4,INDEX('_Month Engine'!$C:$DR,MATCH("Acquisition Outflow (Purchase + Closing)",'_Month Engine'!$A:$A,0)+MATCH($A164,'_Month Engine'!$B$21:$B$30,0),0))</f>
        <v>0</v>
      </c>
      <c r="F164" s="77">
        <f>SUMIF('_Month Engine'!$C$5:$DR$5,F$4,INDEX('_Month Engine'!$C:$DR,MATCH("Acquisition Outflow (Purchase + Closing)",'_Month Engine'!$A:$A,0)+MATCH($A164,'_Month Engine'!$B$8:$B$17,0),0))+SUMIF('_Month Engine'!$C$5:$DR$5,F$4,INDEX('_Month Engine'!$C:$DR,MATCH("Acquisition Outflow (Purchase + Closing)",'_Month Engine'!$A:$A,0)+MATCH($A164,'_Month Engine'!$B$21:$B$30,0),0))</f>
        <v>0</v>
      </c>
      <c r="G164" s="77">
        <f>SUMIF('_Month Engine'!$C$5:$DR$5,G$4,INDEX('_Month Engine'!$C:$DR,MATCH("Acquisition Outflow (Purchase + Closing)",'_Month Engine'!$A:$A,0)+MATCH($A164,'_Month Engine'!$B$8:$B$17,0),0))+SUMIF('_Month Engine'!$C$5:$DR$5,G$4,INDEX('_Month Engine'!$C:$DR,MATCH("Acquisition Outflow (Purchase + Closing)",'_Month Engine'!$A:$A,0)+MATCH($A164,'_Month Engine'!$B$21:$B$30,0),0))</f>
        <v>0</v>
      </c>
      <c r="H164" s="77">
        <f>SUMIF('_Month Engine'!$C$5:$DR$5,H$4,INDEX('_Month Engine'!$C:$DR,MATCH("Acquisition Outflow (Purchase + Closing)",'_Month Engine'!$A:$A,0)+MATCH($A164,'_Month Engine'!$B$8:$B$17,0),0))+SUMIF('_Month Engine'!$C$5:$DR$5,H$4,INDEX('_Month Engine'!$C:$DR,MATCH("Acquisition Outflow (Purchase + Closing)",'_Month Engine'!$A:$A,0)+MATCH($A164,'_Month Engine'!$B$21:$B$30,0),0))</f>
        <v>0</v>
      </c>
      <c r="I164" s="77">
        <f>SUMIF('_Month Engine'!$C$5:$DR$5,I$4,INDEX('_Month Engine'!$C:$DR,MATCH("Acquisition Outflow (Purchase + Closing)",'_Month Engine'!$A:$A,0)+MATCH($A164,'_Month Engine'!$B$8:$B$17,0),0))+SUMIF('_Month Engine'!$C$5:$DR$5,I$4,INDEX('_Month Engine'!$C:$DR,MATCH("Acquisition Outflow (Purchase + Closing)",'_Month Engine'!$A:$A,0)+MATCH($A164,'_Month Engine'!$B$21:$B$30,0),0))</f>
        <v>0</v>
      </c>
      <c r="J164" s="77">
        <f>SUMIF('_Month Engine'!$C$5:$DR$5,J$4,INDEX('_Month Engine'!$C:$DR,MATCH("Acquisition Outflow (Purchase + Closing)",'_Month Engine'!$A:$A,0)+MATCH($A164,'_Month Engine'!$B$8:$B$17,0),0))+SUMIF('_Month Engine'!$C$5:$DR$5,J$4,INDEX('_Month Engine'!$C:$DR,MATCH("Acquisition Outflow (Purchase + Closing)",'_Month Engine'!$A:$A,0)+MATCH($A164,'_Month Engine'!$B$21:$B$30,0),0))</f>
        <v>0</v>
      </c>
      <c r="K164" s="77">
        <f>SUMIF('_Month Engine'!$C$5:$DR$5,K$4,INDEX('_Month Engine'!$C:$DR,MATCH("Acquisition Outflow (Purchase + Closing)",'_Month Engine'!$A:$A,0)+MATCH($A164,'_Month Engine'!$B$8:$B$17,0),0))+SUMIF('_Month Engine'!$C$5:$DR$5,K$4,INDEX('_Month Engine'!$C:$DR,MATCH("Acquisition Outflow (Purchase + Closing)",'_Month Engine'!$A:$A,0)+MATCH($A164,'_Month Engine'!$B$21:$B$30,0),0))</f>
        <v>0</v>
      </c>
      <c r="L164" s="77">
        <f>SUMIF('_Month Engine'!$C$5:$DR$5,L$4,INDEX('_Month Engine'!$C:$DR,MATCH("Acquisition Outflow (Purchase + Closing)",'_Month Engine'!$A:$A,0)+MATCH($A164,'_Month Engine'!$B$8:$B$17,0),0))+SUMIF('_Month Engine'!$C$5:$DR$5,L$4,INDEX('_Month Engine'!$C:$DR,MATCH("Acquisition Outflow (Purchase + Closing)",'_Month Engine'!$A:$A,0)+MATCH($A164,'_Month Engine'!$B$21:$B$30,0),0))</f>
        <v>0</v>
      </c>
    </row>
    <row r="165" spans="1:12" ht="34.049999999999997" customHeight="1" x14ac:dyDescent="0.3">
      <c r="A165" s="9">
        <v>10</v>
      </c>
      <c r="B165" s="517" t="s">
        <v>1181</v>
      </c>
      <c r="C165" s="77" cm="1">
        <f t="array" ref="C165">SUMIF('_Month Engine'!$C$5:$DR$5,C$4,INDEX('_Month Engine'!$C:$DR,MATCH("Gross Sale Value",'_Month Engine'!$A:$A,0)+MATCH($A165,'_Month Engine'!$B$61:$B$70,0),0))*(1-Input!$C$15)-IF(SUMIF('_Month Engine'!$C$5:$DR$5,C$4,INDEX('_Month Engine'!$C:$DR,MATCH("Gross Sale Value",'_Month Engine'!$A:$A,0)+MATCH($A165,'_Month Engine'!$B$61:$B$70,0),0))&gt;0,INDEX(Properties!$AD:$AD,$A165+5),0)</f>
        <v>0</v>
      </c>
      <c r="D165" s="77" cm="1">
        <f t="array" ref="D165">SUMIF('_Month Engine'!$C$5:$DR$5,D$4,INDEX('_Month Engine'!$C:$DR,MATCH("Gross Sale Value",'_Month Engine'!$A:$A,0)+MATCH($A165,'_Month Engine'!$B$61:$B$70,0),0))*(1-Input!$C$15)-IF(SUMIF('_Month Engine'!$C$5:$DR$5,D$4,INDEX('_Month Engine'!$C:$DR,MATCH("Gross Sale Value",'_Month Engine'!$A:$A,0)+MATCH($A165,'_Month Engine'!$B$61:$B$70,0),0))&gt;0,INDEX(Properties!$AD:$AD,$A165+5),0)</f>
        <v>0</v>
      </c>
      <c r="E165" s="77" cm="1">
        <f t="array" ref="E165">SUMIF('_Month Engine'!$C$5:$DR$5,E$4,INDEX('_Month Engine'!$C:$DR,MATCH("Gross Sale Value",'_Month Engine'!$A:$A,0)+MATCH($A165,'_Month Engine'!$B$61:$B$70,0),0))*(1-Input!$C$15)-IF(SUMIF('_Month Engine'!$C$5:$DR$5,E$4,INDEX('_Month Engine'!$C:$DR,MATCH("Gross Sale Value",'_Month Engine'!$A:$A,0)+MATCH($A165,'_Month Engine'!$B$61:$B$70,0),0))&gt;0,INDEX(Properties!$AD:$AD,$A165+5),0)</f>
        <v>0</v>
      </c>
      <c r="F165" s="77" cm="1">
        <f t="array" ref="F165">SUMIF('_Month Engine'!$C$5:$DR$5,F$4,INDEX('_Month Engine'!$C:$DR,MATCH("Gross Sale Value",'_Month Engine'!$A:$A,0)+MATCH($A165,'_Month Engine'!$B$61:$B$70,0),0))*(1-Input!$C$15)-IF(SUMIF('_Month Engine'!$C$5:$DR$5,F$4,INDEX('_Month Engine'!$C:$DR,MATCH("Gross Sale Value",'_Month Engine'!$A:$A,0)+MATCH($A165,'_Month Engine'!$B$61:$B$70,0),0))&gt;0,INDEX(Properties!$AD:$AD,$A165+5),0)</f>
        <v>0</v>
      </c>
      <c r="G165" s="77" cm="1">
        <f t="array" ref="G165">SUMIF('_Month Engine'!$C$5:$DR$5,G$4,INDEX('_Month Engine'!$C:$DR,MATCH("Gross Sale Value",'_Month Engine'!$A:$A,0)+MATCH($A165,'_Month Engine'!$B$61:$B$70,0),0))*(1-Input!$C$15)-IF(SUMIF('_Month Engine'!$C$5:$DR$5,G$4,INDEX('_Month Engine'!$C:$DR,MATCH("Gross Sale Value",'_Month Engine'!$A:$A,0)+MATCH($A165,'_Month Engine'!$B$61:$B$70,0),0))&gt;0,INDEX(Properties!$AD:$AD,$A165+5),0)</f>
        <v>0</v>
      </c>
      <c r="H165" s="77" cm="1">
        <f t="array" ref="H165">SUMIF('_Month Engine'!$C$5:$DR$5,H$4,INDEX('_Month Engine'!$C:$DR,MATCH("Gross Sale Value",'_Month Engine'!$A:$A,0)+MATCH($A165,'_Month Engine'!$B$61:$B$70,0),0))*(1-Input!$C$15)-IF(SUMIF('_Month Engine'!$C$5:$DR$5,H$4,INDEX('_Month Engine'!$C:$DR,MATCH("Gross Sale Value",'_Month Engine'!$A:$A,0)+MATCH($A165,'_Month Engine'!$B$61:$B$70,0),0))&gt;0,INDEX(Properties!$AD:$AD,$A165+5),0)</f>
        <v>0</v>
      </c>
      <c r="I165" s="77" cm="1">
        <f t="array" ref="I165">SUMIF('_Month Engine'!$C$5:$DR$5,I$4,INDEX('_Month Engine'!$C:$DR,MATCH("Gross Sale Value",'_Month Engine'!$A:$A,0)+MATCH($A165,'_Month Engine'!$B$61:$B$70,0),0))*(1-Input!$C$15)-IF(SUMIF('_Month Engine'!$C$5:$DR$5,I$4,INDEX('_Month Engine'!$C:$DR,MATCH("Gross Sale Value",'_Month Engine'!$A:$A,0)+MATCH($A165,'_Month Engine'!$B$61:$B$70,0),0))&gt;0,INDEX(Properties!$AD:$AD,$A165+5),0)</f>
        <v>0</v>
      </c>
      <c r="J165" s="77" cm="1">
        <f t="array" ref="J165">SUMIF('_Month Engine'!$C$5:$DR$5,J$4,INDEX('_Month Engine'!$C:$DR,MATCH("Gross Sale Value",'_Month Engine'!$A:$A,0)+MATCH($A165,'_Month Engine'!$B$61:$B$70,0),0))*(1-Input!$C$15)-IF(SUMIF('_Month Engine'!$C$5:$DR$5,J$4,INDEX('_Month Engine'!$C:$DR,MATCH("Gross Sale Value",'_Month Engine'!$A:$A,0)+MATCH($A165,'_Month Engine'!$B$61:$B$70,0),0))&gt;0,INDEX(Properties!$AD:$AD,$A165+5),0)</f>
        <v>0</v>
      </c>
      <c r="K165" s="77" cm="1">
        <f t="array" ref="K165">SUMIF('_Month Engine'!$C$5:$DR$5,K$4,INDEX('_Month Engine'!$C:$DR,MATCH("Gross Sale Value",'_Month Engine'!$A:$A,0)+MATCH($A165,'_Month Engine'!$B$61:$B$70,0),0))*(1-Input!$C$15)-IF(SUMIF('_Month Engine'!$C$5:$DR$5,K$4,INDEX('_Month Engine'!$C:$DR,MATCH("Gross Sale Value",'_Month Engine'!$A:$A,0)+MATCH($A165,'_Month Engine'!$B$61:$B$70,0),0))&gt;0,INDEX(Properties!$AD:$AD,$A165+5),0)</f>
        <v>0</v>
      </c>
      <c r="L165" s="77" cm="1">
        <f t="array" ref="L165">SUMIF('_Month Engine'!$C$5:$DR$5,L$4,INDEX('_Month Engine'!$C:$DR,MATCH("Gross Sale Value",'_Month Engine'!$A:$A,0)+MATCH($A165,'_Month Engine'!$B$61:$B$70,0),0))*(1-Input!$C$15)-IF(SUMIF('_Month Engine'!$C$5:$DR$5,L$4,INDEX('_Month Engine'!$C:$DR,MATCH("Gross Sale Value",'_Month Engine'!$A:$A,0)+MATCH($A165,'_Month Engine'!$B$61:$B$70,0),0))&gt;0,INDEX(Properties!$AD:$AD,$A165+5),0)</f>
        <v>0</v>
      </c>
    </row>
    <row r="166" spans="1:12" ht="18" customHeight="1" x14ac:dyDescent="0.3">
      <c r="A166" s="9"/>
      <c r="B166" s="9"/>
      <c r="C166" s="66"/>
      <c r="D166" s="66"/>
      <c r="E166" s="66"/>
      <c r="F166" s="66"/>
      <c r="G166" s="66"/>
      <c r="H166" s="66"/>
      <c r="I166" s="66"/>
      <c r="J166" s="66"/>
      <c r="K166" s="66"/>
      <c r="L166" s="66"/>
    </row>
    <row r="167" spans="1:12" ht="18" customHeight="1" x14ac:dyDescent="0.3">
      <c r="A167" s="40">
        <v>11</v>
      </c>
      <c r="B167" s="40" t="str" cm="1">
        <f t="array" ref="B167">INDEX(Properties!$E:$E,$A167+5)&amp;"   ·   "&amp;INDEX(Properties!$F:$F,$A167+5)&amp;"   ·   "&amp;INDEX(Properties!$H:$H,$A167+5)</f>
        <v>Carolina's House   ·   Llanogrande, Antioquia   ·   Backup — insufficient data for underwriting (no size, price, or terms in source)</v>
      </c>
      <c r="C167" s="67"/>
      <c r="D167" s="67"/>
      <c r="E167" s="67"/>
      <c r="F167" s="67"/>
      <c r="G167" s="67"/>
      <c r="H167" s="67"/>
      <c r="I167" s="67"/>
      <c r="J167" s="67"/>
      <c r="K167" s="67"/>
      <c r="L167" s="67"/>
    </row>
    <row r="168" spans="1:12" ht="18" customHeight="1" x14ac:dyDescent="0.3">
      <c r="A168" s="9">
        <v>11</v>
      </c>
      <c r="B168" s="66" t="s">
        <v>167</v>
      </c>
      <c r="C168" s="75">
        <f>IFERROR(SUMIF('_Month Engine'!$C$5:$DR$5,C$4,INDEX('_Month Engine'!$C:$DR,MATCH("Gross STR Revenue",'_Month Engine'!$A:$A,0)+MATCH($A168,'_Month Engine'!$B$34:$B$43,0),0)),0)</f>
        <v>0</v>
      </c>
      <c r="D168" s="75">
        <f>IFERROR(SUMIF('_Month Engine'!$C$5:$DR$5,D$4,INDEX('_Month Engine'!$C:$DR,MATCH("Gross STR Revenue",'_Month Engine'!$A:$A,0)+MATCH($A168,'_Month Engine'!$B$34:$B$43,0),0)),0)</f>
        <v>0</v>
      </c>
      <c r="E168" s="75">
        <f>IFERROR(SUMIF('_Month Engine'!$C$5:$DR$5,E$4,INDEX('_Month Engine'!$C:$DR,MATCH("Gross STR Revenue",'_Month Engine'!$A:$A,0)+MATCH($A168,'_Month Engine'!$B$34:$B$43,0),0)),0)</f>
        <v>0</v>
      </c>
      <c r="F168" s="75">
        <f>IFERROR(SUMIF('_Month Engine'!$C$5:$DR$5,F$4,INDEX('_Month Engine'!$C:$DR,MATCH("Gross STR Revenue",'_Month Engine'!$A:$A,0)+MATCH($A168,'_Month Engine'!$B$34:$B$43,0),0)),0)</f>
        <v>0</v>
      </c>
      <c r="G168" s="75">
        <f>IFERROR(SUMIF('_Month Engine'!$C$5:$DR$5,G$4,INDEX('_Month Engine'!$C:$DR,MATCH("Gross STR Revenue",'_Month Engine'!$A:$A,0)+MATCH($A168,'_Month Engine'!$B$34:$B$43,0),0)),0)</f>
        <v>0</v>
      </c>
      <c r="H168" s="75">
        <f>IFERROR(SUMIF('_Month Engine'!$C$5:$DR$5,H$4,INDEX('_Month Engine'!$C:$DR,MATCH("Gross STR Revenue",'_Month Engine'!$A:$A,0)+MATCH($A168,'_Month Engine'!$B$34:$B$43,0),0)),0)</f>
        <v>0</v>
      </c>
      <c r="I168" s="75">
        <f>IFERROR(SUMIF('_Month Engine'!$C$5:$DR$5,I$4,INDEX('_Month Engine'!$C:$DR,MATCH("Gross STR Revenue",'_Month Engine'!$A:$A,0)+MATCH($A168,'_Month Engine'!$B$34:$B$43,0),0)),0)</f>
        <v>0</v>
      </c>
      <c r="J168" s="75">
        <f>IFERROR(SUMIF('_Month Engine'!$C$5:$DR$5,J$4,INDEX('_Month Engine'!$C:$DR,MATCH("Gross STR Revenue",'_Month Engine'!$A:$A,0)+MATCH($A168,'_Month Engine'!$B$34:$B$43,0),0)),0)</f>
        <v>0</v>
      </c>
      <c r="K168" s="75">
        <f>IFERROR(SUMIF('_Month Engine'!$C$5:$DR$5,K$4,INDEX('_Month Engine'!$C:$DR,MATCH("Gross STR Revenue",'_Month Engine'!$A:$A,0)+MATCH($A168,'_Month Engine'!$B$34:$B$43,0),0)),0)</f>
        <v>0</v>
      </c>
      <c r="L168" s="75">
        <f>IFERROR(SUMIF('_Month Engine'!$C$5:$DR$5,L$4,INDEX('_Month Engine'!$C:$DR,MATCH("Gross STR Revenue",'_Month Engine'!$A:$A,0)+MATCH($A168,'_Month Engine'!$B$34:$B$43,0),0)),0)</f>
        <v>0</v>
      </c>
    </row>
    <row r="169" spans="1:12" ht="18" customHeight="1" x14ac:dyDescent="0.3">
      <c r="A169" s="9">
        <v>11</v>
      </c>
      <c r="B169" s="66" t="s">
        <v>1179</v>
      </c>
      <c r="C169" s="75" cm="1">
        <f t="array" ref="C169">IFERROR(SUMIF('_Month Engine'!$C$5:$DR$5,C$4,INDEX('_Month Engine'!$C:$DR,MATCH("Owned All-In Basis",'_Month Engine'!$A:$A,0)+MATCH($A169,'_Month Engine'!$B$47:$B$56,0),0))*INDEX(Input!$C$80:$C$89,$A169)/'_IRR Engine'!$Q$7,0)</f>
        <v>0</v>
      </c>
      <c r="D169" s="75" cm="1">
        <f t="array" ref="D169">IFERROR(SUMIF('_Month Engine'!$C$5:$DR$5,D$4,INDEX('_Month Engine'!$C:$DR,MATCH("Owned All-In Basis",'_Month Engine'!$A:$A,0)+MATCH($A169,'_Month Engine'!$B$47:$B$56,0),0))*INDEX(Input!$C$80:$C$89,$A169)/'_IRR Engine'!$Q$7,0)</f>
        <v>0</v>
      </c>
      <c r="E169" s="75" cm="1">
        <f t="array" ref="E169">IFERROR(SUMIF('_Month Engine'!$C$5:$DR$5,E$4,INDEX('_Month Engine'!$C:$DR,MATCH("Owned All-In Basis",'_Month Engine'!$A:$A,0)+MATCH($A169,'_Month Engine'!$B$47:$B$56,0),0))*INDEX(Input!$C$80:$C$89,$A169)/'_IRR Engine'!$Q$7,0)</f>
        <v>0</v>
      </c>
      <c r="F169" s="75" cm="1">
        <f t="array" ref="F169">IFERROR(SUMIF('_Month Engine'!$C$5:$DR$5,F$4,INDEX('_Month Engine'!$C:$DR,MATCH("Owned All-In Basis",'_Month Engine'!$A:$A,0)+MATCH($A169,'_Month Engine'!$B$47:$B$56,0),0))*INDEX(Input!$C$80:$C$89,$A169)/'_IRR Engine'!$Q$7,0)</f>
        <v>0</v>
      </c>
      <c r="G169" s="75" cm="1">
        <f t="array" ref="G169">IFERROR(SUMIF('_Month Engine'!$C$5:$DR$5,G$4,INDEX('_Month Engine'!$C:$DR,MATCH("Owned All-In Basis",'_Month Engine'!$A:$A,0)+MATCH($A169,'_Month Engine'!$B$47:$B$56,0),0))*INDEX(Input!$C$80:$C$89,$A169)/'_IRR Engine'!$Q$7,0)</f>
        <v>0</v>
      </c>
      <c r="H169" s="75" cm="1">
        <f t="array" ref="H169">IFERROR(SUMIF('_Month Engine'!$C$5:$DR$5,H$4,INDEX('_Month Engine'!$C:$DR,MATCH("Owned All-In Basis",'_Month Engine'!$A:$A,0)+MATCH($A169,'_Month Engine'!$B$47:$B$56,0),0))*INDEX(Input!$C$80:$C$89,$A169)/'_IRR Engine'!$Q$7,0)</f>
        <v>0</v>
      </c>
      <c r="I169" s="75" cm="1">
        <f t="array" ref="I169">IFERROR(SUMIF('_Month Engine'!$C$5:$DR$5,I$4,INDEX('_Month Engine'!$C:$DR,MATCH("Owned All-In Basis",'_Month Engine'!$A:$A,0)+MATCH($A169,'_Month Engine'!$B$47:$B$56,0),0))*INDEX(Input!$C$80:$C$89,$A169)/'_IRR Engine'!$Q$7,0)</f>
        <v>0</v>
      </c>
      <c r="J169" s="75" cm="1">
        <f t="array" ref="J169">IFERROR(SUMIF('_Month Engine'!$C$5:$DR$5,J$4,INDEX('_Month Engine'!$C:$DR,MATCH("Owned All-In Basis",'_Month Engine'!$A:$A,0)+MATCH($A169,'_Month Engine'!$B$47:$B$56,0),0))*INDEX(Input!$C$80:$C$89,$A169)/'_IRR Engine'!$Q$7,0)</f>
        <v>0</v>
      </c>
      <c r="K169" s="75" cm="1">
        <f t="array" ref="K169">IFERROR(SUMIF('_Month Engine'!$C$5:$DR$5,K$4,INDEX('_Month Engine'!$C:$DR,MATCH("Owned All-In Basis",'_Month Engine'!$A:$A,0)+MATCH($A169,'_Month Engine'!$B$47:$B$56,0),0))*INDEX(Input!$C$80:$C$89,$A169)/'_IRR Engine'!$Q$7,0)</f>
        <v>0</v>
      </c>
      <c r="L169" s="75" cm="1">
        <f t="array" ref="L169">IFERROR(SUMIF('_Month Engine'!$C$5:$DR$5,L$4,INDEX('_Month Engine'!$C:$DR,MATCH("Owned All-In Basis",'_Month Engine'!$A:$A,0)+MATCH($A169,'_Month Engine'!$B$47:$B$56,0),0))*INDEX(Input!$C$80:$C$89,$A169)/'_IRR Engine'!$Q$7,0)</f>
        <v>0</v>
      </c>
    </row>
    <row r="170" spans="1:12" ht="18" customHeight="1" x14ac:dyDescent="0.3">
      <c r="A170" s="9">
        <v>11</v>
      </c>
      <c r="B170" s="66" t="s">
        <v>72</v>
      </c>
      <c r="C170" s="75">
        <f>IFERROR(SUMIF('_Month Engine'!$C$5:$DR$5,C$4,INDEX('_Month Engine'!$C:$DR,MATCH("Renting All-In Basis",'_Month Engine'!$A:$A,0)+MATCH($A170,'_Month Engine'!$B$110:$B$119,0),0))*Input!$C$18/'_IRR Engine'!$Q$7,0)</f>
        <v>0</v>
      </c>
      <c r="D170" s="75">
        <f>IFERROR(SUMIF('_Month Engine'!$C$5:$DR$5,D$4,INDEX('_Month Engine'!$C:$DR,MATCH("Renting All-In Basis",'_Month Engine'!$A:$A,0)+MATCH($A170,'_Month Engine'!$B$110:$B$119,0),0))*Input!$C$18/'_IRR Engine'!$Q$7,0)</f>
        <v>0</v>
      </c>
      <c r="E170" s="75">
        <f>IFERROR(SUMIF('_Month Engine'!$C$5:$DR$5,E$4,INDEX('_Month Engine'!$C:$DR,MATCH("Renting All-In Basis",'_Month Engine'!$A:$A,0)+MATCH($A170,'_Month Engine'!$B$110:$B$119,0),0))*Input!$C$18/'_IRR Engine'!$Q$7,0)</f>
        <v>0</v>
      </c>
      <c r="F170" s="75">
        <f>IFERROR(SUMIF('_Month Engine'!$C$5:$DR$5,F$4,INDEX('_Month Engine'!$C:$DR,MATCH("Renting All-In Basis",'_Month Engine'!$A:$A,0)+MATCH($A170,'_Month Engine'!$B$110:$B$119,0),0))*Input!$C$18/'_IRR Engine'!$Q$7,0)</f>
        <v>0</v>
      </c>
      <c r="G170" s="75">
        <f>IFERROR(SUMIF('_Month Engine'!$C$5:$DR$5,G$4,INDEX('_Month Engine'!$C:$DR,MATCH("Renting All-In Basis",'_Month Engine'!$A:$A,0)+MATCH($A170,'_Month Engine'!$B$110:$B$119,0),0))*Input!$C$18/'_IRR Engine'!$Q$7,0)</f>
        <v>0</v>
      </c>
      <c r="H170" s="75">
        <f>IFERROR(SUMIF('_Month Engine'!$C$5:$DR$5,H$4,INDEX('_Month Engine'!$C:$DR,MATCH("Renting All-In Basis",'_Month Engine'!$A:$A,0)+MATCH($A170,'_Month Engine'!$B$110:$B$119,0),0))*Input!$C$18/'_IRR Engine'!$Q$7,0)</f>
        <v>0</v>
      </c>
      <c r="I170" s="75">
        <f>IFERROR(SUMIF('_Month Engine'!$C$5:$DR$5,I$4,INDEX('_Month Engine'!$C:$DR,MATCH("Renting All-In Basis",'_Month Engine'!$A:$A,0)+MATCH($A170,'_Month Engine'!$B$110:$B$119,0),0))*Input!$C$18/'_IRR Engine'!$Q$7,0)</f>
        <v>0</v>
      </c>
      <c r="J170" s="75">
        <f>IFERROR(SUMIF('_Month Engine'!$C$5:$DR$5,J$4,INDEX('_Month Engine'!$C:$DR,MATCH("Renting All-In Basis",'_Month Engine'!$A:$A,0)+MATCH($A170,'_Month Engine'!$B$110:$B$119,0),0))*Input!$C$18/'_IRR Engine'!$Q$7,0)</f>
        <v>0</v>
      </c>
      <c r="K170" s="75">
        <f>IFERROR(SUMIF('_Month Engine'!$C$5:$DR$5,K$4,INDEX('_Month Engine'!$C:$DR,MATCH("Renting All-In Basis",'_Month Engine'!$A:$A,0)+MATCH($A170,'_Month Engine'!$B$110:$B$119,0),0))*Input!$C$18/'_IRR Engine'!$Q$7,0)</f>
        <v>0</v>
      </c>
      <c r="L170" s="75">
        <f>IFERROR(SUMIF('_Month Engine'!$C$5:$DR$5,L$4,INDEX('_Month Engine'!$C:$DR,MATCH("Renting All-In Basis",'_Month Engine'!$A:$A,0)+MATCH($A170,'_Month Engine'!$B$110:$B$119,0),0))*Input!$C$18/'_IRR Engine'!$Q$7,0)</f>
        <v>0</v>
      </c>
    </row>
    <row r="171" spans="1:12" ht="18" customHeight="1" x14ac:dyDescent="0.3">
      <c r="A171" s="9">
        <v>11</v>
      </c>
      <c r="B171" s="66" t="s">
        <v>168</v>
      </c>
      <c r="C171" s="75" cm="1">
        <f t="array" ref="C171">IFERROR(SUMIF('_Month Engine'!$C$5:$DR$5,C$4,INDEX('_Month Engine'!$C:$DR,MATCH("Owned Flag (1 = owned in month)",'_Month Engine'!$A:$A,0)+MATCH($A171,'_Month Engine'!$B$86:$B$95,0),0))*INDEX(Input!$D$80:$D$89,$A171)*1000000/Input!$C$5,0)</f>
        <v>0</v>
      </c>
      <c r="D171" s="75" cm="1">
        <f t="array" ref="D171">IFERROR(SUMIF('_Month Engine'!$C$5:$DR$5,D$4,INDEX('_Month Engine'!$C:$DR,MATCH("Owned Flag (1 = owned in month)",'_Month Engine'!$A:$A,0)+MATCH($A171,'_Month Engine'!$B$86:$B$95,0),0))*INDEX(Input!$D$80:$D$89,$A171)*1000000/Input!$C$5,0)</f>
        <v>0</v>
      </c>
      <c r="E171" s="75" cm="1">
        <f t="array" ref="E171">IFERROR(SUMIF('_Month Engine'!$C$5:$DR$5,E$4,INDEX('_Month Engine'!$C:$DR,MATCH("Owned Flag (1 = owned in month)",'_Month Engine'!$A:$A,0)+MATCH($A171,'_Month Engine'!$B$86:$B$95,0),0))*INDEX(Input!$D$80:$D$89,$A171)*1000000/Input!$C$5,0)</f>
        <v>0</v>
      </c>
      <c r="F171" s="75" cm="1">
        <f t="array" ref="F171">IFERROR(SUMIF('_Month Engine'!$C$5:$DR$5,F$4,INDEX('_Month Engine'!$C:$DR,MATCH("Owned Flag (1 = owned in month)",'_Month Engine'!$A:$A,0)+MATCH($A171,'_Month Engine'!$B$86:$B$95,0),0))*INDEX(Input!$D$80:$D$89,$A171)*1000000/Input!$C$5,0)</f>
        <v>0</v>
      </c>
      <c r="G171" s="75" cm="1">
        <f t="array" ref="G171">IFERROR(SUMIF('_Month Engine'!$C$5:$DR$5,G$4,INDEX('_Month Engine'!$C:$DR,MATCH("Owned Flag (1 = owned in month)",'_Month Engine'!$A:$A,0)+MATCH($A171,'_Month Engine'!$B$86:$B$95,0),0))*INDEX(Input!$D$80:$D$89,$A171)*1000000/Input!$C$5,0)</f>
        <v>0</v>
      </c>
      <c r="H171" s="75" cm="1">
        <f t="array" ref="H171">IFERROR(SUMIF('_Month Engine'!$C$5:$DR$5,H$4,INDEX('_Month Engine'!$C:$DR,MATCH("Owned Flag (1 = owned in month)",'_Month Engine'!$A:$A,0)+MATCH($A171,'_Month Engine'!$B$86:$B$95,0),0))*INDEX(Input!$D$80:$D$89,$A171)*1000000/Input!$C$5,0)</f>
        <v>0</v>
      </c>
      <c r="I171" s="75" cm="1">
        <f t="array" ref="I171">IFERROR(SUMIF('_Month Engine'!$C$5:$DR$5,I$4,INDEX('_Month Engine'!$C:$DR,MATCH("Owned Flag (1 = owned in month)",'_Month Engine'!$A:$A,0)+MATCH($A171,'_Month Engine'!$B$86:$B$95,0),0))*INDEX(Input!$D$80:$D$89,$A171)*1000000/Input!$C$5,0)</f>
        <v>0</v>
      </c>
      <c r="J171" s="75" cm="1">
        <f t="array" ref="J171">IFERROR(SUMIF('_Month Engine'!$C$5:$DR$5,J$4,INDEX('_Month Engine'!$C:$DR,MATCH("Owned Flag (1 = owned in month)",'_Month Engine'!$A:$A,0)+MATCH($A171,'_Month Engine'!$B$86:$B$95,0),0))*INDEX(Input!$D$80:$D$89,$A171)*1000000/Input!$C$5,0)</f>
        <v>0</v>
      </c>
      <c r="K171" s="75" cm="1">
        <f t="array" ref="K171">IFERROR(SUMIF('_Month Engine'!$C$5:$DR$5,K$4,INDEX('_Month Engine'!$C:$DR,MATCH("Owned Flag (1 = owned in month)",'_Month Engine'!$A:$A,0)+MATCH($A171,'_Month Engine'!$B$86:$B$95,0),0))*INDEX(Input!$D$80:$D$89,$A171)*1000000/Input!$C$5,0)</f>
        <v>0</v>
      </c>
      <c r="L171" s="75" cm="1">
        <f t="array" ref="L171">IFERROR(SUMIF('_Month Engine'!$C$5:$DR$5,L$4,INDEX('_Month Engine'!$C:$DR,MATCH("Owned Flag (1 = owned in month)",'_Month Engine'!$A:$A,0)+MATCH($A171,'_Month Engine'!$B$86:$B$95,0),0))*INDEX(Input!$D$80:$D$89,$A171)*1000000/Input!$C$5,0)</f>
        <v>0</v>
      </c>
    </row>
    <row r="172" spans="1:12" ht="18" customHeight="1" x14ac:dyDescent="0.3">
      <c r="A172" s="9">
        <v>11</v>
      </c>
      <c r="B172" s="66" t="s">
        <v>169</v>
      </c>
      <c r="C172" s="75" cm="1">
        <f t="array" ref="C172">IFERROR(SUMIF('_Month Engine'!$C$5:$DR$5,C$4,INDEX('_Month Engine'!$C:$DR,MATCH("Owned Flag (1 = owned in month)",'_Month Engine'!$A:$A,0)+MATCH($A172,'_Month Engine'!$B$86:$B$95,0),0))*INDEX(Input!$E$80:$E$89,$A172)*1000000/Input!$C$5,0)</f>
        <v>0</v>
      </c>
      <c r="D172" s="75" cm="1">
        <f t="array" ref="D172">IFERROR(SUMIF('_Month Engine'!$C$5:$DR$5,D$4,INDEX('_Month Engine'!$C:$DR,MATCH("Owned Flag (1 = owned in month)",'_Month Engine'!$A:$A,0)+MATCH($A172,'_Month Engine'!$B$86:$B$95,0),0))*INDEX(Input!$E$80:$E$89,$A172)*1000000/Input!$C$5,0)</f>
        <v>0</v>
      </c>
      <c r="E172" s="75" cm="1">
        <f t="array" ref="E172">IFERROR(SUMIF('_Month Engine'!$C$5:$DR$5,E$4,INDEX('_Month Engine'!$C:$DR,MATCH("Owned Flag (1 = owned in month)",'_Month Engine'!$A:$A,0)+MATCH($A172,'_Month Engine'!$B$86:$B$95,0),0))*INDEX(Input!$E$80:$E$89,$A172)*1000000/Input!$C$5,0)</f>
        <v>0</v>
      </c>
      <c r="F172" s="75" cm="1">
        <f t="array" ref="F172">IFERROR(SUMIF('_Month Engine'!$C$5:$DR$5,F$4,INDEX('_Month Engine'!$C:$DR,MATCH("Owned Flag (1 = owned in month)",'_Month Engine'!$A:$A,0)+MATCH($A172,'_Month Engine'!$B$86:$B$95,0),0))*INDEX(Input!$E$80:$E$89,$A172)*1000000/Input!$C$5,0)</f>
        <v>0</v>
      </c>
      <c r="G172" s="75" cm="1">
        <f t="array" ref="G172">IFERROR(SUMIF('_Month Engine'!$C$5:$DR$5,G$4,INDEX('_Month Engine'!$C:$DR,MATCH("Owned Flag (1 = owned in month)",'_Month Engine'!$A:$A,0)+MATCH($A172,'_Month Engine'!$B$86:$B$95,0),0))*INDEX(Input!$E$80:$E$89,$A172)*1000000/Input!$C$5,0)</f>
        <v>0</v>
      </c>
      <c r="H172" s="75" cm="1">
        <f t="array" ref="H172">IFERROR(SUMIF('_Month Engine'!$C$5:$DR$5,H$4,INDEX('_Month Engine'!$C:$DR,MATCH("Owned Flag (1 = owned in month)",'_Month Engine'!$A:$A,0)+MATCH($A172,'_Month Engine'!$B$86:$B$95,0),0))*INDEX(Input!$E$80:$E$89,$A172)*1000000/Input!$C$5,0)</f>
        <v>0</v>
      </c>
      <c r="I172" s="75" cm="1">
        <f t="array" ref="I172">IFERROR(SUMIF('_Month Engine'!$C$5:$DR$5,I$4,INDEX('_Month Engine'!$C:$DR,MATCH("Owned Flag (1 = owned in month)",'_Month Engine'!$A:$A,0)+MATCH($A172,'_Month Engine'!$B$86:$B$95,0),0))*INDEX(Input!$E$80:$E$89,$A172)*1000000/Input!$C$5,0)</f>
        <v>0</v>
      </c>
      <c r="J172" s="75" cm="1">
        <f t="array" ref="J172">IFERROR(SUMIF('_Month Engine'!$C$5:$DR$5,J$4,INDEX('_Month Engine'!$C:$DR,MATCH("Owned Flag (1 = owned in month)",'_Month Engine'!$A:$A,0)+MATCH($A172,'_Month Engine'!$B$86:$B$95,0),0))*INDEX(Input!$E$80:$E$89,$A172)*1000000/Input!$C$5,0)</f>
        <v>0</v>
      </c>
      <c r="K172" s="75" cm="1">
        <f t="array" ref="K172">IFERROR(SUMIF('_Month Engine'!$C$5:$DR$5,K$4,INDEX('_Month Engine'!$C:$DR,MATCH("Owned Flag (1 = owned in month)",'_Month Engine'!$A:$A,0)+MATCH($A172,'_Month Engine'!$B$86:$B$95,0),0))*INDEX(Input!$E$80:$E$89,$A172)*1000000/Input!$C$5,0)</f>
        <v>0</v>
      </c>
      <c r="L172" s="75" cm="1">
        <f t="array" ref="L172">IFERROR(SUMIF('_Month Engine'!$C$5:$DR$5,L$4,INDEX('_Month Engine'!$C:$DR,MATCH("Owned Flag (1 = owned in month)",'_Month Engine'!$A:$A,0)+MATCH($A172,'_Month Engine'!$B$86:$B$95,0),0))*INDEX(Input!$E$80:$E$89,$A172)*1000000/Input!$C$5,0)</f>
        <v>0</v>
      </c>
    </row>
    <row r="173" spans="1:12" ht="18" customHeight="1" x14ac:dyDescent="0.3">
      <c r="A173" s="9">
        <v>11</v>
      </c>
      <c r="B173" s="66" t="s">
        <v>170</v>
      </c>
      <c r="C173" s="75">
        <f>IFERROR(SUMIF('_Month Engine'!$C$5:$DR$5,C$4,INDEX('_Month Engine'!$C:$DR,MATCH("Renting All-In Basis",'_Month Engine'!$A:$A,0)+MATCH($A173,'_Month Engine'!$B$110:$B$119,0),0))*Input!$C$19/'_IRR Engine'!$Q$7,0)</f>
        <v>0</v>
      </c>
      <c r="D173" s="75">
        <f>IFERROR(SUMIF('_Month Engine'!$C$5:$DR$5,D$4,INDEX('_Month Engine'!$C:$DR,MATCH("Renting All-In Basis",'_Month Engine'!$A:$A,0)+MATCH($A173,'_Month Engine'!$B$110:$B$119,0),0))*Input!$C$19/'_IRR Engine'!$Q$7,0)</f>
        <v>0</v>
      </c>
      <c r="E173" s="75">
        <f>IFERROR(SUMIF('_Month Engine'!$C$5:$DR$5,E$4,INDEX('_Month Engine'!$C:$DR,MATCH("Renting All-In Basis",'_Month Engine'!$A:$A,0)+MATCH($A173,'_Month Engine'!$B$110:$B$119,0),0))*Input!$C$19/'_IRR Engine'!$Q$7,0)</f>
        <v>0</v>
      </c>
      <c r="F173" s="75">
        <f>IFERROR(SUMIF('_Month Engine'!$C$5:$DR$5,F$4,INDEX('_Month Engine'!$C:$DR,MATCH("Renting All-In Basis",'_Month Engine'!$A:$A,0)+MATCH($A173,'_Month Engine'!$B$110:$B$119,0),0))*Input!$C$19/'_IRR Engine'!$Q$7,0)</f>
        <v>0</v>
      </c>
      <c r="G173" s="75">
        <f>IFERROR(SUMIF('_Month Engine'!$C$5:$DR$5,G$4,INDEX('_Month Engine'!$C:$DR,MATCH("Renting All-In Basis",'_Month Engine'!$A:$A,0)+MATCH($A173,'_Month Engine'!$B$110:$B$119,0),0))*Input!$C$19/'_IRR Engine'!$Q$7,0)</f>
        <v>0</v>
      </c>
      <c r="H173" s="75">
        <f>IFERROR(SUMIF('_Month Engine'!$C$5:$DR$5,H$4,INDEX('_Month Engine'!$C:$DR,MATCH("Renting All-In Basis",'_Month Engine'!$A:$A,0)+MATCH($A173,'_Month Engine'!$B$110:$B$119,0),0))*Input!$C$19/'_IRR Engine'!$Q$7,0)</f>
        <v>0</v>
      </c>
      <c r="I173" s="75">
        <f>IFERROR(SUMIF('_Month Engine'!$C$5:$DR$5,I$4,INDEX('_Month Engine'!$C:$DR,MATCH("Renting All-In Basis",'_Month Engine'!$A:$A,0)+MATCH($A173,'_Month Engine'!$B$110:$B$119,0),0))*Input!$C$19/'_IRR Engine'!$Q$7,0)</f>
        <v>0</v>
      </c>
      <c r="J173" s="75">
        <f>IFERROR(SUMIF('_Month Engine'!$C$5:$DR$5,J$4,INDEX('_Month Engine'!$C:$DR,MATCH("Renting All-In Basis",'_Month Engine'!$A:$A,0)+MATCH($A173,'_Month Engine'!$B$110:$B$119,0),0))*Input!$C$19/'_IRR Engine'!$Q$7,0)</f>
        <v>0</v>
      </c>
      <c r="K173" s="75">
        <f>IFERROR(SUMIF('_Month Engine'!$C$5:$DR$5,K$4,INDEX('_Month Engine'!$C:$DR,MATCH("Renting All-In Basis",'_Month Engine'!$A:$A,0)+MATCH($A173,'_Month Engine'!$B$110:$B$119,0),0))*Input!$C$19/'_IRR Engine'!$Q$7,0)</f>
        <v>0</v>
      </c>
      <c r="L173" s="75">
        <f>IFERROR(SUMIF('_Month Engine'!$C$5:$DR$5,L$4,INDEX('_Month Engine'!$C:$DR,MATCH("Renting All-In Basis",'_Month Engine'!$A:$A,0)+MATCH($A173,'_Month Engine'!$B$110:$B$119,0),0))*Input!$C$19/'_IRR Engine'!$Q$7,0)</f>
        <v>0</v>
      </c>
    </row>
    <row r="174" spans="1:12" ht="18" customHeight="1" x14ac:dyDescent="0.3">
      <c r="A174" s="9">
        <v>11</v>
      </c>
      <c r="B174" s="66" t="s">
        <v>171</v>
      </c>
      <c r="C174" s="75">
        <f>C168*Input!$C$20</f>
        <v>0</v>
      </c>
      <c r="D174" s="75">
        <f>D168*Input!$C$20</f>
        <v>0</v>
      </c>
      <c r="E174" s="75">
        <f>E168*Input!$C$20</f>
        <v>0</v>
      </c>
      <c r="F174" s="75">
        <f>F168*Input!$C$20</f>
        <v>0</v>
      </c>
      <c r="G174" s="75">
        <f>G168*Input!$C$20</f>
        <v>0</v>
      </c>
      <c r="H174" s="75">
        <f>H168*Input!$C$20</f>
        <v>0</v>
      </c>
      <c r="I174" s="75">
        <f>I168*Input!$C$20</f>
        <v>0</v>
      </c>
      <c r="J174" s="75">
        <f>J168*Input!$C$20</f>
        <v>0</v>
      </c>
      <c r="K174" s="75">
        <f>K168*Input!$C$20</f>
        <v>0</v>
      </c>
      <c r="L174" s="75">
        <f>L168*Input!$C$20</f>
        <v>0</v>
      </c>
    </row>
    <row r="175" spans="1:12" x14ac:dyDescent="0.3">
      <c r="A175" s="9">
        <v>11</v>
      </c>
      <c r="B175" s="66" t="s">
        <v>1180</v>
      </c>
      <c r="C175" s="75" cm="1">
        <f t="array" ref="C175">C168*IFERROR(INDEX(Input!$U$80:$U$89,$A175),0)</f>
        <v>0</v>
      </c>
      <c r="D175" s="75" cm="1">
        <f t="array" ref="D175">D168*IFERROR(INDEX(Input!$U$80:$U$89,$A175),0)</f>
        <v>0</v>
      </c>
      <c r="E175" s="75" cm="1">
        <f t="array" ref="E175">E168*IFERROR(INDEX(Input!$U$80:$U$89,$A175),0)</f>
        <v>0</v>
      </c>
      <c r="F175" s="75" cm="1">
        <f t="array" ref="F175">F168*IFERROR(INDEX(Input!$U$80:$U$89,$A175),0)</f>
        <v>0</v>
      </c>
      <c r="G175" s="75" cm="1">
        <f t="array" ref="G175">G168*IFERROR(INDEX(Input!$U$80:$U$89,$A175),0)</f>
        <v>0</v>
      </c>
      <c r="H175" s="75" cm="1">
        <f t="array" ref="H175">H168*IFERROR(INDEX(Input!$U$80:$U$89,$A175),0)</f>
        <v>0</v>
      </c>
      <c r="I175" s="75" cm="1">
        <f t="array" ref="I175">I168*IFERROR(INDEX(Input!$U$80:$U$89,$A175),0)</f>
        <v>0</v>
      </c>
      <c r="J175" s="75" cm="1">
        <f t="array" ref="J175">J168*IFERROR(INDEX(Input!$U$80:$U$89,$A175),0)</f>
        <v>0</v>
      </c>
      <c r="K175" s="75" cm="1">
        <f t="array" ref="K175">K168*IFERROR(INDEX(Input!$U$80:$U$89,$A175),0)</f>
        <v>0</v>
      </c>
      <c r="L175" s="75" cm="1">
        <f t="array" ref="L175">L168*IFERROR(INDEX(Input!$U$80:$U$89,$A175),0)</f>
        <v>0</v>
      </c>
    </row>
    <row r="176" spans="1:12" ht="18" customHeight="1" x14ac:dyDescent="0.3">
      <c r="A176" s="9">
        <v>11</v>
      </c>
      <c r="B176" s="66" t="str">
        <f>"ServCo property management ("&amp;TEXT(Input!$C$31,"0%")&amp;")"</f>
        <v>ServCo property management (20%)</v>
      </c>
      <c r="C176" s="75">
        <f>C168*Input!$C$31</f>
        <v>0</v>
      </c>
      <c r="D176" s="75">
        <f>D168*Input!$C$31</f>
        <v>0</v>
      </c>
      <c r="E176" s="75">
        <f>E168*Input!$C$31</f>
        <v>0</v>
      </c>
      <c r="F176" s="75">
        <f>F168*Input!$C$31</f>
        <v>0</v>
      </c>
      <c r="G176" s="75">
        <f>G168*Input!$C$31</f>
        <v>0</v>
      </c>
      <c r="H176" s="75">
        <f>H168*Input!$C$31</f>
        <v>0</v>
      </c>
      <c r="I176" s="75">
        <f>I168*Input!$C$31</f>
        <v>0</v>
      </c>
      <c r="J176" s="75">
        <f>J168*Input!$C$31</f>
        <v>0</v>
      </c>
      <c r="K176" s="75">
        <f>K168*Input!$C$31</f>
        <v>0</v>
      </c>
      <c r="L176" s="75">
        <f>L168*Input!$C$31</f>
        <v>0</v>
      </c>
    </row>
    <row r="177" spans="1:12" ht="18" customHeight="1" x14ac:dyDescent="0.3">
      <c r="A177" s="9">
        <v>11</v>
      </c>
      <c r="B177" s="66" t="s">
        <v>980</v>
      </c>
      <c r="C177" s="75">
        <f>IFERROR(SUMIF('_Month Engine'!$C$5:$DR$5,C$4,INDEX('_Month Engine'!$C:$DR,MATCH("Renting Flag (1 = renting in month)",'_Month Engine'!$A:$A,0)+MATCH($A177,'_Month Engine'!$B$98:$B$107,0),0))*Input!$C$32,0)</f>
        <v>0</v>
      </c>
      <c r="D177" s="75">
        <f>IFERROR(SUMIF('_Month Engine'!$C$5:$DR$5,D$4,INDEX('_Month Engine'!$C:$DR,MATCH("Renting Flag (1 = renting in month)",'_Month Engine'!$A:$A,0)+MATCH($A177,'_Month Engine'!$B$98:$B$107,0),0))*Input!$C$32,0)</f>
        <v>0</v>
      </c>
      <c r="E177" s="75">
        <f>IFERROR(SUMIF('_Month Engine'!$C$5:$DR$5,E$4,INDEX('_Month Engine'!$C:$DR,MATCH("Renting Flag (1 = renting in month)",'_Month Engine'!$A:$A,0)+MATCH($A177,'_Month Engine'!$B$98:$B$107,0),0))*Input!$C$32,0)</f>
        <v>0</v>
      </c>
      <c r="F177" s="75">
        <f>IFERROR(SUMIF('_Month Engine'!$C$5:$DR$5,F$4,INDEX('_Month Engine'!$C:$DR,MATCH("Renting Flag (1 = renting in month)",'_Month Engine'!$A:$A,0)+MATCH($A177,'_Month Engine'!$B$98:$B$107,0),0))*Input!$C$32,0)</f>
        <v>0</v>
      </c>
      <c r="G177" s="75">
        <f>IFERROR(SUMIF('_Month Engine'!$C$5:$DR$5,G$4,INDEX('_Month Engine'!$C:$DR,MATCH("Renting Flag (1 = renting in month)",'_Month Engine'!$A:$A,0)+MATCH($A177,'_Month Engine'!$B$98:$B$107,0),0))*Input!$C$32,0)</f>
        <v>0</v>
      </c>
      <c r="H177" s="75">
        <f>IFERROR(SUMIF('_Month Engine'!$C$5:$DR$5,H$4,INDEX('_Month Engine'!$C:$DR,MATCH("Renting Flag (1 = renting in month)",'_Month Engine'!$A:$A,0)+MATCH($A177,'_Month Engine'!$B$98:$B$107,0),0))*Input!$C$32,0)</f>
        <v>0</v>
      </c>
      <c r="I177" s="75">
        <f>IFERROR(SUMIF('_Month Engine'!$C$5:$DR$5,I$4,INDEX('_Month Engine'!$C:$DR,MATCH("Renting Flag (1 = renting in month)",'_Month Engine'!$A:$A,0)+MATCH($A177,'_Month Engine'!$B$98:$B$107,0),0))*Input!$C$32,0)</f>
        <v>0</v>
      </c>
      <c r="J177" s="75">
        <f>IFERROR(SUMIF('_Month Engine'!$C$5:$DR$5,J$4,INDEX('_Month Engine'!$C:$DR,MATCH("Renting Flag (1 = renting in month)",'_Month Engine'!$A:$A,0)+MATCH($A177,'_Month Engine'!$B$98:$B$107,0),0))*Input!$C$32,0)</f>
        <v>0</v>
      </c>
      <c r="K177" s="75">
        <f>IFERROR(SUMIF('_Month Engine'!$C$5:$DR$5,K$4,INDEX('_Month Engine'!$C:$DR,MATCH("Renting Flag (1 = renting in month)",'_Month Engine'!$A:$A,0)+MATCH($A177,'_Month Engine'!$B$98:$B$107,0),0))*Input!$C$32,0)</f>
        <v>0</v>
      </c>
      <c r="L177" s="75">
        <f>IFERROR(SUMIF('_Month Engine'!$C$5:$DR$5,L$4,INDEX('_Month Engine'!$C:$DR,MATCH("Renting Flag (1 = renting in month)",'_Month Engine'!$A:$A,0)+MATCH($A177,'_Month Engine'!$B$98:$B$107,0),0))*Input!$C$32,0)</f>
        <v>0</v>
      </c>
    </row>
    <row r="178" spans="1:12" ht="18" customHeight="1" x14ac:dyDescent="0.3">
      <c r="A178" s="9">
        <v>11</v>
      </c>
      <c r="B178" s="11" t="s">
        <v>76</v>
      </c>
      <c r="C178" s="68">
        <f t="shared" ref="C178:L178" si="21">SUM(C169:C177)</f>
        <v>0</v>
      </c>
      <c r="D178" s="68">
        <f t="shared" si="21"/>
        <v>0</v>
      </c>
      <c r="E178" s="68">
        <f t="shared" si="21"/>
        <v>0</v>
      </c>
      <c r="F178" s="68">
        <f t="shared" si="21"/>
        <v>0</v>
      </c>
      <c r="G178" s="68">
        <f t="shared" si="21"/>
        <v>0</v>
      </c>
      <c r="H178" s="68">
        <f t="shared" si="21"/>
        <v>0</v>
      </c>
      <c r="I178" s="68">
        <f t="shared" si="21"/>
        <v>0</v>
      </c>
      <c r="J178" s="68">
        <f t="shared" si="21"/>
        <v>0</v>
      </c>
      <c r="K178" s="68">
        <f t="shared" si="21"/>
        <v>0</v>
      </c>
      <c r="L178" s="68">
        <f t="shared" si="21"/>
        <v>0</v>
      </c>
    </row>
    <row r="179" spans="1:12" ht="18" customHeight="1" x14ac:dyDescent="0.3">
      <c r="A179" s="9">
        <v>11</v>
      </c>
      <c r="B179" s="11" t="s">
        <v>172</v>
      </c>
      <c r="C179" s="68">
        <f t="shared" ref="C179:L179" si="22">C168-C178</f>
        <v>0</v>
      </c>
      <c r="D179" s="68">
        <f t="shared" si="22"/>
        <v>0</v>
      </c>
      <c r="E179" s="68">
        <f t="shared" si="22"/>
        <v>0</v>
      </c>
      <c r="F179" s="68">
        <f t="shared" si="22"/>
        <v>0</v>
      </c>
      <c r="G179" s="68">
        <f t="shared" si="22"/>
        <v>0</v>
      </c>
      <c r="H179" s="68">
        <f t="shared" si="22"/>
        <v>0</v>
      </c>
      <c r="I179" s="68">
        <f t="shared" si="22"/>
        <v>0</v>
      </c>
      <c r="J179" s="68">
        <f t="shared" si="22"/>
        <v>0</v>
      </c>
      <c r="K179" s="68">
        <f t="shared" si="22"/>
        <v>0</v>
      </c>
      <c r="L179" s="68">
        <f t="shared" si="22"/>
        <v>0</v>
      </c>
    </row>
    <row r="180" spans="1:12" ht="18" customHeight="1" x14ac:dyDescent="0.3">
      <c r="A180" s="9">
        <v>11</v>
      </c>
      <c r="B180" s="22" t="s">
        <v>173</v>
      </c>
      <c r="C180" s="77">
        <f>IFERROR(SUMIF('_Month Engine'!$C$5:$DR$5,C$4,INDEX('_Month Engine'!$C:$DR,MATCH("Acquisition Outflow (Purchase + Closing)",'_Month Engine'!$A:$A,0)+MATCH($A180,'_Month Engine'!$B$8:$B$17,0),0))+SUMIF('_Month Engine'!$C$5:$DR$5,C$4,INDEX('_Month Engine'!$C:$DR,MATCH("Acquisition Outflow (Purchase + Closing)",'_Month Engine'!$A:$A,0)+MATCH($A180,'_Month Engine'!$B$21:$B$30,0),0)),0)</f>
        <v>0</v>
      </c>
      <c r="D180" s="77">
        <f>IFERROR(SUMIF('_Month Engine'!$C$5:$DR$5,D$4,INDEX('_Month Engine'!$C:$DR,MATCH("Acquisition Outflow (Purchase + Closing)",'_Month Engine'!$A:$A,0)+MATCH($A180,'_Month Engine'!$B$8:$B$17,0),0))+SUMIF('_Month Engine'!$C$5:$DR$5,D$4,INDEX('_Month Engine'!$C:$DR,MATCH("Acquisition Outflow (Purchase + Closing)",'_Month Engine'!$A:$A,0)+MATCH($A180,'_Month Engine'!$B$21:$B$30,0),0)),0)</f>
        <v>0</v>
      </c>
      <c r="E180" s="77">
        <f>IFERROR(SUMIF('_Month Engine'!$C$5:$DR$5,E$4,INDEX('_Month Engine'!$C:$DR,MATCH("Acquisition Outflow (Purchase + Closing)",'_Month Engine'!$A:$A,0)+MATCH($A180,'_Month Engine'!$B$8:$B$17,0),0))+SUMIF('_Month Engine'!$C$5:$DR$5,E$4,INDEX('_Month Engine'!$C:$DR,MATCH("Acquisition Outflow (Purchase + Closing)",'_Month Engine'!$A:$A,0)+MATCH($A180,'_Month Engine'!$B$21:$B$30,0),0)),0)</f>
        <v>0</v>
      </c>
      <c r="F180" s="77">
        <f>IFERROR(SUMIF('_Month Engine'!$C$5:$DR$5,F$4,INDEX('_Month Engine'!$C:$DR,MATCH("Acquisition Outflow (Purchase + Closing)",'_Month Engine'!$A:$A,0)+MATCH($A180,'_Month Engine'!$B$8:$B$17,0),0))+SUMIF('_Month Engine'!$C$5:$DR$5,F$4,INDEX('_Month Engine'!$C:$DR,MATCH("Acquisition Outflow (Purchase + Closing)",'_Month Engine'!$A:$A,0)+MATCH($A180,'_Month Engine'!$B$21:$B$30,0),0)),0)</f>
        <v>0</v>
      </c>
      <c r="G180" s="77">
        <f>IFERROR(SUMIF('_Month Engine'!$C$5:$DR$5,G$4,INDEX('_Month Engine'!$C:$DR,MATCH("Acquisition Outflow (Purchase + Closing)",'_Month Engine'!$A:$A,0)+MATCH($A180,'_Month Engine'!$B$8:$B$17,0),0))+SUMIF('_Month Engine'!$C$5:$DR$5,G$4,INDEX('_Month Engine'!$C:$DR,MATCH("Acquisition Outflow (Purchase + Closing)",'_Month Engine'!$A:$A,0)+MATCH($A180,'_Month Engine'!$B$21:$B$30,0),0)),0)</f>
        <v>0</v>
      </c>
      <c r="H180" s="77">
        <f>IFERROR(SUMIF('_Month Engine'!$C$5:$DR$5,H$4,INDEX('_Month Engine'!$C:$DR,MATCH("Acquisition Outflow (Purchase + Closing)",'_Month Engine'!$A:$A,0)+MATCH($A180,'_Month Engine'!$B$8:$B$17,0),0))+SUMIF('_Month Engine'!$C$5:$DR$5,H$4,INDEX('_Month Engine'!$C:$DR,MATCH("Acquisition Outflow (Purchase + Closing)",'_Month Engine'!$A:$A,0)+MATCH($A180,'_Month Engine'!$B$21:$B$30,0),0)),0)</f>
        <v>0</v>
      </c>
      <c r="I180" s="77">
        <f>IFERROR(SUMIF('_Month Engine'!$C$5:$DR$5,I$4,INDEX('_Month Engine'!$C:$DR,MATCH("Acquisition Outflow (Purchase + Closing)",'_Month Engine'!$A:$A,0)+MATCH($A180,'_Month Engine'!$B$8:$B$17,0),0))+SUMIF('_Month Engine'!$C$5:$DR$5,I$4,INDEX('_Month Engine'!$C:$DR,MATCH("Acquisition Outflow (Purchase + Closing)",'_Month Engine'!$A:$A,0)+MATCH($A180,'_Month Engine'!$B$21:$B$30,0),0)),0)</f>
        <v>0</v>
      </c>
      <c r="J180" s="77">
        <f>IFERROR(SUMIF('_Month Engine'!$C$5:$DR$5,J$4,INDEX('_Month Engine'!$C:$DR,MATCH("Acquisition Outflow (Purchase + Closing)",'_Month Engine'!$A:$A,0)+MATCH($A180,'_Month Engine'!$B$8:$B$17,0),0))+SUMIF('_Month Engine'!$C$5:$DR$5,J$4,INDEX('_Month Engine'!$C:$DR,MATCH("Acquisition Outflow (Purchase + Closing)",'_Month Engine'!$A:$A,0)+MATCH($A180,'_Month Engine'!$B$21:$B$30,0),0)),0)</f>
        <v>0</v>
      </c>
      <c r="K180" s="77">
        <f>IFERROR(SUMIF('_Month Engine'!$C$5:$DR$5,K$4,INDEX('_Month Engine'!$C:$DR,MATCH("Acquisition Outflow (Purchase + Closing)",'_Month Engine'!$A:$A,0)+MATCH($A180,'_Month Engine'!$B$8:$B$17,0),0))+SUMIF('_Month Engine'!$C$5:$DR$5,K$4,INDEX('_Month Engine'!$C:$DR,MATCH("Acquisition Outflow (Purchase + Closing)",'_Month Engine'!$A:$A,0)+MATCH($A180,'_Month Engine'!$B$21:$B$30,0),0)),0)</f>
        <v>0</v>
      </c>
      <c r="L180" s="77">
        <f>IFERROR(SUMIF('_Month Engine'!$C$5:$DR$5,L$4,INDEX('_Month Engine'!$C:$DR,MATCH("Acquisition Outflow (Purchase + Closing)",'_Month Engine'!$A:$A,0)+MATCH($A180,'_Month Engine'!$B$8:$B$17,0),0))+SUMIF('_Month Engine'!$C$5:$DR$5,L$4,INDEX('_Month Engine'!$C:$DR,MATCH("Acquisition Outflow (Purchase + Closing)",'_Month Engine'!$A:$A,0)+MATCH($A180,'_Month Engine'!$B$21:$B$30,0),0)),0)</f>
        <v>0</v>
      </c>
    </row>
    <row r="181" spans="1:12" ht="34.049999999999997" customHeight="1" x14ac:dyDescent="0.3">
      <c r="A181" s="9">
        <v>11</v>
      </c>
      <c r="B181" s="517" t="s">
        <v>1181</v>
      </c>
      <c r="C181" s="77" cm="1">
        <f t="array" ref="C181">IFERROR(SUMIF('_Month Engine'!$C$5:$DR$5,C$4,INDEX('_Month Engine'!$C:$DR,MATCH("Gross Sale Value",'_Month Engine'!$A:$A,0)+MATCH($A181,'_Month Engine'!$B$61:$B$70,0),0))*(1-Input!$C$15)-IF(SUMIF('_Month Engine'!$C$5:$DR$5,C$4,INDEX('_Month Engine'!$C:$DR,MATCH("Gross Sale Value",'_Month Engine'!$A:$A,0)+MATCH($A181,'_Month Engine'!$B$61:$B$70,0),0))&gt;0,INDEX(Properties!$AD:$AD,$A181+5),0),0)</f>
        <v>0</v>
      </c>
      <c r="D181" s="77" cm="1">
        <f t="array" ref="D181">IFERROR(SUMIF('_Month Engine'!$C$5:$DR$5,D$4,INDEX('_Month Engine'!$C:$DR,MATCH("Gross Sale Value",'_Month Engine'!$A:$A,0)+MATCH($A181,'_Month Engine'!$B$61:$B$70,0),0))*(1-Input!$C$15)-IF(SUMIF('_Month Engine'!$C$5:$DR$5,D$4,INDEX('_Month Engine'!$C:$DR,MATCH("Gross Sale Value",'_Month Engine'!$A:$A,0)+MATCH($A181,'_Month Engine'!$B$61:$B$70,0),0))&gt;0,INDEX(Properties!$AD:$AD,$A181+5),0),0)</f>
        <v>0</v>
      </c>
      <c r="E181" s="77" cm="1">
        <f t="array" ref="E181">IFERROR(SUMIF('_Month Engine'!$C$5:$DR$5,E$4,INDEX('_Month Engine'!$C:$DR,MATCH("Gross Sale Value",'_Month Engine'!$A:$A,0)+MATCH($A181,'_Month Engine'!$B$61:$B$70,0),0))*(1-Input!$C$15)-IF(SUMIF('_Month Engine'!$C$5:$DR$5,E$4,INDEX('_Month Engine'!$C:$DR,MATCH("Gross Sale Value",'_Month Engine'!$A:$A,0)+MATCH($A181,'_Month Engine'!$B$61:$B$70,0),0))&gt;0,INDEX(Properties!$AD:$AD,$A181+5),0),0)</f>
        <v>0</v>
      </c>
      <c r="F181" s="77" cm="1">
        <f t="array" ref="F181">IFERROR(SUMIF('_Month Engine'!$C$5:$DR$5,F$4,INDEX('_Month Engine'!$C:$DR,MATCH("Gross Sale Value",'_Month Engine'!$A:$A,0)+MATCH($A181,'_Month Engine'!$B$61:$B$70,0),0))*(1-Input!$C$15)-IF(SUMIF('_Month Engine'!$C$5:$DR$5,F$4,INDEX('_Month Engine'!$C:$DR,MATCH("Gross Sale Value",'_Month Engine'!$A:$A,0)+MATCH($A181,'_Month Engine'!$B$61:$B$70,0),0))&gt;0,INDEX(Properties!$AD:$AD,$A181+5),0),0)</f>
        <v>0</v>
      </c>
      <c r="G181" s="77" cm="1">
        <f t="array" ref="G181">IFERROR(SUMIF('_Month Engine'!$C$5:$DR$5,G$4,INDEX('_Month Engine'!$C:$DR,MATCH("Gross Sale Value",'_Month Engine'!$A:$A,0)+MATCH($A181,'_Month Engine'!$B$61:$B$70,0),0))*(1-Input!$C$15)-IF(SUMIF('_Month Engine'!$C$5:$DR$5,G$4,INDEX('_Month Engine'!$C:$DR,MATCH("Gross Sale Value",'_Month Engine'!$A:$A,0)+MATCH($A181,'_Month Engine'!$B$61:$B$70,0),0))&gt;0,INDEX(Properties!$AD:$AD,$A181+5),0),0)</f>
        <v>0</v>
      </c>
      <c r="H181" s="77" cm="1">
        <f t="array" ref="H181">IFERROR(SUMIF('_Month Engine'!$C$5:$DR$5,H$4,INDEX('_Month Engine'!$C:$DR,MATCH("Gross Sale Value",'_Month Engine'!$A:$A,0)+MATCH($A181,'_Month Engine'!$B$61:$B$70,0),0))*(1-Input!$C$15)-IF(SUMIF('_Month Engine'!$C$5:$DR$5,H$4,INDEX('_Month Engine'!$C:$DR,MATCH("Gross Sale Value",'_Month Engine'!$A:$A,0)+MATCH($A181,'_Month Engine'!$B$61:$B$70,0),0))&gt;0,INDEX(Properties!$AD:$AD,$A181+5),0),0)</f>
        <v>0</v>
      </c>
      <c r="I181" s="77" cm="1">
        <f t="array" ref="I181">IFERROR(SUMIF('_Month Engine'!$C$5:$DR$5,I$4,INDEX('_Month Engine'!$C:$DR,MATCH("Gross Sale Value",'_Month Engine'!$A:$A,0)+MATCH($A181,'_Month Engine'!$B$61:$B$70,0),0))*(1-Input!$C$15)-IF(SUMIF('_Month Engine'!$C$5:$DR$5,I$4,INDEX('_Month Engine'!$C:$DR,MATCH("Gross Sale Value",'_Month Engine'!$A:$A,0)+MATCH($A181,'_Month Engine'!$B$61:$B$70,0),0))&gt;0,INDEX(Properties!$AD:$AD,$A181+5),0),0)</f>
        <v>0</v>
      </c>
      <c r="J181" s="77" cm="1">
        <f t="array" ref="J181">IFERROR(SUMIF('_Month Engine'!$C$5:$DR$5,J$4,INDEX('_Month Engine'!$C:$DR,MATCH("Gross Sale Value",'_Month Engine'!$A:$A,0)+MATCH($A181,'_Month Engine'!$B$61:$B$70,0),0))*(1-Input!$C$15)-IF(SUMIF('_Month Engine'!$C$5:$DR$5,J$4,INDEX('_Month Engine'!$C:$DR,MATCH("Gross Sale Value",'_Month Engine'!$A:$A,0)+MATCH($A181,'_Month Engine'!$B$61:$B$70,0),0))&gt;0,INDEX(Properties!$AD:$AD,$A181+5),0),0)</f>
        <v>0</v>
      </c>
      <c r="K181" s="77" cm="1">
        <f t="array" ref="K181">IFERROR(SUMIF('_Month Engine'!$C$5:$DR$5,K$4,INDEX('_Month Engine'!$C:$DR,MATCH("Gross Sale Value",'_Month Engine'!$A:$A,0)+MATCH($A181,'_Month Engine'!$B$61:$B$70,0),0))*(1-Input!$C$15)-IF(SUMIF('_Month Engine'!$C$5:$DR$5,K$4,INDEX('_Month Engine'!$C:$DR,MATCH("Gross Sale Value",'_Month Engine'!$A:$A,0)+MATCH($A181,'_Month Engine'!$B$61:$B$70,0),0))&gt;0,INDEX(Properties!$AD:$AD,$A181+5),0),0)</f>
        <v>0</v>
      </c>
      <c r="L181" s="77" cm="1">
        <f t="array" ref="L181">IFERROR(SUMIF('_Month Engine'!$C$5:$DR$5,L$4,INDEX('_Month Engine'!$C:$DR,MATCH("Gross Sale Value",'_Month Engine'!$A:$A,0)+MATCH($A181,'_Month Engine'!$B$61:$B$70,0),0))*(1-Input!$C$15)-IF(SUMIF('_Month Engine'!$C$5:$DR$5,L$4,INDEX('_Month Engine'!$C:$DR,MATCH("Gross Sale Value",'_Month Engine'!$A:$A,0)+MATCH($A181,'_Month Engine'!$B$61:$B$70,0),0))&gt;0,INDEX(Properties!$AD:$AD,$A181+5),0),0)</f>
        <v>0</v>
      </c>
    </row>
    <row r="182" spans="1:12" ht="18" customHeight="1" x14ac:dyDescent="0.3">
      <c r="A182" s="9"/>
      <c r="B182" s="9"/>
      <c r="C182" s="66"/>
      <c r="D182" s="66"/>
      <c r="E182" s="66"/>
      <c r="F182" s="66"/>
      <c r="G182" s="66"/>
      <c r="H182" s="66"/>
      <c r="I182" s="66"/>
      <c r="J182" s="66"/>
      <c r="K182" s="66"/>
      <c r="L182" s="66"/>
    </row>
    <row r="183" spans="1:12" ht="18" customHeight="1" x14ac:dyDescent="0.3">
      <c r="A183" s="40">
        <v>12</v>
      </c>
      <c r="B183" s="40" t="str" cm="1">
        <f t="array" ref="B183">INDEX(Properties!$E:$E,$A183+5)&amp;"   ·   "&amp;INDEX(Properties!$F:$F,$A183+5)&amp;"   ·   "&amp;INDEX(Properties!$H:$H,$A183+5)</f>
        <v>Catay 5 Duplex   ·   El Poblado, Medellín   ·   Backup — insufficient data for underwriting (no size, price, or terms in source)</v>
      </c>
      <c r="C183" s="67"/>
      <c r="D183" s="67"/>
      <c r="E183" s="67"/>
      <c r="F183" s="67"/>
      <c r="G183" s="67"/>
      <c r="H183" s="67"/>
      <c r="I183" s="67"/>
      <c r="J183" s="67"/>
      <c r="K183" s="67"/>
      <c r="L183" s="67"/>
    </row>
    <row r="184" spans="1:12" ht="18" customHeight="1" x14ac:dyDescent="0.3">
      <c r="A184" s="9">
        <v>12</v>
      </c>
      <c r="B184" s="66" t="s">
        <v>167</v>
      </c>
      <c r="C184" s="75">
        <f>IFERROR(SUMIF('_Month Engine'!$C$5:$DR$5,C$4,INDEX('_Month Engine'!$C:$DR,MATCH("Gross STR Revenue",'_Month Engine'!$A:$A,0)+MATCH($A184,'_Month Engine'!$B$34:$B$43,0),0)),0)</f>
        <v>0</v>
      </c>
      <c r="D184" s="75">
        <f>IFERROR(SUMIF('_Month Engine'!$C$5:$DR$5,D$4,INDEX('_Month Engine'!$C:$DR,MATCH("Gross STR Revenue",'_Month Engine'!$A:$A,0)+MATCH($A184,'_Month Engine'!$B$34:$B$43,0),0)),0)</f>
        <v>0</v>
      </c>
      <c r="E184" s="75">
        <f>IFERROR(SUMIF('_Month Engine'!$C$5:$DR$5,E$4,INDEX('_Month Engine'!$C:$DR,MATCH("Gross STR Revenue",'_Month Engine'!$A:$A,0)+MATCH($A184,'_Month Engine'!$B$34:$B$43,0),0)),0)</f>
        <v>0</v>
      </c>
      <c r="F184" s="75">
        <f>IFERROR(SUMIF('_Month Engine'!$C$5:$DR$5,F$4,INDEX('_Month Engine'!$C:$DR,MATCH("Gross STR Revenue",'_Month Engine'!$A:$A,0)+MATCH($A184,'_Month Engine'!$B$34:$B$43,0),0)),0)</f>
        <v>0</v>
      </c>
      <c r="G184" s="75">
        <f>IFERROR(SUMIF('_Month Engine'!$C$5:$DR$5,G$4,INDEX('_Month Engine'!$C:$DR,MATCH("Gross STR Revenue",'_Month Engine'!$A:$A,0)+MATCH($A184,'_Month Engine'!$B$34:$B$43,0),0)),0)</f>
        <v>0</v>
      </c>
      <c r="H184" s="75">
        <f>IFERROR(SUMIF('_Month Engine'!$C$5:$DR$5,H$4,INDEX('_Month Engine'!$C:$DR,MATCH("Gross STR Revenue",'_Month Engine'!$A:$A,0)+MATCH($A184,'_Month Engine'!$B$34:$B$43,0),0)),0)</f>
        <v>0</v>
      </c>
      <c r="I184" s="75">
        <f>IFERROR(SUMIF('_Month Engine'!$C$5:$DR$5,I$4,INDEX('_Month Engine'!$C:$DR,MATCH("Gross STR Revenue",'_Month Engine'!$A:$A,0)+MATCH($A184,'_Month Engine'!$B$34:$B$43,0),0)),0)</f>
        <v>0</v>
      </c>
      <c r="J184" s="75">
        <f>IFERROR(SUMIF('_Month Engine'!$C$5:$DR$5,J$4,INDEX('_Month Engine'!$C:$DR,MATCH("Gross STR Revenue",'_Month Engine'!$A:$A,0)+MATCH($A184,'_Month Engine'!$B$34:$B$43,0),0)),0)</f>
        <v>0</v>
      </c>
      <c r="K184" s="75">
        <f>IFERROR(SUMIF('_Month Engine'!$C$5:$DR$5,K$4,INDEX('_Month Engine'!$C:$DR,MATCH("Gross STR Revenue",'_Month Engine'!$A:$A,0)+MATCH($A184,'_Month Engine'!$B$34:$B$43,0),0)),0)</f>
        <v>0</v>
      </c>
      <c r="L184" s="75">
        <f>IFERROR(SUMIF('_Month Engine'!$C$5:$DR$5,L$4,INDEX('_Month Engine'!$C:$DR,MATCH("Gross STR Revenue",'_Month Engine'!$A:$A,0)+MATCH($A184,'_Month Engine'!$B$34:$B$43,0),0)),0)</f>
        <v>0</v>
      </c>
    </row>
    <row r="185" spans="1:12" ht="18" customHeight="1" x14ac:dyDescent="0.3">
      <c r="A185" s="9">
        <v>12</v>
      </c>
      <c r="B185" s="66" t="s">
        <v>1179</v>
      </c>
      <c r="C185" s="75" cm="1">
        <f t="array" ref="C185">IFERROR(SUMIF('_Month Engine'!$C$5:$DR$5,C$4,INDEX('_Month Engine'!$C:$DR,MATCH("Owned All-In Basis",'_Month Engine'!$A:$A,0)+MATCH($A185,'_Month Engine'!$B$47:$B$56,0),0))*INDEX(Input!$C$80:$C$89,$A185)/'_IRR Engine'!$Q$7,0)</f>
        <v>0</v>
      </c>
      <c r="D185" s="75" cm="1">
        <f t="array" ref="D185">IFERROR(SUMIF('_Month Engine'!$C$5:$DR$5,D$4,INDEX('_Month Engine'!$C:$DR,MATCH("Owned All-In Basis",'_Month Engine'!$A:$A,0)+MATCH($A185,'_Month Engine'!$B$47:$B$56,0),0))*INDEX(Input!$C$80:$C$89,$A185)/'_IRR Engine'!$Q$7,0)</f>
        <v>0</v>
      </c>
      <c r="E185" s="75" cm="1">
        <f t="array" ref="E185">IFERROR(SUMIF('_Month Engine'!$C$5:$DR$5,E$4,INDEX('_Month Engine'!$C:$DR,MATCH("Owned All-In Basis",'_Month Engine'!$A:$A,0)+MATCH($A185,'_Month Engine'!$B$47:$B$56,0),0))*INDEX(Input!$C$80:$C$89,$A185)/'_IRR Engine'!$Q$7,0)</f>
        <v>0</v>
      </c>
      <c r="F185" s="75" cm="1">
        <f t="array" ref="F185">IFERROR(SUMIF('_Month Engine'!$C$5:$DR$5,F$4,INDEX('_Month Engine'!$C:$DR,MATCH("Owned All-In Basis",'_Month Engine'!$A:$A,0)+MATCH($A185,'_Month Engine'!$B$47:$B$56,0),0))*INDEX(Input!$C$80:$C$89,$A185)/'_IRR Engine'!$Q$7,0)</f>
        <v>0</v>
      </c>
      <c r="G185" s="75" cm="1">
        <f t="array" ref="G185">IFERROR(SUMIF('_Month Engine'!$C$5:$DR$5,G$4,INDEX('_Month Engine'!$C:$DR,MATCH("Owned All-In Basis",'_Month Engine'!$A:$A,0)+MATCH($A185,'_Month Engine'!$B$47:$B$56,0),0))*INDEX(Input!$C$80:$C$89,$A185)/'_IRR Engine'!$Q$7,0)</f>
        <v>0</v>
      </c>
      <c r="H185" s="75" cm="1">
        <f t="array" ref="H185">IFERROR(SUMIF('_Month Engine'!$C$5:$DR$5,H$4,INDEX('_Month Engine'!$C:$DR,MATCH("Owned All-In Basis",'_Month Engine'!$A:$A,0)+MATCH($A185,'_Month Engine'!$B$47:$B$56,0),0))*INDEX(Input!$C$80:$C$89,$A185)/'_IRR Engine'!$Q$7,0)</f>
        <v>0</v>
      </c>
      <c r="I185" s="75" cm="1">
        <f t="array" ref="I185">IFERROR(SUMIF('_Month Engine'!$C$5:$DR$5,I$4,INDEX('_Month Engine'!$C:$DR,MATCH("Owned All-In Basis",'_Month Engine'!$A:$A,0)+MATCH($A185,'_Month Engine'!$B$47:$B$56,0),0))*INDEX(Input!$C$80:$C$89,$A185)/'_IRR Engine'!$Q$7,0)</f>
        <v>0</v>
      </c>
      <c r="J185" s="75" cm="1">
        <f t="array" ref="J185">IFERROR(SUMIF('_Month Engine'!$C$5:$DR$5,J$4,INDEX('_Month Engine'!$C:$DR,MATCH("Owned All-In Basis",'_Month Engine'!$A:$A,0)+MATCH($A185,'_Month Engine'!$B$47:$B$56,0),0))*INDEX(Input!$C$80:$C$89,$A185)/'_IRR Engine'!$Q$7,0)</f>
        <v>0</v>
      </c>
      <c r="K185" s="75" cm="1">
        <f t="array" ref="K185">IFERROR(SUMIF('_Month Engine'!$C$5:$DR$5,K$4,INDEX('_Month Engine'!$C:$DR,MATCH("Owned All-In Basis",'_Month Engine'!$A:$A,0)+MATCH($A185,'_Month Engine'!$B$47:$B$56,0),0))*INDEX(Input!$C$80:$C$89,$A185)/'_IRR Engine'!$Q$7,0)</f>
        <v>0</v>
      </c>
      <c r="L185" s="75" cm="1">
        <f t="array" ref="L185">IFERROR(SUMIF('_Month Engine'!$C$5:$DR$5,L$4,INDEX('_Month Engine'!$C:$DR,MATCH("Owned All-In Basis",'_Month Engine'!$A:$A,0)+MATCH($A185,'_Month Engine'!$B$47:$B$56,0),0))*INDEX(Input!$C$80:$C$89,$A185)/'_IRR Engine'!$Q$7,0)</f>
        <v>0</v>
      </c>
    </row>
    <row r="186" spans="1:12" ht="18" customHeight="1" x14ac:dyDescent="0.3">
      <c r="A186" s="9">
        <v>12</v>
      </c>
      <c r="B186" s="66" t="s">
        <v>72</v>
      </c>
      <c r="C186" s="75">
        <f>IFERROR(SUMIF('_Month Engine'!$C$5:$DR$5,C$4,INDEX('_Month Engine'!$C:$DR,MATCH("Renting All-In Basis",'_Month Engine'!$A:$A,0)+MATCH($A186,'_Month Engine'!$B$110:$B$119,0),0))*Input!$C$18/'_IRR Engine'!$Q$7,0)</f>
        <v>0</v>
      </c>
      <c r="D186" s="75">
        <f>IFERROR(SUMIF('_Month Engine'!$C$5:$DR$5,D$4,INDEX('_Month Engine'!$C:$DR,MATCH("Renting All-In Basis",'_Month Engine'!$A:$A,0)+MATCH($A186,'_Month Engine'!$B$110:$B$119,0),0))*Input!$C$18/'_IRR Engine'!$Q$7,0)</f>
        <v>0</v>
      </c>
      <c r="E186" s="75">
        <f>IFERROR(SUMIF('_Month Engine'!$C$5:$DR$5,E$4,INDEX('_Month Engine'!$C:$DR,MATCH("Renting All-In Basis",'_Month Engine'!$A:$A,0)+MATCH($A186,'_Month Engine'!$B$110:$B$119,0),0))*Input!$C$18/'_IRR Engine'!$Q$7,0)</f>
        <v>0</v>
      </c>
      <c r="F186" s="75">
        <f>IFERROR(SUMIF('_Month Engine'!$C$5:$DR$5,F$4,INDEX('_Month Engine'!$C:$DR,MATCH("Renting All-In Basis",'_Month Engine'!$A:$A,0)+MATCH($A186,'_Month Engine'!$B$110:$B$119,0),0))*Input!$C$18/'_IRR Engine'!$Q$7,0)</f>
        <v>0</v>
      </c>
      <c r="G186" s="75">
        <f>IFERROR(SUMIF('_Month Engine'!$C$5:$DR$5,G$4,INDEX('_Month Engine'!$C:$DR,MATCH("Renting All-In Basis",'_Month Engine'!$A:$A,0)+MATCH($A186,'_Month Engine'!$B$110:$B$119,0),0))*Input!$C$18/'_IRR Engine'!$Q$7,0)</f>
        <v>0</v>
      </c>
      <c r="H186" s="75">
        <f>IFERROR(SUMIF('_Month Engine'!$C$5:$DR$5,H$4,INDEX('_Month Engine'!$C:$DR,MATCH("Renting All-In Basis",'_Month Engine'!$A:$A,0)+MATCH($A186,'_Month Engine'!$B$110:$B$119,0),0))*Input!$C$18/'_IRR Engine'!$Q$7,0)</f>
        <v>0</v>
      </c>
      <c r="I186" s="75">
        <f>IFERROR(SUMIF('_Month Engine'!$C$5:$DR$5,I$4,INDEX('_Month Engine'!$C:$DR,MATCH("Renting All-In Basis",'_Month Engine'!$A:$A,0)+MATCH($A186,'_Month Engine'!$B$110:$B$119,0),0))*Input!$C$18/'_IRR Engine'!$Q$7,0)</f>
        <v>0</v>
      </c>
      <c r="J186" s="75">
        <f>IFERROR(SUMIF('_Month Engine'!$C$5:$DR$5,J$4,INDEX('_Month Engine'!$C:$DR,MATCH("Renting All-In Basis",'_Month Engine'!$A:$A,0)+MATCH($A186,'_Month Engine'!$B$110:$B$119,0),0))*Input!$C$18/'_IRR Engine'!$Q$7,0)</f>
        <v>0</v>
      </c>
      <c r="K186" s="75">
        <f>IFERROR(SUMIF('_Month Engine'!$C$5:$DR$5,K$4,INDEX('_Month Engine'!$C:$DR,MATCH("Renting All-In Basis",'_Month Engine'!$A:$A,0)+MATCH($A186,'_Month Engine'!$B$110:$B$119,0),0))*Input!$C$18/'_IRR Engine'!$Q$7,0)</f>
        <v>0</v>
      </c>
      <c r="L186" s="75">
        <f>IFERROR(SUMIF('_Month Engine'!$C$5:$DR$5,L$4,INDEX('_Month Engine'!$C:$DR,MATCH("Renting All-In Basis",'_Month Engine'!$A:$A,0)+MATCH($A186,'_Month Engine'!$B$110:$B$119,0),0))*Input!$C$18/'_IRR Engine'!$Q$7,0)</f>
        <v>0</v>
      </c>
    </row>
    <row r="187" spans="1:12" ht="18" customHeight="1" x14ac:dyDescent="0.3">
      <c r="A187" s="9">
        <v>12</v>
      </c>
      <c r="B187" s="66" t="s">
        <v>168</v>
      </c>
      <c r="C187" s="75" cm="1">
        <f t="array" ref="C187">IFERROR(SUMIF('_Month Engine'!$C$5:$DR$5,C$4,INDEX('_Month Engine'!$C:$DR,MATCH("Owned Flag (1 = owned in month)",'_Month Engine'!$A:$A,0)+MATCH($A187,'_Month Engine'!$B$86:$B$95,0),0))*INDEX(Input!$D$80:$D$89,$A187)*1000000/Input!$C$5,0)</f>
        <v>0</v>
      </c>
      <c r="D187" s="75" cm="1">
        <f t="array" ref="D187">IFERROR(SUMIF('_Month Engine'!$C$5:$DR$5,D$4,INDEX('_Month Engine'!$C:$DR,MATCH("Owned Flag (1 = owned in month)",'_Month Engine'!$A:$A,0)+MATCH($A187,'_Month Engine'!$B$86:$B$95,0),0))*INDEX(Input!$D$80:$D$89,$A187)*1000000/Input!$C$5,0)</f>
        <v>0</v>
      </c>
      <c r="E187" s="75" cm="1">
        <f t="array" ref="E187">IFERROR(SUMIF('_Month Engine'!$C$5:$DR$5,E$4,INDEX('_Month Engine'!$C:$DR,MATCH("Owned Flag (1 = owned in month)",'_Month Engine'!$A:$A,0)+MATCH($A187,'_Month Engine'!$B$86:$B$95,0),0))*INDEX(Input!$D$80:$D$89,$A187)*1000000/Input!$C$5,0)</f>
        <v>0</v>
      </c>
      <c r="F187" s="75" cm="1">
        <f t="array" ref="F187">IFERROR(SUMIF('_Month Engine'!$C$5:$DR$5,F$4,INDEX('_Month Engine'!$C:$DR,MATCH("Owned Flag (1 = owned in month)",'_Month Engine'!$A:$A,0)+MATCH($A187,'_Month Engine'!$B$86:$B$95,0),0))*INDEX(Input!$D$80:$D$89,$A187)*1000000/Input!$C$5,0)</f>
        <v>0</v>
      </c>
      <c r="G187" s="75" cm="1">
        <f t="array" ref="G187">IFERROR(SUMIF('_Month Engine'!$C$5:$DR$5,G$4,INDEX('_Month Engine'!$C:$DR,MATCH("Owned Flag (1 = owned in month)",'_Month Engine'!$A:$A,0)+MATCH($A187,'_Month Engine'!$B$86:$B$95,0),0))*INDEX(Input!$D$80:$D$89,$A187)*1000000/Input!$C$5,0)</f>
        <v>0</v>
      </c>
      <c r="H187" s="75" cm="1">
        <f t="array" ref="H187">IFERROR(SUMIF('_Month Engine'!$C$5:$DR$5,H$4,INDEX('_Month Engine'!$C:$DR,MATCH("Owned Flag (1 = owned in month)",'_Month Engine'!$A:$A,0)+MATCH($A187,'_Month Engine'!$B$86:$B$95,0),0))*INDEX(Input!$D$80:$D$89,$A187)*1000000/Input!$C$5,0)</f>
        <v>0</v>
      </c>
      <c r="I187" s="75" cm="1">
        <f t="array" ref="I187">IFERROR(SUMIF('_Month Engine'!$C$5:$DR$5,I$4,INDEX('_Month Engine'!$C:$DR,MATCH("Owned Flag (1 = owned in month)",'_Month Engine'!$A:$A,0)+MATCH($A187,'_Month Engine'!$B$86:$B$95,0),0))*INDEX(Input!$D$80:$D$89,$A187)*1000000/Input!$C$5,0)</f>
        <v>0</v>
      </c>
      <c r="J187" s="75" cm="1">
        <f t="array" ref="J187">IFERROR(SUMIF('_Month Engine'!$C$5:$DR$5,J$4,INDEX('_Month Engine'!$C:$DR,MATCH("Owned Flag (1 = owned in month)",'_Month Engine'!$A:$A,0)+MATCH($A187,'_Month Engine'!$B$86:$B$95,0),0))*INDEX(Input!$D$80:$D$89,$A187)*1000000/Input!$C$5,0)</f>
        <v>0</v>
      </c>
      <c r="K187" s="75" cm="1">
        <f t="array" ref="K187">IFERROR(SUMIF('_Month Engine'!$C$5:$DR$5,K$4,INDEX('_Month Engine'!$C:$DR,MATCH("Owned Flag (1 = owned in month)",'_Month Engine'!$A:$A,0)+MATCH($A187,'_Month Engine'!$B$86:$B$95,0),0))*INDEX(Input!$D$80:$D$89,$A187)*1000000/Input!$C$5,0)</f>
        <v>0</v>
      </c>
      <c r="L187" s="75" cm="1">
        <f t="array" ref="L187">IFERROR(SUMIF('_Month Engine'!$C$5:$DR$5,L$4,INDEX('_Month Engine'!$C:$DR,MATCH("Owned Flag (1 = owned in month)",'_Month Engine'!$A:$A,0)+MATCH($A187,'_Month Engine'!$B$86:$B$95,0),0))*INDEX(Input!$D$80:$D$89,$A187)*1000000/Input!$C$5,0)</f>
        <v>0</v>
      </c>
    </row>
    <row r="188" spans="1:12" ht="18" customHeight="1" x14ac:dyDescent="0.3">
      <c r="A188" s="9">
        <v>12</v>
      </c>
      <c r="B188" s="66" t="s">
        <v>169</v>
      </c>
      <c r="C188" s="75" cm="1">
        <f t="array" ref="C188">IFERROR(SUMIF('_Month Engine'!$C$5:$DR$5,C$4,INDEX('_Month Engine'!$C:$DR,MATCH("Owned Flag (1 = owned in month)",'_Month Engine'!$A:$A,0)+MATCH($A188,'_Month Engine'!$B$86:$B$95,0),0))*INDEX(Input!$E$80:$E$89,$A188)*1000000/Input!$C$5,0)</f>
        <v>0</v>
      </c>
      <c r="D188" s="75" cm="1">
        <f t="array" ref="D188">IFERROR(SUMIF('_Month Engine'!$C$5:$DR$5,D$4,INDEX('_Month Engine'!$C:$DR,MATCH("Owned Flag (1 = owned in month)",'_Month Engine'!$A:$A,0)+MATCH($A188,'_Month Engine'!$B$86:$B$95,0),0))*INDEX(Input!$E$80:$E$89,$A188)*1000000/Input!$C$5,0)</f>
        <v>0</v>
      </c>
      <c r="E188" s="75" cm="1">
        <f t="array" ref="E188">IFERROR(SUMIF('_Month Engine'!$C$5:$DR$5,E$4,INDEX('_Month Engine'!$C:$DR,MATCH("Owned Flag (1 = owned in month)",'_Month Engine'!$A:$A,0)+MATCH($A188,'_Month Engine'!$B$86:$B$95,0),0))*INDEX(Input!$E$80:$E$89,$A188)*1000000/Input!$C$5,0)</f>
        <v>0</v>
      </c>
      <c r="F188" s="75" cm="1">
        <f t="array" ref="F188">IFERROR(SUMIF('_Month Engine'!$C$5:$DR$5,F$4,INDEX('_Month Engine'!$C:$DR,MATCH("Owned Flag (1 = owned in month)",'_Month Engine'!$A:$A,0)+MATCH($A188,'_Month Engine'!$B$86:$B$95,0),0))*INDEX(Input!$E$80:$E$89,$A188)*1000000/Input!$C$5,0)</f>
        <v>0</v>
      </c>
      <c r="G188" s="75" cm="1">
        <f t="array" ref="G188">IFERROR(SUMIF('_Month Engine'!$C$5:$DR$5,G$4,INDEX('_Month Engine'!$C:$DR,MATCH("Owned Flag (1 = owned in month)",'_Month Engine'!$A:$A,0)+MATCH($A188,'_Month Engine'!$B$86:$B$95,0),0))*INDEX(Input!$E$80:$E$89,$A188)*1000000/Input!$C$5,0)</f>
        <v>0</v>
      </c>
      <c r="H188" s="75" cm="1">
        <f t="array" ref="H188">IFERROR(SUMIF('_Month Engine'!$C$5:$DR$5,H$4,INDEX('_Month Engine'!$C:$DR,MATCH("Owned Flag (1 = owned in month)",'_Month Engine'!$A:$A,0)+MATCH($A188,'_Month Engine'!$B$86:$B$95,0),0))*INDEX(Input!$E$80:$E$89,$A188)*1000000/Input!$C$5,0)</f>
        <v>0</v>
      </c>
      <c r="I188" s="75" cm="1">
        <f t="array" ref="I188">IFERROR(SUMIF('_Month Engine'!$C$5:$DR$5,I$4,INDEX('_Month Engine'!$C:$DR,MATCH("Owned Flag (1 = owned in month)",'_Month Engine'!$A:$A,0)+MATCH($A188,'_Month Engine'!$B$86:$B$95,0),0))*INDEX(Input!$E$80:$E$89,$A188)*1000000/Input!$C$5,0)</f>
        <v>0</v>
      </c>
      <c r="J188" s="75" cm="1">
        <f t="array" ref="J188">IFERROR(SUMIF('_Month Engine'!$C$5:$DR$5,J$4,INDEX('_Month Engine'!$C:$DR,MATCH("Owned Flag (1 = owned in month)",'_Month Engine'!$A:$A,0)+MATCH($A188,'_Month Engine'!$B$86:$B$95,0),0))*INDEX(Input!$E$80:$E$89,$A188)*1000000/Input!$C$5,0)</f>
        <v>0</v>
      </c>
      <c r="K188" s="75" cm="1">
        <f t="array" ref="K188">IFERROR(SUMIF('_Month Engine'!$C$5:$DR$5,K$4,INDEX('_Month Engine'!$C:$DR,MATCH("Owned Flag (1 = owned in month)",'_Month Engine'!$A:$A,0)+MATCH($A188,'_Month Engine'!$B$86:$B$95,0),0))*INDEX(Input!$E$80:$E$89,$A188)*1000000/Input!$C$5,0)</f>
        <v>0</v>
      </c>
      <c r="L188" s="75" cm="1">
        <f t="array" ref="L188">IFERROR(SUMIF('_Month Engine'!$C$5:$DR$5,L$4,INDEX('_Month Engine'!$C:$DR,MATCH("Owned Flag (1 = owned in month)",'_Month Engine'!$A:$A,0)+MATCH($A188,'_Month Engine'!$B$86:$B$95,0),0))*INDEX(Input!$E$80:$E$89,$A188)*1000000/Input!$C$5,0)</f>
        <v>0</v>
      </c>
    </row>
    <row r="189" spans="1:12" ht="18" customHeight="1" x14ac:dyDescent="0.3">
      <c r="A189" s="9">
        <v>12</v>
      </c>
      <c r="B189" s="66" t="s">
        <v>170</v>
      </c>
      <c r="C189" s="75">
        <f>IFERROR(SUMIF('_Month Engine'!$C$5:$DR$5,C$4,INDEX('_Month Engine'!$C:$DR,MATCH("Renting All-In Basis",'_Month Engine'!$A:$A,0)+MATCH($A189,'_Month Engine'!$B$110:$B$119,0),0))*Input!$C$19/'_IRR Engine'!$Q$7,0)</f>
        <v>0</v>
      </c>
      <c r="D189" s="75">
        <f>IFERROR(SUMIF('_Month Engine'!$C$5:$DR$5,D$4,INDEX('_Month Engine'!$C:$DR,MATCH("Renting All-In Basis",'_Month Engine'!$A:$A,0)+MATCH($A189,'_Month Engine'!$B$110:$B$119,0),0))*Input!$C$19/'_IRR Engine'!$Q$7,0)</f>
        <v>0</v>
      </c>
      <c r="E189" s="75">
        <f>IFERROR(SUMIF('_Month Engine'!$C$5:$DR$5,E$4,INDEX('_Month Engine'!$C:$DR,MATCH("Renting All-In Basis",'_Month Engine'!$A:$A,0)+MATCH($A189,'_Month Engine'!$B$110:$B$119,0),0))*Input!$C$19/'_IRR Engine'!$Q$7,0)</f>
        <v>0</v>
      </c>
      <c r="F189" s="75">
        <f>IFERROR(SUMIF('_Month Engine'!$C$5:$DR$5,F$4,INDEX('_Month Engine'!$C:$DR,MATCH("Renting All-In Basis",'_Month Engine'!$A:$A,0)+MATCH($A189,'_Month Engine'!$B$110:$B$119,0),0))*Input!$C$19/'_IRR Engine'!$Q$7,0)</f>
        <v>0</v>
      </c>
      <c r="G189" s="75">
        <f>IFERROR(SUMIF('_Month Engine'!$C$5:$DR$5,G$4,INDEX('_Month Engine'!$C:$DR,MATCH("Renting All-In Basis",'_Month Engine'!$A:$A,0)+MATCH($A189,'_Month Engine'!$B$110:$B$119,0),0))*Input!$C$19/'_IRR Engine'!$Q$7,0)</f>
        <v>0</v>
      </c>
      <c r="H189" s="75">
        <f>IFERROR(SUMIF('_Month Engine'!$C$5:$DR$5,H$4,INDEX('_Month Engine'!$C:$DR,MATCH("Renting All-In Basis",'_Month Engine'!$A:$A,0)+MATCH($A189,'_Month Engine'!$B$110:$B$119,0),0))*Input!$C$19/'_IRR Engine'!$Q$7,0)</f>
        <v>0</v>
      </c>
      <c r="I189" s="75">
        <f>IFERROR(SUMIF('_Month Engine'!$C$5:$DR$5,I$4,INDEX('_Month Engine'!$C:$DR,MATCH("Renting All-In Basis",'_Month Engine'!$A:$A,0)+MATCH($A189,'_Month Engine'!$B$110:$B$119,0),0))*Input!$C$19/'_IRR Engine'!$Q$7,0)</f>
        <v>0</v>
      </c>
      <c r="J189" s="75">
        <f>IFERROR(SUMIF('_Month Engine'!$C$5:$DR$5,J$4,INDEX('_Month Engine'!$C:$DR,MATCH("Renting All-In Basis",'_Month Engine'!$A:$A,0)+MATCH($A189,'_Month Engine'!$B$110:$B$119,0),0))*Input!$C$19/'_IRR Engine'!$Q$7,0)</f>
        <v>0</v>
      </c>
      <c r="K189" s="75">
        <f>IFERROR(SUMIF('_Month Engine'!$C$5:$DR$5,K$4,INDEX('_Month Engine'!$C:$DR,MATCH("Renting All-In Basis",'_Month Engine'!$A:$A,0)+MATCH($A189,'_Month Engine'!$B$110:$B$119,0),0))*Input!$C$19/'_IRR Engine'!$Q$7,0)</f>
        <v>0</v>
      </c>
      <c r="L189" s="75">
        <f>IFERROR(SUMIF('_Month Engine'!$C$5:$DR$5,L$4,INDEX('_Month Engine'!$C:$DR,MATCH("Renting All-In Basis",'_Month Engine'!$A:$A,0)+MATCH($A189,'_Month Engine'!$B$110:$B$119,0),0))*Input!$C$19/'_IRR Engine'!$Q$7,0)</f>
        <v>0</v>
      </c>
    </row>
    <row r="190" spans="1:12" ht="18" customHeight="1" x14ac:dyDescent="0.3">
      <c r="A190" s="9">
        <v>12</v>
      </c>
      <c r="B190" s="66" t="s">
        <v>171</v>
      </c>
      <c r="C190" s="75">
        <f>C184*Input!$C$20</f>
        <v>0</v>
      </c>
      <c r="D190" s="75">
        <f>D184*Input!$C$20</f>
        <v>0</v>
      </c>
      <c r="E190" s="75">
        <f>E184*Input!$C$20</f>
        <v>0</v>
      </c>
      <c r="F190" s="75">
        <f>F184*Input!$C$20</f>
        <v>0</v>
      </c>
      <c r="G190" s="75">
        <f>G184*Input!$C$20</f>
        <v>0</v>
      </c>
      <c r="H190" s="75">
        <f>H184*Input!$C$20</f>
        <v>0</v>
      </c>
      <c r="I190" s="75">
        <f>I184*Input!$C$20</f>
        <v>0</v>
      </c>
      <c r="J190" s="75">
        <f>J184*Input!$C$20</f>
        <v>0</v>
      </c>
      <c r="K190" s="75">
        <f>K184*Input!$C$20</f>
        <v>0</v>
      </c>
      <c r="L190" s="75">
        <f>L184*Input!$C$20</f>
        <v>0</v>
      </c>
    </row>
    <row r="191" spans="1:12" x14ac:dyDescent="0.3">
      <c r="A191" s="9">
        <v>12</v>
      </c>
      <c r="B191" s="66" t="s">
        <v>1180</v>
      </c>
      <c r="C191" s="75" cm="1">
        <f t="array" ref="C191">C184*IFERROR(INDEX(Input!$U$80:$U$89,$A191),0)</f>
        <v>0</v>
      </c>
      <c r="D191" s="75" cm="1">
        <f t="array" ref="D191">D184*IFERROR(INDEX(Input!$U$80:$U$89,$A191),0)</f>
        <v>0</v>
      </c>
      <c r="E191" s="75" cm="1">
        <f t="array" ref="E191">E184*IFERROR(INDEX(Input!$U$80:$U$89,$A191),0)</f>
        <v>0</v>
      </c>
      <c r="F191" s="75" cm="1">
        <f t="array" ref="F191">F184*IFERROR(INDEX(Input!$U$80:$U$89,$A191),0)</f>
        <v>0</v>
      </c>
      <c r="G191" s="75" cm="1">
        <f t="array" ref="G191">G184*IFERROR(INDEX(Input!$U$80:$U$89,$A191),0)</f>
        <v>0</v>
      </c>
      <c r="H191" s="75" cm="1">
        <f t="array" ref="H191">H184*IFERROR(INDEX(Input!$U$80:$U$89,$A191),0)</f>
        <v>0</v>
      </c>
      <c r="I191" s="75" cm="1">
        <f t="array" ref="I191">I184*IFERROR(INDEX(Input!$U$80:$U$89,$A191),0)</f>
        <v>0</v>
      </c>
      <c r="J191" s="75" cm="1">
        <f t="array" ref="J191">J184*IFERROR(INDEX(Input!$U$80:$U$89,$A191),0)</f>
        <v>0</v>
      </c>
      <c r="K191" s="75" cm="1">
        <f t="array" ref="K191">K184*IFERROR(INDEX(Input!$U$80:$U$89,$A191),0)</f>
        <v>0</v>
      </c>
      <c r="L191" s="75" cm="1">
        <f t="array" ref="L191">L184*IFERROR(INDEX(Input!$U$80:$U$89,$A191),0)</f>
        <v>0</v>
      </c>
    </row>
    <row r="192" spans="1:12" ht="18" customHeight="1" x14ac:dyDescent="0.3">
      <c r="A192" s="9">
        <v>12</v>
      </c>
      <c r="B192" s="66" t="str">
        <f>"ServCo property management ("&amp;TEXT(Input!$C$31,"0%")&amp;")"</f>
        <v>ServCo property management (20%)</v>
      </c>
      <c r="C192" s="75">
        <f>C184*Input!$C$31</f>
        <v>0</v>
      </c>
      <c r="D192" s="75">
        <f>D184*Input!$C$31</f>
        <v>0</v>
      </c>
      <c r="E192" s="75">
        <f>E184*Input!$C$31</f>
        <v>0</v>
      </c>
      <c r="F192" s="75">
        <f>F184*Input!$C$31</f>
        <v>0</v>
      </c>
      <c r="G192" s="75">
        <f>G184*Input!$C$31</f>
        <v>0</v>
      </c>
      <c r="H192" s="75">
        <f>H184*Input!$C$31</f>
        <v>0</v>
      </c>
      <c r="I192" s="75">
        <f>I184*Input!$C$31</f>
        <v>0</v>
      </c>
      <c r="J192" s="75">
        <f>J184*Input!$C$31</f>
        <v>0</v>
      </c>
      <c r="K192" s="75">
        <f>K184*Input!$C$31</f>
        <v>0</v>
      </c>
      <c r="L192" s="75">
        <f>L184*Input!$C$31</f>
        <v>0</v>
      </c>
    </row>
    <row r="193" spans="1:12" ht="18" customHeight="1" x14ac:dyDescent="0.3">
      <c r="A193" s="9">
        <v>12</v>
      </c>
      <c r="B193" s="66" t="s">
        <v>980</v>
      </c>
      <c r="C193" s="75">
        <f>IFERROR(SUMIF('_Month Engine'!$C$5:$DR$5,C$4,INDEX('_Month Engine'!$C:$DR,MATCH("Renting Flag (1 = renting in month)",'_Month Engine'!$A:$A,0)+MATCH($A193,'_Month Engine'!$B$98:$B$107,0),0))*Input!$C$32,0)</f>
        <v>0</v>
      </c>
      <c r="D193" s="75">
        <f>IFERROR(SUMIF('_Month Engine'!$C$5:$DR$5,D$4,INDEX('_Month Engine'!$C:$DR,MATCH("Renting Flag (1 = renting in month)",'_Month Engine'!$A:$A,0)+MATCH($A193,'_Month Engine'!$B$98:$B$107,0),0))*Input!$C$32,0)</f>
        <v>0</v>
      </c>
      <c r="E193" s="75">
        <f>IFERROR(SUMIF('_Month Engine'!$C$5:$DR$5,E$4,INDEX('_Month Engine'!$C:$DR,MATCH("Renting Flag (1 = renting in month)",'_Month Engine'!$A:$A,0)+MATCH($A193,'_Month Engine'!$B$98:$B$107,0),0))*Input!$C$32,0)</f>
        <v>0</v>
      </c>
      <c r="F193" s="75">
        <f>IFERROR(SUMIF('_Month Engine'!$C$5:$DR$5,F$4,INDEX('_Month Engine'!$C:$DR,MATCH("Renting Flag (1 = renting in month)",'_Month Engine'!$A:$A,0)+MATCH($A193,'_Month Engine'!$B$98:$B$107,0),0))*Input!$C$32,0)</f>
        <v>0</v>
      </c>
      <c r="G193" s="75">
        <f>IFERROR(SUMIF('_Month Engine'!$C$5:$DR$5,G$4,INDEX('_Month Engine'!$C:$DR,MATCH("Renting Flag (1 = renting in month)",'_Month Engine'!$A:$A,0)+MATCH($A193,'_Month Engine'!$B$98:$B$107,0),0))*Input!$C$32,0)</f>
        <v>0</v>
      </c>
      <c r="H193" s="75">
        <f>IFERROR(SUMIF('_Month Engine'!$C$5:$DR$5,H$4,INDEX('_Month Engine'!$C:$DR,MATCH("Renting Flag (1 = renting in month)",'_Month Engine'!$A:$A,0)+MATCH($A193,'_Month Engine'!$B$98:$B$107,0),0))*Input!$C$32,0)</f>
        <v>0</v>
      </c>
      <c r="I193" s="75">
        <f>IFERROR(SUMIF('_Month Engine'!$C$5:$DR$5,I$4,INDEX('_Month Engine'!$C:$DR,MATCH("Renting Flag (1 = renting in month)",'_Month Engine'!$A:$A,0)+MATCH($A193,'_Month Engine'!$B$98:$B$107,0),0))*Input!$C$32,0)</f>
        <v>0</v>
      </c>
      <c r="J193" s="75">
        <f>IFERROR(SUMIF('_Month Engine'!$C$5:$DR$5,J$4,INDEX('_Month Engine'!$C:$DR,MATCH("Renting Flag (1 = renting in month)",'_Month Engine'!$A:$A,0)+MATCH($A193,'_Month Engine'!$B$98:$B$107,0),0))*Input!$C$32,0)</f>
        <v>0</v>
      </c>
      <c r="K193" s="75">
        <f>IFERROR(SUMIF('_Month Engine'!$C$5:$DR$5,K$4,INDEX('_Month Engine'!$C:$DR,MATCH("Renting Flag (1 = renting in month)",'_Month Engine'!$A:$A,0)+MATCH($A193,'_Month Engine'!$B$98:$B$107,0),0))*Input!$C$32,0)</f>
        <v>0</v>
      </c>
      <c r="L193" s="75">
        <f>IFERROR(SUMIF('_Month Engine'!$C$5:$DR$5,L$4,INDEX('_Month Engine'!$C:$DR,MATCH("Renting Flag (1 = renting in month)",'_Month Engine'!$A:$A,0)+MATCH($A193,'_Month Engine'!$B$98:$B$107,0),0))*Input!$C$32,0)</f>
        <v>0</v>
      </c>
    </row>
    <row r="194" spans="1:12" ht="18" customHeight="1" x14ac:dyDescent="0.3">
      <c r="A194" s="9">
        <v>12</v>
      </c>
      <c r="B194" s="11" t="s">
        <v>76</v>
      </c>
      <c r="C194" s="68">
        <f t="shared" ref="C194:L194" si="23">SUM(C185:C193)</f>
        <v>0</v>
      </c>
      <c r="D194" s="68">
        <f t="shared" si="23"/>
        <v>0</v>
      </c>
      <c r="E194" s="68">
        <f t="shared" si="23"/>
        <v>0</v>
      </c>
      <c r="F194" s="68">
        <f t="shared" si="23"/>
        <v>0</v>
      </c>
      <c r="G194" s="68">
        <f t="shared" si="23"/>
        <v>0</v>
      </c>
      <c r="H194" s="68">
        <f t="shared" si="23"/>
        <v>0</v>
      </c>
      <c r="I194" s="68">
        <f t="shared" si="23"/>
        <v>0</v>
      </c>
      <c r="J194" s="68">
        <f t="shared" si="23"/>
        <v>0</v>
      </c>
      <c r="K194" s="68">
        <f t="shared" si="23"/>
        <v>0</v>
      </c>
      <c r="L194" s="68">
        <f t="shared" si="23"/>
        <v>0</v>
      </c>
    </row>
    <row r="195" spans="1:12" ht="18" customHeight="1" x14ac:dyDescent="0.3">
      <c r="A195" s="9">
        <v>12</v>
      </c>
      <c r="B195" s="11" t="s">
        <v>172</v>
      </c>
      <c r="C195" s="68">
        <f t="shared" ref="C195:L195" si="24">C184-C194</f>
        <v>0</v>
      </c>
      <c r="D195" s="68">
        <f t="shared" si="24"/>
        <v>0</v>
      </c>
      <c r="E195" s="68">
        <f t="shared" si="24"/>
        <v>0</v>
      </c>
      <c r="F195" s="68">
        <f t="shared" si="24"/>
        <v>0</v>
      </c>
      <c r="G195" s="68">
        <f t="shared" si="24"/>
        <v>0</v>
      </c>
      <c r="H195" s="68">
        <f t="shared" si="24"/>
        <v>0</v>
      </c>
      <c r="I195" s="68">
        <f t="shared" si="24"/>
        <v>0</v>
      </c>
      <c r="J195" s="68">
        <f t="shared" si="24"/>
        <v>0</v>
      </c>
      <c r="K195" s="68">
        <f t="shared" si="24"/>
        <v>0</v>
      </c>
      <c r="L195" s="68">
        <f t="shared" si="24"/>
        <v>0</v>
      </c>
    </row>
    <row r="196" spans="1:12" ht="18" customHeight="1" x14ac:dyDescent="0.3">
      <c r="A196" s="9">
        <v>12</v>
      </c>
      <c r="B196" s="22" t="s">
        <v>173</v>
      </c>
      <c r="C196" s="77">
        <f>IFERROR(SUMIF('_Month Engine'!$C$5:$DR$5,C$4,INDEX('_Month Engine'!$C:$DR,MATCH("Acquisition Outflow (Purchase + Closing)",'_Month Engine'!$A:$A,0)+MATCH($A196,'_Month Engine'!$B$8:$B$17,0),0))+SUMIF('_Month Engine'!$C$5:$DR$5,C$4,INDEX('_Month Engine'!$C:$DR,MATCH("Acquisition Outflow (Purchase + Closing)",'_Month Engine'!$A:$A,0)+MATCH($A196,'_Month Engine'!$B$21:$B$30,0),0)),0)</f>
        <v>0</v>
      </c>
      <c r="D196" s="77">
        <f>IFERROR(SUMIF('_Month Engine'!$C$5:$DR$5,D$4,INDEX('_Month Engine'!$C:$DR,MATCH("Acquisition Outflow (Purchase + Closing)",'_Month Engine'!$A:$A,0)+MATCH($A196,'_Month Engine'!$B$8:$B$17,0),0))+SUMIF('_Month Engine'!$C$5:$DR$5,D$4,INDEX('_Month Engine'!$C:$DR,MATCH("Acquisition Outflow (Purchase + Closing)",'_Month Engine'!$A:$A,0)+MATCH($A196,'_Month Engine'!$B$21:$B$30,0),0)),0)</f>
        <v>0</v>
      </c>
      <c r="E196" s="77">
        <f>IFERROR(SUMIF('_Month Engine'!$C$5:$DR$5,E$4,INDEX('_Month Engine'!$C:$DR,MATCH("Acquisition Outflow (Purchase + Closing)",'_Month Engine'!$A:$A,0)+MATCH($A196,'_Month Engine'!$B$8:$B$17,0),0))+SUMIF('_Month Engine'!$C$5:$DR$5,E$4,INDEX('_Month Engine'!$C:$DR,MATCH("Acquisition Outflow (Purchase + Closing)",'_Month Engine'!$A:$A,0)+MATCH($A196,'_Month Engine'!$B$21:$B$30,0),0)),0)</f>
        <v>0</v>
      </c>
      <c r="F196" s="77">
        <f>IFERROR(SUMIF('_Month Engine'!$C$5:$DR$5,F$4,INDEX('_Month Engine'!$C:$DR,MATCH("Acquisition Outflow (Purchase + Closing)",'_Month Engine'!$A:$A,0)+MATCH($A196,'_Month Engine'!$B$8:$B$17,0),0))+SUMIF('_Month Engine'!$C$5:$DR$5,F$4,INDEX('_Month Engine'!$C:$DR,MATCH("Acquisition Outflow (Purchase + Closing)",'_Month Engine'!$A:$A,0)+MATCH($A196,'_Month Engine'!$B$21:$B$30,0),0)),0)</f>
        <v>0</v>
      </c>
      <c r="G196" s="77">
        <f>IFERROR(SUMIF('_Month Engine'!$C$5:$DR$5,G$4,INDEX('_Month Engine'!$C:$DR,MATCH("Acquisition Outflow (Purchase + Closing)",'_Month Engine'!$A:$A,0)+MATCH($A196,'_Month Engine'!$B$8:$B$17,0),0))+SUMIF('_Month Engine'!$C$5:$DR$5,G$4,INDEX('_Month Engine'!$C:$DR,MATCH("Acquisition Outflow (Purchase + Closing)",'_Month Engine'!$A:$A,0)+MATCH($A196,'_Month Engine'!$B$21:$B$30,0),0)),0)</f>
        <v>0</v>
      </c>
      <c r="H196" s="77">
        <f>IFERROR(SUMIF('_Month Engine'!$C$5:$DR$5,H$4,INDEX('_Month Engine'!$C:$DR,MATCH("Acquisition Outflow (Purchase + Closing)",'_Month Engine'!$A:$A,0)+MATCH($A196,'_Month Engine'!$B$8:$B$17,0),0))+SUMIF('_Month Engine'!$C$5:$DR$5,H$4,INDEX('_Month Engine'!$C:$DR,MATCH("Acquisition Outflow (Purchase + Closing)",'_Month Engine'!$A:$A,0)+MATCH($A196,'_Month Engine'!$B$21:$B$30,0),0)),0)</f>
        <v>0</v>
      </c>
      <c r="I196" s="77">
        <f>IFERROR(SUMIF('_Month Engine'!$C$5:$DR$5,I$4,INDEX('_Month Engine'!$C:$DR,MATCH("Acquisition Outflow (Purchase + Closing)",'_Month Engine'!$A:$A,0)+MATCH($A196,'_Month Engine'!$B$8:$B$17,0),0))+SUMIF('_Month Engine'!$C$5:$DR$5,I$4,INDEX('_Month Engine'!$C:$DR,MATCH("Acquisition Outflow (Purchase + Closing)",'_Month Engine'!$A:$A,0)+MATCH($A196,'_Month Engine'!$B$21:$B$30,0),0)),0)</f>
        <v>0</v>
      </c>
      <c r="J196" s="77">
        <f>IFERROR(SUMIF('_Month Engine'!$C$5:$DR$5,J$4,INDEX('_Month Engine'!$C:$DR,MATCH("Acquisition Outflow (Purchase + Closing)",'_Month Engine'!$A:$A,0)+MATCH($A196,'_Month Engine'!$B$8:$B$17,0),0))+SUMIF('_Month Engine'!$C$5:$DR$5,J$4,INDEX('_Month Engine'!$C:$DR,MATCH("Acquisition Outflow (Purchase + Closing)",'_Month Engine'!$A:$A,0)+MATCH($A196,'_Month Engine'!$B$21:$B$30,0),0)),0)</f>
        <v>0</v>
      </c>
      <c r="K196" s="77">
        <f>IFERROR(SUMIF('_Month Engine'!$C$5:$DR$5,K$4,INDEX('_Month Engine'!$C:$DR,MATCH("Acquisition Outflow (Purchase + Closing)",'_Month Engine'!$A:$A,0)+MATCH($A196,'_Month Engine'!$B$8:$B$17,0),0))+SUMIF('_Month Engine'!$C$5:$DR$5,K$4,INDEX('_Month Engine'!$C:$DR,MATCH("Acquisition Outflow (Purchase + Closing)",'_Month Engine'!$A:$A,0)+MATCH($A196,'_Month Engine'!$B$21:$B$30,0),0)),0)</f>
        <v>0</v>
      </c>
      <c r="L196" s="77">
        <f>IFERROR(SUMIF('_Month Engine'!$C$5:$DR$5,L$4,INDEX('_Month Engine'!$C:$DR,MATCH("Acquisition Outflow (Purchase + Closing)",'_Month Engine'!$A:$A,0)+MATCH($A196,'_Month Engine'!$B$8:$B$17,0),0))+SUMIF('_Month Engine'!$C$5:$DR$5,L$4,INDEX('_Month Engine'!$C:$DR,MATCH("Acquisition Outflow (Purchase + Closing)",'_Month Engine'!$A:$A,0)+MATCH($A196,'_Month Engine'!$B$21:$B$30,0),0)),0)</f>
        <v>0</v>
      </c>
    </row>
    <row r="197" spans="1:12" ht="34.049999999999997" customHeight="1" x14ac:dyDescent="0.3">
      <c r="A197" s="9">
        <v>12</v>
      </c>
      <c r="B197" s="517" t="s">
        <v>1181</v>
      </c>
      <c r="C197" s="77" cm="1">
        <f t="array" ref="C197">IFERROR(SUMIF('_Month Engine'!$C$5:$DR$5,C$4,INDEX('_Month Engine'!$C:$DR,MATCH("Gross Sale Value",'_Month Engine'!$A:$A,0)+MATCH($A197,'_Month Engine'!$B$61:$B$70,0),0))*(1-Input!$C$15)-IF(SUMIF('_Month Engine'!$C$5:$DR$5,C$4,INDEX('_Month Engine'!$C:$DR,MATCH("Gross Sale Value",'_Month Engine'!$A:$A,0)+MATCH($A197,'_Month Engine'!$B$61:$B$70,0),0))&gt;0,INDEX(Properties!$AD:$AD,$A197+5),0),0)</f>
        <v>0</v>
      </c>
      <c r="D197" s="77" cm="1">
        <f t="array" ref="D197">IFERROR(SUMIF('_Month Engine'!$C$5:$DR$5,D$4,INDEX('_Month Engine'!$C:$DR,MATCH("Gross Sale Value",'_Month Engine'!$A:$A,0)+MATCH($A197,'_Month Engine'!$B$61:$B$70,0),0))*(1-Input!$C$15)-IF(SUMIF('_Month Engine'!$C$5:$DR$5,D$4,INDEX('_Month Engine'!$C:$DR,MATCH("Gross Sale Value",'_Month Engine'!$A:$A,0)+MATCH($A197,'_Month Engine'!$B$61:$B$70,0),0))&gt;0,INDEX(Properties!$AD:$AD,$A197+5),0),0)</f>
        <v>0</v>
      </c>
      <c r="E197" s="77" cm="1">
        <f t="array" ref="E197">IFERROR(SUMIF('_Month Engine'!$C$5:$DR$5,E$4,INDEX('_Month Engine'!$C:$DR,MATCH("Gross Sale Value",'_Month Engine'!$A:$A,0)+MATCH($A197,'_Month Engine'!$B$61:$B$70,0),0))*(1-Input!$C$15)-IF(SUMIF('_Month Engine'!$C$5:$DR$5,E$4,INDEX('_Month Engine'!$C:$DR,MATCH("Gross Sale Value",'_Month Engine'!$A:$A,0)+MATCH($A197,'_Month Engine'!$B$61:$B$70,0),0))&gt;0,INDEX(Properties!$AD:$AD,$A197+5),0),0)</f>
        <v>0</v>
      </c>
      <c r="F197" s="77" cm="1">
        <f t="array" ref="F197">IFERROR(SUMIF('_Month Engine'!$C$5:$DR$5,F$4,INDEX('_Month Engine'!$C:$DR,MATCH("Gross Sale Value",'_Month Engine'!$A:$A,0)+MATCH($A197,'_Month Engine'!$B$61:$B$70,0),0))*(1-Input!$C$15)-IF(SUMIF('_Month Engine'!$C$5:$DR$5,F$4,INDEX('_Month Engine'!$C:$DR,MATCH("Gross Sale Value",'_Month Engine'!$A:$A,0)+MATCH($A197,'_Month Engine'!$B$61:$B$70,0),0))&gt;0,INDEX(Properties!$AD:$AD,$A197+5),0),0)</f>
        <v>0</v>
      </c>
      <c r="G197" s="77" cm="1">
        <f t="array" ref="G197">IFERROR(SUMIF('_Month Engine'!$C$5:$DR$5,G$4,INDEX('_Month Engine'!$C:$DR,MATCH("Gross Sale Value",'_Month Engine'!$A:$A,0)+MATCH($A197,'_Month Engine'!$B$61:$B$70,0),0))*(1-Input!$C$15)-IF(SUMIF('_Month Engine'!$C$5:$DR$5,G$4,INDEX('_Month Engine'!$C:$DR,MATCH("Gross Sale Value",'_Month Engine'!$A:$A,0)+MATCH($A197,'_Month Engine'!$B$61:$B$70,0),0))&gt;0,INDEX(Properties!$AD:$AD,$A197+5),0),0)</f>
        <v>0</v>
      </c>
      <c r="H197" s="77" cm="1">
        <f t="array" ref="H197">IFERROR(SUMIF('_Month Engine'!$C$5:$DR$5,H$4,INDEX('_Month Engine'!$C:$DR,MATCH("Gross Sale Value",'_Month Engine'!$A:$A,0)+MATCH($A197,'_Month Engine'!$B$61:$B$70,0),0))*(1-Input!$C$15)-IF(SUMIF('_Month Engine'!$C$5:$DR$5,H$4,INDEX('_Month Engine'!$C:$DR,MATCH("Gross Sale Value",'_Month Engine'!$A:$A,0)+MATCH($A197,'_Month Engine'!$B$61:$B$70,0),0))&gt;0,INDEX(Properties!$AD:$AD,$A197+5),0),0)</f>
        <v>0</v>
      </c>
      <c r="I197" s="77" cm="1">
        <f t="array" ref="I197">IFERROR(SUMIF('_Month Engine'!$C$5:$DR$5,I$4,INDEX('_Month Engine'!$C:$DR,MATCH("Gross Sale Value",'_Month Engine'!$A:$A,0)+MATCH($A197,'_Month Engine'!$B$61:$B$70,0),0))*(1-Input!$C$15)-IF(SUMIF('_Month Engine'!$C$5:$DR$5,I$4,INDEX('_Month Engine'!$C:$DR,MATCH("Gross Sale Value",'_Month Engine'!$A:$A,0)+MATCH($A197,'_Month Engine'!$B$61:$B$70,0),0))&gt;0,INDEX(Properties!$AD:$AD,$A197+5),0),0)</f>
        <v>0</v>
      </c>
      <c r="J197" s="77" cm="1">
        <f t="array" ref="J197">IFERROR(SUMIF('_Month Engine'!$C$5:$DR$5,J$4,INDEX('_Month Engine'!$C:$DR,MATCH("Gross Sale Value",'_Month Engine'!$A:$A,0)+MATCH($A197,'_Month Engine'!$B$61:$B$70,0),0))*(1-Input!$C$15)-IF(SUMIF('_Month Engine'!$C$5:$DR$5,J$4,INDEX('_Month Engine'!$C:$DR,MATCH("Gross Sale Value",'_Month Engine'!$A:$A,0)+MATCH($A197,'_Month Engine'!$B$61:$B$70,0),0))&gt;0,INDEX(Properties!$AD:$AD,$A197+5),0),0)</f>
        <v>0</v>
      </c>
      <c r="K197" s="77" cm="1">
        <f t="array" ref="K197">IFERROR(SUMIF('_Month Engine'!$C$5:$DR$5,K$4,INDEX('_Month Engine'!$C:$DR,MATCH("Gross Sale Value",'_Month Engine'!$A:$A,0)+MATCH($A197,'_Month Engine'!$B$61:$B$70,0),0))*(1-Input!$C$15)-IF(SUMIF('_Month Engine'!$C$5:$DR$5,K$4,INDEX('_Month Engine'!$C:$DR,MATCH("Gross Sale Value",'_Month Engine'!$A:$A,0)+MATCH($A197,'_Month Engine'!$B$61:$B$70,0),0))&gt;0,INDEX(Properties!$AD:$AD,$A197+5),0),0)</f>
        <v>0</v>
      </c>
      <c r="L197" s="77" cm="1">
        <f t="array" ref="L197">IFERROR(SUMIF('_Month Engine'!$C$5:$DR$5,L$4,INDEX('_Month Engine'!$C:$DR,MATCH("Gross Sale Value",'_Month Engine'!$A:$A,0)+MATCH($A197,'_Month Engine'!$B$61:$B$70,0),0))*(1-Input!$C$15)-IF(SUMIF('_Month Engine'!$C$5:$DR$5,L$4,INDEX('_Month Engine'!$C:$DR,MATCH("Gross Sale Value",'_Month Engine'!$A:$A,0)+MATCH($A197,'_Month Engine'!$B$61:$B$70,0),0))&gt;0,INDEX(Properties!$AD:$AD,$A197+5),0),0)</f>
        <v>0</v>
      </c>
    </row>
    <row r="198" spans="1:12" ht="18" customHeight="1" x14ac:dyDescent="0.3">
      <c r="A198" s="9"/>
      <c r="B198" s="9"/>
      <c r="C198" s="66"/>
      <c r="D198" s="66"/>
      <c r="E198" s="66"/>
      <c r="F198" s="66"/>
      <c r="G198" s="66"/>
      <c r="H198" s="66"/>
      <c r="I198" s="66"/>
      <c r="J198" s="66"/>
      <c r="K198" s="66"/>
      <c r="L198" s="66"/>
    </row>
    <row r="199" spans="1:12" ht="18" customHeight="1" x14ac:dyDescent="0.3">
      <c r="A199" s="40">
        <v>13</v>
      </c>
      <c r="B199" s="40" t="str" cm="1">
        <f t="array" ref="B199">INDEX(Properties!$E:$E,$A199+5)&amp;"   ·   "&amp;INDEX(Properties!$F:$F,$A199+5)&amp;"   ·   "&amp;INDEX(Properties!$H:$H,$A199+5)</f>
        <v>Rancho Llanogrande   ·   Llanogrande, Antioquia   ·   Backup — insufficient data for underwriting (no size, price, or terms in source)</v>
      </c>
      <c r="C199" s="67"/>
      <c r="D199" s="67"/>
      <c r="E199" s="67"/>
      <c r="F199" s="67"/>
      <c r="G199" s="67"/>
      <c r="H199" s="67"/>
      <c r="I199" s="67"/>
      <c r="J199" s="67"/>
      <c r="K199" s="67"/>
      <c r="L199" s="67"/>
    </row>
    <row r="200" spans="1:12" ht="18" customHeight="1" x14ac:dyDescent="0.3">
      <c r="A200" s="9">
        <v>13</v>
      </c>
      <c r="B200" s="66" t="s">
        <v>167</v>
      </c>
      <c r="C200" s="75">
        <f>IFERROR(SUMIF('_Month Engine'!$C$5:$DR$5,C$4,INDEX('_Month Engine'!$C:$DR,MATCH("Gross STR Revenue",'_Month Engine'!$A:$A,0)+MATCH($A200,'_Month Engine'!$B$34:$B$43,0),0)),0)</f>
        <v>0</v>
      </c>
      <c r="D200" s="75">
        <f>IFERROR(SUMIF('_Month Engine'!$C$5:$DR$5,D$4,INDEX('_Month Engine'!$C:$DR,MATCH("Gross STR Revenue",'_Month Engine'!$A:$A,0)+MATCH($A200,'_Month Engine'!$B$34:$B$43,0),0)),0)</f>
        <v>0</v>
      </c>
      <c r="E200" s="75">
        <f>IFERROR(SUMIF('_Month Engine'!$C$5:$DR$5,E$4,INDEX('_Month Engine'!$C:$DR,MATCH("Gross STR Revenue",'_Month Engine'!$A:$A,0)+MATCH($A200,'_Month Engine'!$B$34:$B$43,0),0)),0)</f>
        <v>0</v>
      </c>
      <c r="F200" s="75">
        <f>IFERROR(SUMIF('_Month Engine'!$C$5:$DR$5,F$4,INDEX('_Month Engine'!$C:$DR,MATCH("Gross STR Revenue",'_Month Engine'!$A:$A,0)+MATCH($A200,'_Month Engine'!$B$34:$B$43,0),0)),0)</f>
        <v>0</v>
      </c>
      <c r="G200" s="75">
        <f>IFERROR(SUMIF('_Month Engine'!$C$5:$DR$5,G$4,INDEX('_Month Engine'!$C:$DR,MATCH("Gross STR Revenue",'_Month Engine'!$A:$A,0)+MATCH($A200,'_Month Engine'!$B$34:$B$43,0),0)),0)</f>
        <v>0</v>
      </c>
      <c r="H200" s="75">
        <f>IFERROR(SUMIF('_Month Engine'!$C$5:$DR$5,H$4,INDEX('_Month Engine'!$C:$DR,MATCH("Gross STR Revenue",'_Month Engine'!$A:$A,0)+MATCH($A200,'_Month Engine'!$B$34:$B$43,0),0)),0)</f>
        <v>0</v>
      </c>
      <c r="I200" s="75">
        <f>IFERROR(SUMIF('_Month Engine'!$C$5:$DR$5,I$4,INDEX('_Month Engine'!$C:$DR,MATCH("Gross STR Revenue",'_Month Engine'!$A:$A,0)+MATCH($A200,'_Month Engine'!$B$34:$B$43,0),0)),0)</f>
        <v>0</v>
      </c>
      <c r="J200" s="75">
        <f>IFERROR(SUMIF('_Month Engine'!$C$5:$DR$5,J$4,INDEX('_Month Engine'!$C:$DR,MATCH("Gross STR Revenue",'_Month Engine'!$A:$A,0)+MATCH($A200,'_Month Engine'!$B$34:$B$43,0),0)),0)</f>
        <v>0</v>
      </c>
      <c r="K200" s="75">
        <f>IFERROR(SUMIF('_Month Engine'!$C$5:$DR$5,K$4,INDEX('_Month Engine'!$C:$DR,MATCH("Gross STR Revenue",'_Month Engine'!$A:$A,0)+MATCH($A200,'_Month Engine'!$B$34:$B$43,0),0)),0)</f>
        <v>0</v>
      </c>
      <c r="L200" s="75">
        <f>IFERROR(SUMIF('_Month Engine'!$C$5:$DR$5,L$4,INDEX('_Month Engine'!$C:$DR,MATCH("Gross STR Revenue",'_Month Engine'!$A:$A,0)+MATCH($A200,'_Month Engine'!$B$34:$B$43,0),0)),0)</f>
        <v>0</v>
      </c>
    </row>
    <row r="201" spans="1:12" ht="18" customHeight="1" x14ac:dyDescent="0.3">
      <c r="A201" s="9">
        <v>13</v>
      </c>
      <c r="B201" s="66" t="s">
        <v>1179</v>
      </c>
      <c r="C201" s="75" cm="1">
        <f t="array" ref="C201">IFERROR(SUMIF('_Month Engine'!$C$5:$DR$5,C$4,INDEX('_Month Engine'!$C:$DR,MATCH("Owned All-In Basis",'_Month Engine'!$A:$A,0)+MATCH($A201,'_Month Engine'!$B$47:$B$56,0),0))*INDEX(Input!$C$80:$C$89,$A201)/'_IRR Engine'!$Q$7,0)</f>
        <v>0</v>
      </c>
      <c r="D201" s="75" cm="1">
        <f t="array" ref="D201">IFERROR(SUMIF('_Month Engine'!$C$5:$DR$5,D$4,INDEX('_Month Engine'!$C:$DR,MATCH("Owned All-In Basis",'_Month Engine'!$A:$A,0)+MATCH($A201,'_Month Engine'!$B$47:$B$56,0),0))*INDEX(Input!$C$80:$C$89,$A201)/'_IRR Engine'!$Q$7,0)</f>
        <v>0</v>
      </c>
      <c r="E201" s="75" cm="1">
        <f t="array" ref="E201">IFERROR(SUMIF('_Month Engine'!$C$5:$DR$5,E$4,INDEX('_Month Engine'!$C:$DR,MATCH("Owned All-In Basis",'_Month Engine'!$A:$A,0)+MATCH($A201,'_Month Engine'!$B$47:$B$56,0),0))*INDEX(Input!$C$80:$C$89,$A201)/'_IRR Engine'!$Q$7,0)</f>
        <v>0</v>
      </c>
      <c r="F201" s="75" cm="1">
        <f t="array" ref="F201">IFERROR(SUMIF('_Month Engine'!$C$5:$DR$5,F$4,INDEX('_Month Engine'!$C:$DR,MATCH("Owned All-In Basis",'_Month Engine'!$A:$A,0)+MATCH($A201,'_Month Engine'!$B$47:$B$56,0),0))*INDEX(Input!$C$80:$C$89,$A201)/'_IRR Engine'!$Q$7,0)</f>
        <v>0</v>
      </c>
      <c r="G201" s="75" cm="1">
        <f t="array" ref="G201">IFERROR(SUMIF('_Month Engine'!$C$5:$DR$5,G$4,INDEX('_Month Engine'!$C:$DR,MATCH("Owned All-In Basis",'_Month Engine'!$A:$A,0)+MATCH($A201,'_Month Engine'!$B$47:$B$56,0),0))*INDEX(Input!$C$80:$C$89,$A201)/'_IRR Engine'!$Q$7,0)</f>
        <v>0</v>
      </c>
      <c r="H201" s="75" cm="1">
        <f t="array" ref="H201">IFERROR(SUMIF('_Month Engine'!$C$5:$DR$5,H$4,INDEX('_Month Engine'!$C:$DR,MATCH("Owned All-In Basis",'_Month Engine'!$A:$A,0)+MATCH($A201,'_Month Engine'!$B$47:$B$56,0),0))*INDEX(Input!$C$80:$C$89,$A201)/'_IRR Engine'!$Q$7,0)</f>
        <v>0</v>
      </c>
      <c r="I201" s="75" cm="1">
        <f t="array" ref="I201">IFERROR(SUMIF('_Month Engine'!$C$5:$DR$5,I$4,INDEX('_Month Engine'!$C:$DR,MATCH("Owned All-In Basis",'_Month Engine'!$A:$A,0)+MATCH($A201,'_Month Engine'!$B$47:$B$56,0),0))*INDEX(Input!$C$80:$C$89,$A201)/'_IRR Engine'!$Q$7,0)</f>
        <v>0</v>
      </c>
      <c r="J201" s="75" cm="1">
        <f t="array" ref="J201">IFERROR(SUMIF('_Month Engine'!$C$5:$DR$5,J$4,INDEX('_Month Engine'!$C:$DR,MATCH("Owned All-In Basis",'_Month Engine'!$A:$A,0)+MATCH($A201,'_Month Engine'!$B$47:$B$56,0),0))*INDEX(Input!$C$80:$C$89,$A201)/'_IRR Engine'!$Q$7,0)</f>
        <v>0</v>
      </c>
      <c r="K201" s="75" cm="1">
        <f t="array" ref="K201">IFERROR(SUMIF('_Month Engine'!$C$5:$DR$5,K$4,INDEX('_Month Engine'!$C:$DR,MATCH("Owned All-In Basis",'_Month Engine'!$A:$A,0)+MATCH($A201,'_Month Engine'!$B$47:$B$56,0),0))*INDEX(Input!$C$80:$C$89,$A201)/'_IRR Engine'!$Q$7,0)</f>
        <v>0</v>
      </c>
      <c r="L201" s="75" cm="1">
        <f t="array" ref="L201">IFERROR(SUMIF('_Month Engine'!$C$5:$DR$5,L$4,INDEX('_Month Engine'!$C:$DR,MATCH("Owned All-In Basis",'_Month Engine'!$A:$A,0)+MATCH($A201,'_Month Engine'!$B$47:$B$56,0),0))*INDEX(Input!$C$80:$C$89,$A201)/'_IRR Engine'!$Q$7,0)</f>
        <v>0</v>
      </c>
    </row>
    <row r="202" spans="1:12" ht="18" customHeight="1" x14ac:dyDescent="0.3">
      <c r="A202" s="9">
        <v>13</v>
      </c>
      <c r="B202" s="66" t="s">
        <v>72</v>
      </c>
      <c r="C202" s="75">
        <f>IFERROR(SUMIF('_Month Engine'!$C$5:$DR$5,C$4,INDEX('_Month Engine'!$C:$DR,MATCH("Renting All-In Basis",'_Month Engine'!$A:$A,0)+MATCH($A202,'_Month Engine'!$B$110:$B$119,0),0))*Input!$C$18/'_IRR Engine'!$Q$7,0)</f>
        <v>0</v>
      </c>
      <c r="D202" s="75">
        <f>IFERROR(SUMIF('_Month Engine'!$C$5:$DR$5,D$4,INDEX('_Month Engine'!$C:$DR,MATCH("Renting All-In Basis",'_Month Engine'!$A:$A,0)+MATCH($A202,'_Month Engine'!$B$110:$B$119,0),0))*Input!$C$18/'_IRR Engine'!$Q$7,0)</f>
        <v>0</v>
      </c>
      <c r="E202" s="75">
        <f>IFERROR(SUMIF('_Month Engine'!$C$5:$DR$5,E$4,INDEX('_Month Engine'!$C:$DR,MATCH("Renting All-In Basis",'_Month Engine'!$A:$A,0)+MATCH($A202,'_Month Engine'!$B$110:$B$119,0),0))*Input!$C$18/'_IRR Engine'!$Q$7,0)</f>
        <v>0</v>
      </c>
      <c r="F202" s="75">
        <f>IFERROR(SUMIF('_Month Engine'!$C$5:$DR$5,F$4,INDEX('_Month Engine'!$C:$DR,MATCH("Renting All-In Basis",'_Month Engine'!$A:$A,0)+MATCH($A202,'_Month Engine'!$B$110:$B$119,0),0))*Input!$C$18/'_IRR Engine'!$Q$7,0)</f>
        <v>0</v>
      </c>
      <c r="G202" s="75">
        <f>IFERROR(SUMIF('_Month Engine'!$C$5:$DR$5,G$4,INDEX('_Month Engine'!$C:$DR,MATCH("Renting All-In Basis",'_Month Engine'!$A:$A,0)+MATCH($A202,'_Month Engine'!$B$110:$B$119,0),0))*Input!$C$18/'_IRR Engine'!$Q$7,0)</f>
        <v>0</v>
      </c>
      <c r="H202" s="75">
        <f>IFERROR(SUMIF('_Month Engine'!$C$5:$DR$5,H$4,INDEX('_Month Engine'!$C:$DR,MATCH("Renting All-In Basis",'_Month Engine'!$A:$A,0)+MATCH($A202,'_Month Engine'!$B$110:$B$119,0),0))*Input!$C$18/'_IRR Engine'!$Q$7,0)</f>
        <v>0</v>
      </c>
      <c r="I202" s="75">
        <f>IFERROR(SUMIF('_Month Engine'!$C$5:$DR$5,I$4,INDEX('_Month Engine'!$C:$DR,MATCH("Renting All-In Basis",'_Month Engine'!$A:$A,0)+MATCH($A202,'_Month Engine'!$B$110:$B$119,0),0))*Input!$C$18/'_IRR Engine'!$Q$7,0)</f>
        <v>0</v>
      </c>
      <c r="J202" s="75">
        <f>IFERROR(SUMIF('_Month Engine'!$C$5:$DR$5,J$4,INDEX('_Month Engine'!$C:$DR,MATCH("Renting All-In Basis",'_Month Engine'!$A:$A,0)+MATCH($A202,'_Month Engine'!$B$110:$B$119,0),0))*Input!$C$18/'_IRR Engine'!$Q$7,0)</f>
        <v>0</v>
      </c>
      <c r="K202" s="75">
        <f>IFERROR(SUMIF('_Month Engine'!$C$5:$DR$5,K$4,INDEX('_Month Engine'!$C:$DR,MATCH("Renting All-In Basis",'_Month Engine'!$A:$A,0)+MATCH($A202,'_Month Engine'!$B$110:$B$119,0),0))*Input!$C$18/'_IRR Engine'!$Q$7,0)</f>
        <v>0</v>
      </c>
      <c r="L202" s="75">
        <f>IFERROR(SUMIF('_Month Engine'!$C$5:$DR$5,L$4,INDEX('_Month Engine'!$C:$DR,MATCH("Renting All-In Basis",'_Month Engine'!$A:$A,0)+MATCH($A202,'_Month Engine'!$B$110:$B$119,0),0))*Input!$C$18/'_IRR Engine'!$Q$7,0)</f>
        <v>0</v>
      </c>
    </row>
    <row r="203" spans="1:12" ht="18" customHeight="1" x14ac:dyDescent="0.3">
      <c r="A203" s="9">
        <v>13</v>
      </c>
      <c r="B203" s="66" t="s">
        <v>168</v>
      </c>
      <c r="C203" s="75" cm="1">
        <f t="array" ref="C203">IFERROR(SUMIF('_Month Engine'!$C$5:$DR$5,C$4,INDEX('_Month Engine'!$C:$DR,MATCH("Owned Flag (1 = owned in month)",'_Month Engine'!$A:$A,0)+MATCH($A203,'_Month Engine'!$B$86:$B$95,0),0))*INDEX(Input!$D$80:$D$89,$A203)*1000000/Input!$C$5,0)</f>
        <v>0</v>
      </c>
      <c r="D203" s="75" cm="1">
        <f t="array" ref="D203">IFERROR(SUMIF('_Month Engine'!$C$5:$DR$5,D$4,INDEX('_Month Engine'!$C:$DR,MATCH("Owned Flag (1 = owned in month)",'_Month Engine'!$A:$A,0)+MATCH($A203,'_Month Engine'!$B$86:$B$95,0),0))*INDEX(Input!$D$80:$D$89,$A203)*1000000/Input!$C$5,0)</f>
        <v>0</v>
      </c>
      <c r="E203" s="75" cm="1">
        <f t="array" ref="E203">IFERROR(SUMIF('_Month Engine'!$C$5:$DR$5,E$4,INDEX('_Month Engine'!$C:$DR,MATCH("Owned Flag (1 = owned in month)",'_Month Engine'!$A:$A,0)+MATCH($A203,'_Month Engine'!$B$86:$B$95,0),0))*INDEX(Input!$D$80:$D$89,$A203)*1000000/Input!$C$5,0)</f>
        <v>0</v>
      </c>
      <c r="F203" s="75" cm="1">
        <f t="array" ref="F203">IFERROR(SUMIF('_Month Engine'!$C$5:$DR$5,F$4,INDEX('_Month Engine'!$C:$DR,MATCH("Owned Flag (1 = owned in month)",'_Month Engine'!$A:$A,0)+MATCH($A203,'_Month Engine'!$B$86:$B$95,0),0))*INDEX(Input!$D$80:$D$89,$A203)*1000000/Input!$C$5,0)</f>
        <v>0</v>
      </c>
      <c r="G203" s="75" cm="1">
        <f t="array" ref="G203">IFERROR(SUMIF('_Month Engine'!$C$5:$DR$5,G$4,INDEX('_Month Engine'!$C:$DR,MATCH("Owned Flag (1 = owned in month)",'_Month Engine'!$A:$A,0)+MATCH($A203,'_Month Engine'!$B$86:$B$95,0),0))*INDEX(Input!$D$80:$D$89,$A203)*1000000/Input!$C$5,0)</f>
        <v>0</v>
      </c>
      <c r="H203" s="75" cm="1">
        <f t="array" ref="H203">IFERROR(SUMIF('_Month Engine'!$C$5:$DR$5,H$4,INDEX('_Month Engine'!$C:$DR,MATCH("Owned Flag (1 = owned in month)",'_Month Engine'!$A:$A,0)+MATCH($A203,'_Month Engine'!$B$86:$B$95,0),0))*INDEX(Input!$D$80:$D$89,$A203)*1000000/Input!$C$5,0)</f>
        <v>0</v>
      </c>
      <c r="I203" s="75" cm="1">
        <f t="array" ref="I203">IFERROR(SUMIF('_Month Engine'!$C$5:$DR$5,I$4,INDEX('_Month Engine'!$C:$DR,MATCH("Owned Flag (1 = owned in month)",'_Month Engine'!$A:$A,0)+MATCH($A203,'_Month Engine'!$B$86:$B$95,0),0))*INDEX(Input!$D$80:$D$89,$A203)*1000000/Input!$C$5,0)</f>
        <v>0</v>
      </c>
      <c r="J203" s="75" cm="1">
        <f t="array" ref="J203">IFERROR(SUMIF('_Month Engine'!$C$5:$DR$5,J$4,INDEX('_Month Engine'!$C:$DR,MATCH("Owned Flag (1 = owned in month)",'_Month Engine'!$A:$A,0)+MATCH($A203,'_Month Engine'!$B$86:$B$95,0),0))*INDEX(Input!$D$80:$D$89,$A203)*1000000/Input!$C$5,0)</f>
        <v>0</v>
      </c>
      <c r="K203" s="75" cm="1">
        <f t="array" ref="K203">IFERROR(SUMIF('_Month Engine'!$C$5:$DR$5,K$4,INDEX('_Month Engine'!$C:$DR,MATCH("Owned Flag (1 = owned in month)",'_Month Engine'!$A:$A,0)+MATCH($A203,'_Month Engine'!$B$86:$B$95,0),0))*INDEX(Input!$D$80:$D$89,$A203)*1000000/Input!$C$5,0)</f>
        <v>0</v>
      </c>
      <c r="L203" s="75" cm="1">
        <f t="array" ref="L203">IFERROR(SUMIF('_Month Engine'!$C$5:$DR$5,L$4,INDEX('_Month Engine'!$C:$DR,MATCH("Owned Flag (1 = owned in month)",'_Month Engine'!$A:$A,0)+MATCH($A203,'_Month Engine'!$B$86:$B$95,0),0))*INDEX(Input!$D$80:$D$89,$A203)*1000000/Input!$C$5,0)</f>
        <v>0</v>
      </c>
    </row>
    <row r="204" spans="1:12" ht="18" customHeight="1" x14ac:dyDescent="0.3">
      <c r="A204" s="9">
        <v>13</v>
      </c>
      <c r="B204" s="66" t="s">
        <v>169</v>
      </c>
      <c r="C204" s="75" cm="1">
        <f t="array" ref="C204">IFERROR(SUMIF('_Month Engine'!$C$5:$DR$5,C$4,INDEX('_Month Engine'!$C:$DR,MATCH("Owned Flag (1 = owned in month)",'_Month Engine'!$A:$A,0)+MATCH($A204,'_Month Engine'!$B$86:$B$95,0),0))*INDEX(Input!$E$80:$E$89,$A204)*1000000/Input!$C$5,0)</f>
        <v>0</v>
      </c>
      <c r="D204" s="75" cm="1">
        <f t="array" ref="D204">IFERROR(SUMIF('_Month Engine'!$C$5:$DR$5,D$4,INDEX('_Month Engine'!$C:$DR,MATCH("Owned Flag (1 = owned in month)",'_Month Engine'!$A:$A,0)+MATCH($A204,'_Month Engine'!$B$86:$B$95,0),0))*INDEX(Input!$E$80:$E$89,$A204)*1000000/Input!$C$5,0)</f>
        <v>0</v>
      </c>
      <c r="E204" s="75" cm="1">
        <f t="array" ref="E204">IFERROR(SUMIF('_Month Engine'!$C$5:$DR$5,E$4,INDEX('_Month Engine'!$C:$DR,MATCH("Owned Flag (1 = owned in month)",'_Month Engine'!$A:$A,0)+MATCH($A204,'_Month Engine'!$B$86:$B$95,0),0))*INDEX(Input!$E$80:$E$89,$A204)*1000000/Input!$C$5,0)</f>
        <v>0</v>
      </c>
      <c r="F204" s="75" cm="1">
        <f t="array" ref="F204">IFERROR(SUMIF('_Month Engine'!$C$5:$DR$5,F$4,INDEX('_Month Engine'!$C:$DR,MATCH("Owned Flag (1 = owned in month)",'_Month Engine'!$A:$A,0)+MATCH($A204,'_Month Engine'!$B$86:$B$95,0),0))*INDEX(Input!$E$80:$E$89,$A204)*1000000/Input!$C$5,0)</f>
        <v>0</v>
      </c>
      <c r="G204" s="75" cm="1">
        <f t="array" ref="G204">IFERROR(SUMIF('_Month Engine'!$C$5:$DR$5,G$4,INDEX('_Month Engine'!$C:$DR,MATCH("Owned Flag (1 = owned in month)",'_Month Engine'!$A:$A,0)+MATCH($A204,'_Month Engine'!$B$86:$B$95,0),0))*INDEX(Input!$E$80:$E$89,$A204)*1000000/Input!$C$5,0)</f>
        <v>0</v>
      </c>
      <c r="H204" s="75" cm="1">
        <f t="array" ref="H204">IFERROR(SUMIF('_Month Engine'!$C$5:$DR$5,H$4,INDEX('_Month Engine'!$C:$DR,MATCH("Owned Flag (1 = owned in month)",'_Month Engine'!$A:$A,0)+MATCH($A204,'_Month Engine'!$B$86:$B$95,0),0))*INDEX(Input!$E$80:$E$89,$A204)*1000000/Input!$C$5,0)</f>
        <v>0</v>
      </c>
      <c r="I204" s="75" cm="1">
        <f t="array" ref="I204">IFERROR(SUMIF('_Month Engine'!$C$5:$DR$5,I$4,INDEX('_Month Engine'!$C:$DR,MATCH("Owned Flag (1 = owned in month)",'_Month Engine'!$A:$A,0)+MATCH($A204,'_Month Engine'!$B$86:$B$95,0),0))*INDEX(Input!$E$80:$E$89,$A204)*1000000/Input!$C$5,0)</f>
        <v>0</v>
      </c>
      <c r="J204" s="75" cm="1">
        <f t="array" ref="J204">IFERROR(SUMIF('_Month Engine'!$C$5:$DR$5,J$4,INDEX('_Month Engine'!$C:$DR,MATCH("Owned Flag (1 = owned in month)",'_Month Engine'!$A:$A,0)+MATCH($A204,'_Month Engine'!$B$86:$B$95,0),0))*INDEX(Input!$E$80:$E$89,$A204)*1000000/Input!$C$5,0)</f>
        <v>0</v>
      </c>
      <c r="K204" s="75" cm="1">
        <f t="array" ref="K204">IFERROR(SUMIF('_Month Engine'!$C$5:$DR$5,K$4,INDEX('_Month Engine'!$C:$DR,MATCH("Owned Flag (1 = owned in month)",'_Month Engine'!$A:$A,0)+MATCH($A204,'_Month Engine'!$B$86:$B$95,0),0))*INDEX(Input!$E$80:$E$89,$A204)*1000000/Input!$C$5,0)</f>
        <v>0</v>
      </c>
      <c r="L204" s="75" cm="1">
        <f t="array" ref="L204">IFERROR(SUMIF('_Month Engine'!$C$5:$DR$5,L$4,INDEX('_Month Engine'!$C:$DR,MATCH("Owned Flag (1 = owned in month)",'_Month Engine'!$A:$A,0)+MATCH($A204,'_Month Engine'!$B$86:$B$95,0),0))*INDEX(Input!$E$80:$E$89,$A204)*1000000/Input!$C$5,0)</f>
        <v>0</v>
      </c>
    </row>
    <row r="205" spans="1:12" ht="18" customHeight="1" x14ac:dyDescent="0.3">
      <c r="A205" s="9">
        <v>13</v>
      </c>
      <c r="B205" s="66" t="s">
        <v>170</v>
      </c>
      <c r="C205" s="75">
        <f>IFERROR(SUMIF('_Month Engine'!$C$5:$DR$5,C$4,INDEX('_Month Engine'!$C:$DR,MATCH("Renting All-In Basis",'_Month Engine'!$A:$A,0)+MATCH($A205,'_Month Engine'!$B$110:$B$119,0),0))*Input!$C$19/'_IRR Engine'!$Q$7,0)</f>
        <v>0</v>
      </c>
      <c r="D205" s="75">
        <f>IFERROR(SUMIF('_Month Engine'!$C$5:$DR$5,D$4,INDEX('_Month Engine'!$C:$DR,MATCH("Renting All-In Basis",'_Month Engine'!$A:$A,0)+MATCH($A205,'_Month Engine'!$B$110:$B$119,0),0))*Input!$C$19/'_IRR Engine'!$Q$7,0)</f>
        <v>0</v>
      </c>
      <c r="E205" s="75">
        <f>IFERROR(SUMIF('_Month Engine'!$C$5:$DR$5,E$4,INDEX('_Month Engine'!$C:$DR,MATCH("Renting All-In Basis",'_Month Engine'!$A:$A,0)+MATCH($A205,'_Month Engine'!$B$110:$B$119,0),0))*Input!$C$19/'_IRR Engine'!$Q$7,0)</f>
        <v>0</v>
      </c>
      <c r="F205" s="75">
        <f>IFERROR(SUMIF('_Month Engine'!$C$5:$DR$5,F$4,INDEX('_Month Engine'!$C:$DR,MATCH("Renting All-In Basis",'_Month Engine'!$A:$A,0)+MATCH($A205,'_Month Engine'!$B$110:$B$119,0),0))*Input!$C$19/'_IRR Engine'!$Q$7,0)</f>
        <v>0</v>
      </c>
      <c r="G205" s="75">
        <f>IFERROR(SUMIF('_Month Engine'!$C$5:$DR$5,G$4,INDEX('_Month Engine'!$C:$DR,MATCH("Renting All-In Basis",'_Month Engine'!$A:$A,0)+MATCH($A205,'_Month Engine'!$B$110:$B$119,0),0))*Input!$C$19/'_IRR Engine'!$Q$7,0)</f>
        <v>0</v>
      </c>
      <c r="H205" s="75">
        <f>IFERROR(SUMIF('_Month Engine'!$C$5:$DR$5,H$4,INDEX('_Month Engine'!$C:$DR,MATCH("Renting All-In Basis",'_Month Engine'!$A:$A,0)+MATCH($A205,'_Month Engine'!$B$110:$B$119,0),0))*Input!$C$19/'_IRR Engine'!$Q$7,0)</f>
        <v>0</v>
      </c>
      <c r="I205" s="75">
        <f>IFERROR(SUMIF('_Month Engine'!$C$5:$DR$5,I$4,INDEX('_Month Engine'!$C:$DR,MATCH("Renting All-In Basis",'_Month Engine'!$A:$A,0)+MATCH($A205,'_Month Engine'!$B$110:$B$119,0),0))*Input!$C$19/'_IRR Engine'!$Q$7,0)</f>
        <v>0</v>
      </c>
      <c r="J205" s="75">
        <f>IFERROR(SUMIF('_Month Engine'!$C$5:$DR$5,J$4,INDEX('_Month Engine'!$C:$DR,MATCH("Renting All-In Basis",'_Month Engine'!$A:$A,0)+MATCH($A205,'_Month Engine'!$B$110:$B$119,0),0))*Input!$C$19/'_IRR Engine'!$Q$7,0)</f>
        <v>0</v>
      </c>
      <c r="K205" s="75">
        <f>IFERROR(SUMIF('_Month Engine'!$C$5:$DR$5,K$4,INDEX('_Month Engine'!$C:$DR,MATCH("Renting All-In Basis",'_Month Engine'!$A:$A,0)+MATCH($A205,'_Month Engine'!$B$110:$B$119,0),0))*Input!$C$19/'_IRR Engine'!$Q$7,0)</f>
        <v>0</v>
      </c>
      <c r="L205" s="75">
        <f>IFERROR(SUMIF('_Month Engine'!$C$5:$DR$5,L$4,INDEX('_Month Engine'!$C:$DR,MATCH("Renting All-In Basis",'_Month Engine'!$A:$A,0)+MATCH($A205,'_Month Engine'!$B$110:$B$119,0),0))*Input!$C$19/'_IRR Engine'!$Q$7,0)</f>
        <v>0</v>
      </c>
    </row>
    <row r="206" spans="1:12" ht="18" customHeight="1" x14ac:dyDescent="0.3">
      <c r="A206" s="9">
        <v>13</v>
      </c>
      <c r="B206" s="66" t="s">
        <v>171</v>
      </c>
      <c r="C206" s="75">
        <f>C200*Input!$C$20</f>
        <v>0</v>
      </c>
      <c r="D206" s="75">
        <f>D200*Input!$C$20</f>
        <v>0</v>
      </c>
      <c r="E206" s="75">
        <f>E200*Input!$C$20</f>
        <v>0</v>
      </c>
      <c r="F206" s="75">
        <f>F200*Input!$C$20</f>
        <v>0</v>
      </c>
      <c r="G206" s="75">
        <f>G200*Input!$C$20</f>
        <v>0</v>
      </c>
      <c r="H206" s="75">
        <f>H200*Input!$C$20</f>
        <v>0</v>
      </c>
      <c r="I206" s="75">
        <f>I200*Input!$C$20</f>
        <v>0</v>
      </c>
      <c r="J206" s="75">
        <f>J200*Input!$C$20</f>
        <v>0</v>
      </c>
      <c r="K206" s="75">
        <f>K200*Input!$C$20</f>
        <v>0</v>
      </c>
      <c r="L206" s="75">
        <f>L200*Input!$C$20</f>
        <v>0</v>
      </c>
    </row>
    <row r="207" spans="1:12" x14ac:dyDescent="0.3">
      <c r="A207" s="9">
        <v>13</v>
      </c>
      <c r="B207" s="66" t="s">
        <v>1180</v>
      </c>
      <c r="C207" s="75" cm="1">
        <f t="array" ref="C207">C200*IFERROR(INDEX(Input!$U$80:$U$89,$A207),0)</f>
        <v>0</v>
      </c>
      <c r="D207" s="75" cm="1">
        <f t="array" ref="D207">D200*IFERROR(INDEX(Input!$U$80:$U$89,$A207),0)</f>
        <v>0</v>
      </c>
      <c r="E207" s="75" cm="1">
        <f t="array" ref="E207">E200*IFERROR(INDEX(Input!$U$80:$U$89,$A207),0)</f>
        <v>0</v>
      </c>
      <c r="F207" s="75" cm="1">
        <f t="array" ref="F207">F200*IFERROR(INDEX(Input!$U$80:$U$89,$A207),0)</f>
        <v>0</v>
      </c>
      <c r="G207" s="75" cm="1">
        <f t="array" ref="G207">G200*IFERROR(INDEX(Input!$U$80:$U$89,$A207),0)</f>
        <v>0</v>
      </c>
      <c r="H207" s="75" cm="1">
        <f t="array" ref="H207">H200*IFERROR(INDEX(Input!$U$80:$U$89,$A207),0)</f>
        <v>0</v>
      </c>
      <c r="I207" s="75" cm="1">
        <f t="array" ref="I207">I200*IFERROR(INDEX(Input!$U$80:$U$89,$A207),0)</f>
        <v>0</v>
      </c>
      <c r="J207" s="75" cm="1">
        <f t="array" ref="J207">J200*IFERROR(INDEX(Input!$U$80:$U$89,$A207),0)</f>
        <v>0</v>
      </c>
      <c r="K207" s="75" cm="1">
        <f t="array" ref="K207">K200*IFERROR(INDEX(Input!$U$80:$U$89,$A207),0)</f>
        <v>0</v>
      </c>
      <c r="L207" s="75" cm="1">
        <f t="array" ref="L207">L200*IFERROR(INDEX(Input!$U$80:$U$89,$A207),0)</f>
        <v>0</v>
      </c>
    </row>
    <row r="208" spans="1:12" ht="18" customHeight="1" x14ac:dyDescent="0.3">
      <c r="A208" s="9">
        <v>13</v>
      </c>
      <c r="B208" s="66" t="str">
        <f>"ServCo property management ("&amp;TEXT(Input!$C$31,"0%")&amp;")"</f>
        <v>ServCo property management (20%)</v>
      </c>
      <c r="C208" s="75">
        <f>C200*Input!$C$31</f>
        <v>0</v>
      </c>
      <c r="D208" s="75">
        <f>D200*Input!$C$31</f>
        <v>0</v>
      </c>
      <c r="E208" s="75">
        <f>E200*Input!$C$31</f>
        <v>0</v>
      </c>
      <c r="F208" s="75">
        <f>F200*Input!$C$31</f>
        <v>0</v>
      </c>
      <c r="G208" s="75">
        <f>G200*Input!$C$31</f>
        <v>0</v>
      </c>
      <c r="H208" s="75">
        <f>H200*Input!$C$31</f>
        <v>0</v>
      </c>
      <c r="I208" s="75">
        <f>I200*Input!$C$31</f>
        <v>0</v>
      </c>
      <c r="J208" s="75">
        <f>J200*Input!$C$31</f>
        <v>0</v>
      </c>
      <c r="K208" s="75">
        <f>K200*Input!$C$31</f>
        <v>0</v>
      </c>
      <c r="L208" s="75">
        <f>L200*Input!$C$31</f>
        <v>0</v>
      </c>
    </row>
    <row r="209" spans="1:12" ht="18" customHeight="1" x14ac:dyDescent="0.3">
      <c r="A209" s="9">
        <v>13</v>
      </c>
      <c r="B209" s="66" t="s">
        <v>980</v>
      </c>
      <c r="C209" s="75">
        <f>IFERROR(SUMIF('_Month Engine'!$C$5:$DR$5,C$4,INDEX('_Month Engine'!$C:$DR,MATCH("Renting Flag (1 = renting in month)",'_Month Engine'!$A:$A,0)+MATCH($A209,'_Month Engine'!$B$98:$B$107,0),0))*Input!$C$32,0)</f>
        <v>0</v>
      </c>
      <c r="D209" s="75">
        <f>IFERROR(SUMIF('_Month Engine'!$C$5:$DR$5,D$4,INDEX('_Month Engine'!$C:$DR,MATCH("Renting Flag (1 = renting in month)",'_Month Engine'!$A:$A,0)+MATCH($A209,'_Month Engine'!$B$98:$B$107,0),0))*Input!$C$32,0)</f>
        <v>0</v>
      </c>
      <c r="E209" s="75">
        <f>IFERROR(SUMIF('_Month Engine'!$C$5:$DR$5,E$4,INDEX('_Month Engine'!$C:$DR,MATCH("Renting Flag (1 = renting in month)",'_Month Engine'!$A:$A,0)+MATCH($A209,'_Month Engine'!$B$98:$B$107,0),0))*Input!$C$32,0)</f>
        <v>0</v>
      </c>
      <c r="F209" s="75">
        <f>IFERROR(SUMIF('_Month Engine'!$C$5:$DR$5,F$4,INDEX('_Month Engine'!$C:$DR,MATCH("Renting Flag (1 = renting in month)",'_Month Engine'!$A:$A,0)+MATCH($A209,'_Month Engine'!$B$98:$B$107,0),0))*Input!$C$32,0)</f>
        <v>0</v>
      </c>
      <c r="G209" s="75">
        <f>IFERROR(SUMIF('_Month Engine'!$C$5:$DR$5,G$4,INDEX('_Month Engine'!$C:$DR,MATCH("Renting Flag (1 = renting in month)",'_Month Engine'!$A:$A,0)+MATCH($A209,'_Month Engine'!$B$98:$B$107,0),0))*Input!$C$32,0)</f>
        <v>0</v>
      </c>
      <c r="H209" s="75">
        <f>IFERROR(SUMIF('_Month Engine'!$C$5:$DR$5,H$4,INDEX('_Month Engine'!$C:$DR,MATCH("Renting Flag (1 = renting in month)",'_Month Engine'!$A:$A,0)+MATCH($A209,'_Month Engine'!$B$98:$B$107,0),0))*Input!$C$32,0)</f>
        <v>0</v>
      </c>
      <c r="I209" s="75">
        <f>IFERROR(SUMIF('_Month Engine'!$C$5:$DR$5,I$4,INDEX('_Month Engine'!$C:$DR,MATCH("Renting Flag (1 = renting in month)",'_Month Engine'!$A:$A,0)+MATCH($A209,'_Month Engine'!$B$98:$B$107,0),0))*Input!$C$32,0)</f>
        <v>0</v>
      </c>
      <c r="J209" s="75">
        <f>IFERROR(SUMIF('_Month Engine'!$C$5:$DR$5,J$4,INDEX('_Month Engine'!$C:$DR,MATCH("Renting Flag (1 = renting in month)",'_Month Engine'!$A:$A,0)+MATCH($A209,'_Month Engine'!$B$98:$B$107,0),0))*Input!$C$32,0)</f>
        <v>0</v>
      </c>
      <c r="K209" s="75">
        <f>IFERROR(SUMIF('_Month Engine'!$C$5:$DR$5,K$4,INDEX('_Month Engine'!$C:$DR,MATCH("Renting Flag (1 = renting in month)",'_Month Engine'!$A:$A,0)+MATCH($A209,'_Month Engine'!$B$98:$B$107,0),0))*Input!$C$32,0)</f>
        <v>0</v>
      </c>
      <c r="L209" s="75">
        <f>IFERROR(SUMIF('_Month Engine'!$C$5:$DR$5,L$4,INDEX('_Month Engine'!$C:$DR,MATCH("Renting Flag (1 = renting in month)",'_Month Engine'!$A:$A,0)+MATCH($A209,'_Month Engine'!$B$98:$B$107,0),0))*Input!$C$32,0)</f>
        <v>0</v>
      </c>
    </row>
    <row r="210" spans="1:12" ht="18" customHeight="1" x14ac:dyDescent="0.3">
      <c r="A210" s="9">
        <v>13</v>
      </c>
      <c r="B210" s="11" t="s">
        <v>76</v>
      </c>
      <c r="C210" s="68">
        <f t="shared" ref="C210:L210" si="25">SUM(C201:C209)</f>
        <v>0</v>
      </c>
      <c r="D210" s="68">
        <f t="shared" si="25"/>
        <v>0</v>
      </c>
      <c r="E210" s="68">
        <f t="shared" si="25"/>
        <v>0</v>
      </c>
      <c r="F210" s="68">
        <f t="shared" si="25"/>
        <v>0</v>
      </c>
      <c r="G210" s="68">
        <f t="shared" si="25"/>
        <v>0</v>
      </c>
      <c r="H210" s="68">
        <f t="shared" si="25"/>
        <v>0</v>
      </c>
      <c r="I210" s="68">
        <f t="shared" si="25"/>
        <v>0</v>
      </c>
      <c r="J210" s="68">
        <f t="shared" si="25"/>
        <v>0</v>
      </c>
      <c r="K210" s="68">
        <f t="shared" si="25"/>
        <v>0</v>
      </c>
      <c r="L210" s="68">
        <f t="shared" si="25"/>
        <v>0</v>
      </c>
    </row>
    <row r="211" spans="1:12" ht="18" customHeight="1" x14ac:dyDescent="0.3">
      <c r="A211" s="9">
        <v>13</v>
      </c>
      <c r="B211" s="11" t="s">
        <v>172</v>
      </c>
      <c r="C211" s="68">
        <f t="shared" ref="C211:L211" si="26">C200-C210</f>
        <v>0</v>
      </c>
      <c r="D211" s="68">
        <f t="shared" si="26"/>
        <v>0</v>
      </c>
      <c r="E211" s="68">
        <f t="shared" si="26"/>
        <v>0</v>
      </c>
      <c r="F211" s="68">
        <f t="shared" si="26"/>
        <v>0</v>
      </c>
      <c r="G211" s="68">
        <f t="shared" si="26"/>
        <v>0</v>
      </c>
      <c r="H211" s="68">
        <f t="shared" si="26"/>
        <v>0</v>
      </c>
      <c r="I211" s="68">
        <f t="shared" si="26"/>
        <v>0</v>
      </c>
      <c r="J211" s="68">
        <f t="shared" si="26"/>
        <v>0</v>
      </c>
      <c r="K211" s="68">
        <f t="shared" si="26"/>
        <v>0</v>
      </c>
      <c r="L211" s="68">
        <f t="shared" si="26"/>
        <v>0</v>
      </c>
    </row>
    <row r="212" spans="1:12" ht="18" customHeight="1" x14ac:dyDescent="0.3">
      <c r="A212" s="9">
        <v>13</v>
      </c>
      <c r="B212" s="22" t="s">
        <v>173</v>
      </c>
      <c r="C212" s="77">
        <f>IFERROR(SUMIF('_Month Engine'!$C$5:$DR$5,C$4,INDEX('_Month Engine'!$C:$DR,MATCH("Acquisition Outflow (Purchase + Closing)",'_Month Engine'!$A:$A,0)+MATCH($A212,'_Month Engine'!$B$8:$B$17,0),0))+SUMIF('_Month Engine'!$C$5:$DR$5,C$4,INDEX('_Month Engine'!$C:$DR,MATCH("Acquisition Outflow (Purchase + Closing)",'_Month Engine'!$A:$A,0)+MATCH($A212,'_Month Engine'!$B$21:$B$30,0),0)),0)</f>
        <v>0</v>
      </c>
      <c r="D212" s="77">
        <f>IFERROR(SUMIF('_Month Engine'!$C$5:$DR$5,D$4,INDEX('_Month Engine'!$C:$DR,MATCH("Acquisition Outflow (Purchase + Closing)",'_Month Engine'!$A:$A,0)+MATCH($A212,'_Month Engine'!$B$8:$B$17,0),0))+SUMIF('_Month Engine'!$C$5:$DR$5,D$4,INDEX('_Month Engine'!$C:$DR,MATCH("Acquisition Outflow (Purchase + Closing)",'_Month Engine'!$A:$A,0)+MATCH($A212,'_Month Engine'!$B$21:$B$30,0),0)),0)</f>
        <v>0</v>
      </c>
      <c r="E212" s="77">
        <f>IFERROR(SUMIF('_Month Engine'!$C$5:$DR$5,E$4,INDEX('_Month Engine'!$C:$DR,MATCH("Acquisition Outflow (Purchase + Closing)",'_Month Engine'!$A:$A,0)+MATCH($A212,'_Month Engine'!$B$8:$B$17,0),0))+SUMIF('_Month Engine'!$C$5:$DR$5,E$4,INDEX('_Month Engine'!$C:$DR,MATCH("Acquisition Outflow (Purchase + Closing)",'_Month Engine'!$A:$A,0)+MATCH($A212,'_Month Engine'!$B$21:$B$30,0),0)),0)</f>
        <v>0</v>
      </c>
      <c r="F212" s="77">
        <f>IFERROR(SUMIF('_Month Engine'!$C$5:$DR$5,F$4,INDEX('_Month Engine'!$C:$DR,MATCH("Acquisition Outflow (Purchase + Closing)",'_Month Engine'!$A:$A,0)+MATCH($A212,'_Month Engine'!$B$8:$B$17,0),0))+SUMIF('_Month Engine'!$C$5:$DR$5,F$4,INDEX('_Month Engine'!$C:$DR,MATCH("Acquisition Outflow (Purchase + Closing)",'_Month Engine'!$A:$A,0)+MATCH($A212,'_Month Engine'!$B$21:$B$30,0),0)),0)</f>
        <v>0</v>
      </c>
      <c r="G212" s="77">
        <f>IFERROR(SUMIF('_Month Engine'!$C$5:$DR$5,G$4,INDEX('_Month Engine'!$C:$DR,MATCH("Acquisition Outflow (Purchase + Closing)",'_Month Engine'!$A:$A,0)+MATCH($A212,'_Month Engine'!$B$8:$B$17,0),0))+SUMIF('_Month Engine'!$C$5:$DR$5,G$4,INDEX('_Month Engine'!$C:$DR,MATCH("Acquisition Outflow (Purchase + Closing)",'_Month Engine'!$A:$A,0)+MATCH($A212,'_Month Engine'!$B$21:$B$30,0),0)),0)</f>
        <v>0</v>
      </c>
      <c r="H212" s="77">
        <f>IFERROR(SUMIF('_Month Engine'!$C$5:$DR$5,H$4,INDEX('_Month Engine'!$C:$DR,MATCH("Acquisition Outflow (Purchase + Closing)",'_Month Engine'!$A:$A,0)+MATCH($A212,'_Month Engine'!$B$8:$B$17,0),0))+SUMIF('_Month Engine'!$C$5:$DR$5,H$4,INDEX('_Month Engine'!$C:$DR,MATCH("Acquisition Outflow (Purchase + Closing)",'_Month Engine'!$A:$A,0)+MATCH($A212,'_Month Engine'!$B$21:$B$30,0),0)),0)</f>
        <v>0</v>
      </c>
      <c r="I212" s="77">
        <f>IFERROR(SUMIF('_Month Engine'!$C$5:$DR$5,I$4,INDEX('_Month Engine'!$C:$DR,MATCH("Acquisition Outflow (Purchase + Closing)",'_Month Engine'!$A:$A,0)+MATCH($A212,'_Month Engine'!$B$8:$B$17,0),0))+SUMIF('_Month Engine'!$C$5:$DR$5,I$4,INDEX('_Month Engine'!$C:$DR,MATCH("Acquisition Outflow (Purchase + Closing)",'_Month Engine'!$A:$A,0)+MATCH($A212,'_Month Engine'!$B$21:$B$30,0),0)),0)</f>
        <v>0</v>
      </c>
      <c r="J212" s="77">
        <f>IFERROR(SUMIF('_Month Engine'!$C$5:$DR$5,J$4,INDEX('_Month Engine'!$C:$DR,MATCH("Acquisition Outflow (Purchase + Closing)",'_Month Engine'!$A:$A,0)+MATCH($A212,'_Month Engine'!$B$8:$B$17,0),0))+SUMIF('_Month Engine'!$C$5:$DR$5,J$4,INDEX('_Month Engine'!$C:$DR,MATCH("Acquisition Outflow (Purchase + Closing)",'_Month Engine'!$A:$A,0)+MATCH($A212,'_Month Engine'!$B$21:$B$30,0),0)),0)</f>
        <v>0</v>
      </c>
      <c r="K212" s="77">
        <f>IFERROR(SUMIF('_Month Engine'!$C$5:$DR$5,K$4,INDEX('_Month Engine'!$C:$DR,MATCH("Acquisition Outflow (Purchase + Closing)",'_Month Engine'!$A:$A,0)+MATCH($A212,'_Month Engine'!$B$8:$B$17,0),0))+SUMIF('_Month Engine'!$C$5:$DR$5,K$4,INDEX('_Month Engine'!$C:$DR,MATCH("Acquisition Outflow (Purchase + Closing)",'_Month Engine'!$A:$A,0)+MATCH($A212,'_Month Engine'!$B$21:$B$30,0),0)),0)</f>
        <v>0</v>
      </c>
      <c r="L212" s="77">
        <f>IFERROR(SUMIF('_Month Engine'!$C$5:$DR$5,L$4,INDEX('_Month Engine'!$C:$DR,MATCH("Acquisition Outflow (Purchase + Closing)",'_Month Engine'!$A:$A,0)+MATCH($A212,'_Month Engine'!$B$8:$B$17,0),0))+SUMIF('_Month Engine'!$C$5:$DR$5,L$4,INDEX('_Month Engine'!$C:$DR,MATCH("Acquisition Outflow (Purchase + Closing)",'_Month Engine'!$A:$A,0)+MATCH($A212,'_Month Engine'!$B$21:$B$30,0),0)),0)</f>
        <v>0</v>
      </c>
    </row>
    <row r="213" spans="1:12" ht="34.049999999999997" customHeight="1" x14ac:dyDescent="0.3">
      <c r="A213" s="9">
        <v>13</v>
      </c>
      <c r="B213" s="517" t="s">
        <v>1181</v>
      </c>
      <c r="C213" s="77" cm="1">
        <f t="array" ref="C213">IFERROR(SUMIF('_Month Engine'!$C$5:$DR$5,C$4,INDEX('_Month Engine'!$C:$DR,MATCH("Gross Sale Value",'_Month Engine'!$A:$A,0)+MATCH($A213,'_Month Engine'!$B$61:$B$70,0),0))*(1-Input!$C$15)-IF(SUMIF('_Month Engine'!$C$5:$DR$5,C$4,INDEX('_Month Engine'!$C:$DR,MATCH("Gross Sale Value",'_Month Engine'!$A:$A,0)+MATCH($A213,'_Month Engine'!$B$61:$B$70,0),0))&gt;0,INDEX(Properties!$AD:$AD,$A213+5),0),0)</f>
        <v>0</v>
      </c>
      <c r="D213" s="77" cm="1">
        <f t="array" ref="D213">IFERROR(SUMIF('_Month Engine'!$C$5:$DR$5,D$4,INDEX('_Month Engine'!$C:$DR,MATCH("Gross Sale Value",'_Month Engine'!$A:$A,0)+MATCH($A213,'_Month Engine'!$B$61:$B$70,0),0))*(1-Input!$C$15)-IF(SUMIF('_Month Engine'!$C$5:$DR$5,D$4,INDEX('_Month Engine'!$C:$DR,MATCH("Gross Sale Value",'_Month Engine'!$A:$A,0)+MATCH($A213,'_Month Engine'!$B$61:$B$70,0),0))&gt;0,INDEX(Properties!$AD:$AD,$A213+5),0),0)</f>
        <v>0</v>
      </c>
      <c r="E213" s="77" cm="1">
        <f t="array" ref="E213">IFERROR(SUMIF('_Month Engine'!$C$5:$DR$5,E$4,INDEX('_Month Engine'!$C:$DR,MATCH("Gross Sale Value",'_Month Engine'!$A:$A,0)+MATCH($A213,'_Month Engine'!$B$61:$B$70,0),0))*(1-Input!$C$15)-IF(SUMIF('_Month Engine'!$C$5:$DR$5,E$4,INDEX('_Month Engine'!$C:$DR,MATCH("Gross Sale Value",'_Month Engine'!$A:$A,0)+MATCH($A213,'_Month Engine'!$B$61:$B$70,0),0))&gt;0,INDEX(Properties!$AD:$AD,$A213+5),0),0)</f>
        <v>0</v>
      </c>
      <c r="F213" s="77" cm="1">
        <f t="array" ref="F213">IFERROR(SUMIF('_Month Engine'!$C$5:$DR$5,F$4,INDEX('_Month Engine'!$C:$DR,MATCH("Gross Sale Value",'_Month Engine'!$A:$A,0)+MATCH($A213,'_Month Engine'!$B$61:$B$70,0),0))*(1-Input!$C$15)-IF(SUMIF('_Month Engine'!$C$5:$DR$5,F$4,INDEX('_Month Engine'!$C:$DR,MATCH("Gross Sale Value",'_Month Engine'!$A:$A,0)+MATCH($A213,'_Month Engine'!$B$61:$B$70,0),0))&gt;0,INDEX(Properties!$AD:$AD,$A213+5),0),0)</f>
        <v>0</v>
      </c>
      <c r="G213" s="77" cm="1">
        <f t="array" ref="G213">IFERROR(SUMIF('_Month Engine'!$C$5:$DR$5,G$4,INDEX('_Month Engine'!$C:$DR,MATCH("Gross Sale Value",'_Month Engine'!$A:$A,0)+MATCH($A213,'_Month Engine'!$B$61:$B$70,0),0))*(1-Input!$C$15)-IF(SUMIF('_Month Engine'!$C$5:$DR$5,G$4,INDEX('_Month Engine'!$C:$DR,MATCH("Gross Sale Value",'_Month Engine'!$A:$A,0)+MATCH($A213,'_Month Engine'!$B$61:$B$70,0),0))&gt;0,INDEX(Properties!$AD:$AD,$A213+5),0),0)</f>
        <v>0</v>
      </c>
      <c r="H213" s="77" cm="1">
        <f t="array" ref="H213">IFERROR(SUMIF('_Month Engine'!$C$5:$DR$5,H$4,INDEX('_Month Engine'!$C:$DR,MATCH("Gross Sale Value",'_Month Engine'!$A:$A,0)+MATCH($A213,'_Month Engine'!$B$61:$B$70,0),0))*(1-Input!$C$15)-IF(SUMIF('_Month Engine'!$C$5:$DR$5,H$4,INDEX('_Month Engine'!$C:$DR,MATCH("Gross Sale Value",'_Month Engine'!$A:$A,0)+MATCH($A213,'_Month Engine'!$B$61:$B$70,0),0))&gt;0,INDEX(Properties!$AD:$AD,$A213+5),0),0)</f>
        <v>0</v>
      </c>
      <c r="I213" s="77" cm="1">
        <f t="array" ref="I213">IFERROR(SUMIF('_Month Engine'!$C$5:$DR$5,I$4,INDEX('_Month Engine'!$C:$DR,MATCH("Gross Sale Value",'_Month Engine'!$A:$A,0)+MATCH($A213,'_Month Engine'!$B$61:$B$70,0),0))*(1-Input!$C$15)-IF(SUMIF('_Month Engine'!$C$5:$DR$5,I$4,INDEX('_Month Engine'!$C:$DR,MATCH("Gross Sale Value",'_Month Engine'!$A:$A,0)+MATCH($A213,'_Month Engine'!$B$61:$B$70,0),0))&gt;0,INDEX(Properties!$AD:$AD,$A213+5),0),0)</f>
        <v>0</v>
      </c>
      <c r="J213" s="77" cm="1">
        <f t="array" ref="J213">IFERROR(SUMIF('_Month Engine'!$C$5:$DR$5,J$4,INDEX('_Month Engine'!$C:$DR,MATCH("Gross Sale Value",'_Month Engine'!$A:$A,0)+MATCH($A213,'_Month Engine'!$B$61:$B$70,0),0))*(1-Input!$C$15)-IF(SUMIF('_Month Engine'!$C$5:$DR$5,J$4,INDEX('_Month Engine'!$C:$DR,MATCH("Gross Sale Value",'_Month Engine'!$A:$A,0)+MATCH($A213,'_Month Engine'!$B$61:$B$70,0),0))&gt;0,INDEX(Properties!$AD:$AD,$A213+5),0),0)</f>
        <v>0</v>
      </c>
      <c r="K213" s="77" cm="1">
        <f t="array" ref="K213">IFERROR(SUMIF('_Month Engine'!$C$5:$DR$5,K$4,INDEX('_Month Engine'!$C:$DR,MATCH("Gross Sale Value",'_Month Engine'!$A:$A,0)+MATCH($A213,'_Month Engine'!$B$61:$B$70,0),0))*(1-Input!$C$15)-IF(SUMIF('_Month Engine'!$C$5:$DR$5,K$4,INDEX('_Month Engine'!$C:$DR,MATCH("Gross Sale Value",'_Month Engine'!$A:$A,0)+MATCH($A213,'_Month Engine'!$B$61:$B$70,0),0))&gt;0,INDEX(Properties!$AD:$AD,$A213+5),0),0)</f>
        <v>0</v>
      </c>
      <c r="L213" s="77" cm="1">
        <f t="array" ref="L213">IFERROR(SUMIF('_Month Engine'!$C$5:$DR$5,L$4,INDEX('_Month Engine'!$C:$DR,MATCH("Gross Sale Value",'_Month Engine'!$A:$A,0)+MATCH($A213,'_Month Engine'!$B$61:$B$70,0),0))*(1-Input!$C$15)-IF(SUMIF('_Month Engine'!$C$5:$DR$5,L$4,INDEX('_Month Engine'!$C:$DR,MATCH("Gross Sale Value",'_Month Engine'!$A:$A,0)+MATCH($A213,'_Month Engine'!$B$61:$B$70,0),0))&gt;0,INDEX(Properties!$AD:$AD,$A213+5),0),0)</f>
        <v>0</v>
      </c>
    </row>
    <row r="214" spans="1:12" ht="18" customHeight="1" x14ac:dyDescent="0.3">
      <c r="A214" s="9"/>
      <c r="B214" s="9"/>
      <c r="C214" s="66"/>
      <c r="D214" s="66"/>
      <c r="E214" s="66"/>
      <c r="F214" s="66"/>
      <c r="G214" s="66"/>
      <c r="H214" s="66"/>
      <c r="I214" s="66"/>
      <c r="J214" s="66"/>
      <c r="K214" s="66"/>
      <c r="L214" s="66"/>
    </row>
    <row r="215" spans="1:12" ht="18" customHeight="1" x14ac:dyDescent="0.3">
      <c r="A215" s="40">
        <v>14</v>
      </c>
      <c r="B215" s="40" t="str" cm="1">
        <f t="array" ref="B215">INDEX(Properties!$E:$E,$A215+5)&amp;"   ·   "&amp;INDEX(Properties!$F:$F,$A215+5)&amp;"   ·   "&amp;INDEX(Properties!$H:$H,$A215+5)</f>
        <v>Casa/Lote Represa El Retiro   ·   El Retiro, Antioquia   ·   Backup — insufficient data for underwriting (no size, price, or terms in source)</v>
      </c>
      <c r="C215" s="67"/>
      <c r="D215" s="67"/>
      <c r="E215" s="67"/>
      <c r="F215" s="67"/>
      <c r="G215" s="67"/>
      <c r="H215" s="67"/>
      <c r="I215" s="67"/>
      <c r="J215" s="67"/>
      <c r="K215" s="67"/>
      <c r="L215" s="67"/>
    </row>
    <row r="216" spans="1:12" ht="18" customHeight="1" x14ac:dyDescent="0.3">
      <c r="A216" s="9">
        <v>14</v>
      </c>
      <c r="B216" s="66" t="s">
        <v>167</v>
      </c>
      <c r="C216" s="75">
        <f>IFERROR(SUMIF('_Month Engine'!$C$5:$DR$5,C$4,INDEX('_Month Engine'!$C:$DR,MATCH("Gross STR Revenue",'_Month Engine'!$A:$A,0)+MATCH($A216,'_Month Engine'!$B$34:$B$43,0),0)),0)</f>
        <v>0</v>
      </c>
      <c r="D216" s="75">
        <f>IFERROR(SUMIF('_Month Engine'!$C$5:$DR$5,D$4,INDEX('_Month Engine'!$C:$DR,MATCH("Gross STR Revenue",'_Month Engine'!$A:$A,0)+MATCH($A216,'_Month Engine'!$B$34:$B$43,0),0)),0)</f>
        <v>0</v>
      </c>
      <c r="E216" s="75">
        <f>IFERROR(SUMIF('_Month Engine'!$C$5:$DR$5,E$4,INDEX('_Month Engine'!$C:$DR,MATCH("Gross STR Revenue",'_Month Engine'!$A:$A,0)+MATCH($A216,'_Month Engine'!$B$34:$B$43,0),0)),0)</f>
        <v>0</v>
      </c>
      <c r="F216" s="75">
        <f>IFERROR(SUMIF('_Month Engine'!$C$5:$DR$5,F$4,INDEX('_Month Engine'!$C:$DR,MATCH("Gross STR Revenue",'_Month Engine'!$A:$A,0)+MATCH($A216,'_Month Engine'!$B$34:$B$43,0),0)),0)</f>
        <v>0</v>
      </c>
      <c r="G216" s="75">
        <f>IFERROR(SUMIF('_Month Engine'!$C$5:$DR$5,G$4,INDEX('_Month Engine'!$C:$DR,MATCH("Gross STR Revenue",'_Month Engine'!$A:$A,0)+MATCH($A216,'_Month Engine'!$B$34:$B$43,0),0)),0)</f>
        <v>0</v>
      </c>
      <c r="H216" s="75">
        <f>IFERROR(SUMIF('_Month Engine'!$C$5:$DR$5,H$4,INDEX('_Month Engine'!$C:$DR,MATCH("Gross STR Revenue",'_Month Engine'!$A:$A,0)+MATCH($A216,'_Month Engine'!$B$34:$B$43,0),0)),0)</f>
        <v>0</v>
      </c>
      <c r="I216" s="75">
        <f>IFERROR(SUMIF('_Month Engine'!$C$5:$DR$5,I$4,INDEX('_Month Engine'!$C:$DR,MATCH("Gross STR Revenue",'_Month Engine'!$A:$A,0)+MATCH($A216,'_Month Engine'!$B$34:$B$43,0),0)),0)</f>
        <v>0</v>
      </c>
      <c r="J216" s="75">
        <f>IFERROR(SUMIF('_Month Engine'!$C$5:$DR$5,J$4,INDEX('_Month Engine'!$C:$DR,MATCH("Gross STR Revenue",'_Month Engine'!$A:$A,0)+MATCH($A216,'_Month Engine'!$B$34:$B$43,0),0)),0)</f>
        <v>0</v>
      </c>
      <c r="K216" s="75">
        <f>IFERROR(SUMIF('_Month Engine'!$C$5:$DR$5,K$4,INDEX('_Month Engine'!$C:$DR,MATCH("Gross STR Revenue",'_Month Engine'!$A:$A,0)+MATCH($A216,'_Month Engine'!$B$34:$B$43,0),0)),0)</f>
        <v>0</v>
      </c>
      <c r="L216" s="75">
        <f>IFERROR(SUMIF('_Month Engine'!$C$5:$DR$5,L$4,INDEX('_Month Engine'!$C:$DR,MATCH("Gross STR Revenue",'_Month Engine'!$A:$A,0)+MATCH($A216,'_Month Engine'!$B$34:$B$43,0),0)),0)</f>
        <v>0</v>
      </c>
    </row>
    <row r="217" spans="1:12" ht="18" customHeight="1" x14ac:dyDescent="0.3">
      <c r="A217" s="9">
        <v>14</v>
      </c>
      <c r="B217" s="66" t="s">
        <v>1179</v>
      </c>
      <c r="C217" s="75" cm="1">
        <f t="array" ref="C217">IFERROR(SUMIF('_Month Engine'!$C$5:$DR$5,C$4,INDEX('_Month Engine'!$C:$DR,MATCH("Owned All-In Basis",'_Month Engine'!$A:$A,0)+MATCH($A217,'_Month Engine'!$B$47:$B$56,0),0))*INDEX(Input!$C$80:$C$89,$A217)/'_IRR Engine'!$Q$7,0)</f>
        <v>0</v>
      </c>
      <c r="D217" s="75" cm="1">
        <f t="array" ref="D217">IFERROR(SUMIF('_Month Engine'!$C$5:$DR$5,D$4,INDEX('_Month Engine'!$C:$DR,MATCH("Owned All-In Basis",'_Month Engine'!$A:$A,0)+MATCH($A217,'_Month Engine'!$B$47:$B$56,0),0))*INDEX(Input!$C$80:$C$89,$A217)/'_IRR Engine'!$Q$7,0)</f>
        <v>0</v>
      </c>
      <c r="E217" s="75" cm="1">
        <f t="array" ref="E217">IFERROR(SUMIF('_Month Engine'!$C$5:$DR$5,E$4,INDEX('_Month Engine'!$C:$DR,MATCH("Owned All-In Basis",'_Month Engine'!$A:$A,0)+MATCH($A217,'_Month Engine'!$B$47:$B$56,0),0))*INDEX(Input!$C$80:$C$89,$A217)/'_IRR Engine'!$Q$7,0)</f>
        <v>0</v>
      </c>
      <c r="F217" s="75" cm="1">
        <f t="array" ref="F217">IFERROR(SUMIF('_Month Engine'!$C$5:$DR$5,F$4,INDEX('_Month Engine'!$C:$DR,MATCH("Owned All-In Basis",'_Month Engine'!$A:$A,0)+MATCH($A217,'_Month Engine'!$B$47:$B$56,0),0))*INDEX(Input!$C$80:$C$89,$A217)/'_IRR Engine'!$Q$7,0)</f>
        <v>0</v>
      </c>
      <c r="G217" s="75" cm="1">
        <f t="array" ref="G217">IFERROR(SUMIF('_Month Engine'!$C$5:$DR$5,G$4,INDEX('_Month Engine'!$C:$DR,MATCH("Owned All-In Basis",'_Month Engine'!$A:$A,0)+MATCH($A217,'_Month Engine'!$B$47:$B$56,0),0))*INDEX(Input!$C$80:$C$89,$A217)/'_IRR Engine'!$Q$7,0)</f>
        <v>0</v>
      </c>
      <c r="H217" s="75" cm="1">
        <f t="array" ref="H217">IFERROR(SUMIF('_Month Engine'!$C$5:$DR$5,H$4,INDEX('_Month Engine'!$C:$DR,MATCH("Owned All-In Basis",'_Month Engine'!$A:$A,0)+MATCH($A217,'_Month Engine'!$B$47:$B$56,0),0))*INDEX(Input!$C$80:$C$89,$A217)/'_IRR Engine'!$Q$7,0)</f>
        <v>0</v>
      </c>
      <c r="I217" s="75" cm="1">
        <f t="array" ref="I217">IFERROR(SUMIF('_Month Engine'!$C$5:$DR$5,I$4,INDEX('_Month Engine'!$C:$DR,MATCH("Owned All-In Basis",'_Month Engine'!$A:$A,0)+MATCH($A217,'_Month Engine'!$B$47:$B$56,0),0))*INDEX(Input!$C$80:$C$89,$A217)/'_IRR Engine'!$Q$7,0)</f>
        <v>0</v>
      </c>
      <c r="J217" s="75" cm="1">
        <f t="array" ref="J217">IFERROR(SUMIF('_Month Engine'!$C$5:$DR$5,J$4,INDEX('_Month Engine'!$C:$DR,MATCH("Owned All-In Basis",'_Month Engine'!$A:$A,0)+MATCH($A217,'_Month Engine'!$B$47:$B$56,0),0))*INDEX(Input!$C$80:$C$89,$A217)/'_IRR Engine'!$Q$7,0)</f>
        <v>0</v>
      </c>
      <c r="K217" s="75" cm="1">
        <f t="array" ref="K217">IFERROR(SUMIF('_Month Engine'!$C$5:$DR$5,K$4,INDEX('_Month Engine'!$C:$DR,MATCH("Owned All-In Basis",'_Month Engine'!$A:$A,0)+MATCH($A217,'_Month Engine'!$B$47:$B$56,0),0))*INDEX(Input!$C$80:$C$89,$A217)/'_IRR Engine'!$Q$7,0)</f>
        <v>0</v>
      </c>
      <c r="L217" s="75" cm="1">
        <f t="array" ref="L217">IFERROR(SUMIF('_Month Engine'!$C$5:$DR$5,L$4,INDEX('_Month Engine'!$C:$DR,MATCH("Owned All-In Basis",'_Month Engine'!$A:$A,0)+MATCH($A217,'_Month Engine'!$B$47:$B$56,0),0))*INDEX(Input!$C$80:$C$89,$A217)/'_IRR Engine'!$Q$7,0)</f>
        <v>0</v>
      </c>
    </row>
    <row r="218" spans="1:12" ht="18" customHeight="1" x14ac:dyDescent="0.3">
      <c r="A218" s="9">
        <v>14</v>
      </c>
      <c r="B218" s="66" t="s">
        <v>72</v>
      </c>
      <c r="C218" s="75">
        <f>IFERROR(SUMIF('_Month Engine'!$C$5:$DR$5,C$4,INDEX('_Month Engine'!$C:$DR,MATCH("Renting All-In Basis",'_Month Engine'!$A:$A,0)+MATCH($A218,'_Month Engine'!$B$110:$B$119,0),0))*Input!$C$18/'_IRR Engine'!$Q$7,0)</f>
        <v>0</v>
      </c>
      <c r="D218" s="75">
        <f>IFERROR(SUMIF('_Month Engine'!$C$5:$DR$5,D$4,INDEX('_Month Engine'!$C:$DR,MATCH("Renting All-In Basis",'_Month Engine'!$A:$A,0)+MATCH($A218,'_Month Engine'!$B$110:$B$119,0),0))*Input!$C$18/'_IRR Engine'!$Q$7,0)</f>
        <v>0</v>
      </c>
      <c r="E218" s="75">
        <f>IFERROR(SUMIF('_Month Engine'!$C$5:$DR$5,E$4,INDEX('_Month Engine'!$C:$DR,MATCH("Renting All-In Basis",'_Month Engine'!$A:$A,0)+MATCH($A218,'_Month Engine'!$B$110:$B$119,0),0))*Input!$C$18/'_IRR Engine'!$Q$7,0)</f>
        <v>0</v>
      </c>
      <c r="F218" s="75">
        <f>IFERROR(SUMIF('_Month Engine'!$C$5:$DR$5,F$4,INDEX('_Month Engine'!$C:$DR,MATCH("Renting All-In Basis",'_Month Engine'!$A:$A,0)+MATCH($A218,'_Month Engine'!$B$110:$B$119,0),0))*Input!$C$18/'_IRR Engine'!$Q$7,0)</f>
        <v>0</v>
      </c>
      <c r="G218" s="75">
        <f>IFERROR(SUMIF('_Month Engine'!$C$5:$DR$5,G$4,INDEX('_Month Engine'!$C:$DR,MATCH("Renting All-In Basis",'_Month Engine'!$A:$A,0)+MATCH($A218,'_Month Engine'!$B$110:$B$119,0),0))*Input!$C$18/'_IRR Engine'!$Q$7,0)</f>
        <v>0</v>
      </c>
      <c r="H218" s="75">
        <f>IFERROR(SUMIF('_Month Engine'!$C$5:$DR$5,H$4,INDEX('_Month Engine'!$C:$DR,MATCH("Renting All-In Basis",'_Month Engine'!$A:$A,0)+MATCH($A218,'_Month Engine'!$B$110:$B$119,0),0))*Input!$C$18/'_IRR Engine'!$Q$7,0)</f>
        <v>0</v>
      </c>
      <c r="I218" s="75">
        <f>IFERROR(SUMIF('_Month Engine'!$C$5:$DR$5,I$4,INDEX('_Month Engine'!$C:$DR,MATCH("Renting All-In Basis",'_Month Engine'!$A:$A,0)+MATCH($A218,'_Month Engine'!$B$110:$B$119,0),0))*Input!$C$18/'_IRR Engine'!$Q$7,0)</f>
        <v>0</v>
      </c>
      <c r="J218" s="75">
        <f>IFERROR(SUMIF('_Month Engine'!$C$5:$DR$5,J$4,INDEX('_Month Engine'!$C:$DR,MATCH("Renting All-In Basis",'_Month Engine'!$A:$A,0)+MATCH($A218,'_Month Engine'!$B$110:$B$119,0),0))*Input!$C$18/'_IRR Engine'!$Q$7,0)</f>
        <v>0</v>
      </c>
      <c r="K218" s="75">
        <f>IFERROR(SUMIF('_Month Engine'!$C$5:$DR$5,K$4,INDEX('_Month Engine'!$C:$DR,MATCH("Renting All-In Basis",'_Month Engine'!$A:$A,0)+MATCH($A218,'_Month Engine'!$B$110:$B$119,0),0))*Input!$C$18/'_IRR Engine'!$Q$7,0)</f>
        <v>0</v>
      </c>
      <c r="L218" s="75">
        <f>IFERROR(SUMIF('_Month Engine'!$C$5:$DR$5,L$4,INDEX('_Month Engine'!$C:$DR,MATCH("Renting All-In Basis",'_Month Engine'!$A:$A,0)+MATCH($A218,'_Month Engine'!$B$110:$B$119,0),0))*Input!$C$18/'_IRR Engine'!$Q$7,0)</f>
        <v>0</v>
      </c>
    </row>
    <row r="219" spans="1:12" ht="18" customHeight="1" x14ac:dyDescent="0.3">
      <c r="A219" s="9">
        <v>14</v>
      </c>
      <c r="B219" s="66" t="s">
        <v>168</v>
      </c>
      <c r="C219" s="75" cm="1">
        <f t="array" ref="C219">IFERROR(SUMIF('_Month Engine'!$C$5:$DR$5,C$4,INDEX('_Month Engine'!$C:$DR,MATCH("Owned Flag (1 = owned in month)",'_Month Engine'!$A:$A,0)+MATCH($A219,'_Month Engine'!$B$86:$B$95,0),0))*INDEX(Input!$D$80:$D$89,$A219)*1000000/Input!$C$5,0)</f>
        <v>0</v>
      </c>
      <c r="D219" s="75" cm="1">
        <f t="array" ref="D219">IFERROR(SUMIF('_Month Engine'!$C$5:$DR$5,D$4,INDEX('_Month Engine'!$C:$DR,MATCH("Owned Flag (1 = owned in month)",'_Month Engine'!$A:$A,0)+MATCH($A219,'_Month Engine'!$B$86:$B$95,0),0))*INDEX(Input!$D$80:$D$89,$A219)*1000000/Input!$C$5,0)</f>
        <v>0</v>
      </c>
      <c r="E219" s="75" cm="1">
        <f t="array" ref="E219">IFERROR(SUMIF('_Month Engine'!$C$5:$DR$5,E$4,INDEX('_Month Engine'!$C:$DR,MATCH("Owned Flag (1 = owned in month)",'_Month Engine'!$A:$A,0)+MATCH($A219,'_Month Engine'!$B$86:$B$95,0),0))*INDEX(Input!$D$80:$D$89,$A219)*1000000/Input!$C$5,0)</f>
        <v>0</v>
      </c>
      <c r="F219" s="75" cm="1">
        <f t="array" ref="F219">IFERROR(SUMIF('_Month Engine'!$C$5:$DR$5,F$4,INDEX('_Month Engine'!$C:$DR,MATCH("Owned Flag (1 = owned in month)",'_Month Engine'!$A:$A,0)+MATCH($A219,'_Month Engine'!$B$86:$B$95,0),0))*INDEX(Input!$D$80:$D$89,$A219)*1000000/Input!$C$5,0)</f>
        <v>0</v>
      </c>
      <c r="G219" s="75" cm="1">
        <f t="array" ref="G219">IFERROR(SUMIF('_Month Engine'!$C$5:$DR$5,G$4,INDEX('_Month Engine'!$C:$DR,MATCH("Owned Flag (1 = owned in month)",'_Month Engine'!$A:$A,0)+MATCH($A219,'_Month Engine'!$B$86:$B$95,0),0))*INDEX(Input!$D$80:$D$89,$A219)*1000000/Input!$C$5,0)</f>
        <v>0</v>
      </c>
      <c r="H219" s="75" cm="1">
        <f t="array" ref="H219">IFERROR(SUMIF('_Month Engine'!$C$5:$DR$5,H$4,INDEX('_Month Engine'!$C:$DR,MATCH("Owned Flag (1 = owned in month)",'_Month Engine'!$A:$A,0)+MATCH($A219,'_Month Engine'!$B$86:$B$95,0),0))*INDEX(Input!$D$80:$D$89,$A219)*1000000/Input!$C$5,0)</f>
        <v>0</v>
      </c>
      <c r="I219" s="75" cm="1">
        <f t="array" ref="I219">IFERROR(SUMIF('_Month Engine'!$C$5:$DR$5,I$4,INDEX('_Month Engine'!$C:$DR,MATCH("Owned Flag (1 = owned in month)",'_Month Engine'!$A:$A,0)+MATCH($A219,'_Month Engine'!$B$86:$B$95,0),0))*INDEX(Input!$D$80:$D$89,$A219)*1000000/Input!$C$5,0)</f>
        <v>0</v>
      </c>
      <c r="J219" s="75" cm="1">
        <f t="array" ref="J219">IFERROR(SUMIF('_Month Engine'!$C$5:$DR$5,J$4,INDEX('_Month Engine'!$C:$DR,MATCH("Owned Flag (1 = owned in month)",'_Month Engine'!$A:$A,0)+MATCH($A219,'_Month Engine'!$B$86:$B$95,0),0))*INDEX(Input!$D$80:$D$89,$A219)*1000000/Input!$C$5,0)</f>
        <v>0</v>
      </c>
      <c r="K219" s="75" cm="1">
        <f t="array" ref="K219">IFERROR(SUMIF('_Month Engine'!$C$5:$DR$5,K$4,INDEX('_Month Engine'!$C:$DR,MATCH("Owned Flag (1 = owned in month)",'_Month Engine'!$A:$A,0)+MATCH($A219,'_Month Engine'!$B$86:$B$95,0),0))*INDEX(Input!$D$80:$D$89,$A219)*1000000/Input!$C$5,0)</f>
        <v>0</v>
      </c>
      <c r="L219" s="75" cm="1">
        <f t="array" ref="L219">IFERROR(SUMIF('_Month Engine'!$C$5:$DR$5,L$4,INDEX('_Month Engine'!$C:$DR,MATCH("Owned Flag (1 = owned in month)",'_Month Engine'!$A:$A,0)+MATCH($A219,'_Month Engine'!$B$86:$B$95,0),0))*INDEX(Input!$D$80:$D$89,$A219)*1000000/Input!$C$5,0)</f>
        <v>0</v>
      </c>
    </row>
    <row r="220" spans="1:12" ht="18" customHeight="1" x14ac:dyDescent="0.3">
      <c r="A220" s="9">
        <v>14</v>
      </c>
      <c r="B220" s="66" t="s">
        <v>169</v>
      </c>
      <c r="C220" s="75" cm="1">
        <f t="array" ref="C220">IFERROR(SUMIF('_Month Engine'!$C$5:$DR$5,C$4,INDEX('_Month Engine'!$C:$DR,MATCH("Owned Flag (1 = owned in month)",'_Month Engine'!$A:$A,0)+MATCH($A220,'_Month Engine'!$B$86:$B$95,0),0))*INDEX(Input!$E$80:$E$89,$A220)*1000000/Input!$C$5,0)</f>
        <v>0</v>
      </c>
      <c r="D220" s="75" cm="1">
        <f t="array" ref="D220">IFERROR(SUMIF('_Month Engine'!$C$5:$DR$5,D$4,INDEX('_Month Engine'!$C:$DR,MATCH("Owned Flag (1 = owned in month)",'_Month Engine'!$A:$A,0)+MATCH($A220,'_Month Engine'!$B$86:$B$95,0),0))*INDEX(Input!$E$80:$E$89,$A220)*1000000/Input!$C$5,0)</f>
        <v>0</v>
      </c>
      <c r="E220" s="75" cm="1">
        <f t="array" ref="E220">IFERROR(SUMIF('_Month Engine'!$C$5:$DR$5,E$4,INDEX('_Month Engine'!$C:$DR,MATCH("Owned Flag (1 = owned in month)",'_Month Engine'!$A:$A,0)+MATCH($A220,'_Month Engine'!$B$86:$B$95,0),0))*INDEX(Input!$E$80:$E$89,$A220)*1000000/Input!$C$5,0)</f>
        <v>0</v>
      </c>
      <c r="F220" s="75" cm="1">
        <f t="array" ref="F220">IFERROR(SUMIF('_Month Engine'!$C$5:$DR$5,F$4,INDEX('_Month Engine'!$C:$DR,MATCH("Owned Flag (1 = owned in month)",'_Month Engine'!$A:$A,0)+MATCH($A220,'_Month Engine'!$B$86:$B$95,0),0))*INDEX(Input!$E$80:$E$89,$A220)*1000000/Input!$C$5,0)</f>
        <v>0</v>
      </c>
      <c r="G220" s="75" cm="1">
        <f t="array" ref="G220">IFERROR(SUMIF('_Month Engine'!$C$5:$DR$5,G$4,INDEX('_Month Engine'!$C:$DR,MATCH("Owned Flag (1 = owned in month)",'_Month Engine'!$A:$A,0)+MATCH($A220,'_Month Engine'!$B$86:$B$95,0),0))*INDEX(Input!$E$80:$E$89,$A220)*1000000/Input!$C$5,0)</f>
        <v>0</v>
      </c>
      <c r="H220" s="75" cm="1">
        <f t="array" ref="H220">IFERROR(SUMIF('_Month Engine'!$C$5:$DR$5,H$4,INDEX('_Month Engine'!$C:$DR,MATCH("Owned Flag (1 = owned in month)",'_Month Engine'!$A:$A,0)+MATCH($A220,'_Month Engine'!$B$86:$B$95,0),0))*INDEX(Input!$E$80:$E$89,$A220)*1000000/Input!$C$5,0)</f>
        <v>0</v>
      </c>
      <c r="I220" s="75" cm="1">
        <f t="array" ref="I220">IFERROR(SUMIF('_Month Engine'!$C$5:$DR$5,I$4,INDEX('_Month Engine'!$C:$DR,MATCH("Owned Flag (1 = owned in month)",'_Month Engine'!$A:$A,0)+MATCH($A220,'_Month Engine'!$B$86:$B$95,0),0))*INDEX(Input!$E$80:$E$89,$A220)*1000000/Input!$C$5,0)</f>
        <v>0</v>
      </c>
      <c r="J220" s="75" cm="1">
        <f t="array" ref="J220">IFERROR(SUMIF('_Month Engine'!$C$5:$DR$5,J$4,INDEX('_Month Engine'!$C:$DR,MATCH("Owned Flag (1 = owned in month)",'_Month Engine'!$A:$A,0)+MATCH($A220,'_Month Engine'!$B$86:$B$95,0),0))*INDEX(Input!$E$80:$E$89,$A220)*1000000/Input!$C$5,0)</f>
        <v>0</v>
      </c>
      <c r="K220" s="75" cm="1">
        <f t="array" ref="K220">IFERROR(SUMIF('_Month Engine'!$C$5:$DR$5,K$4,INDEX('_Month Engine'!$C:$DR,MATCH("Owned Flag (1 = owned in month)",'_Month Engine'!$A:$A,0)+MATCH($A220,'_Month Engine'!$B$86:$B$95,0),0))*INDEX(Input!$E$80:$E$89,$A220)*1000000/Input!$C$5,0)</f>
        <v>0</v>
      </c>
      <c r="L220" s="75" cm="1">
        <f t="array" ref="L220">IFERROR(SUMIF('_Month Engine'!$C$5:$DR$5,L$4,INDEX('_Month Engine'!$C:$DR,MATCH("Owned Flag (1 = owned in month)",'_Month Engine'!$A:$A,0)+MATCH($A220,'_Month Engine'!$B$86:$B$95,0),0))*INDEX(Input!$E$80:$E$89,$A220)*1000000/Input!$C$5,0)</f>
        <v>0</v>
      </c>
    </row>
    <row r="221" spans="1:12" ht="18" customHeight="1" x14ac:dyDescent="0.3">
      <c r="A221" s="9">
        <v>14</v>
      </c>
      <c r="B221" s="66" t="s">
        <v>170</v>
      </c>
      <c r="C221" s="75">
        <f>IFERROR(SUMIF('_Month Engine'!$C$5:$DR$5,C$4,INDEX('_Month Engine'!$C:$DR,MATCH("Renting All-In Basis",'_Month Engine'!$A:$A,0)+MATCH($A221,'_Month Engine'!$B$110:$B$119,0),0))*Input!$C$19/'_IRR Engine'!$Q$7,0)</f>
        <v>0</v>
      </c>
      <c r="D221" s="75">
        <f>IFERROR(SUMIF('_Month Engine'!$C$5:$DR$5,D$4,INDEX('_Month Engine'!$C:$DR,MATCH("Renting All-In Basis",'_Month Engine'!$A:$A,0)+MATCH($A221,'_Month Engine'!$B$110:$B$119,0),0))*Input!$C$19/'_IRR Engine'!$Q$7,0)</f>
        <v>0</v>
      </c>
      <c r="E221" s="75">
        <f>IFERROR(SUMIF('_Month Engine'!$C$5:$DR$5,E$4,INDEX('_Month Engine'!$C:$DR,MATCH("Renting All-In Basis",'_Month Engine'!$A:$A,0)+MATCH($A221,'_Month Engine'!$B$110:$B$119,0),0))*Input!$C$19/'_IRR Engine'!$Q$7,0)</f>
        <v>0</v>
      </c>
      <c r="F221" s="75">
        <f>IFERROR(SUMIF('_Month Engine'!$C$5:$DR$5,F$4,INDEX('_Month Engine'!$C:$DR,MATCH("Renting All-In Basis",'_Month Engine'!$A:$A,0)+MATCH($A221,'_Month Engine'!$B$110:$B$119,0),0))*Input!$C$19/'_IRR Engine'!$Q$7,0)</f>
        <v>0</v>
      </c>
      <c r="G221" s="75">
        <f>IFERROR(SUMIF('_Month Engine'!$C$5:$DR$5,G$4,INDEX('_Month Engine'!$C:$DR,MATCH("Renting All-In Basis",'_Month Engine'!$A:$A,0)+MATCH($A221,'_Month Engine'!$B$110:$B$119,0),0))*Input!$C$19/'_IRR Engine'!$Q$7,0)</f>
        <v>0</v>
      </c>
      <c r="H221" s="75">
        <f>IFERROR(SUMIF('_Month Engine'!$C$5:$DR$5,H$4,INDEX('_Month Engine'!$C:$DR,MATCH("Renting All-In Basis",'_Month Engine'!$A:$A,0)+MATCH($A221,'_Month Engine'!$B$110:$B$119,0),0))*Input!$C$19/'_IRR Engine'!$Q$7,0)</f>
        <v>0</v>
      </c>
      <c r="I221" s="75">
        <f>IFERROR(SUMIF('_Month Engine'!$C$5:$DR$5,I$4,INDEX('_Month Engine'!$C:$DR,MATCH("Renting All-In Basis",'_Month Engine'!$A:$A,0)+MATCH($A221,'_Month Engine'!$B$110:$B$119,0),0))*Input!$C$19/'_IRR Engine'!$Q$7,0)</f>
        <v>0</v>
      </c>
      <c r="J221" s="75">
        <f>IFERROR(SUMIF('_Month Engine'!$C$5:$DR$5,J$4,INDEX('_Month Engine'!$C:$DR,MATCH("Renting All-In Basis",'_Month Engine'!$A:$A,0)+MATCH($A221,'_Month Engine'!$B$110:$B$119,0),0))*Input!$C$19/'_IRR Engine'!$Q$7,0)</f>
        <v>0</v>
      </c>
      <c r="K221" s="75">
        <f>IFERROR(SUMIF('_Month Engine'!$C$5:$DR$5,K$4,INDEX('_Month Engine'!$C:$DR,MATCH("Renting All-In Basis",'_Month Engine'!$A:$A,0)+MATCH($A221,'_Month Engine'!$B$110:$B$119,0),0))*Input!$C$19/'_IRR Engine'!$Q$7,0)</f>
        <v>0</v>
      </c>
      <c r="L221" s="75">
        <f>IFERROR(SUMIF('_Month Engine'!$C$5:$DR$5,L$4,INDEX('_Month Engine'!$C:$DR,MATCH("Renting All-In Basis",'_Month Engine'!$A:$A,0)+MATCH($A221,'_Month Engine'!$B$110:$B$119,0),0))*Input!$C$19/'_IRR Engine'!$Q$7,0)</f>
        <v>0</v>
      </c>
    </row>
    <row r="222" spans="1:12" ht="18" customHeight="1" x14ac:dyDescent="0.3">
      <c r="A222" s="9">
        <v>14</v>
      </c>
      <c r="B222" s="66" t="s">
        <v>171</v>
      </c>
      <c r="C222" s="75">
        <f>C216*Input!$C$20</f>
        <v>0</v>
      </c>
      <c r="D222" s="75">
        <f>D216*Input!$C$20</f>
        <v>0</v>
      </c>
      <c r="E222" s="75">
        <f>E216*Input!$C$20</f>
        <v>0</v>
      </c>
      <c r="F222" s="75">
        <f>F216*Input!$C$20</f>
        <v>0</v>
      </c>
      <c r="G222" s="75">
        <f>G216*Input!$C$20</f>
        <v>0</v>
      </c>
      <c r="H222" s="75">
        <f>H216*Input!$C$20</f>
        <v>0</v>
      </c>
      <c r="I222" s="75">
        <f>I216*Input!$C$20</f>
        <v>0</v>
      </c>
      <c r="J222" s="75">
        <f>J216*Input!$C$20</f>
        <v>0</v>
      </c>
      <c r="K222" s="75">
        <f>K216*Input!$C$20</f>
        <v>0</v>
      </c>
      <c r="L222" s="75">
        <f>L216*Input!$C$20</f>
        <v>0</v>
      </c>
    </row>
    <row r="223" spans="1:12" x14ac:dyDescent="0.3">
      <c r="A223" s="9">
        <v>14</v>
      </c>
      <c r="B223" s="66" t="s">
        <v>1180</v>
      </c>
      <c r="C223" s="75" cm="1">
        <f t="array" ref="C223">C216*IFERROR(INDEX(Input!$U$80:$U$89,$A223),0)</f>
        <v>0</v>
      </c>
      <c r="D223" s="75" cm="1">
        <f t="array" ref="D223">D216*IFERROR(INDEX(Input!$U$80:$U$89,$A223),0)</f>
        <v>0</v>
      </c>
      <c r="E223" s="75" cm="1">
        <f t="array" ref="E223">E216*IFERROR(INDEX(Input!$U$80:$U$89,$A223),0)</f>
        <v>0</v>
      </c>
      <c r="F223" s="75" cm="1">
        <f t="array" ref="F223">F216*IFERROR(INDEX(Input!$U$80:$U$89,$A223),0)</f>
        <v>0</v>
      </c>
      <c r="G223" s="75" cm="1">
        <f t="array" ref="G223">G216*IFERROR(INDEX(Input!$U$80:$U$89,$A223),0)</f>
        <v>0</v>
      </c>
      <c r="H223" s="75" cm="1">
        <f t="array" ref="H223">H216*IFERROR(INDEX(Input!$U$80:$U$89,$A223),0)</f>
        <v>0</v>
      </c>
      <c r="I223" s="75" cm="1">
        <f t="array" ref="I223">I216*IFERROR(INDEX(Input!$U$80:$U$89,$A223),0)</f>
        <v>0</v>
      </c>
      <c r="J223" s="75" cm="1">
        <f t="array" ref="J223">J216*IFERROR(INDEX(Input!$U$80:$U$89,$A223),0)</f>
        <v>0</v>
      </c>
      <c r="K223" s="75" cm="1">
        <f t="array" ref="K223">K216*IFERROR(INDEX(Input!$U$80:$U$89,$A223),0)</f>
        <v>0</v>
      </c>
      <c r="L223" s="75" cm="1">
        <f t="array" ref="L223">L216*IFERROR(INDEX(Input!$U$80:$U$89,$A223),0)</f>
        <v>0</v>
      </c>
    </row>
    <row r="224" spans="1:12" ht="18" customHeight="1" x14ac:dyDescent="0.3">
      <c r="A224" s="9">
        <v>14</v>
      </c>
      <c r="B224" s="66" t="str">
        <f>"ServCo property management ("&amp;TEXT(Input!$C$31,"0%")&amp;")"</f>
        <v>ServCo property management (20%)</v>
      </c>
      <c r="C224" s="75">
        <f>C216*Input!$C$31</f>
        <v>0</v>
      </c>
      <c r="D224" s="75">
        <f>D216*Input!$C$31</f>
        <v>0</v>
      </c>
      <c r="E224" s="75">
        <f>E216*Input!$C$31</f>
        <v>0</v>
      </c>
      <c r="F224" s="75">
        <f>F216*Input!$C$31</f>
        <v>0</v>
      </c>
      <c r="G224" s="75">
        <f>G216*Input!$C$31</f>
        <v>0</v>
      </c>
      <c r="H224" s="75">
        <f>H216*Input!$C$31</f>
        <v>0</v>
      </c>
      <c r="I224" s="75">
        <f>I216*Input!$C$31</f>
        <v>0</v>
      </c>
      <c r="J224" s="75">
        <f>J216*Input!$C$31</f>
        <v>0</v>
      </c>
      <c r="K224" s="75">
        <f>K216*Input!$C$31</f>
        <v>0</v>
      </c>
      <c r="L224" s="75">
        <f>L216*Input!$C$31</f>
        <v>0</v>
      </c>
    </row>
    <row r="225" spans="1:12" ht="18" customHeight="1" x14ac:dyDescent="0.3">
      <c r="A225" s="9">
        <v>14</v>
      </c>
      <c r="B225" s="66" t="s">
        <v>980</v>
      </c>
      <c r="C225" s="75">
        <f>IFERROR(SUMIF('_Month Engine'!$C$5:$DR$5,C$4,INDEX('_Month Engine'!$C:$DR,MATCH("Renting Flag (1 = renting in month)",'_Month Engine'!$A:$A,0)+MATCH($A225,'_Month Engine'!$B$98:$B$107,0),0))*Input!$C$32,0)</f>
        <v>0</v>
      </c>
      <c r="D225" s="75">
        <f>IFERROR(SUMIF('_Month Engine'!$C$5:$DR$5,D$4,INDEX('_Month Engine'!$C:$DR,MATCH("Renting Flag (1 = renting in month)",'_Month Engine'!$A:$A,0)+MATCH($A225,'_Month Engine'!$B$98:$B$107,0),0))*Input!$C$32,0)</f>
        <v>0</v>
      </c>
      <c r="E225" s="75">
        <f>IFERROR(SUMIF('_Month Engine'!$C$5:$DR$5,E$4,INDEX('_Month Engine'!$C:$DR,MATCH("Renting Flag (1 = renting in month)",'_Month Engine'!$A:$A,0)+MATCH($A225,'_Month Engine'!$B$98:$B$107,0),0))*Input!$C$32,0)</f>
        <v>0</v>
      </c>
      <c r="F225" s="75">
        <f>IFERROR(SUMIF('_Month Engine'!$C$5:$DR$5,F$4,INDEX('_Month Engine'!$C:$DR,MATCH("Renting Flag (1 = renting in month)",'_Month Engine'!$A:$A,0)+MATCH($A225,'_Month Engine'!$B$98:$B$107,0),0))*Input!$C$32,0)</f>
        <v>0</v>
      </c>
      <c r="G225" s="75">
        <f>IFERROR(SUMIF('_Month Engine'!$C$5:$DR$5,G$4,INDEX('_Month Engine'!$C:$DR,MATCH("Renting Flag (1 = renting in month)",'_Month Engine'!$A:$A,0)+MATCH($A225,'_Month Engine'!$B$98:$B$107,0),0))*Input!$C$32,0)</f>
        <v>0</v>
      </c>
      <c r="H225" s="75">
        <f>IFERROR(SUMIF('_Month Engine'!$C$5:$DR$5,H$4,INDEX('_Month Engine'!$C:$DR,MATCH("Renting Flag (1 = renting in month)",'_Month Engine'!$A:$A,0)+MATCH($A225,'_Month Engine'!$B$98:$B$107,0),0))*Input!$C$32,0)</f>
        <v>0</v>
      </c>
      <c r="I225" s="75">
        <f>IFERROR(SUMIF('_Month Engine'!$C$5:$DR$5,I$4,INDEX('_Month Engine'!$C:$DR,MATCH("Renting Flag (1 = renting in month)",'_Month Engine'!$A:$A,0)+MATCH($A225,'_Month Engine'!$B$98:$B$107,0),0))*Input!$C$32,0)</f>
        <v>0</v>
      </c>
      <c r="J225" s="75">
        <f>IFERROR(SUMIF('_Month Engine'!$C$5:$DR$5,J$4,INDEX('_Month Engine'!$C:$DR,MATCH("Renting Flag (1 = renting in month)",'_Month Engine'!$A:$A,0)+MATCH($A225,'_Month Engine'!$B$98:$B$107,0),0))*Input!$C$32,0)</f>
        <v>0</v>
      </c>
      <c r="K225" s="75">
        <f>IFERROR(SUMIF('_Month Engine'!$C$5:$DR$5,K$4,INDEX('_Month Engine'!$C:$DR,MATCH("Renting Flag (1 = renting in month)",'_Month Engine'!$A:$A,0)+MATCH($A225,'_Month Engine'!$B$98:$B$107,0),0))*Input!$C$32,0)</f>
        <v>0</v>
      </c>
      <c r="L225" s="75">
        <f>IFERROR(SUMIF('_Month Engine'!$C$5:$DR$5,L$4,INDEX('_Month Engine'!$C:$DR,MATCH("Renting Flag (1 = renting in month)",'_Month Engine'!$A:$A,0)+MATCH($A225,'_Month Engine'!$B$98:$B$107,0),0))*Input!$C$32,0)</f>
        <v>0</v>
      </c>
    </row>
    <row r="226" spans="1:12" ht="18" customHeight="1" x14ac:dyDescent="0.3">
      <c r="A226" s="9">
        <v>14</v>
      </c>
      <c r="B226" s="11" t="s">
        <v>76</v>
      </c>
      <c r="C226" s="68">
        <f t="shared" ref="C226:L226" si="27">SUM(C217:C225)</f>
        <v>0</v>
      </c>
      <c r="D226" s="68">
        <f t="shared" si="27"/>
        <v>0</v>
      </c>
      <c r="E226" s="68">
        <f t="shared" si="27"/>
        <v>0</v>
      </c>
      <c r="F226" s="68">
        <f t="shared" si="27"/>
        <v>0</v>
      </c>
      <c r="G226" s="68">
        <f t="shared" si="27"/>
        <v>0</v>
      </c>
      <c r="H226" s="68">
        <f t="shared" si="27"/>
        <v>0</v>
      </c>
      <c r="I226" s="68">
        <f t="shared" si="27"/>
        <v>0</v>
      </c>
      <c r="J226" s="68">
        <f t="shared" si="27"/>
        <v>0</v>
      </c>
      <c r="K226" s="68">
        <f t="shared" si="27"/>
        <v>0</v>
      </c>
      <c r="L226" s="68">
        <f t="shared" si="27"/>
        <v>0</v>
      </c>
    </row>
    <row r="227" spans="1:12" ht="18" customHeight="1" x14ac:dyDescent="0.3">
      <c r="A227" s="9">
        <v>14</v>
      </c>
      <c r="B227" s="11" t="s">
        <v>172</v>
      </c>
      <c r="C227" s="68">
        <f t="shared" ref="C227:L227" si="28">C216-C226</f>
        <v>0</v>
      </c>
      <c r="D227" s="68">
        <f t="shared" si="28"/>
        <v>0</v>
      </c>
      <c r="E227" s="68">
        <f t="shared" si="28"/>
        <v>0</v>
      </c>
      <c r="F227" s="68">
        <f t="shared" si="28"/>
        <v>0</v>
      </c>
      <c r="G227" s="68">
        <f t="shared" si="28"/>
        <v>0</v>
      </c>
      <c r="H227" s="68">
        <f t="shared" si="28"/>
        <v>0</v>
      </c>
      <c r="I227" s="68">
        <f t="shared" si="28"/>
        <v>0</v>
      </c>
      <c r="J227" s="68">
        <f t="shared" si="28"/>
        <v>0</v>
      </c>
      <c r="K227" s="68">
        <f t="shared" si="28"/>
        <v>0</v>
      </c>
      <c r="L227" s="68">
        <f t="shared" si="28"/>
        <v>0</v>
      </c>
    </row>
    <row r="228" spans="1:12" ht="18" customHeight="1" x14ac:dyDescent="0.3">
      <c r="A228" s="9">
        <v>14</v>
      </c>
      <c r="B228" s="22" t="s">
        <v>173</v>
      </c>
      <c r="C228" s="77">
        <f>IFERROR(SUMIF('_Month Engine'!$C$5:$DR$5,C$4,INDEX('_Month Engine'!$C:$DR,MATCH("Acquisition Outflow (Purchase + Closing)",'_Month Engine'!$A:$A,0)+MATCH($A228,'_Month Engine'!$B$8:$B$17,0),0))+SUMIF('_Month Engine'!$C$5:$DR$5,C$4,INDEX('_Month Engine'!$C:$DR,MATCH("Acquisition Outflow (Purchase + Closing)",'_Month Engine'!$A:$A,0)+MATCH($A228,'_Month Engine'!$B$21:$B$30,0),0)),0)</f>
        <v>0</v>
      </c>
      <c r="D228" s="77">
        <f>IFERROR(SUMIF('_Month Engine'!$C$5:$DR$5,D$4,INDEX('_Month Engine'!$C:$DR,MATCH("Acquisition Outflow (Purchase + Closing)",'_Month Engine'!$A:$A,0)+MATCH($A228,'_Month Engine'!$B$8:$B$17,0),0))+SUMIF('_Month Engine'!$C$5:$DR$5,D$4,INDEX('_Month Engine'!$C:$DR,MATCH("Acquisition Outflow (Purchase + Closing)",'_Month Engine'!$A:$A,0)+MATCH($A228,'_Month Engine'!$B$21:$B$30,0),0)),0)</f>
        <v>0</v>
      </c>
      <c r="E228" s="77">
        <f>IFERROR(SUMIF('_Month Engine'!$C$5:$DR$5,E$4,INDEX('_Month Engine'!$C:$DR,MATCH("Acquisition Outflow (Purchase + Closing)",'_Month Engine'!$A:$A,0)+MATCH($A228,'_Month Engine'!$B$8:$B$17,0),0))+SUMIF('_Month Engine'!$C$5:$DR$5,E$4,INDEX('_Month Engine'!$C:$DR,MATCH("Acquisition Outflow (Purchase + Closing)",'_Month Engine'!$A:$A,0)+MATCH($A228,'_Month Engine'!$B$21:$B$30,0),0)),0)</f>
        <v>0</v>
      </c>
      <c r="F228" s="77">
        <f>IFERROR(SUMIF('_Month Engine'!$C$5:$DR$5,F$4,INDEX('_Month Engine'!$C:$DR,MATCH("Acquisition Outflow (Purchase + Closing)",'_Month Engine'!$A:$A,0)+MATCH($A228,'_Month Engine'!$B$8:$B$17,0),0))+SUMIF('_Month Engine'!$C$5:$DR$5,F$4,INDEX('_Month Engine'!$C:$DR,MATCH("Acquisition Outflow (Purchase + Closing)",'_Month Engine'!$A:$A,0)+MATCH($A228,'_Month Engine'!$B$21:$B$30,0),0)),0)</f>
        <v>0</v>
      </c>
      <c r="G228" s="77">
        <f>IFERROR(SUMIF('_Month Engine'!$C$5:$DR$5,G$4,INDEX('_Month Engine'!$C:$DR,MATCH("Acquisition Outflow (Purchase + Closing)",'_Month Engine'!$A:$A,0)+MATCH($A228,'_Month Engine'!$B$8:$B$17,0),0))+SUMIF('_Month Engine'!$C$5:$DR$5,G$4,INDEX('_Month Engine'!$C:$DR,MATCH("Acquisition Outflow (Purchase + Closing)",'_Month Engine'!$A:$A,0)+MATCH($A228,'_Month Engine'!$B$21:$B$30,0),0)),0)</f>
        <v>0</v>
      </c>
      <c r="H228" s="77">
        <f>IFERROR(SUMIF('_Month Engine'!$C$5:$DR$5,H$4,INDEX('_Month Engine'!$C:$DR,MATCH("Acquisition Outflow (Purchase + Closing)",'_Month Engine'!$A:$A,0)+MATCH($A228,'_Month Engine'!$B$8:$B$17,0),0))+SUMIF('_Month Engine'!$C$5:$DR$5,H$4,INDEX('_Month Engine'!$C:$DR,MATCH("Acquisition Outflow (Purchase + Closing)",'_Month Engine'!$A:$A,0)+MATCH($A228,'_Month Engine'!$B$21:$B$30,0),0)),0)</f>
        <v>0</v>
      </c>
      <c r="I228" s="77">
        <f>IFERROR(SUMIF('_Month Engine'!$C$5:$DR$5,I$4,INDEX('_Month Engine'!$C:$DR,MATCH("Acquisition Outflow (Purchase + Closing)",'_Month Engine'!$A:$A,0)+MATCH($A228,'_Month Engine'!$B$8:$B$17,0),0))+SUMIF('_Month Engine'!$C$5:$DR$5,I$4,INDEX('_Month Engine'!$C:$DR,MATCH("Acquisition Outflow (Purchase + Closing)",'_Month Engine'!$A:$A,0)+MATCH($A228,'_Month Engine'!$B$21:$B$30,0),0)),0)</f>
        <v>0</v>
      </c>
      <c r="J228" s="77">
        <f>IFERROR(SUMIF('_Month Engine'!$C$5:$DR$5,J$4,INDEX('_Month Engine'!$C:$DR,MATCH("Acquisition Outflow (Purchase + Closing)",'_Month Engine'!$A:$A,0)+MATCH($A228,'_Month Engine'!$B$8:$B$17,0),0))+SUMIF('_Month Engine'!$C$5:$DR$5,J$4,INDEX('_Month Engine'!$C:$DR,MATCH("Acquisition Outflow (Purchase + Closing)",'_Month Engine'!$A:$A,0)+MATCH($A228,'_Month Engine'!$B$21:$B$30,0),0)),0)</f>
        <v>0</v>
      </c>
      <c r="K228" s="77">
        <f>IFERROR(SUMIF('_Month Engine'!$C$5:$DR$5,K$4,INDEX('_Month Engine'!$C:$DR,MATCH("Acquisition Outflow (Purchase + Closing)",'_Month Engine'!$A:$A,0)+MATCH($A228,'_Month Engine'!$B$8:$B$17,0),0))+SUMIF('_Month Engine'!$C$5:$DR$5,K$4,INDEX('_Month Engine'!$C:$DR,MATCH("Acquisition Outflow (Purchase + Closing)",'_Month Engine'!$A:$A,0)+MATCH($A228,'_Month Engine'!$B$21:$B$30,0),0)),0)</f>
        <v>0</v>
      </c>
      <c r="L228" s="77">
        <f>IFERROR(SUMIF('_Month Engine'!$C$5:$DR$5,L$4,INDEX('_Month Engine'!$C:$DR,MATCH("Acquisition Outflow (Purchase + Closing)",'_Month Engine'!$A:$A,0)+MATCH($A228,'_Month Engine'!$B$8:$B$17,0),0))+SUMIF('_Month Engine'!$C$5:$DR$5,L$4,INDEX('_Month Engine'!$C:$DR,MATCH("Acquisition Outflow (Purchase + Closing)",'_Month Engine'!$A:$A,0)+MATCH($A228,'_Month Engine'!$B$21:$B$30,0),0)),0)</f>
        <v>0</v>
      </c>
    </row>
    <row r="229" spans="1:12" ht="34.049999999999997" customHeight="1" x14ac:dyDescent="0.3">
      <c r="A229" s="9">
        <v>14</v>
      </c>
      <c r="B229" s="517" t="s">
        <v>1181</v>
      </c>
      <c r="C229" s="77" cm="1">
        <f t="array" ref="C229">IFERROR(SUMIF('_Month Engine'!$C$5:$DR$5,C$4,INDEX('_Month Engine'!$C:$DR,MATCH("Gross Sale Value",'_Month Engine'!$A:$A,0)+MATCH($A229,'_Month Engine'!$B$61:$B$70,0),0))*(1-Input!$C$15)-IF(SUMIF('_Month Engine'!$C$5:$DR$5,C$4,INDEX('_Month Engine'!$C:$DR,MATCH("Gross Sale Value",'_Month Engine'!$A:$A,0)+MATCH($A229,'_Month Engine'!$B$61:$B$70,0),0))&gt;0,INDEX(Properties!$AD:$AD,$A229+5),0),0)</f>
        <v>0</v>
      </c>
      <c r="D229" s="77" cm="1">
        <f t="array" ref="D229">IFERROR(SUMIF('_Month Engine'!$C$5:$DR$5,D$4,INDEX('_Month Engine'!$C:$DR,MATCH("Gross Sale Value",'_Month Engine'!$A:$A,0)+MATCH($A229,'_Month Engine'!$B$61:$B$70,0),0))*(1-Input!$C$15)-IF(SUMIF('_Month Engine'!$C$5:$DR$5,D$4,INDEX('_Month Engine'!$C:$DR,MATCH("Gross Sale Value",'_Month Engine'!$A:$A,0)+MATCH($A229,'_Month Engine'!$B$61:$B$70,0),0))&gt;0,INDEX(Properties!$AD:$AD,$A229+5),0),0)</f>
        <v>0</v>
      </c>
      <c r="E229" s="77" cm="1">
        <f t="array" ref="E229">IFERROR(SUMIF('_Month Engine'!$C$5:$DR$5,E$4,INDEX('_Month Engine'!$C:$DR,MATCH("Gross Sale Value",'_Month Engine'!$A:$A,0)+MATCH($A229,'_Month Engine'!$B$61:$B$70,0),0))*(1-Input!$C$15)-IF(SUMIF('_Month Engine'!$C$5:$DR$5,E$4,INDEX('_Month Engine'!$C:$DR,MATCH("Gross Sale Value",'_Month Engine'!$A:$A,0)+MATCH($A229,'_Month Engine'!$B$61:$B$70,0),0))&gt;0,INDEX(Properties!$AD:$AD,$A229+5),0),0)</f>
        <v>0</v>
      </c>
      <c r="F229" s="77" cm="1">
        <f t="array" ref="F229">IFERROR(SUMIF('_Month Engine'!$C$5:$DR$5,F$4,INDEX('_Month Engine'!$C:$DR,MATCH("Gross Sale Value",'_Month Engine'!$A:$A,0)+MATCH($A229,'_Month Engine'!$B$61:$B$70,0),0))*(1-Input!$C$15)-IF(SUMIF('_Month Engine'!$C$5:$DR$5,F$4,INDEX('_Month Engine'!$C:$DR,MATCH("Gross Sale Value",'_Month Engine'!$A:$A,0)+MATCH($A229,'_Month Engine'!$B$61:$B$70,0),0))&gt;0,INDEX(Properties!$AD:$AD,$A229+5),0),0)</f>
        <v>0</v>
      </c>
      <c r="G229" s="77" cm="1">
        <f t="array" ref="G229">IFERROR(SUMIF('_Month Engine'!$C$5:$DR$5,G$4,INDEX('_Month Engine'!$C:$DR,MATCH("Gross Sale Value",'_Month Engine'!$A:$A,0)+MATCH($A229,'_Month Engine'!$B$61:$B$70,0),0))*(1-Input!$C$15)-IF(SUMIF('_Month Engine'!$C$5:$DR$5,G$4,INDEX('_Month Engine'!$C:$DR,MATCH("Gross Sale Value",'_Month Engine'!$A:$A,0)+MATCH($A229,'_Month Engine'!$B$61:$B$70,0),0))&gt;0,INDEX(Properties!$AD:$AD,$A229+5),0),0)</f>
        <v>0</v>
      </c>
      <c r="H229" s="77" cm="1">
        <f t="array" ref="H229">IFERROR(SUMIF('_Month Engine'!$C$5:$DR$5,H$4,INDEX('_Month Engine'!$C:$DR,MATCH("Gross Sale Value",'_Month Engine'!$A:$A,0)+MATCH($A229,'_Month Engine'!$B$61:$B$70,0),0))*(1-Input!$C$15)-IF(SUMIF('_Month Engine'!$C$5:$DR$5,H$4,INDEX('_Month Engine'!$C:$DR,MATCH("Gross Sale Value",'_Month Engine'!$A:$A,0)+MATCH($A229,'_Month Engine'!$B$61:$B$70,0),0))&gt;0,INDEX(Properties!$AD:$AD,$A229+5),0),0)</f>
        <v>0</v>
      </c>
      <c r="I229" s="77" cm="1">
        <f t="array" ref="I229">IFERROR(SUMIF('_Month Engine'!$C$5:$DR$5,I$4,INDEX('_Month Engine'!$C:$DR,MATCH("Gross Sale Value",'_Month Engine'!$A:$A,0)+MATCH($A229,'_Month Engine'!$B$61:$B$70,0),0))*(1-Input!$C$15)-IF(SUMIF('_Month Engine'!$C$5:$DR$5,I$4,INDEX('_Month Engine'!$C:$DR,MATCH("Gross Sale Value",'_Month Engine'!$A:$A,0)+MATCH($A229,'_Month Engine'!$B$61:$B$70,0),0))&gt;0,INDEX(Properties!$AD:$AD,$A229+5),0),0)</f>
        <v>0</v>
      </c>
      <c r="J229" s="77" cm="1">
        <f t="array" ref="J229">IFERROR(SUMIF('_Month Engine'!$C$5:$DR$5,J$4,INDEX('_Month Engine'!$C:$DR,MATCH("Gross Sale Value",'_Month Engine'!$A:$A,0)+MATCH($A229,'_Month Engine'!$B$61:$B$70,0),0))*(1-Input!$C$15)-IF(SUMIF('_Month Engine'!$C$5:$DR$5,J$4,INDEX('_Month Engine'!$C:$DR,MATCH("Gross Sale Value",'_Month Engine'!$A:$A,0)+MATCH($A229,'_Month Engine'!$B$61:$B$70,0),0))&gt;0,INDEX(Properties!$AD:$AD,$A229+5),0),0)</f>
        <v>0</v>
      </c>
      <c r="K229" s="77" cm="1">
        <f t="array" ref="K229">IFERROR(SUMIF('_Month Engine'!$C$5:$DR$5,K$4,INDEX('_Month Engine'!$C:$DR,MATCH("Gross Sale Value",'_Month Engine'!$A:$A,0)+MATCH($A229,'_Month Engine'!$B$61:$B$70,0),0))*(1-Input!$C$15)-IF(SUMIF('_Month Engine'!$C$5:$DR$5,K$4,INDEX('_Month Engine'!$C:$DR,MATCH("Gross Sale Value",'_Month Engine'!$A:$A,0)+MATCH($A229,'_Month Engine'!$B$61:$B$70,0),0))&gt;0,INDEX(Properties!$AD:$AD,$A229+5),0),0)</f>
        <v>0</v>
      </c>
      <c r="L229" s="77" cm="1">
        <f t="array" ref="L229">IFERROR(SUMIF('_Month Engine'!$C$5:$DR$5,L$4,INDEX('_Month Engine'!$C:$DR,MATCH("Gross Sale Value",'_Month Engine'!$A:$A,0)+MATCH($A229,'_Month Engine'!$B$61:$B$70,0),0))*(1-Input!$C$15)-IF(SUMIF('_Month Engine'!$C$5:$DR$5,L$4,INDEX('_Month Engine'!$C:$DR,MATCH("Gross Sale Value",'_Month Engine'!$A:$A,0)+MATCH($A229,'_Month Engine'!$B$61:$B$70,0),0))&gt;0,INDEX(Properties!$AD:$AD,$A229+5),0),0)</f>
        <v>0</v>
      </c>
    </row>
    <row r="230" spans="1:12" ht="18" customHeight="1" x14ac:dyDescent="0.3">
      <c r="A230" s="9"/>
      <c r="B230" s="9"/>
      <c r="C230" s="66"/>
      <c r="D230" s="66"/>
      <c r="E230" s="66"/>
      <c r="F230" s="66"/>
      <c r="G230" s="66"/>
      <c r="H230" s="66"/>
      <c r="I230" s="66"/>
      <c r="J230" s="66"/>
      <c r="K230" s="66"/>
      <c r="L230" s="66"/>
    </row>
    <row r="231" spans="1:12" ht="19.95" customHeight="1" x14ac:dyDescent="0.3">
      <c r="A231" s="40"/>
      <c r="B231" s="40" t="s">
        <v>174</v>
      </c>
      <c r="C231" s="67"/>
      <c r="D231" s="67"/>
      <c r="E231" s="67"/>
      <c r="F231" s="67"/>
      <c r="G231" s="67"/>
      <c r="H231" s="67"/>
      <c r="I231" s="67"/>
      <c r="J231" s="67"/>
      <c r="K231" s="67"/>
      <c r="L231" s="67"/>
    </row>
    <row r="232" spans="1:12" ht="18" customHeight="1" x14ac:dyDescent="0.3">
      <c r="A232" s="9"/>
      <c r="B232" s="11" t="s">
        <v>167</v>
      </c>
      <c r="C232" s="68">
        <f t="shared" ref="C232:L232" si="29">SUM(C8,C24,C40,C56,C72,C88,C104,C120,C136,C152,C168,C184,C200,C216)</f>
        <v>84225.675000000003</v>
      </c>
      <c r="D232" s="68">
        <f t="shared" si="29"/>
        <v>308211.83925428573</v>
      </c>
      <c r="E232" s="68">
        <f t="shared" si="29"/>
        <v>210510.48349337146</v>
      </c>
      <c r="F232" s="68">
        <f t="shared" si="29"/>
        <v>40478.988711641141</v>
      </c>
      <c r="G232" s="68">
        <f t="shared" si="29"/>
        <v>0</v>
      </c>
      <c r="H232" s="68">
        <f t="shared" si="29"/>
        <v>0</v>
      </c>
      <c r="I232" s="68">
        <f t="shared" si="29"/>
        <v>0</v>
      </c>
      <c r="J232" s="68">
        <f t="shared" si="29"/>
        <v>0</v>
      </c>
      <c r="K232" s="68">
        <f t="shared" si="29"/>
        <v>0</v>
      </c>
      <c r="L232" s="68">
        <f t="shared" si="29"/>
        <v>0</v>
      </c>
    </row>
    <row r="233" spans="1:12" ht="18" customHeight="1" x14ac:dyDescent="0.3">
      <c r="A233" s="9"/>
      <c r="B233" s="11" t="s">
        <v>1179</v>
      </c>
      <c r="C233" s="68">
        <f t="shared" ref="C233:L233" si="30">SUM(C9,C25,C41,C57,C73,C89,C105,C121,C137,C153,C169,C185,C201,C217)</f>
        <v>27411.003236245953</v>
      </c>
      <c r="D233" s="68">
        <f t="shared" si="30"/>
        <v>36411.65048543689</v>
      </c>
      <c r="E233" s="68">
        <f t="shared" si="30"/>
        <v>25520.873786407767</v>
      </c>
      <c r="F233" s="68">
        <f t="shared" si="30"/>
        <v>4089.3203883495153</v>
      </c>
      <c r="G233" s="68">
        <f t="shared" si="30"/>
        <v>0</v>
      </c>
      <c r="H233" s="68">
        <f t="shared" si="30"/>
        <v>0</v>
      </c>
      <c r="I233" s="68">
        <f t="shared" si="30"/>
        <v>0</v>
      </c>
      <c r="J233" s="68">
        <f t="shared" si="30"/>
        <v>0</v>
      </c>
      <c r="K233" s="68">
        <f t="shared" si="30"/>
        <v>0</v>
      </c>
      <c r="L233" s="68">
        <f t="shared" si="30"/>
        <v>0</v>
      </c>
    </row>
    <row r="234" spans="1:12" ht="18" customHeight="1" x14ac:dyDescent="0.3">
      <c r="A234" s="9"/>
      <c r="B234" s="11" t="s">
        <v>72</v>
      </c>
      <c r="C234" s="68">
        <f t="shared" ref="C234:L234" si="31">SUM(C10,C26,C42,C58,C74,C90,C106,C122,C138,C154,C170,C186,C202,C218)</f>
        <v>2484.9312297734632</v>
      </c>
      <c r="D234" s="68">
        <f t="shared" si="31"/>
        <v>9643.638754045307</v>
      </c>
      <c r="E234" s="68">
        <f t="shared" si="31"/>
        <v>7026.3400080906158</v>
      </c>
      <c r="F234" s="68">
        <f t="shared" si="31"/>
        <v>1285.8616504854372</v>
      </c>
      <c r="G234" s="68">
        <f t="shared" si="31"/>
        <v>0</v>
      </c>
      <c r="H234" s="68">
        <f t="shared" si="31"/>
        <v>0</v>
      </c>
      <c r="I234" s="68">
        <f t="shared" si="31"/>
        <v>0</v>
      </c>
      <c r="J234" s="68">
        <f t="shared" si="31"/>
        <v>0</v>
      </c>
      <c r="K234" s="68">
        <f t="shared" si="31"/>
        <v>0</v>
      </c>
      <c r="L234" s="68">
        <f t="shared" si="31"/>
        <v>0</v>
      </c>
    </row>
    <row r="235" spans="1:12" ht="18" customHeight="1" x14ac:dyDescent="0.3">
      <c r="A235" s="9"/>
      <c r="B235" s="11" t="s">
        <v>168</v>
      </c>
      <c r="C235" s="68">
        <f t="shared" ref="C235:L235" si="32">SUM(C11,C27,C43,C59,C75,C91,C107,C123,C139,C155,C171,C187,C203,C219)</f>
        <v>32977.346278317156</v>
      </c>
      <c r="D235" s="68">
        <f t="shared" si="32"/>
        <v>42718.446601941745</v>
      </c>
      <c r="E235" s="68">
        <f t="shared" si="32"/>
        <v>27540.453074433655</v>
      </c>
      <c r="F235" s="68">
        <f t="shared" si="32"/>
        <v>3883.4951456310678</v>
      </c>
      <c r="G235" s="68">
        <f t="shared" si="32"/>
        <v>0</v>
      </c>
      <c r="H235" s="68">
        <f t="shared" si="32"/>
        <v>0</v>
      </c>
      <c r="I235" s="68">
        <f t="shared" si="32"/>
        <v>0</v>
      </c>
      <c r="J235" s="68">
        <f t="shared" si="32"/>
        <v>0</v>
      </c>
      <c r="K235" s="68">
        <f t="shared" si="32"/>
        <v>0</v>
      </c>
      <c r="L235" s="68">
        <f t="shared" si="32"/>
        <v>0</v>
      </c>
    </row>
    <row r="236" spans="1:12" ht="18" customHeight="1" x14ac:dyDescent="0.3">
      <c r="A236" s="9"/>
      <c r="B236" s="11" t="s">
        <v>169</v>
      </c>
      <c r="C236" s="68">
        <f t="shared" ref="C236:L236" si="33">SUM(C12,C28,C44,C60,C76,C92,C108,C124,C140,C156,C172,C188,C204,C220)</f>
        <v>16601.941747572815</v>
      </c>
      <c r="D236" s="68">
        <f t="shared" si="33"/>
        <v>22524.271844660194</v>
      </c>
      <c r="E236" s="68">
        <f t="shared" si="33"/>
        <v>15242.718446601943</v>
      </c>
      <c r="F236" s="68">
        <f t="shared" si="33"/>
        <v>2912.6213592233012</v>
      </c>
      <c r="G236" s="68">
        <f t="shared" si="33"/>
        <v>0</v>
      </c>
      <c r="H236" s="68">
        <f t="shared" si="33"/>
        <v>0</v>
      </c>
      <c r="I236" s="68">
        <f t="shared" si="33"/>
        <v>0</v>
      </c>
      <c r="J236" s="68">
        <f t="shared" si="33"/>
        <v>0</v>
      </c>
      <c r="K236" s="68">
        <f t="shared" si="33"/>
        <v>0</v>
      </c>
      <c r="L236" s="68">
        <f t="shared" si="33"/>
        <v>0</v>
      </c>
    </row>
    <row r="237" spans="1:12" ht="18" customHeight="1" x14ac:dyDescent="0.3">
      <c r="A237" s="9"/>
      <c r="B237" s="11" t="s">
        <v>170</v>
      </c>
      <c r="C237" s="68">
        <f t="shared" ref="C237:L237" si="34">SUM(C13,C29,C45,C61,C77,C93,C109,C125,C141,C157,C173,C189,C205,C221)</f>
        <v>8283.1040992448761</v>
      </c>
      <c r="D237" s="68">
        <f t="shared" si="34"/>
        <v>32145.462513484359</v>
      </c>
      <c r="E237" s="68">
        <f t="shared" si="34"/>
        <v>23421.133360302054</v>
      </c>
      <c r="F237" s="68">
        <f t="shared" si="34"/>
        <v>4286.2055016181239</v>
      </c>
      <c r="G237" s="68">
        <f t="shared" si="34"/>
        <v>0</v>
      </c>
      <c r="H237" s="68">
        <f t="shared" si="34"/>
        <v>0</v>
      </c>
      <c r="I237" s="68">
        <f t="shared" si="34"/>
        <v>0</v>
      </c>
      <c r="J237" s="68">
        <f t="shared" si="34"/>
        <v>0</v>
      </c>
      <c r="K237" s="68">
        <f t="shared" si="34"/>
        <v>0</v>
      </c>
      <c r="L237" s="68">
        <f t="shared" si="34"/>
        <v>0</v>
      </c>
    </row>
    <row r="238" spans="1:12" ht="18" customHeight="1" x14ac:dyDescent="0.3">
      <c r="A238" s="9"/>
      <c r="B238" s="11" t="s">
        <v>171</v>
      </c>
      <c r="C238" s="68">
        <f t="shared" ref="C238:L238" si="35">SUM(C14,C30,C46,C62,C78,C94,C110,C126,C142,C158,C174,C190,C206,C222)</f>
        <v>0</v>
      </c>
      <c r="D238" s="68">
        <f t="shared" si="35"/>
        <v>0</v>
      </c>
      <c r="E238" s="68">
        <f t="shared" si="35"/>
        <v>0</v>
      </c>
      <c r="F238" s="68">
        <f t="shared" si="35"/>
        <v>0</v>
      </c>
      <c r="G238" s="68">
        <f t="shared" si="35"/>
        <v>0</v>
      </c>
      <c r="H238" s="68">
        <f t="shared" si="35"/>
        <v>0</v>
      </c>
      <c r="I238" s="68">
        <f t="shared" si="35"/>
        <v>0</v>
      </c>
      <c r="J238" s="68">
        <f t="shared" si="35"/>
        <v>0</v>
      </c>
      <c r="K238" s="68">
        <f t="shared" si="35"/>
        <v>0</v>
      </c>
      <c r="L238" s="68">
        <f t="shared" si="35"/>
        <v>0</v>
      </c>
    </row>
    <row r="239" spans="1:12" x14ac:dyDescent="0.3">
      <c r="A239" s="9"/>
      <c r="B239" s="11" t="s">
        <v>1180</v>
      </c>
      <c r="C239" s="68">
        <f t="shared" ref="C239:L239" si="36">SUM(C15,C31,C47,C63,C79,C95,C111,C127,C143,C159,C175,C191,C207,C223)</f>
        <v>1052.8209375000001</v>
      </c>
      <c r="D239" s="68">
        <f t="shared" si="36"/>
        <v>3852.6479906785717</v>
      </c>
      <c r="E239" s="68">
        <f t="shared" si="36"/>
        <v>2631.3810436671429</v>
      </c>
      <c r="F239" s="68">
        <f t="shared" si="36"/>
        <v>505.98735889551426</v>
      </c>
      <c r="G239" s="68">
        <f t="shared" si="36"/>
        <v>0</v>
      </c>
      <c r="H239" s="68">
        <f t="shared" si="36"/>
        <v>0</v>
      </c>
      <c r="I239" s="68">
        <f t="shared" si="36"/>
        <v>0</v>
      </c>
      <c r="J239" s="68">
        <f t="shared" si="36"/>
        <v>0</v>
      </c>
      <c r="K239" s="68">
        <f t="shared" si="36"/>
        <v>0</v>
      </c>
      <c r="L239" s="68">
        <f t="shared" si="36"/>
        <v>0</v>
      </c>
    </row>
    <row r="240" spans="1:12" ht="18" customHeight="1" x14ac:dyDescent="0.3">
      <c r="A240" s="9"/>
      <c r="B240" s="11" t="str">
        <f>"ServCo property management ("&amp;TEXT(Input!$C$31,"0%")&amp;")"</f>
        <v>ServCo property management (20%)</v>
      </c>
      <c r="C240" s="68">
        <f t="shared" ref="C240:L240" si="37">SUM(C16,C32,C48,C64,C80,C96,C112,C128,C144,C160,C176,C192,C208,C224)</f>
        <v>16845.135000000002</v>
      </c>
      <c r="D240" s="68">
        <f t="shared" si="37"/>
        <v>61642.367850857147</v>
      </c>
      <c r="E240" s="68">
        <f t="shared" si="37"/>
        <v>42102.096698674286</v>
      </c>
      <c r="F240" s="68">
        <f t="shared" si="37"/>
        <v>8095.7977423282282</v>
      </c>
      <c r="G240" s="68">
        <f t="shared" si="37"/>
        <v>0</v>
      </c>
      <c r="H240" s="68">
        <f t="shared" si="37"/>
        <v>0</v>
      </c>
      <c r="I240" s="68">
        <f t="shared" si="37"/>
        <v>0</v>
      </c>
      <c r="J240" s="68">
        <f t="shared" si="37"/>
        <v>0</v>
      </c>
      <c r="K240" s="68">
        <f t="shared" si="37"/>
        <v>0</v>
      </c>
      <c r="L240" s="68">
        <f t="shared" si="37"/>
        <v>0</v>
      </c>
    </row>
    <row r="241" spans="1:12" ht="18" customHeight="1" x14ac:dyDescent="0.3">
      <c r="A241" s="9"/>
      <c r="B241" s="11" t="s">
        <v>980</v>
      </c>
      <c r="C241" s="68">
        <f t="shared" ref="C241:L241" si="38">SUM(C17,C33,C49,C65,C81,C97,C113,C129,C145,C161,C177,C193,C209,C225)</f>
        <v>0</v>
      </c>
      <c r="D241" s="68">
        <f t="shared" si="38"/>
        <v>0</v>
      </c>
      <c r="E241" s="68">
        <f t="shared" si="38"/>
        <v>0</v>
      </c>
      <c r="F241" s="68">
        <f t="shared" si="38"/>
        <v>0</v>
      </c>
      <c r="G241" s="68">
        <f t="shared" si="38"/>
        <v>0</v>
      </c>
      <c r="H241" s="68">
        <f t="shared" si="38"/>
        <v>0</v>
      </c>
      <c r="I241" s="68">
        <f t="shared" si="38"/>
        <v>0</v>
      </c>
      <c r="J241" s="68">
        <f t="shared" si="38"/>
        <v>0</v>
      </c>
      <c r="K241" s="68">
        <f t="shared" si="38"/>
        <v>0</v>
      </c>
      <c r="L241" s="68">
        <f t="shared" si="38"/>
        <v>0</v>
      </c>
    </row>
    <row r="242" spans="1:12" ht="18" customHeight="1" x14ac:dyDescent="0.3">
      <c r="A242" s="9"/>
      <c r="B242" s="11" t="s">
        <v>76</v>
      </c>
      <c r="C242" s="68">
        <f t="shared" ref="C242:L242" si="39">SUM(C18,C34,C50,C66,C82,C98,C114,C130,C146,C162,C178,C194,C210,C226)</f>
        <v>105656.28252865425</v>
      </c>
      <c r="D242" s="68">
        <f t="shared" si="39"/>
        <v>208938.48604110422</v>
      </c>
      <c r="E242" s="68">
        <f t="shared" si="39"/>
        <v>143484.99641817747</v>
      </c>
      <c r="F242" s="68">
        <f t="shared" si="39"/>
        <v>25059.289146531191</v>
      </c>
      <c r="G242" s="68">
        <f t="shared" si="39"/>
        <v>0</v>
      </c>
      <c r="H242" s="68">
        <f t="shared" si="39"/>
        <v>0</v>
      </c>
      <c r="I242" s="68">
        <f t="shared" si="39"/>
        <v>0</v>
      </c>
      <c r="J242" s="68">
        <f t="shared" si="39"/>
        <v>0</v>
      </c>
      <c r="K242" s="68">
        <f t="shared" si="39"/>
        <v>0</v>
      </c>
      <c r="L242" s="68">
        <f t="shared" si="39"/>
        <v>0</v>
      </c>
    </row>
    <row r="243" spans="1:12" ht="18" customHeight="1" x14ac:dyDescent="0.3">
      <c r="A243" s="9"/>
      <c r="B243" s="11" t="s">
        <v>172</v>
      </c>
      <c r="C243" s="68">
        <f t="shared" ref="C243:L243" si="40">SUM(C19,C35,C51,C67,C83,C99,C115,C131,C147,C163,C179,C195,C211,C227)</f>
        <v>-21430.607528654247</v>
      </c>
      <c r="D243" s="68">
        <f t="shared" si="40"/>
        <v>99273.353213181515</v>
      </c>
      <c r="E243" s="68">
        <f t="shared" si="40"/>
        <v>67025.487075193974</v>
      </c>
      <c r="F243" s="68">
        <f t="shared" si="40"/>
        <v>15419.69956510995</v>
      </c>
      <c r="G243" s="68">
        <f t="shared" si="40"/>
        <v>0</v>
      </c>
      <c r="H243" s="68">
        <f t="shared" si="40"/>
        <v>0</v>
      </c>
      <c r="I243" s="68">
        <f t="shared" si="40"/>
        <v>0</v>
      </c>
      <c r="J243" s="68">
        <f t="shared" si="40"/>
        <v>0</v>
      </c>
      <c r="K243" s="68">
        <f t="shared" si="40"/>
        <v>0</v>
      </c>
      <c r="L243" s="68">
        <f t="shared" si="40"/>
        <v>0</v>
      </c>
    </row>
    <row r="244" spans="1:12" ht="18" customHeight="1" x14ac:dyDescent="0.3">
      <c r="A244" s="9"/>
      <c r="B244" s="11" t="s">
        <v>173</v>
      </c>
      <c r="C244" s="68">
        <f t="shared" ref="C244:L244" si="41">SUM(C20,C36,C52,C68,C84,C100,C116,C132,C148,C164,C180,C196,C212,C228)</f>
        <v>9351051.7799352743</v>
      </c>
      <c r="D244" s="68">
        <f t="shared" si="41"/>
        <v>0</v>
      </c>
      <c r="E244" s="68">
        <f t="shared" si="41"/>
        <v>0</v>
      </c>
      <c r="F244" s="68">
        <f t="shared" si="41"/>
        <v>0</v>
      </c>
      <c r="G244" s="68">
        <f t="shared" si="41"/>
        <v>0</v>
      </c>
      <c r="H244" s="68">
        <f t="shared" si="41"/>
        <v>0</v>
      </c>
      <c r="I244" s="68">
        <f t="shared" si="41"/>
        <v>0</v>
      </c>
      <c r="J244" s="68">
        <f t="shared" si="41"/>
        <v>0</v>
      </c>
      <c r="K244" s="68">
        <f t="shared" si="41"/>
        <v>0</v>
      </c>
      <c r="L244" s="68">
        <f t="shared" si="41"/>
        <v>0</v>
      </c>
    </row>
    <row r="245" spans="1:12" ht="34.049999999999997" customHeight="1" x14ac:dyDescent="0.3">
      <c r="A245" s="9"/>
      <c r="B245" s="518" t="s">
        <v>1181</v>
      </c>
      <c r="C245" s="68">
        <f t="shared" ref="C245:L245" si="42">SUM(C21,C37,C53,C69,C85,C101,C117,C133,C149,C165,C181,C197,C213,C229)</f>
        <v>0</v>
      </c>
      <c r="D245" s="68">
        <f t="shared" si="42"/>
        <v>0</v>
      </c>
      <c r="E245" s="68">
        <f t="shared" si="42"/>
        <v>5055033.6036343323</v>
      </c>
      <c r="F245" s="68">
        <f t="shared" si="42"/>
        <v>5320946.0208294131</v>
      </c>
      <c r="G245" s="68">
        <f t="shared" si="42"/>
        <v>0</v>
      </c>
      <c r="H245" s="68">
        <f t="shared" si="42"/>
        <v>0</v>
      </c>
      <c r="I245" s="68">
        <f t="shared" si="42"/>
        <v>0</v>
      </c>
      <c r="J245" s="68">
        <f t="shared" si="42"/>
        <v>0</v>
      </c>
      <c r="K245" s="68">
        <f t="shared" si="42"/>
        <v>0</v>
      </c>
      <c r="L245" s="68">
        <f t="shared" si="42"/>
        <v>0</v>
      </c>
    </row>
  </sheetData>
  <pageMargins left="0.7" right="0.7" top="0.75" bottom="0.75" header="0.3" footer="0.3"/>
  <pageSetup scale="72" fitToHeight="0" orientation="landscape"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E80FD-62CC-4B57-A878-648223F484EE}">
  <sheetPr>
    <tabColor rgb="FF132E57"/>
  </sheetPr>
  <dimension ref="A1:J62"/>
  <sheetViews>
    <sheetView workbookViewId="0">
      <selection activeCell="H34" sqref="H34"/>
    </sheetView>
  </sheetViews>
  <sheetFormatPr defaultRowHeight="14.4" x14ac:dyDescent="0.3"/>
  <cols>
    <col min="1" max="1" width="3.33203125" customWidth="1"/>
    <col min="2" max="2" width="46.33203125" customWidth="1"/>
    <col min="3" max="10" width="17.5546875" customWidth="1"/>
  </cols>
  <sheetData>
    <row r="1" spans="1:10" ht="34.049999999999997" customHeight="1" x14ac:dyDescent="0.3">
      <c r="A1" s="214"/>
      <c r="B1" s="214" t="s">
        <v>619</v>
      </c>
      <c r="C1" s="214"/>
      <c r="D1" s="214"/>
      <c r="E1" s="214"/>
      <c r="F1" s="214"/>
      <c r="G1" s="214"/>
      <c r="H1" s="214"/>
      <c r="I1" s="214"/>
      <c r="J1" s="214"/>
    </row>
    <row r="2" spans="1:10" ht="19.95" customHeight="1" x14ac:dyDescent="0.3">
      <c r="A2" s="1"/>
      <c r="B2" s="215" t="str">
        <f>"Official price series behind the model's appreciation assumption · DANE Índice de Precios de Vivienda Nueva, II trimestre 2026 · peso terms unless marked USD"</f>
        <v>Official price series behind the model's appreciation assumption · DANE Índice de Precios de Vivienda Nueva, II trimestre 2026 · peso terms unless marked USD</v>
      </c>
      <c r="C2" s="1"/>
      <c r="D2" s="1"/>
      <c r="E2" s="1"/>
      <c r="F2" s="1"/>
      <c r="G2" s="1"/>
      <c r="H2" s="1"/>
      <c r="I2" s="1"/>
      <c r="J2" s="1"/>
    </row>
    <row r="3" spans="1:10" x14ac:dyDescent="0.3">
      <c r="A3" s="1"/>
      <c r="B3" s="1"/>
      <c r="C3" s="1"/>
      <c r="D3" s="1"/>
      <c r="E3" s="1"/>
      <c r="F3" s="1"/>
      <c r="G3" s="1"/>
      <c r="H3" s="1"/>
      <c r="I3" s="1"/>
      <c r="J3" s="1"/>
    </row>
    <row r="4" spans="1:10" ht="19.95" customHeight="1" x14ac:dyDescent="0.3">
      <c r="A4" s="103"/>
      <c r="B4" s="103" t="s">
        <v>620</v>
      </c>
      <c r="C4" s="103"/>
      <c r="D4" s="103"/>
      <c r="E4" s="103"/>
      <c r="F4" s="103"/>
      <c r="G4" s="103"/>
      <c r="H4" s="103"/>
      <c r="I4" s="103"/>
      <c r="J4" s="103"/>
    </row>
    <row r="5" spans="1:10" ht="18" customHeight="1" x14ac:dyDescent="0.3">
      <c r="A5" s="1"/>
      <c r="B5" s="168" t="s">
        <v>621</v>
      </c>
      <c r="C5" s="168" t="s">
        <v>622</v>
      </c>
      <c r="D5" s="168" t="s">
        <v>623</v>
      </c>
      <c r="E5" s="168" t="s">
        <v>624</v>
      </c>
      <c r="F5" s="1"/>
      <c r="G5" s="1"/>
      <c r="H5" s="1"/>
      <c r="I5" s="1"/>
      <c r="J5" s="1"/>
    </row>
    <row r="6" spans="1:10" ht="18" customHeight="1" x14ac:dyDescent="0.3">
      <c r="A6" s="1"/>
      <c r="B6" s="9" t="s">
        <v>625</v>
      </c>
      <c r="C6" s="216">
        <v>7.6499999999999999E-2</v>
      </c>
      <c r="D6" s="216">
        <v>7.6100000000000001E-2</v>
      </c>
      <c r="E6" s="216">
        <v>8.6800000000000002E-2</v>
      </c>
      <c r="F6" s="1"/>
      <c r="G6" s="1"/>
      <c r="H6" s="1"/>
      <c r="I6" s="1"/>
      <c r="J6" s="1"/>
    </row>
    <row r="7" spans="1:10" ht="18" customHeight="1" x14ac:dyDescent="0.3">
      <c r="A7" s="1"/>
      <c r="B7" s="9" t="s">
        <v>626</v>
      </c>
      <c r="C7" s="216">
        <v>8.5400000000000004E-2</v>
      </c>
      <c r="D7" s="216">
        <v>8.4199999999999997E-2</v>
      </c>
      <c r="E7" s="216">
        <v>0.1072</v>
      </c>
      <c r="F7" s="1"/>
      <c r="G7" s="1"/>
      <c r="H7" s="1"/>
      <c r="I7" s="1"/>
      <c r="J7" s="1"/>
    </row>
    <row r="8" spans="1:10" ht="18" customHeight="1" x14ac:dyDescent="0.3">
      <c r="A8" s="1"/>
      <c r="B8" s="9" t="s">
        <v>627</v>
      </c>
      <c r="C8" s="216">
        <v>8.4599999999999995E-2</v>
      </c>
      <c r="D8" s="216">
        <v>8.3500000000000005E-2</v>
      </c>
      <c r="E8" s="216">
        <v>0.106</v>
      </c>
      <c r="F8" s="1"/>
      <c r="G8" s="1"/>
      <c r="H8" s="1"/>
      <c r="I8" s="1"/>
      <c r="J8" s="1"/>
    </row>
    <row r="9" spans="1:10" ht="18" customHeight="1" x14ac:dyDescent="0.3">
      <c r="A9" s="1"/>
      <c r="B9" s="9" t="s">
        <v>628</v>
      </c>
      <c r="C9" s="216">
        <v>8.7800000000000003E-2</v>
      </c>
      <c r="D9" s="216">
        <v>8.5800000000000001E-2</v>
      </c>
      <c r="E9" s="216">
        <v>0.1268</v>
      </c>
      <c r="F9" s="1"/>
      <c r="G9" s="1"/>
      <c r="H9" s="1"/>
      <c r="I9" s="1"/>
      <c r="J9" s="1"/>
    </row>
    <row r="10" spans="1:10" ht="18" customHeight="1" x14ac:dyDescent="0.3">
      <c r="A10" s="1"/>
      <c r="B10" s="9" t="s">
        <v>629</v>
      </c>
      <c r="C10" s="216">
        <v>9.3899999999999997E-2</v>
      </c>
      <c r="D10" s="216">
        <v>9.2799999999999994E-2</v>
      </c>
      <c r="E10" s="216">
        <v>0.1164</v>
      </c>
      <c r="F10" s="1"/>
      <c r="G10" s="1"/>
      <c r="H10" s="1"/>
      <c r="I10" s="1"/>
      <c r="J10" s="1"/>
    </row>
    <row r="11" spans="1:10" ht="18" customHeight="1" x14ac:dyDescent="0.3">
      <c r="A11" s="1"/>
      <c r="B11" s="9" t="s">
        <v>630</v>
      </c>
      <c r="C11" s="216">
        <v>0.10100000000000001</v>
      </c>
      <c r="D11" s="216">
        <v>9.9900000000000003E-2</v>
      </c>
      <c r="E11" s="216">
        <v>0.1242</v>
      </c>
      <c r="F11" s="1"/>
      <c r="G11" s="1"/>
      <c r="H11" s="1"/>
      <c r="I11" s="1"/>
      <c r="J11" s="1"/>
    </row>
    <row r="12" spans="1:10" ht="18" customHeight="1" x14ac:dyDescent="0.3">
      <c r="A12" s="1"/>
      <c r="B12" s="9" t="s">
        <v>631</v>
      </c>
      <c r="C12" s="216">
        <v>0.1115</v>
      </c>
      <c r="D12" s="216">
        <v>0.1108</v>
      </c>
      <c r="E12" s="216">
        <v>0.12889999999999999</v>
      </c>
      <c r="F12" s="1"/>
      <c r="G12" s="1"/>
      <c r="H12" s="1"/>
      <c r="I12" s="1"/>
      <c r="J12" s="1"/>
    </row>
    <row r="13" spans="1:10" ht="18" customHeight="1" x14ac:dyDescent="0.3">
      <c r="A13" s="1"/>
      <c r="B13" s="9" t="s">
        <v>632</v>
      </c>
      <c r="C13" s="216">
        <v>0.124</v>
      </c>
      <c r="D13" s="216">
        <v>0.12479999999999999</v>
      </c>
      <c r="E13" s="216">
        <v>0.11260000000000001</v>
      </c>
      <c r="F13" s="1"/>
      <c r="G13" s="1"/>
      <c r="H13" s="1"/>
      <c r="I13" s="1"/>
      <c r="J13" s="1"/>
    </row>
    <row r="14" spans="1:10" ht="18" customHeight="1" x14ac:dyDescent="0.3">
      <c r="A14" s="1"/>
      <c r="B14" s="9" t="s">
        <v>633</v>
      </c>
      <c r="C14" s="216">
        <v>0.1203</v>
      </c>
      <c r="D14" s="216">
        <v>0.12130000000000001</v>
      </c>
      <c r="E14" s="216">
        <v>0.1022</v>
      </c>
      <c r="F14" s="1"/>
      <c r="G14" s="1"/>
      <c r="H14" s="1"/>
      <c r="I14" s="1"/>
      <c r="J14" s="1"/>
    </row>
    <row r="15" spans="1:10" ht="18" customHeight="1" x14ac:dyDescent="0.3">
      <c r="A15" s="1"/>
      <c r="B15" s="9" t="s">
        <v>634</v>
      </c>
      <c r="C15" s="216">
        <v>0.1091</v>
      </c>
      <c r="D15" s="216">
        <v>0.1114</v>
      </c>
      <c r="E15" s="216">
        <v>6.2799999999999995E-2</v>
      </c>
      <c r="F15" s="1"/>
      <c r="G15" s="1"/>
      <c r="H15" s="1"/>
      <c r="I15" s="1"/>
      <c r="J15" s="1"/>
    </row>
    <row r="16" spans="1:10" ht="18" customHeight="1" x14ac:dyDescent="0.3">
      <c r="A16" s="1"/>
      <c r="B16" s="9" t="s">
        <v>635</v>
      </c>
      <c r="C16" s="216">
        <v>0.1037</v>
      </c>
      <c r="D16" s="216">
        <v>0.106</v>
      </c>
      <c r="E16" s="216">
        <v>5.4899999999999997E-2</v>
      </c>
      <c r="F16" s="1"/>
      <c r="G16" s="1"/>
      <c r="H16" s="1"/>
      <c r="I16" s="1"/>
      <c r="J16" s="1"/>
    </row>
    <row r="17" spans="1:10" ht="18" customHeight="1" x14ac:dyDescent="0.3">
      <c r="A17" s="1"/>
      <c r="B17" s="9" t="s">
        <v>636</v>
      </c>
      <c r="C17" s="216">
        <v>9.0700000000000003E-2</v>
      </c>
      <c r="D17" s="216">
        <v>9.3200000000000005E-2</v>
      </c>
      <c r="E17" s="216">
        <v>3.4000000000000002E-2</v>
      </c>
      <c r="F17" s="1"/>
      <c r="G17" s="1"/>
      <c r="H17" s="1"/>
      <c r="I17" s="1"/>
      <c r="J17" s="1"/>
    </row>
    <row r="18" spans="1:10" ht="18" customHeight="1" x14ac:dyDescent="0.3">
      <c r="A18" s="1"/>
      <c r="B18" s="9" t="s">
        <v>637</v>
      </c>
      <c r="C18" s="216">
        <v>9.9299999999999999E-2</v>
      </c>
      <c r="D18" s="216">
        <v>0.1009</v>
      </c>
      <c r="E18" s="216">
        <v>6.1499999999999999E-2</v>
      </c>
      <c r="F18" s="1"/>
      <c r="G18" s="1"/>
      <c r="H18" s="1"/>
      <c r="I18" s="1"/>
      <c r="J18" s="1"/>
    </row>
    <row r="19" spans="1:10" ht="18" customHeight="1" x14ac:dyDescent="0.3">
      <c r="A19" s="1"/>
      <c r="B19" s="9" t="s">
        <v>638</v>
      </c>
      <c r="C19" s="216">
        <v>0.1002</v>
      </c>
      <c r="D19" s="216">
        <v>9.9699999999999997E-2</v>
      </c>
      <c r="E19" s="216">
        <v>0.1089</v>
      </c>
      <c r="F19" s="1"/>
      <c r="G19" s="1"/>
      <c r="H19" s="1"/>
      <c r="I19" s="1"/>
      <c r="J19" s="1"/>
    </row>
    <row r="20" spans="1:10" ht="18" customHeight="1" x14ac:dyDescent="0.3">
      <c r="A20" s="1"/>
      <c r="B20" s="9" t="s">
        <v>639</v>
      </c>
      <c r="C20" s="216">
        <v>9.5000000000000001E-2</v>
      </c>
      <c r="D20" s="216">
        <v>9.4700000000000006E-2</v>
      </c>
      <c r="E20" s="216">
        <v>0.1017</v>
      </c>
      <c r="F20" s="1"/>
      <c r="G20" s="1"/>
      <c r="H20" s="1"/>
      <c r="I20" s="1"/>
      <c r="J20" s="1"/>
    </row>
    <row r="21" spans="1:10" ht="18" customHeight="1" x14ac:dyDescent="0.3">
      <c r="A21" s="1"/>
      <c r="B21" s="9" t="s">
        <v>640</v>
      </c>
      <c r="C21" s="216">
        <v>9.1700000000000004E-2</v>
      </c>
      <c r="D21" s="216">
        <v>9.1499999999999998E-2</v>
      </c>
      <c r="E21" s="216">
        <v>8.9099999999999999E-2</v>
      </c>
      <c r="F21" s="1"/>
      <c r="G21" s="1"/>
      <c r="H21" s="1"/>
      <c r="I21" s="1"/>
      <c r="J21" s="1"/>
    </row>
    <row r="22" spans="1:10" ht="18" customHeight="1" x14ac:dyDescent="0.3">
      <c r="A22" s="1"/>
      <c r="B22" s="9" t="s">
        <v>641</v>
      </c>
      <c r="C22" s="216">
        <v>8.4699999999999998E-2</v>
      </c>
      <c r="D22" s="216">
        <v>8.5000000000000006E-2</v>
      </c>
      <c r="E22" s="216">
        <v>7.1499999999999994E-2</v>
      </c>
      <c r="F22" s="1"/>
      <c r="G22" s="1"/>
      <c r="H22" s="1"/>
      <c r="I22" s="1"/>
      <c r="J22" s="1"/>
    </row>
    <row r="23" spans="1:10" ht="18" customHeight="1" x14ac:dyDescent="0.3">
      <c r="A23" s="1"/>
      <c r="B23" s="9" t="s">
        <v>642</v>
      </c>
      <c r="C23" s="216">
        <v>8.7999999999999995E-2</v>
      </c>
      <c r="D23" s="216">
        <v>8.8800000000000004E-2</v>
      </c>
      <c r="E23" s="216">
        <v>6.6699999999999995E-2</v>
      </c>
      <c r="F23" s="1"/>
      <c r="G23" s="1"/>
      <c r="H23" s="1"/>
      <c r="I23" s="1"/>
      <c r="J23" s="1"/>
    </row>
    <row r="24" spans="1:10" x14ac:dyDescent="0.3">
      <c r="A24" s="1"/>
      <c r="B24" s="1"/>
      <c r="C24" s="1"/>
      <c r="D24" s="1"/>
      <c r="E24" s="1"/>
      <c r="F24" s="1"/>
      <c r="G24" s="1"/>
      <c r="H24" s="1"/>
      <c r="I24" s="1"/>
      <c r="J24" s="1"/>
    </row>
    <row r="25" spans="1:10" ht="19.95" customHeight="1" x14ac:dyDescent="0.3">
      <c r="A25" s="103"/>
      <c r="B25" s="40" t="s">
        <v>643</v>
      </c>
      <c r="C25" s="103"/>
      <c r="D25" s="103"/>
      <c r="E25" s="103"/>
      <c r="F25" s="103"/>
      <c r="G25" s="103"/>
      <c r="H25" s="103"/>
      <c r="I25" s="103"/>
      <c r="J25" s="103"/>
    </row>
    <row r="26" spans="1:10" ht="31.95" customHeight="1" x14ac:dyDescent="0.3">
      <c r="A26" s="1"/>
      <c r="B26" s="116" t="s">
        <v>644</v>
      </c>
      <c r="C26" s="116" t="s">
        <v>645</v>
      </c>
      <c r="D26" s="116" t="s">
        <v>646</v>
      </c>
      <c r="E26" s="116" t="s">
        <v>647</v>
      </c>
      <c r="F26" s="116" t="s">
        <v>648</v>
      </c>
      <c r="G26" s="1"/>
      <c r="H26" s="1"/>
      <c r="I26" s="1"/>
      <c r="J26" s="1"/>
    </row>
    <row r="27" spans="1:10" ht="18" customHeight="1" x14ac:dyDescent="0.3">
      <c r="A27" s="1"/>
      <c r="B27" s="9" t="s">
        <v>649</v>
      </c>
      <c r="C27" s="217">
        <v>2.7300000000000001E-2</v>
      </c>
      <c r="D27" s="217">
        <v>-1.6500000000000001E-2</v>
      </c>
      <c r="E27" s="217">
        <v>4.1099999999999998E-2</v>
      </c>
      <c r="F27" s="217">
        <v>3.0300000000000001E-2</v>
      </c>
      <c r="G27" s="1"/>
      <c r="H27" s="1"/>
      <c r="I27" s="1"/>
      <c r="J27" s="1"/>
    </row>
    <row r="28" spans="1:10" ht="18" customHeight="1" x14ac:dyDescent="0.3">
      <c r="A28" s="1"/>
      <c r="B28" s="9" t="s">
        <v>650</v>
      </c>
      <c r="C28" s="217">
        <v>1.9400000000000001E-2</v>
      </c>
      <c r="D28" s="217">
        <v>-2.5600000000000001E-2</v>
      </c>
      <c r="E28" s="217">
        <v>4.3499999999999997E-2</v>
      </c>
      <c r="F28" s="217">
        <v>2.0199999999999999E-2</v>
      </c>
      <c r="G28" s="1"/>
      <c r="H28" s="1"/>
      <c r="I28" s="1"/>
      <c r="J28" s="1"/>
    </row>
    <row r="29" spans="1:10" ht="18" customHeight="1" x14ac:dyDescent="0.3">
      <c r="A29" s="1"/>
      <c r="B29" s="44" t="s">
        <v>651</v>
      </c>
      <c r="C29" s="218">
        <v>5.5800000000000002E-2</v>
      </c>
      <c r="D29" s="218">
        <v>-1.9199999999999998E-2</v>
      </c>
      <c r="E29" s="218">
        <v>7.4300000000000005E-2</v>
      </c>
      <c r="F29" s="218">
        <v>6.1800000000000001E-2</v>
      </c>
      <c r="G29" s="1"/>
      <c r="H29" s="1"/>
      <c r="I29" s="1"/>
      <c r="J29" s="1"/>
    </row>
    <row r="30" spans="1:10" x14ac:dyDescent="0.3">
      <c r="A30" s="1"/>
      <c r="B30" s="1"/>
      <c r="C30" s="1"/>
      <c r="D30" s="1"/>
      <c r="E30" s="1"/>
      <c r="F30" s="1"/>
      <c r="G30" s="1"/>
      <c r="H30" s="1"/>
      <c r="I30" s="1"/>
      <c r="J30" s="1"/>
    </row>
    <row r="31" spans="1:10" ht="19.95" customHeight="1" x14ac:dyDescent="0.3">
      <c r="A31" s="103"/>
      <c r="B31" s="103" t="s">
        <v>652</v>
      </c>
      <c r="C31" s="103"/>
      <c r="D31" s="103"/>
      <c r="E31" s="103"/>
      <c r="F31" s="103"/>
      <c r="G31" s="103"/>
      <c r="H31" s="103"/>
      <c r="I31" s="103"/>
      <c r="J31" s="103"/>
    </row>
    <row r="32" spans="1:10" ht="34.049999999999997" customHeight="1" x14ac:dyDescent="0.3">
      <c r="A32" s="1"/>
      <c r="B32" s="337" t="s">
        <v>933</v>
      </c>
      <c r="C32" s="216">
        <f>Input!$C$54</f>
        <v>7.8087751371115163E-2</v>
      </c>
      <c r="D32" s="1"/>
      <c r="E32" s="1"/>
      <c r="F32" s="1"/>
      <c r="G32" s="1"/>
      <c r="H32" s="1"/>
      <c r="I32" s="1"/>
      <c r="J32" s="1"/>
    </row>
    <row r="33" spans="1:10" ht="34.049999999999997" customHeight="1" x14ac:dyDescent="0.3">
      <c r="A33" s="1"/>
      <c r="B33" s="337" t="s">
        <v>934</v>
      </c>
      <c r="C33" s="216">
        <f>Input!$C$6</f>
        <v>0</v>
      </c>
      <c r="D33" s="1"/>
      <c r="E33" s="1"/>
      <c r="F33" s="1"/>
      <c r="G33" s="1"/>
      <c r="H33" s="1"/>
      <c r="I33" s="1"/>
      <c r="J33" s="1"/>
    </row>
    <row r="34" spans="1:10" ht="18" customHeight="1" x14ac:dyDescent="0.3">
      <c r="A34" s="1"/>
      <c r="B34" s="185" t="s">
        <v>653</v>
      </c>
      <c r="C34" s="219">
        <f>Input!$C$55</f>
        <v>7.8087751371115122E-2</v>
      </c>
      <c r="D34" s="1"/>
      <c r="E34" s="1"/>
      <c r="F34" s="1"/>
      <c r="G34" s="1"/>
      <c r="H34" s="1"/>
      <c r="I34" s="1"/>
      <c r="J34" s="1"/>
    </row>
    <row r="35" spans="1:10" ht="18" customHeight="1" x14ac:dyDescent="0.3">
      <c r="A35" s="1"/>
      <c r="B35" s="9" t="s">
        <v>654</v>
      </c>
      <c r="C35" s="216">
        <f>$D$23</f>
        <v>8.8800000000000004E-2</v>
      </c>
      <c r="D35" s="1"/>
      <c r="E35" s="1"/>
      <c r="F35" s="1"/>
      <c r="G35" s="1"/>
      <c r="H35" s="1"/>
      <c r="I35" s="1"/>
      <c r="J35" s="1"/>
    </row>
    <row r="36" spans="1:10" ht="18" customHeight="1" x14ac:dyDescent="0.3">
      <c r="A36" s="1"/>
      <c r="B36" s="9" t="s">
        <v>655</v>
      </c>
      <c r="C36" s="217">
        <f>$C$29</f>
        <v>5.5800000000000002E-2</v>
      </c>
      <c r="D36" s="1"/>
      <c r="E36" s="1"/>
      <c r="F36" s="1"/>
      <c r="G36" s="1"/>
      <c r="H36" s="1"/>
      <c r="I36" s="1"/>
      <c r="J36" s="1"/>
    </row>
    <row r="37" spans="1:10" ht="34.049999999999997" customHeight="1" x14ac:dyDescent="0.3">
      <c r="A37" s="1"/>
      <c r="B37" s="337" t="s">
        <v>656</v>
      </c>
      <c r="C37" s="217">
        <f>$F$29</f>
        <v>6.1800000000000001E-2</v>
      </c>
      <c r="D37" s="1"/>
      <c r="E37" s="1"/>
      <c r="F37" s="1"/>
      <c r="G37" s="1"/>
      <c r="H37" s="1"/>
      <c r="I37" s="1"/>
      <c r="J37" s="1"/>
    </row>
    <row r="38" spans="1:10" ht="18" customHeight="1" x14ac:dyDescent="0.3">
      <c r="A38" s="1"/>
      <c r="B38" s="9" t="s">
        <v>657</v>
      </c>
      <c r="C38" s="220">
        <f>($C$32-$F$29)*100</f>
        <v>1.6287751371115162</v>
      </c>
      <c r="D38" s="1"/>
      <c r="E38" s="1"/>
      <c r="F38" s="1"/>
      <c r="G38" s="1"/>
      <c r="H38" s="1"/>
      <c r="I38" s="1"/>
      <c r="J38" s="1"/>
    </row>
    <row r="39" spans="1:10" ht="18" customHeight="1" x14ac:dyDescent="0.3">
      <c r="A39" s="1"/>
      <c r="B39" s="9" t="s">
        <v>658</v>
      </c>
      <c r="C39" s="216">
        <f>(1+$F$29)/(1+$C$33)-1</f>
        <v>6.1800000000000077E-2</v>
      </c>
      <c r="D39" s="1"/>
      <c r="E39" s="1"/>
      <c r="F39" s="1"/>
      <c r="G39" s="1"/>
      <c r="H39" s="1"/>
      <c r="I39" s="1"/>
      <c r="J39" s="1"/>
    </row>
    <row r="40" spans="1:10" x14ac:dyDescent="0.3">
      <c r="A40" s="1"/>
      <c r="B40" s="1"/>
      <c r="C40" s="1"/>
      <c r="D40" s="1"/>
      <c r="E40" s="1"/>
      <c r="F40" s="1"/>
      <c r="G40" s="1"/>
      <c r="H40" s="1"/>
      <c r="I40" s="1"/>
      <c r="J40" s="1"/>
    </row>
    <row r="41" spans="1:10" ht="76.95" customHeight="1" x14ac:dyDescent="0.3">
      <c r="A41" s="1"/>
      <c r="B41" s="541" t="str">
        <f>"Appreciation is set per property, not workbook-wide: "&amp;TEXT(MAX(Input!$F$80:$F$89),"0.0%")&amp;" COP for the three El Poblado apartments and "&amp;TEXT(_xlfn.MINIFS(Input!$F$80:$F$89,Properties!$D$6:$D$15,1),"0.0%")&amp;" for the two El Retiro houses, following the DANE split between apartamentos and casas. The basis-weighted average of "&amp;TEXT($C$32,"0.0%")&amp;" sits just below the national apartment print ("&amp;TEXT($D$23,"0.0%")&amp;") and "&amp;TEXT(($C$32-$F$29)*100,"0.0")&amp;" points above the Medellín estrato 5–6 print ("&amp;TEXT($F$29,"0.0%")&amp;"). The estrato 5–6 series is the closest published proxy for this portfolio and is the conservative reading; the DANE index measures NEW-BUILD prices, while Dulcinea buys and resells existing stock. With peso depreciation at "&amp;TEXT($C$33,"0.0%")&amp;", the USD rate equals the COP rate — a reversion toward COP 3,650 would cut it to roughly 4–5%, which is the low column of the Exit Sensitivity block on Portfolio Analysis."</f>
        <v>Appreciation is set per property, not workbook-wide: 8.5% COP for the three El Poblado apartments and 7.2% for the two El Retiro houses, following the DANE split between apartamentos and casas. The basis-weighted average of 7.8% sits just below the national apartment print (8.9%) and 1.6 points above the Medellín estrato 5–6 print (6.2%). The estrato 5–6 series is the closest published proxy for this portfolio and is the conservative reading; the DANE index measures NEW-BUILD prices, while Dulcinea buys and resells existing stock. With peso depreciation at 0.0%, the USD rate equals the COP rate — a reversion toward COP 3,650 would cut it to roughly 4–5%, which is the low column of the Exit Sensitivity block on Portfolio Analysis.</v>
      </c>
      <c r="C41" s="541"/>
      <c r="D41" s="541"/>
      <c r="E41" s="541"/>
      <c r="F41" s="541"/>
      <c r="G41" s="541"/>
      <c r="H41" s="541"/>
      <c r="I41" s="541"/>
      <c r="J41" s="541"/>
    </row>
    <row r="42" spans="1:10" x14ac:dyDescent="0.3">
      <c r="A42" s="1"/>
      <c r="B42" s="1"/>
      <c r="C42" s="1"/>
      <c r="D42" s="1"/>
      <c r="E42" s="1"/>
      <c r="F42" s="1"/>
      <c r="G42" s="1"/>
      <c r="H42" s="1"/>
      <c r="I42" s="1"/>
      <c r="J42" s="1"/>
    </row>
    <row r="43" spans="1:10" ht="19.95" customHeight="1" x14ac:dyDescent="0.3">
      <c r="A43" s="103"/>
      <c r="B43" s="103" t="s">
        <v>659</v>
      </c>
      <c r="C43" s="103"/>
      <c r="D43" s="103"/>
      <c r="E43" s="103"/>
      <c r="F43" s="103"/>
      <c r="G43" s="103"/>
      <c r="H43" s="103"/>
      <c r="I43" s="103"/>
      <c r="J43" s="103"/>
    </row>
    <row r="44" spans="1:10" ht="18" customHeight="1" x14ac:dyDescent="0.3">
      <c r="A44" s="1"/>
      <c r="B44" s="131" t="s">
        <v>660</v>
      </c>
      <c r="C44" s="131" t="s">
        <v>661</v>
      </c>
      <c r="D44" s="9" t="s">
        <v>667</v>
      </c>
      <c r="E44" s="1"/>
      <c r="F44" s="1"/>
      <c r="G44" s="1"/>
      <c r="H44" s="1"/>
      <c r="I44" s="1"/>
      <c r="J44" s="1"/>
    </row>
    <row r="45" spans="1:10" ht="18" customHeight="1" x14ac:dyDescent="0.3">
      <c r="A45" s="1"/>
      <c r="B45" s="9" t="s">
        <v>662</v>
      </c>
      <c r="C45" s="200">
        <v>2000</v>
      </c>
      <c r="D45" s="200"/>
      <c r="E45" s="1"/>
      <c r="F45" s="1"/>
      <c r="G45" s="1"/>
      <c r="H45" s="1"/>
      <c r="I45" s="1"/>
      <c r="J45" s="1"/>
    </row>
    <row r="46" spans="1:10" ht="18" customHeight="1" x14ac:dyDescent="0.3">
      <c r="A46" s="1"/>
      <c r="B46" s="9" t="s">
        <v>663</v>
      </c>
      <c r="C46" s="200">
        <v>2843</v>
      </c>
      <c r="D46" s="200"/>
      <c r="E46" s="1"/>
      <c r="F46" s="1"/>
      <c r="G46" s="1"/>
      <c r="H46" s="1"/>
      <c r="I46" s="1"/>
      <c r="J46" s="1"/>
    </row>
    <row r="47" spans="1:10" ht="18" customHeight="1" x14ac:dyDescent="0.3">
      <c r="A47" s="1"/>
      <c r="B47" s="9" t="s">
        <v>664</v>
      </c>
      <c r="C47" s="200">
        <v>5118</v>
      </c>
      <c r="D47" s="200"/>
      <c r="E47" s="1"/>
      <c r="F47" s="1"/>
      <c r="G47" s="1"/>
      <c r="H47" s="1"/>
      <c r="I47" s="1"/>
      <c r="J47" s="1"/>
    </row>
    <row r="48" spans="1:10" ht="18" customHeight="1" x14ac:dyDescent="0.3">
      <c r="A48" s="1"/>
      <c r="B48" s="9" t="s">
        <v>665</v>
      </c>
      <c r="C48" s="200">
        <v>3596</v>
      </c>
      <c r="D48" s="200"/>
      <c r="E48" s="1"/>
      <c r="F48" s="1"/>
      <c r="G48" s="1"/>
      <c r="H48" s="1"/>
      <c r="I48" s="1"/>
      <c r="J48" s="1"/>
    </row>
    <row r="49" spans="1:10" ht="18" customHeight="1" x14ac:dyDescent="0.3">
      <c r="A49" s="1"/>
      <c r="B49" s="9" t="s">
        <v>666</v>
      </c>
      <c r="C49" s="200">
        <v>3175</v>
      </c>
      <c r="D49" s="200">
        <v>3806</v>
      </c>
      <c r="E49" s="1"/>
      <c r="F49" s="1"/>
      <c r="G49" s="1"/>
      <c r="H49" s="1"/>
      <c r="I49" s="1"/>
      <c r="J49" s="1"/>
    </row>
    <row r="50" spans="1:10" ht="18" customHeight="1" x14ac:dyDescent="0.3">
      <c r="A50" s="1"/>
      <c r="B50" s="185" t="s">
        <v>1021</v>
      </c>
      <c r="C50" s="221">
        <f>Input!$C$5</f>
        <v>3090</v>
      </c>
      <c r="D50" s="200"/>
      <c r="E50" s="1"/>
      <c r="F50" s="1"/>
      <c r="G50" s="1"/>
      <c r="H50" s="1"/>
      <c r="I50" s="1"/>
      <c r="J50" s="1"/>
    </row>
    <row r="51" spans="1:10" x14ac:dyDescent="0.3">
      <c r="A51" s="1"/>
      <c r="B51" s="1"/>
      <c r="C51" s="1"/>
      <c r="D51" s="1"/>
      <c r="E51" s="1"/>
      <c r="F51" s="1"/>
      <c r="G51" s="1"/>
      <c r="H51" s="1"/>
      <c r="I51" s="1"/>
      <c r="J51" s="1"/>
    </row>
    <row r="52" spans="1:10" ht="19.95" customHeight="1" x14ac:dyDescent="0.3">
      <c r="A52" s="103"/>
      <c r="B52" s="40" t="s">
        <v>82</v>
      </c>
      <c r="C52" s="103"/>
      <c r="D52" s="103"/>
      <c r="E52" s="103"/>
      <c r="F52" s="103"/>
      <c r="G52" s="103"/>
      <c r="H52" s="103"/>
      <c r="I52" s="103"/>
      <c r="J52" s="103"/>
    </row>
    <row r="53" spans="1:10" ht="18" customHeight="1" x14ac:dyDescent="0.3">
      <c r="A53" s="1"/>
      <c r="B53" s="194" t="s">
        <v>668</v>
      </c>
      <c r="C53" s="1"/>
      <c r="D53" s="1"/>
      <c r="E53" s="1"/>
      <c r="F53" s="1"/>
      <c r="G53" s="1"/>
      <c r="H53" s="1"/>
      <c r="I53" s="1"/>
      <c r="J53" s="1"/>
    </row>
    <row r="54" spans="1:10" ht="18" customHeight="1" x14ac:dyDescent="0.3">
      <c r="A54" s="1"/>
      <c r="B54" s="194" t="s">
        <v>669</v>
      </c>
      <c r="C54" s="1"/>
      <c r="D54" s="1"/>
      <c r="E54" s="1"/>
      <c r="F54" s="1"/>
      <c r="G54" s="1"/>
      <c r="H54" s="1"/>
      <c r="I54" s="1"/>
      <c r="J54" s="1"/>
    </row>
    <row r="55" spans="1:10" ht="18" customHeight="1" x14ac:dyDescent="0.3">
      <c r="A55" s="1"/>
      <c r="B55" s="194" t="s">
        <v>670</v>
      </c>
      <c r="C55" s="1"/>
      <c r="D55" s="1"/>
      <c r="E55" s="1"/>
      <c r="F55" s="1"/>
      <c r="G55" s="1"/>
      <c r="H55" s="1"/>
      <c r="I55" s="1"/>
      <c r="J55" s="1"/>
    </row>
    <row r="56" spans="1:10" ht="18" customHeight="1" x14ac:dyDescent="0.3">
      <c r="A56" s="1"/>
      <c r="B56" s="194" t="s">
        <v>671</v>
      </c>
      <c r="C56" s="1"/>
      <c r="D56" s="1"/>
      <c r="E56" s="1"/>
      <c r="F56" s="1"/>
      <c r="G56" s="1"/>
      <c r="H56" s="1"/>
      <c r="I56" s="1"/>
      <c r="J56" s="1"/>
    </row>
    <row r="57" spans="1:10" ht="18" customHeight="1" x14ac:dyDescent="0.3">
      <c r="A57" s="1"/>
      <c r="B57" s="194" t="s">
        <v>672</v>
      </c>
      <c r="C57" s="1"/>
      <c r="D57" s="1"/>
      <c r="E57" s="1"/>
      <c r="F57" s="1"/>
      <c r="G57" s="1"/>
      <c r="H57" s="1"/>
      <c r="I57" s="1"/>
      <c r="J57" s="1"/>
    </row>
    <row r="59" spans="1:10" ht="14.55" customHeight="1" x14ac:dyDescent="0.3">
      <c r="B59" s="87" t="s">
        <v>673</v>
      </c>
      <c r="C59" s="16"/>
      <c r="D59" s="16"/>
      <c r="E59" s="16"/>
      <c r="F59" s="16"/>
    </row>
    <row r="60" spans="1:10" ht="14.55" customHeight="1" x14ac:dyDescent="0.3">
      <c r="B60" s="16"/>
      <c r="C60" s="16" t="s">
        <v>645</v>
      </c>
      <c r="D60" s="16" t="s">
        <v>674</v>
      </c>
      <c r="E60" s="16" t="s">
        <v>675</v>
      </c>
      <c r="F60" s="16" t="s">
        <v>648</v>
      </c>
    </row>
    <row r="61" spans="1:10" ht="14.55" customHeight="1" x14ac:dyDescent="0.3">
      <c r="B61" s="194" t="s">
        <v>676</v>
      </c>
      <c r="C61" s="222">
        <f>$C$29</f>
        <v>5.5800000000000002E-2</v>
      </c>
      <c r="D61" s="222">
        <f>$D$29</f>
        <v>-1.9199999999999998E-2</v>
      </c>
      <c r="E61" s="222">
        <f>$E$29</f>
        <v>7.4300000000000005E-2</v>
      </c>
      <c r="F61" s="222">
        <f>$F$29</f>
        <v>6.1800000000000001E-2</v>
      </c>
    </row>
    <row r="62" spans="1:10" ht="14.55" customHeight="1" x14ac:dyDescent="0.3">
      <c r="B62" s="16" t="s">
        <v>677</v>
      </c>
      <c r="C62" s="222">
        <f>Input!$C$54</f>
        <v>7.8087751371115163E-2</v>
      </c>
      <c r="D62" s="222">
        <f>Input!$C$54</f>
        <v>7.8087751371115163E-2</v>
      </c>
      <c r="E62" s="222">
        <f>Input!$C$54</f>
        <v>7.8087751371115163E-2</v>
      </c>
      <c r="F62" s="222">
        <f>Input!$C$54</f>
        <v>7.8087751371115163E-2</v>
      </c>
    </row>
  </sheetData>
  <mergeCells count="1">
    <mergeCell ref="B41:J41"/>
  </mergeCells>
  <pageMargins left="0.7" right="0.7" top="0.75" bottom="0.75" header="0.3" footer="0.3"/>
  <pageSetup orientation="landscape" horizontalDpi="0"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662F4-3A4C-433A-9FC4-90BEEB3790A5}">
  <sheetPr>
    <tabColor rgb="FF132E57"/>
    <pageSetUpPr fitToPage="1"/>
  </sheetPr>
  <dimension ref="A1:L74"/>
  <sheetViews>
    <sheetView topLeftCell="A38" workbookViewId="0">
      <selection activeCell="D57" sqref="D57"/>
    </sheetView>
  </sheetViews>
  <sheetFormatPr defaultRowHeight="14.4" x14ac:dyDescent="0.3"/>
  <cols>
    <col min="1" max="1" width="2.33203125" customWidth="1"/>
    <col min="2" max="2" width="57.44140625" customWidth="1"/>
    <col min="3" max="8" width="18.5546875" customWidth="1"/>
  </cols>
  <sheetData>
    <row r="1" spans="1:8" ht="36" customHeight="1" x14ac:dyDescent="0.3">
      <c r="A1" s="57"/>
      <c r="B1" s="53" t="s">
        <v>498</v>
      </c>
      <c r="C1" s="65"/>
      <c r="D1" s="65"/>
      <c r="E1" s="65"/>
      <c r="F1" s="65"/>
      <c r="G1" s="65"/>
      <c r="H1" s="69"/>
    </row>
    <row r="2" spans="1:8" ht="18" customHeight="1" x14ac:dyDescent="0.3">
      <c r="A2" s="1"/>
      <c r="B2" s="85" t="s">
        <v>1611</v>
      </c>
      <c r="C2" s="66"/>
      <c r="D2" s="66"/>
      <c r="E2" s="66"/>
      <c r="F2" s="66"/>
      <c r="G2" s="66"/>
      <c r="H2" s="66"/>
    </row>
    <row r="3" spans="1:8" ht="18" customHeight="1" x14ac:dyDescent="0.3">
      <c r="A3" s="9"/>
      <c r="B3" s="9"/>
      <c r="C3" s="9"/>
      <c r="D3" s="9"/>
      <c r="E3" s="9"/>
      <c r="F3" s="9"/>
      <c r="G3" s="9"/>
      <c r="H3" s="9"/>
    </row>
    <row r="4" spans="1:8" ht="19.95" customHeight="1" x14ac:dyDescent="0.3">
      <c r="A4" s="9"/>
      <c r="B4" s="38" t="s">
        <v>1022</v>
      </c>
      <c r="C4" s="38"/>
      <c r="D4" s="38"/>
      <c r="E4" s="38"/>
      <c r="F4" s="38"/>
      <c r="G4" s="38"/>
      <c r="H4" s="38"/>
    </row>
    <row r="5" spans="1:8" ht="18" customHeight="1" x14ac:dyDescent="0.3">
      <c r="A5" s="9"/>
      <c r="B5" s="9" t="s">
        <v>336</v>
      </c>
      <c r="C5" s="47">
        <f>Input!$C$157</f>
        <v>20000</v>
      </c>
      <c r="D5" s="9"/>
      <c r="E5" s="9"/>
      <c r="F5" s="9"/>
      <c r="G5" s="9"/>
      <c r="H5" s="9"/>
    </row>
    <row r="6" spans="1:8" ht="18" customHeight="1" x14ac:dyDescent="0.3">
      <c r="A6" s="9"/>
      <c r="B6" s="9" t="s">
        <v>495</v>
      </c>
      <c r="C6" s="47">
        <f>Input!$C$158</f>
        <v>60000</v>
      </c>
      <c r="D6" s="9"/>
      <c r="E6" s="9"/>
      <c r="F6" s="9"/>
      <c r="G6" s="9"/>
      <c r="H6" s="9"/>
    </row>
    <row r="7" spans="1:8" ht="18" customHeight="1" x14ac:dyDescent="0.3">
      <c r="A7" s="9"/>
      <c r="B7" s="85" t="str">
        <f>"Allocation policy — Colombia personnel "&amp;TEXT(MIN('ServCo Personnel Colombia'!$H$6:$H$9),"0%")&amp;"–"&amp;TEXT(MAX('ServCo Personnel Colombia'!$H$6:$H$9),"0%")&amp;" of time by role; US personnel "&amp;TEXT('ServCo Personnel US'!$H$6,"0%")&amp;" per role — see the ServCo Personnel US and Colombia tabs"</f>
        <v>Allocation policy — Colombia personnel 0%–0% of time by role; US personnel 20% per role — see the ServCo Personnel US and Colombia tabs</v>
      </c>
      <c r="C7" s="9"/>
      <c r="D7" s="9"/>
      <c r="E7" s="9"/>
      <c r="F7" s="9"/>
      <c r="G7" s="9"/>
      <c r="H7" s="9"/>
    </row>
    <row r="8" spans="1:8" ht="18" customHeight="1" x14ac:dyDescent="0.3">
      <c r="A8" s="9"/>
      <c r="B8" s="9"/>
      <c r="C8" s="9"/>
      <c r="D8" s="9"/>
      <c r="E8" s="9"/>
      <c r="F8" s="9"/>
      <c r="G8" s="9"/>
      <c r="H8" s="9"/>
    </row>
    <row r="9" spans="1:8" ht="19.95" customHeight="1" x14ac:dyDescent="0.3">
      <c r="A9" s="9"/>
      <c r="B9" s="38" t="s">
        <v>499</v>
      </c>
      <c r="C9" s="183" t="str">
        <f t="shared" ref="C9:H9" si="0">"Year "&amp;C10</f>
        <v>Year 1</v>
      </c>
      <c r="D9" s="183" t="str">
        <f t="shared" si="0"/>
        <v>Year 2</v>
      </c>
      <c r="E9" s="183" t="str">
        <f t="shared" si="0"/>
        <v>Year 3</v>
      </c>
      <c r="F9" s="183" t="str">
        <f t="shared" si="0"/>
        <v>Year 4</v>
      </c>
      <c r="G9" s="183" t="str">
        <f t="shared" si="0"/>
        <v>Year 5</v>
      </c>
      <c r="H9" s="183" t="str">
        <f t="shared" si="0"/>
        <v>Year 6</v>
      </c>
    </row>
    <row r="10" spans="1:8" ht="18" customHeight="1" x14ac:dyDescent="0.3">
      <c r="A10" s="9"/>
      <c r="B10" s="9" t="s">
        <v>52</v>
      </c>
      <c r="C10" s="27">
        <f t="shared" ref="C10:H10" si="1">COLUMN()-2</f>
        <v>1</v>
      </c>
      <c r="D10" s="27">
        <f t="shared" si="1"/>
        <v>2</v>
      </c>
      <c r="E10" s="27">
        <f t="shared" si="1"/>
        <v>3</v>
      </c>
      <c r="F10" s="27">
        <f t="shared" si="1"/>
        <v>4</v>
      </c>
      <c r="G10" s="27">
        <f t="shared" si="1"/>
        <v>5</v>
      </c>
      <c r="H10" s="27">
        <f t="shared" si="1"/>
        <v>6</v>
      </c>
    </row>
    <row r="11" spans="1:8" x14ac:dyDescent="0.3">
      <c r="A11" s="9"/>
      <c r="B11" s="9" t="s">
        <v>65</v>
      </c>
      <c r="C11" s="9" t="str">
        <f>TEXT(EDATE(Input!$C$7,(C10-1)*12),"mmm-yy")&amp;" – "&amp;TEXT(EDATE(Input!$C$7,C10*12-1),"mmm-yy")</f>
        <v>Oct-26 – Sep-27</v>
      </c>
      <c r="D11" s="9" t="str">
        <f>TEXT(EDATE(Input!$C$7,(D10-1)*12),"mmm-yy")&amp;" – "&amp;TEXT(EDATE(Input!$C$7,D10*12-1),"mmm-yy")</f>
        <v>Oct-27 – Sep-28</v>
      </c>
      <c r="E11" s="9" t="str">
        <f>TEXT(EDATE(Input!$C$7,(E10-1)*12),"mmm-yy")&amp;" – "&amp;TEXT(EDATE(Input!$C$7,E10*12-1),"mmm-yy")</f>
        <v>Oct-28 – Sep-29</v>
      </c>
      <c r="F11" s="9" t="str">
        <f>TEXT(EDATE(Input!$C$7,(F10-1)*12),"mmm-yy")&amp;" – "&amp;TEXT(EDATE(Input!$C$7,F10*12-1),"mmm-yy")</f>
        <v>Oct-29 – Sep-30</v>
      </c>
      <c r="G11" s="9" t="str">
        <f>TEXT(EDATE(Input!$C$7,(G10-1)*12),"mmm-yy")&amp;" – "&amp;TEXT(EDATE(Input!$C$7,G10*12-1),"mmm-yy")</f>
        <v>Oct-30 – Sep-31</v>
      </c>
      <c r="H11" s="184" t="s">
        <v>1063</v>
      </c>
    </row>
    <row r="12" spans="1:8" ht="18" customHeight="1" x14ac:dyDescent="0.3">
      <c r="A12" s="9"/>
      <c r="B12" s="44" t="s">
        <v>500</v>
      </c>
      <c r="C12" s="45"/>
      <c r="D12" s="45"/>
      <c r="E12" s="45"/>
      <c r="F12" s="45"/>
      <c r="G12" s="45"/>
      <c r="H12" s="45"/>
    </row>
    <row r="13" spans="1:8" ht="18" customHeight="1" x14ac:dyDescent="0.3">
      <c r="A13" s="9"/>
      <c r="B13" s="66" t="s">
        <v>862</v>
      </c>
      <c r="C13" s="18">
        <v>0</v>
      </c>
      <c r="D13" s="18">
        <v>0</v>
      </c>
      <c r="E13" s="18">
        <v>0</v>
      </c>
      <c r="F13" s="18">
        <v>0</v>
      </c>
      <c r="G13" s="18">
        <v>0</v>
      </c>
      <c r="H13" s="18">
        <v>0</v>
      </c>
    </row>
    <row r="14" spans="1:8" ht="18" customHeight="1" x14ac:dyDescent="0.3">
      <c r="A14" s="9"/>
      <c r="B14" s="66" t="s">
        <v>863</v>
      </c>
      <c r="C14" s="18">
        <v>0</v>
      </c>
      <c r="D14" s="18">
        <v>0</v>
      </c>
      <c r="E14" s="18">
        <v>0</v>
      </c>
      <c r="F14" s="18">
        <v>0</v>
      </c>
      <c r="G14" s="18">
        <v>0</v>
      </c>
      <c r="H14" s="18">
        <v>0</v>
      </c>
    </row>
    <row r="15" spans="1:8" ht="18" customHeight="1" x14ac:dyDescent="0.3">
      <c r="A15" s="9"/>
      <c r="B15" s="66" t="s">
        <v>79</v>
      </c>
      <c r="C15" s="18">
        <f>'Income Statement'!C141</f>
        <v>47997.303128371103</v>
      </c>
      <c r="D15" s="18">
        <f>'Income Statement'!D141</f>
        <v>65719.660194174779</v>
      </c>
      <c r="E15" s="18">
        <f>'Income Statement'!E141</f>
        <v>46842.266720604093</v>
      </c>
      <c r="F15" s="18">
        <f>'Income Statement'!F141</f>
        <v>8572.4110032362478</v>
      </c>
      <c r="G15" s="18">
        <f>'Income Statement'!G141</f>
        <v>0</v>
      </c>
      <c r="H15" s="18">
        <f>'Income Statement'!H141</f>
        <v>0</v>
      </c>
    </row>
    <row r="16" spans="1:8" ht="18" customHeight="1" x14ac:dyDescent="0.3">
      <c r="A16" s="9"/>
      <c r="B16" s="66" t="str">
        <f>"Property management &amp; housekeeping ("&amp;TEXT(Input!$C$31,"0%")&amp;" of rent)"</f>
        <v>Property management &amp; housekeeping (20% of rent)</v>
      </c>
      <c r="C16" s="18">
        <f>'Income Statement'!C105</f>
        <v>16845.135000000002</v>
      </c>
      <c r="D16" s="18">
        <f>'Income Statement'!D105</f>
        <v>61642.367850857147</v>
      </c>
      <c r="E16" s="18">
        <f>'Income Statement'!E105</f>
        <v>42102.096698674286</v>
      </c>
      <c r="F16" s="18">
        <f>'Income Statement'!F105</f>
        <v>8095.7977423282282</v>
      </c>
      <c r="G16" s="18">
        <f>'Income Statement'!G105</f>
        <v>0</v>
      </c>
      <c r="H16" s="18">
        <f>'Income Statement'!H105</f>
        <v>0</v>
      </c>
    </row>
    <row r="17" spans="1:12" ht="18" customHeight="1" x14ac:dyDescent="0.3">
      <c r="A17" s="9"/>
      <c r="B17" s="66" t="s">
        <v>978</v>
      </c>
      <c r="C17" s="18">
        <f>'Income Statement'!C138</f>
        <v>0</v>
      </c>
      <c r="D17" s="18">
        <f>'Income Statement'!D138</f>
        <v>0</v>
      </c>
      <c r="E17" s="18">
        <f>'Income Statement'!E138</f>
        <v>0</v>
      </c>
      <c r="F17" s="18">
        <f>'Income Statement'!F138</f>
        <v>0</v>
      </c>
      <c r="G17" s="18">
        <f>'Income Statement'!G138</f>
        <v>0</v>
      </c>
      <c r="H17" s="18">
        <f>'Income Statement'!H138</f>
        <v>0</v>
      </c>
    </row>
    <row r="18" spans="1:12" ht="18" customHeight="1" x14ac:dyDescent="0.3">
      <c r="A18" s="9"/>
      <c r="B18" s="66" t="s">
        <v>864</v>
      </c>
      <c r="C18" s="18">
        <v>0</v>
      </c>
      <c r="D18" s="18">
        <v>0</v>
      </c>
      <c r="E18" s="18">
        <v>0</v>
      </c>
      <c r="F18" s="18">
        <v>0</v>
      </c>
      <c r="G18" s="18">
        <v>0</v>
      </c>
      <c r="H18" s="18">
        <v>0</v>
      </c>
    </row>
    <row r="19" spans="1:12" ht="18" customHeight="1" x14ac:dyDescent="0.3">
      <c r="A19" s="9"/>
      <c r="B19" s="66" t="s">
        <v>859</v>
      </c>
      <c r="C19" s="18">
        <f>'Income Statement'!C104</f>
        <v>0</v>
      </c>
      <c r="D19" s="18">
        <f>'Income Statement'!D104</f>
        <v>0</v>
      </c>
      <c r="E19" s="18">
        <f>'Income Statement'!E104</f>
        <v>0</v>
      </c>
      <c r="F19" s="18">
        <f>'Income Statement'!F104</f>
        <v>0</v>
      </c>
      <c r="G19" s="18">
        <f>'Income Statement'!G104</f>
        <v>0</v>
      </c>
      <c r="H19" s="18">
        <f>'Income Statement'!H104</f>
        <v>0</v>
      </c>
    </row>
    <row r="20" spans="1:12" ht="18" customHeight="1" x14ac:dyDescent="0.3">
      <c r="A20" s="9"/>
      <c r="B20" s="44" t="s">
        <v>69</v>
      </c>
      <c r="C20" s="45">
        <f t="shared" ref="C20:H20" si="2">SUM(C13:C19)</f>
        <v>64842.438128371105</v>
      </c>
      <c r="D20" s="45">
        <f t="shared" si="2"/>
        <v>127362.02804503193</v>
      </c>
      <c r="E20" s="45">
        <f t="shared" si="2"/>
        <v>88944.363419278379</v>
      </c>
      <c r="F20" s="45">
        <f t="shared" si="2"/>
        <v>16668.208745564476</v>
      </c>
      <c r="G20" s="45">
        <f t="shared" si="2"/>
        <v>0</v>
      </c>
      <c r="H20" s="45">
        <f t="shared" si="2"/>
        <v>0</v>
      </c>
    </row>
    <row r="21" spans="1:12" ht="18" customHeight="1" x14ac:dyDescent="0.3">
      <c r="A21" s="9"/>
      <c r="B21" s="44" t="s">
        <v>501</v>
      </c>
      <c r="C21" s="44"/>
      <c r="D21" s="44"/>
      <c r="E21" s="44"/>
      <c r="F21" s="44"/>
      <c r="G21" s="44"/>
      <c r="H21" s="44"/>
    </row>
    <row r="22" spans="1:12" ht="18" customHeight="1" x14ac:dyDescent="0.3">
      <c r="A22" s="9"/>
      <c r="B22" s="66" t="s">
        <v>242</v>
      </c>
      <c r="C22" s="18">
        <f>'ServCo Personnel US'!$I$10+'ServCo Personnel Colombia'!$I$14</f>
        <v>158400</v>
      </c>
      <c r="D22" s="18">
        <f>'ServCo Personnel US'!$I$10+'ServCo Personnel Colombia'!$I$14</f>
        <v>158400</v>
      </c>
      <c r="E22" s="18">
        <f>'ServCo Personnel US'!$I$10+'ServCo Personnel Colombia'!$I$14</f>
        <v>158400</v>
      </c>
      <c r="F22" s="18">
        <f>'ServCo Personnel US'!$I$10+'ServCo Personnel Colombia'!$I$14</f>
        <v>158400</v>
      </c>
      <c r="G22" s="18">
        <f>'ServCo Personnel US'!$I$10+'ServCo Personnel Colombia'!$I$14</f>
        <v>158400</v>
      </c>
      <c r="H22" s="18">
        <f>'ServCo Personnel US'!$I$10+'ServCo Personnel Colombia'!$I$14</f>
        <v>158400</v>
      </c>
    </row>
    <row r="23" spans="1:12" ht="18" customHeight="1" x14ac:dyDescent="0.3">
      <c r="A23" s="9"/>
      <c r="B23" s="66" t="s">
        <v>175</v>
      </c>
      <c r="C23" s="18">
        <f t="shared" ref="C23:H23" si="3">$C$5</f>
        <v>20000</v>
      </c>
      <c r="D23" s="18">
        <f t="shared" si="3"/>
        <v>20000</v>
      </c>
      <c r="E23" s="18">
        <f t="shared" si="3"/>
        <v>20000</v>
      </c>
      <c r="F23" s="18">
        <f t="shared" si="3"/>
        <v>20000</v>
      </c>
      <c r="G23" s="18">
        <f t="shared" si="3"/>
        <v>20000</v>
      </c>
      <c r="H23" s="18">
        <f t="shared" si="3"/>
        <v>20000</v>
      </c>
    </row>
    <row r="24" spans="1:12" ht="18" customHeight="1" x14ac:dyDescent="0.3">
      <c r="A24" s="9"/>
      <c r="B24" s="66" t="s">
        <v>860</v>
      </c>
      <c r="C24" s="18">
        <f>IFERROR(C16/Input!$C$31,0)*Input!$C$159</f>
        <v>4211.2837500000005</v>
      </c>
      <c r="D24" s="18">
        <f>IFERROR(D16/Input!$C$31,0)*Input!$C$159</f>
        <v>15410.591962714287</v>
      </c>
      <c r="E24" s="18">
        <f>IFERROR(E16/Input!$C$31,0)*Input!$C$159</f>
        <v>10525.524174668572</v>
      </c>
      <c r="F24" s="18">
        <f>IFERROR(F16/Input!$C$31,0)*Input!$C$159</f>
        <v>2023.949435582057</v>
      </c>
      <c r="G24" s="18">
        <f>IFERROR(G16/Input!$C$31,0)*Input!$C$159</f>
        <v>0</v>
      </c>
      <c r="H24" s="18">
        <f>IFERROR(H16/Input!$C$31,0)*Input!$C$159</f>
        <v>0</v>
      </c>
      <c r="I24" s="18">
        <f>IFERROR(I16/Input!$C$31,0)*Input!$C$159</f>
        <v>0</v>
      </c>
      <c r="J24" s="18">
        <f>IFERROR(J16/Input!$C$31,0)*Input!$C$159</f>
        <v>0</v>
      </c>
      <c r="K24" s="18">
        <f>IFERROR(K16/Input!$C$31,0)*Input!$C$159</f>
        <v>0</v>
      </c>
      <c r="L24" s="18">
        <f>IFERROR(L16/Input!$C$31,0)*Input!$C$159</f>
        <v>0</v>
      </c>
    </row>
    <row r="25" spans="1:12" ht="18" customHeight="1" x14ac:dyDescent="0.3">
      <c r="A25" s="9"/>
      <c r="B25" s="66" t="s">
        <v>496</v>
      </c>
      <c r="C25" s="18">
        <f t="shared" ref="C25:H25" si="4">$C$6</f>
        <v>60000</v>
      </c>
      <c r="D25" s="18">
        <f t="shared" si="4"/>
        <v>60000</v>
      </c>
      <c r="E25" s="18">
        <f t="shared" si="4"/>
        <v>60000</v>
      </c>
      <c r="F25" s="18">
        <f t="shared" si="4"/>
        <v>60000</v>
      </c>
      <c r="G25" s="18">
        <f t="shared" si="4"/>
        <v>60000</v>
      </c>
      <c r="H25" s="18">
        <f t="shared" si="4"/>
        <v>60000</v>
      </c>
    </row>
    <row r="26" spans="1:12" ht="18" customHeight="1" x14ac:dyDescent="0.3">
      <c r="A26" s="9"/>
      <c r="B26" s="44" t="s">
        <v>502</v>
      </c>
      <c r="C26" s="45">
        <f t="shared" ref="C26:H26" si="5">SUM(C22:C25)</f>
        <v>242611.28375</v>
      </c>
      <c r="D26" s="45">
        <f t="shared" si="5"/>
        <v>253810.59196271427</v>
      </c>
      <c r="E26" s="45">
        <f t="shared" si="5"/>
        <v>248925.52417466856</v>
      </c>
      <c r="F26" s="45">
        <f t="shared" si="5"/>
        <v>240423.94943558206</v>
      </c>
      <c r="G26" s="45">
        <f t="shared" si="5"/>
        <v>238400</v>
      </c>
      <c r="H26" s="45">
        <f t="shared" si="5"/>
        <v>238400</v>
      </c>
    </row>
    <row r="27" spans="1:12" ht="18" customHeight="1" x14ac:dyDescent="0.3">
      <c r="A27" s="9"/>
      <c r="B27" s="44" t="s">
        <v>503</v>
      </c>
      <c r="C27" s="45">
        <f t="shared" ref="C27:H27" si="6">C20-C26</f>
        <v>-177768.84562162889</v>
      </c>
      <c r="D27" s="45">
        <f t="shared" si="6"/>
        <v>-126448.56391768235</v>
      </c>
      <c r="E27" s="45">
        <f t="shared" si="6"/>
        <v>-159981.16075539018</v>
      </c>
      <c r="F27" s="45">
        <f t="shared" si="6"/>
        <v>-223755.74069001758</v>
      </c>
      <c r="G27" s="45">
        <f t="shared" si="6"/>
        <v>-238400</v>
      </c>
      <c r="H27" s="45">
        <f t="shared" si="6"/>
        <v>-238400</v>
      </c>
    </row>
    <row r="28" spans="1:12" ht="18" customHeight="1" x14ac:dyDescent="0.3">
      <c r="A28" s="9"/>
      <c r="B28" s="9" t="s">
        <v>340</v>
      </c>
      <c r="C28" s="156">
        <f t="shared" ref="C28:H28" si="7">IFERROR(C27/C26,"-")</f>
        <v>-0.73273115278847323</v>
      </c>
      <c r="D28" s="156">
        <f t="shared" si="7"/>
        <v>-0.4982005003804495</v>
      </c>
      <c r="E28" s="156">
        <f t="shared" si="7"/>
        <v>-0.6426868489513875</v>
      </c>
      <c r="F28" s="156">
        <f t="shared" si="7"/>
        <v>-0.93067159580110603</v>
      </c>
      <c r="G28" s="156">
        <f t="shared" si="7"/>
        <v>-1</v>
      </c>
      <c r="H28" s="156">
        <f t="shared" si="7"/>
        <v>-1</v>
      </c>
    </row>
    <row r="29" spans="1:12" ht="18" customHeight="1" x14ac:dyDescent="0.3">
      <c r="A29" s="9"/>
      <c r="B29" s="85"/>
      <c r="C29" s="9"/>
      <c r="D29" s="9"/>
      <c r="E29" s="9"/>
      <c r="F29" s="9"/>
      <c r="G29" s="9"/>
      <c r="H29" s="9"/>
    </row>
    <row r="30" spans="1:12" ht="18" customHeight="1" x14ac:dyDescent="0.3">
      <c r="A30" s="9"/>
      <c r="B30" s="9"/>
      <c r="C30" s="9"/>
      <c r="D30" s="9"/>
      <c r="E30" s="9"/>
      <c r="F30" s="9"/>
      <c r="G30" s="9"/>
      <c r="H30" s="9"/>
    </row>
    <row r="31" spans="1:12" ht="19.95" customHeight="1" x14ac:dyDescent="0.3">
      <c r="A31" s="9"/>
      <c r="B31" s="38" t="s">
        <v>504</v>
      </c>
      <c r="C31" s="183" t="str">
        <f t="shared" ref="C31:H31" si="8">C$9</f>
        <v>Year 1</v>
      </c>
      <c r="D31" s="183" t="str">
        <f t="shared" si="8"/>
        <v>Year 2</v>
      </c>
      <c r="E31" s="183" t="str">
        <f t="shared" si="8"/>
        <v>Year 3</v>
      </c>
      <c r="F31" s="183" t="str">
        <f t="shared" si="8"/>
        <v>Year 4</v>
      </c>
      <c r="G31" s="183" t="str">
        <f t="shared" si="8"/>
        <v>Year 5</v>
      </c>
      <c r="H31" s="183" t="str">
        <f t="shared" si="8"/>
        <v>Year 6</v>
      </c>
    </row>
    <row r="32" spans="1:12" ht="18" customHeight="1" x14ac:dyDescent="0.3">
      <c r="A32" s="9"/>
      <c r="B32" s="44" t="s">
        <v>511</v>
      </c>
      <c r="C32" s="44"/>
      <c r="D32" s="44"/>
      <c r="E32" s="44"/>
      <c r="F32" s="44"/>
      <c r="G32" s="44"/>
      <c r="H32" s="44"/>
    </row>
    <row r="33" spans="1:8" ht="18" customHeight="1" x14ac:dyDescent="0.3">
      <c r="A33" s="9"/>
      <c r="B33" s="49" t="s">
        <v>862</v>
      </c>
      <c r="C33" s="47">
        <f t="shared" ref="C33:H40" si="9">C13</f>
        <v>0</v>
      </c>
      <c r="D33" s="47">
        <f t="shared" si="9"/>
        <v>0</v>
      </c>
      <c r="E33" s="47">
        <f t="shared" si="9"/>
        <v>0</v>
      </c>
      <c r="F33" s="47">
        <f t="shared" si="9"/>
        <v>0</v>
      </c>
      <c r="G33" s="47">
        <f t="shared" si="9"/>
        <v>0</v>
      </c>
      <c r="H33" s="47">
        <f t="shared" si="9"/>
        <v>0</v>
      </c>
    </row>
    <row r="34" spans="1:8" ht="18" customHeight="1" x14ac:dyDescent="0.3">
      <c r="A34" s="9"/>
      <c r="B34" s="49" t="s">
        <v>863</v>
      </c>
      <c r="C34" s="47">
        <f t="shared" si="9"/>
        <v>0</v>
      </c>
      <c r="D34" s="47">
        <f t="shared" si="9"/>
        <v>0</v>
      </c>
      <c r="E34" s="47">
        <f t="shared" si="9"/>
        <v>0</v>
      </c>
      <c r="F34" s="47">
        <f t="shared" si="9"/>
        <v>0</v>
      </c>
      <c r="G34" s="47">
        <f t="shared" si="9"/>
        <v>0</v>
      </c>
      <c r="H34" s="47">
        <f t="shared" si="9"/>
        <v>0</v>
      </c>
    </row>
    <row r="35" spans="1:8" ht="18" customHeight="1" x14ac:dyDescent="0.3">
      <c r="A35" s="9"/>
      <c r="B35" s="49" t="s">
        <v>79</v>
      </c>
      <c r="C35" s="47">
        <f t="shared" si="9"/>
        <v>47997.303128371103</v>
      </c>
      <c r="D35" s="47">
        <f t="shared" si="9"/>
        <v>65719.660194174779</v>
      </c>
      <c r="E35" s="47">
        <f t="shared" si="9"/>
        <v>46842.266720604093</v>
      </c>
      <c r="F35" s="47">
        <f t="shared" si="9"/>
        <v>8572.4110032362478</v>
      </c>
      <c r="G35" s="47">
        <f t="shared" si="9"/>
        <v>0</v>
      </c>
      <c r="H35" s="47">
        <f t="shared" si="9"/>
        <v>0</v>
      </c>
    </row>
    <row r="36" spans="1:8" ht="18" customHeight="1" x14ac:dyDescent="0.3">
      <c r="A36" s="9"/>
      <c r="B36" s="49" t="str">
        <f>"Property management &amp; housekeeping ("&amp;TEXT(Input!$C$31,"0%")&amp;" of rent)"</f>
        <v>Property management &amp; housekeeping (20% of rent)</v>
      </c>
      <c r="C36" s="47">
        <f t="shared" si="9"/>
        <v>16845.135000000002</v>
      </c>
      <c r="D36" s="47">
        <f t="shared" si="9"/>
        <v>61642.367850857147</v>
      </c>
      <c r="E36" s="47">
        <f t="shared" si="9"/>
        <v>42102.096698674286</v>
      </c>
      <c r="F36" s="47">
        <f t="shared" si="9"/>
        <v>8095.7977423282282</v>
      </c>
      <c r="G36" s="47">
        <f t="shared" si="9"/>
        <v>0</v>
      </c>
      <c r="H36" s="47">
        <f t="shared" si="9"/>
        <v>0</v>
      </c>
    </row>
    <row r="37" spans="1:8" ht="18" customHeight="1" x14ac:dyDescent="0.3">
      <c r="A37" s="9"/>
      <c r="B37" s="49" t="s">
        <v>80</v>
      </c>
      <c r="C37" s="47">
        <f t="shared" si="9"/>
        <v>0</v>
      </c>
      <c r="D37" s="47">
        <f t="shared" si="9"/>
        <v>0</v>
      </c>
      <c r="E37" s="47">
        <f t="shared" si="9"/>
        <v>0</v>
      </c>
      <c r="F37" s="47">
        <f t="shared" si="9"/>
        <v>0</v>
      </c>
      <c r="G37" s="47">
        <f t="shared" si="9"/>
        <v>0</v>
      </c>
      <c r="H37" s="47">
        <f t="shared" si="9"/>
        <v>0</v>
      </c>
    </row>
    <row r="38" spans="1:8" ht="18" customHeight="1" x14ac:dyDescent="0.3">
      <c r="A38" s="9"/>
      <c r="B38" s="49" t="s">
        <v>864</v>
      </c>
      <c r="C38" s="47">
        <f t="shared" si="9"/>
        <v>0</v>
      </c>
      <c r="D38" s="47">
        <f t="shared" si="9"/>
        <v>0</v>
      </c>
      <c r="E38" s="47">
        <f t="shared" si="9"/>
        <v>0</v>
      </c>
      <c r="F38" s="47">
        <f t="shared" si="9"/>
        <v>0</v>
      </c>
      <c r="G38" s="47">
        <f t="shared" si="9"/>
        <v>0</v>
      </c>
      <c r="H38" s="47">
        <f t="shared" si="9"/>
        <v>0</v>
      </c>
    </row>
    <row r="39" spans="1:8" ht="18" customHeight="1" x14ac:dyDescent="0.3">
      <c r="A39" s="9"/>
      <c r="B39" s="49" t="s">
        <v>859</v>
      </c>
      <c r="C39" s="47">
        <f t="shared" si="9"/>
        <v>0</v>
      </c>
      <c r="D39" s="47">
        <f t="shared" si="9"/>
        <v>0</v>
      </c>
      <c r="E39" s="47">
        <f t="shared" si="9"/>
        <v>0</v>
      </c>
      <c r="F39" s="47">
        <f t="shared" si="9"/>
        <v>0</v>
      </c>
      <c r="G39" s="47">
        <f t="shared" si="9"/>
        <v>0</v>
      </c>
      <c r="H39" s="47">
        <f t="shared" si="9"/>
        <v>0</v>
      </c>
    </row>
    <row r="40" spans="1:8" ht="18" customHeight="1" x14ac:dyDescent="0.3">
      <c r="A40" s="9"/>
      <c r="B40" s="104" t="s">
        <v>512</v>
      </c>
      <c r="C40" s="45">
        <f t="shared" si="9"/>
        <v>64842.438128371105</v>
      </c>
      <c r="D40" s="45">
        <f t="shared" si="9"/>
        <v>127362.02804503193</v>
      </c>
      <c r="E40" s="45">
        <f t="shared" si="9"/>
        <v>88944.363419278379</v>
      </c>
      <c r="F40" s="45">
        <f t="shared" si="9"/>
        <v>16668.208745564476</v>
      </c>
      <c r="G40" s="45">
        <f t="shared" si="9"/>
        <v>0</v>
      </c>
      <c r="H40" s="45">
        <f t="shared" si="9"/>
        <v>0</v>
      </c>
    </row>
    <row r="41" spans="1:8" ht="18" customHeight="1" x14ac:dyDescent="0.3">
      <c r="A41" s="9"/>
      <c r="B41" s="104" t="s">
        <v>513</v>
      </c>
      <c r="C41" s="45"/>
      <c r="D41" s="45"/>
      <c r="E41" s="45"/>
      <c r="F41" s="45"/>
      <c r="G41" s="45"/>
      <c r="H41" s="45"/>
    </row>
    <row r="42" spans="1:8" ht="18" customHeight="1" x14ac:dyDescent="0.3">
      <c r="A42" s="9"/>
      <c r="B42" s="49" t="s">
        <v>242</v>
      </c>
      <c r="C42" s="47">
        <f t="shared" ref="C42:H46" si="10">C22</f>
        <v>158400</v>
      </c>
      <c r="D42" s="47">
        <f t="shared" si="10"/>
        <v>158400</v>
      </c>
      <c r="E42" s="47">
        <f t="shared" si="10"/>
        <v>158400</v>
      </c>
      <c r="F42" s="47">
        <f t="shared" si="10"/>
        <v>158400</v>
      </c>
      <c r="G42" s="47">
        <f t="shared" si="10"/>
        <v>158400</v>
      </c>
      <c r="H42" s="47">
        <f t="shared" si="10"/>
        <v>158400</v>
      </c>
    </row>
    <row r="43" spans="1:8" ht="18" customHeight="1" x14ac:dyDescent="0.3">
      <c r="A43" s="9"/>
      <c r="B43" s="49" t="s">
        <v>175</v>
      </c>
      <c r="C43" s="47">
        <f t="shared" si="10"/>
        <v>20000</v>
      </c>
      <c r="D43" s="47">
        <f t="shared" si="10"/>
        <v>20000</v>
      </c>
      <c r="E43" s="47">
        <f t="shared" si="10"/>
        <v>20000</v>
      </c>
      <c r="F43" s="47">
        <f t="shared" si="10"/>
        <v>20000</v>
      </c>
      <c r="G43" s="47">
        <f t="shared" si="10"/>
        <v>20000</v>
      </c>
      <c r="H43" s="47">
        <f t="shared" si="10"/>
        <v>20000</v>
      </c>
    </row>
    <row r="44" spans="1:8" ht="18" customHeight="1" x14ac:dyDescent="0.3">
      <c r="A44" s="9"/>
      <c r="B44" s="49" t="s">
        <v>860</v>
      </c>
      <c r="C44" s="47">
        <f t="shared" si="10"/>
        <v>4211.2837500000005</v>
      </c>
      <c r="D44" s="47">
        <f t="shared" si="10"/>
        <v>15410.591962714287</v>
      </c>
      <c r="E44" s="47">
        <f t="shared" si="10"/>
        <v>10525.524174668572</v>
      </c>
      <c r="F44" s="47">
        <f t="shared" si="10"/>
        <v>2023.949435582057</v>
      </c>
      <c r="G44" s="47">
        <f t="shared" si="10"/>
        <v>0</v>
      </c>
      <c r="H44" s="47">
        <f t="shared" si="10"/>
        <v>0</v>
      </c>
    </row>
    <row r="45" spans="1:8" ht="18" customHeight="1" x14ac:dyDescent="0.3">
      <c r="A45" s="9"/>
      <c r="B45" s="49" t="s">
        <v>496</v>
      </c>
      <c r="C45" s="47">
        <f t="shared" si="10"/>
        <v>60000</v>
      </c>
      <c r="D45" s="47">
        <f t="shared" si="10"/>
        <v>60000</v>
      </c>
      <c r="E45" s="47">
        <f t="shared" si="10"/>
        <v>60000</v>
      </c>
      <c r="F45" s="47">
        <f t="shared" si="10"/>
        <v>60000</v>
      </c>
      <c r="G45" s="47">
        <f t="shared" si="10"/>
        <v>60000</v>
      </c>
      <c r="H45" s="47">
        <f t="shared" si="10"/>
        <v>60000</v>
      </c>
    </row>
    <row r="46" spans="1:8" ht="18" customHeight="1" x14ac:dyDescent="0.3">
      <c r="A46" s="9"/>
      <c r="B46" s="104" t="s">
        <v>514</v>
      </c>
      <c r="C46" s="45">
        <f t="shared" si="10"/>
        <v>242611.28375</v>
      </c>
      <c r="D46" s="45">
        <f t="shared" si="10"/>
        <v>253810.59196271427</v>
      </c>
      <c r="E46" s="45">
        <f t="shared" si="10"/>
        <v>248925.52417466856</v>
      </c>
      <c r="F46" s="45">
        <f t="shared" si="10"/>
        <v>240423.94943558206</v>
      </c>
      <c r="G46" s="45">
        <f t="shared" si="10"/>
        <v>238400</v>
      </c>
      <c r="H46" s="45">
        <f t="shared" si="10"/>
        <v>238400</v>
      </c>
    </row>
    <row r="47" spans="1:8" ht="18" customHeight="1" x14ac:dyDescent="0.3">
      <c r="A47" s="9"/>
      <c r="B47" s="104" t="s">
        <v>515</v>
      </c>
      <c r="C47" s="45">
        <f t="shared" ref="C47:H47" si="11">C40-C46</f>
        <v>-177768.84562162889</v>
      </c>
      <c r="D47" s="45">
        <f t="shared" si="11"/>
        <v>-126448.56391768235</v>
      </c>
      <c r="E47" s="45">
        <f t="shared" si="11"/>
        <v>-159981.16075539018</v>
      </c>
      <c r="F47" s="45">
        <f t="shared" si="11"/>
        <v>-223755.74069001758</v>
      </c>
      <c r="G47" s="45">
        <f t="shared" si="11"/>
        <v>-238400</v>
      </c>
      <c r="H47" s="45">
        <f t="shared" si="11"/>
        <v>-238400</v>
      </c>
    </row>
    <row r="48" spans="1:8" ht="18" customHeight="1" x14ac:dyDescent="0.3">
      <c r="A48" s="9"/>
      <c r="B48" s="49" t="s">
        <v>505</v>
      </c>
      <c r="C48" s="47">
        <f t="shared" ref="C48:H48" si="12">MAX(0,-C47)</f>
        <v>177768.84562162889</v>
      </c>
      <c r="D48" s="47">
        <f t="shared" si="12"/>
        <v>126448.56391768235</v>
      </c>
      <c r="E48" s="47">
        <f t="shared" si="12"/>
        <v>159981.16075539018</v>
      </c>
      <c r="F48" s="47">
        <f t="shared" si="12"/>
        <v>223755.74069001758</v>
      </c>
      <c r="G48" s="47">
        <f t="shared" si="12"/>
        <v>238400</v>
      </c>
      <c r="H48" s="47">
        <f t="shared" si="12"/>
        <v>238400</v>
      </c>
    </row>
    <row r="49" spans="1:8" ht="18" customHeight="1" x14ac:dyDescent="0.3">
      <c r="A49" s="9"/>
      <c r="B49" s="104" t="s">
        <v>506</v>
      </c>
      <c r="C49" s="45">
        <f t="shared" ref="C49:H49" si="13">C47+C48</f>
        <v>0</v>
      </c>
      <c r="D49" s="45">
        <f t="shared" si="13"/>
        <v>0</v>
      </c>
      <c r="E49" s="45">
        <f t="shared" si="13"/>
        <v>0</v>
      </c>
      <c r="F49" s="45">
        <f t="shared" si="13"/>
        <v>0</v>
      </c>
      <c r="G49" s="45">
        <f t="shared" si="13"/>
        <v>0</v>
      </c>
      <c r="H49" s="45">
        <f t="shared" si="13"/>
        <v>0</v>
      </c>
    </row>
    <row r="50" spans="1:8" ht="18" customHeight="1" x14ac:dyDescent="0.3">
      <c r="A50" s="9"/>
      <c r="B50" s="49" t="s">
        <v>507</v>
      </c>
      <c r="C50" s="47">
        <f>SUM($C$48:C48)</f>
        <v>177768.84562162889</v>
      </c>
      <c r="D50" s="47">
        <f>SUM($C$48:D48)</f>
        <v>304217.40953931125</v>
      </c>
      <c r="E50" s="47">
        <f>SUM($C$48:E48)</f>
        <v>464198.57029470144</v>
      </c>
      <c r="F50" s="47">
        <f>SUM($C$48:F48)</f>
        <v>687954.31098471908</v>
      </c>
      <c r="G50" s="47">
        <f>SUM($C$48:G48)</f>
        <v>926354.31098471908</v>
      </c>
      <c r="H50" s="47">
        <f>SUM($C$48:H48)</f>
        <v>1164754.3109847191</v>
      </c>
    </row>
    <row r="51" spans="1:8" ht="18" customHeight="1" x14ac:dyDescent="0.3">
      <c r="A51" s="9"/>
      <c r="B51" s="9"/>
      <c r="C51" s="9"/>
      <c r="D51" s="9"/>
      <c r="E51" s="9"/>
      <c r="F51" s="9"/>
      <c r="G51" s="9"/>
      <c r="H51" s="9"/>
    </row>
    <row r="52" spans="1:8" ht="19.95" customHeight="1" x14ac:dyDescent="0.3">
      <c r="A52" s="9"/>
      <c r="B52" s="38" t="s">
        <v>228</v>
      </c>
      <c r="C52" s="38"/>
      <c r="D52" s="38"/>
      <c r="E52" s="38"/>
      <c r="F52" s="38"/>
      <c r="G52" s="38"/>
      <c r="H52" s="38"/>
    </row>
    <row r="53" spans="1:8" ht="18" customHeight="1" x14ac:dyDescent="0.3">
      <c r="A53" s="9"/>
      <c r="B53" s="186" t="s">
        <v>229</v>
      </c>
      <c r="C53" s="186" t="s">
        <v>230</v>
      </c>
      <c r="D53" s="186" t="s">
        <v>231</v>
      </c>
      <c r="E53" s="186" t="s">
        <v>232</v>
      </c>
      <c r="F53" s="9"/>
      <c r="G53" s="9"/>
      <c r="H53" s="9"/>
    </row>
    <row r="54" spans="1:8" ht="18" customHeight="1" x14ac:dyDescent="0.3">
      <c r="A54" s="9"/>
      <c r="B54" s="66" t="s">
        <v>233</v>
      </c>
      <c r="C54" s="189" t="s">
        <v>490</v>
      </c>
      <c r="D54" s="187">
        <f>Input!$C$94</f>
        <v>0.01</v>
      </c>
      <c r="E54" s="9" t="s">
        <v>234</v>
      </c>
      <c r="F54" s="9"/>
      <c r="G54" s="9"/>
      <c r="H54" s="9"/>
    </row>
    <row r="55" spans="1:8" ht="18" customHeight="1" x14ac:dyDescent="0.3">
      <c r="A55" s="9"/>
      <c r="B55" s="66" t="s">
        <v>235</v>
      </c>
      <c r="C55" s="189" t="s">
        <v>491</v>
      </c>
      <c r="D55" s="187">
        <f>Input!$C$95</f>
        <v>0.05</v>
      </c>
      <c r="E55" s="9" t="s">
        <v>236</v>
      </c>
      <c r="F55" s="9"/>
      <c r="G55" s="9"/>
      <c r="H55" s="9"/>
    </row>
    <row r="56" spans="1:8" ht="18" customHeight="1" x14ac:dyDescent="0.3">
      <c r="A56" s="9"/>
      <c r="B56" s="66" t="s">
        <v>237</v>
      </c>
      <c r="C56" s="189" t="s">
        <v>492</v>
      </c>
      <c r="D56" s="187">
        <f>Input!$C$30</f>
        <v>0.01</v>
      </c>
      <c r="E56" s="9" t="s">
        <v>238</v>
      </c>
      <c r="F56" s="9"/>
      <c r="G56" s="9"/>
      <c r="H56" s="9"/>
    </row>
    <row r="57" spans="1:8" ht="18" customHeight="1" x14ac:dyDescent="0.3">
      <c r="A57" s="9"/>
      <c r="B57" s="66" t="s">
        <v>1543</v>
      </c>
      <c r="C57" s="189" t="s">
        <v>509</v>
      </c>
      <c r="D57" s="187">
        <f>Input!$C$31</f>
        <v>0.2</v>
      </c>
      <c r="E57" s="9" t="s">
        <v>510</v>
      </c>
      <c r="F57" s="9"/>
      <c r="G57" s="9"/>
      <c r="H57" s="9"/>
    </row>
    <row r="58" spans="1:8" ht="18" customHeight="1" x14ac:dyDescent="0.3">
      <c r="A58" s="9"/>
      <c r="B58" s="66" t="s">
        <v>979</v>
      </c>
      <c r="C58" s="189" t="s">
        <v>493</v>
      </c>
      <c r="D58" s="188">
        <f>Input!$C$32</f>
        <v>0</v>
      </c>
      <c r="E58" s="9" t="s">
        <v>982</v>
      </c>
      <c r="F58" s="9"/>
      <c r="G58" s="9"/>
      <c r="H58" s="9"/>
    </row>
    <row r="59" spans="1:8" ht="18" customHeight="1" x14ac:dyDescent="0.3">
      <c r="A59" s="9"/>
      <c r="B59" s="66" t="s">
        <v>239</v>
      </c>
      <c r="C59" s="189" t="s">
        <v>494</v>
      </c>
      <c r="D59" s="187">
        <f>Input!$C$96</f>
        <v>5.0000000000000001E-3</v>
      </c>
      <c r="E59" s="9" t="s">
        <v>240</v>
      </c>
      <c r="F59" s="9"/>
      <c r="G59" s="9"/>
      <c r="H59" s="9"/>
    </row>
    <row r="60" spans="1:8" ht="18" customHeight="1" x14ac:dyDescent="0.3">
      <c r="A60" s="9"/>
      <c r="B60" s="66" t="s">
        <v>1545</v>
      </c>
      <c r="C60" s="189" t="s">
        <v>861</v>
      </c>
      <c r="D60" s="17" t="s">
        <v>1546</v>
      </c>
      <c r="E60" s="9" t="str">
        <f>"No separate billing; covered by the "&amp;TEXT(Input!$C$31,"0%")&amp;" combined fee. ServCo delivery cost "&amp;TEXT(Input!$C$159,"0.0%")&amp;" of gross rent"</f>
        <v>No separate billing; covered by the 20% combined fee. ServCo delivery cost 5.0% of gross rent</v>
      </c>
      <c r="F60" s="9"/>
      <c r="G60" s="9"/>
      <c r="H60" s="9"/>
    </row>
    <row r="61" spans="1:8" ht="18" customHeight="1" x14ac:dyDescent="0.3">
      <c r="A61" s="9"/>
      <c r="B61" s="9"/>
      <c r="C61" s="9"/>
      <c r="D61" s="9"/>
      <c r="E61" s="9"/>
      <c r="F61" s="9"/>
      <c r="G61" s="9"/>
      <c r="H61" s="9"/>
    </row>
    <row r="62" spans="1:8" ht="19.95" customHeight="1" x14ac:dyDescent="0.3">
      <c r="A62" s="9"/>
      <c r="B62" s="38" t="s">
        <v>135</v>
      </c>
      <c r="C62" s="183" t="str">
        <f t="shared" ref="C62:H62" si="14">C$9</f>
        <v>Year 1</v>
      </c>
      <c r="D62" s="183" t="str">
        <f t="shared" si="14"/>
        <v>Year 2</v>
      </c>
      <c r="E62" s="183" t="str">
        <f t="shared" si="14"/>
        <v>Year 3</v>
      </c>
      <c r="F62" s="183" t="str">
        <f t="shared" si="14"/>
        <v>Year 4</v>
      </c>
      <c r="G62" s="183" t="str">
        <f t="shared" si="14"/>
        <v>Year 5</v>
      </c>
      <c r="H62" s="183" t="str">
        <f t="shared" si="14"/>
        <v>Year 6</v>
      </c>
    </row>
    <row r="63" spans="1:8" ht="18" customHeight="1" x14ac:dyDescent="0.3">
      <c r="A63" s="9"/>
      <c r="B63" s="66" t="s">
        <v>508</v>
      </c>
      <c r="C63" s="18">
        <f t="shared" ref="C63:H63" si="15">C15+C16+C17+C19</f>
        <v>64842.438128371105</v>
      </c>
      <c r="D63" s="18">
        <f t="shared" si="15"/>
        <v>127362.02804503193</v>
      </c>
      <c r="E63" s="18">
        <f t="shared" si="15"/>
        <v>88944.363419278379</v>
      </c>
      <c r="F63" s="18">
        <f t="shared" si="15"/>
        <v>16668.208745564476</v>
      </c>
      <c r="G63" s="18">
        <f t="shared" si="15"/>
        <v>0</v>
      </c>
      <c r="H63" s="18">
        <f t="shared" si="15"/>
        <v>0</v>
      </c>
    </row>
    <row r="64" spans="1:8" ht="18" customHeight="1" x14ac:dyDescent="0.3">
      <c r="A64" s="9"/>
      <c r="B64" s="66" t="s">
        <v>339</v>
      </c>
      <c r="C64" s="18" cm="1">
        <f t="array" ref="C64">SUMPRODUCT((ROUNDUP(Properties!$Q$6:$Q$15/'_IRR Engine'!$Q$7,0)=C$10)*Properties!$M$6:$M$15)*Input!$C$94+SUMIF('_Month Engine'!$C$5:$DR$5,C$10,'_Month Engine'!$C$31:$DR$31)*Input!$C$95+SUMIF('_Month Engine'!$C$5:$DR$5,C$10,'_Month Engine'!$C$71:$DR$71)*Input!$C$96</f>
        <v>135852.21143473571</v>
      </c>
      <c r="D64" s="18" cm="1">
        <f t="array" ref="D64">SUMPRODUCT((ROUNDUP(Properties!$Q$6:$Q$15/'_IRR Engine'!$Q$7,0)=D$10)*Properties!$M$6:$M$15)*Input!$C$94+SUMIF('_Month Engine'!$C$5:$DR$5,D$10,'_Month Engine'!$C$31:$DR$31)*Input!$C$95+SUMIF('_Month Engine'!$C$5:$DR$5,D$10,'_Month Engine'!$C$71:$DR$71)*Input!$C$96</f>
        <v>4584.6817691477891</v>
      </c>
      <c r="E64" s="18" cm="1">
        <f t="array" ref="E64">SUMPRODUCT((ROUNDUP(Properties!$Q$6:$Q$15/'_IRR Engine'!$Q$7,0)=E$10)*Properties!$M$6:$M$15)*Input!$C$94+SUMIF('_Month Engine'!$C$5:$DR$5,E$10,'_Month Engine'!$C$31:$DR$31)*Input!$C$95+SUMIF('_Month Engine'!$C$5:$DR$5,E$10,'_Month Engine'!$C$71:$DR$71)*Input!$C$96</f>
        <v>27732.546098871204</v>
      </c>
      <c r="F64" s="18" cm="1">
        <f t="array" ref="F64">SUMPRODUCT((ROUNDUP(Properties!$Q$6:$Q$15/'_IRR Engine'!$Q$7,0)=F$10)*Properties!$M$6:$M$15)*Input!$C$94+SUMIF('_Month Engine'!$C$5:$DR$5,F$10,'_Month Engine'!$C$31:$DR$31)*Input!$C$95+SUMIF('_Month Engine'!$C$5:$DR$5,F$10,'_Month Engine'!$C$71:$DR$71)*Input!$C$96</f>
        <v>29152.008844232019</v>
      </c>
      <c r="G64" s="18" cm="1">
        <f t="array" ref="G64">SUMPRODUCT((ROUNDUP(Properties!$Q$6:$Q$15/'_IRR Engine'!$Q$7,0)=G$10)*Properties!$M$6:$M$15)*Input!$C$94+SUMIF('_Month Engine'!$C$5:$DR$5,G$10,'_Month Engine'!$C$31:$DR$31)*Input!$C$95+SUMIF('_Month Engine'!$C$5:$DR$5,G$10,'_Month Engine'!$C$71:$DR$71)*Input!$C$96</f>
        <v>0</v>
      </c>
      <c r="H64" s="18" cm="1">
        <f t="array" ref="H64">SUMPRODUCT((ROUNDUP(Properties!$Q$6:$Q$15/'_IRR Engine'!$Q$7,0)=H$10)*Properties!$M$6:$M$15)*Input!$C$94+SUMIF('_Month Engine'!$C$5:$DR$5,H$10,'_Month Engine'!$C$31:$DR$31)*Input!$C$95+SUMIF('_Month Engine'!$C$5:$DR$5,H$10,'_Month Engine'!$C$71:$DR$71)*Input!$C$96</f>
        <v>0</v>
      </c>
    </row>
    <row r="65" spans="1:8" ht="18" customHeight="1" x14ac:dyDescent="0.3">
      <c r="A65" s="9"/>
      <c r="B65" s="66" t="s">
        <v>243</v>
      </c>
      <c r="C65" s="156">
        <f>IFERROR(C20/(SUMIF('_Month Engine'!$C$5:$DR$5,C$10,'_Month Engine'!$C$57:$DR$57)/'_IRR Engine'!$Q$7),"-")</f>
        <v>1.3509600311281424E-2</v>
      </c>
      <c r="D65" s="156">
        <f>IFERROR(D20/(SUMIF('_Month Engine'!$C$5:$DR$5,D$10,'_Month Engine'!$C$57:$DR$57)/'_IRR Engine'!$Q$7),"-")</f>
        <v>1.9379593209814097E-2</v>
      </c>
      <c r="E65" s="156">
        <f>IFERROR(E20/(SUMIF('_Month Engine'!$C$5:$DR$5,E$10,'_Month Engine'!$C$57:$DR$57)/'_IRR Engine'!$Q$7),"-")</f>
        <v>1.898805707883372E-2</v>
      </c>
      <c r="F65" s="156">
        <f>IFERROR(F20/(SUMIF('_Month Engine'!$C$5:$DR$5,F$10,'_Month Engine'!$C$57:$DR$57)/'_IRR Engine'!$Q$7),"-")</f>
        <v>1.9444014920973703E-2</v>
      </c>
      <c r="G65" s="156" t="str">
        <f>IFERROR(G20/(SUMIF('_Month Engine'!$C$5:$DR$5,G$10,'_Month Engine'!$C$57:$DR$57)/'_IRR Engine'!$Q$7),"-")</f>
        <v>-</v>
      </c>
      <c r="H65" s="156" t="str">
        <f>IFERROR(H20/(SUMIF('_Month Engine'!$C$5:$DR$5,H$10,'_Month Engine'!$C$57:$DR$57)/'_IRR Engine'!$Q$7),"-")</f>
        <v>-</v>
      </c>
    </row>
    <row r="66" spans="1:8" ht="18" customHeight="1" x14ac:dyDescent="0.3">
      <c r="A66" s="9"/>
      <c r="B66" s="66" t="s">
        <v>244</v>
      </c>
      <c r="C66" s="156">
        <f>IFERROR(C20/'Income Statement'!C7,"-")</f>
        <v>0.76986546119542643</v>
      </c>
      <c r="D66" s="156">
        <f>IFERROR(D20/'Income Statement'!D7,"-")</f>
        <v>0.41322886347644061</v>
      </c>
      <c r="E66" s="156">
        <f>IFERROR(E20/'Income Statement'!E7,"-")</f>
        <v>0.42251750099694696</v>
      </c>
      <c r="F66" s="156">
        <f>IFERROR(F20/'Income Statement'!F7,"-")</f>
        <v>0.41177433715805634</v>
      </c>
      <c r="G66" s="156" t="str">
        <f>IFERROR(G20/'Income Statement'!G7,"-")</f>
        <v>-</v>
      </c>
      <c r="H66" s="156" t="str">
        <f>IFERROR(H20/'Income Statement'!H7,"-")</f>
        <v>-</v>
      </c>
    </row>
    <row r="67" spans="1:8" ht="18" customHeight="1" x14ac:dyDescent="0.3">
      <c r="A67" s="9"/>
      <c r="B67" s="9" t="str">
        <f>"Program total — charges (through final exit, Year "&amp;TEXT(Input!$C$57,"0")&amp;")"</f>
        <v>Program total — charges (through final exit, Year 4)</v>
      </c>
      <c r="C67" s="18">
        <f>SUM(C20:H20)</f>
        <v>297817.03833824582</v>
      </c>
      <c r="D67" s="9"/>
      <c r="E67" s="9"/>
      <c r="F67" s="9"/>
      <c r="G67" s="9"/>
      <c r="H67" s="9"/>
    </row>
    <row r="68" spans="1:8" ht="18" customHeight="1" x14ac:dyDescent="0.3">
      <c r="A68" s="9"/>
      <c r="B68" s="85"/>
      <c r="C68" s="9"/>
      <c r="D68" s="9"/>
      <c r="E68" s="9"/>
      <c r="F68" s="9"/>
      <c r="G68" s="9"/>
      <c r="H68" s="9"/>
    </row>
    <row r="69" spans="1:8" x14ac:dyDescent="0.3">
      <c r="A69" s="9"/>
      <c r="B69" s="9"/>
      <c r="C69" s="9"/>
      <c r="D69" s="9"/>
      <c r="E69" s="9"/>
      <c r="F69" s="9"/>
      <c r="G69" s="9"/>
      <c r="H69" s="9"/>
    </row>
    <row r="70" spans="1:8" x14ac:dyDescent="0.3">
      <c r="A70" s="9"/>
      <c r="B70" s="9"/>
      <c r="C70" s="9"/>
      <c r="D70" s="9"/>
      <c r="E70" s="9"/>
      <c r="F70" s="9"/>
      <c r="G70" s="9"/>
      <c r="H70" s="9"/>
    </row>
    <row r="71" spans="1:8" x14ac:dyDescent="0.3">
      <c r="A71" s="9"/>
      <c r="B71" s="9"/>
      <c r="C71" s="9"/>
      <c r="D71" s="9"/>
      <c r="E71" s="9"/>
      <c r="F71" s="9"/>
      <c r="G71" s="9"/>
      <c r="H71" s="9"/>
    </row>
    <row r="72" spans="1:8" x14ac:dyDescent="0.3">
      <c r="A72" s="9"/>
      <c r="B72" s="9"/>
      <c r="C72" s="9"/>
      <c r="D72" s="9"/>
      <c r="E72" s="9"/>
      <c r="F72" s="9"/>
      <c r="G72" s="9"/>
      <c r="H72" s="9"/>
    </row>
    <row r="73" spans="1:8" x14ac:dyDescent="0.3">
      <c r="A73" s="9"/>
      <c r="B73" s="9"/>
      <c r="C73" s="9"/>
      <c r="D73" s="9"/>
      <c r="E73" s="9"/>
      <c r="F73" s="9"/>
      <c r="G73" s="9"/>
      <c r="H73" s="9"/>
    </row>
    <row r="74" spans="1:8" x14ac:dyDescent="0.3">
      <c r="A74" s="9"/>
      <c r="B74" s="9"/>
      <c r="C74" s="9"/>
      <c r="D74" s="9"/>
      <c r="E74" s="9"/>
      <c r="F74" s="9"/>
      <c r="G74" s="9"/>
      <c r="H74" s="9"/>
    </row>
  </sheetData>
  <pageMargins left="0.7" right="0.7" top="0.75" bottom="0.75" header="0.3" footer="0.3"/>
  <pageSetup scale="72" fitToHeight="0" orientation="landscape" horizontalDpi="0" verticalDpi="0" r:id="rId1"/>
  <extLst>
    <ext xmlns:x14="http://schemas.microsoft.com/office/spreadsheetml/2009/9/main" uri="{78C0D931-6437-407d-A8EE-F0AAD7539E65}">
      <x14:conditionalFormattings>
        <x14:conditionalFormatting xmlns:xm="http://schemas.microsoft.com/office/excel/2006/main">
          <x14:cfRule type="expression" priority="1" stopIfTrue="1" id="{D2999FEA-910D-4BEF-948E-3F4E301C4D62}">
            <xm:f>C$10&gt;Input!$C$57</xm:f>
            <x14:dxf>
              <numFmt numFmtId="194" formatCode=";;;"/>
            </x14:dxf>
          </x14:cfRule>
          <xm:sqref>C9:H23 C24:L24 C25:H50</xm:sqref>
        </x14:conditionalFormatting>
        <x14:conditionalFormatting xmlns:xm="http://schemas.microsoft.com/office/excel/2006/main">
          <x14:cfRule type="expression" priority="2" stopIfTrue="1" id="{C34F8B90-8D70-4358-98BE-FFE405E7F9FF}">
            <xm:f>C$10&gt;Input!$C$57</xm:f>
            <x14:dxf>
              <numFmt numFmtId="194" formatCode=";;;"/>
            </x14:dxf>
          </x14:cfRule>
          <xm:sqref>C62:H66</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8A0A5-211D-4A3C-9BD1-1F8A0174CF0F}">
  <sheetPr>
    <tabColor rgb="FF132E57"/>
  </sheetPr>
  <dimension ref="A1:I12"/>
  <sheetViews>
    <sheetView showGridLines="0" workbookViewId="0">
      <selection activeCell="F9" sqref="F9"/>
    </sheetView>
  </sheetViews>
  <sheetFormatPr defaultRowHeight="14.4" x14ac:dyDescent="0.3"/>
  <cols>
    <col min="1" max="1" width="4.109375" customWidth="1"/>
    <col min="2" max="2" width="55.5546875" customWidth="1"/>
    <col min="3" max="9" width="19.44140625" customWidth="1"/>
  </cols>
  <sheetData>
    <row r="1" spans="1:9" ht="36" customHeight="1" x14ac:dyDescent="0.3">
      <c r="A1" s="90"/>
      <c r="B1" s="91" t="s">
        <v>838</v>
      </c>
      <c r="C1" s="90"/>
      <c r="D1" s="90"/>
      <c r="E1" s="90"/>
      <c r="F1" s="90"/>
      <c r="G1" s="90"/>
      <c r="H1" s="90"/>
      <c r="I1" s="90"/>
    </row>
    <row r="2" spans="1:9" ht="19.95" customHeight="1" x14ac:dyDescent="0.3">
      <c r="A2" s="89"/>
      <c r="B2" s="560" t="s">
        <v>337</v>
      </c>
      <c r="C2" s="561"/>
      <c r="D2" s="561"/>
      <c r="E2" s="561"/>
      <c r="F2" s="561"/>
      <c r="G2" s="561"/>
      <c r="H2" s="561"/>
      <c r="I2" s="561"/>
    </row>
    <row r="3" spans="1:9" ht="18" customHeight="1" x14ac:dyDescent="0.3">
      <c r="A3" s="89"/>
      <c r="B3" s="89"/>
      <c r="C3" s="89"/>
      <c r="D3" s="89"/>
      <c r="E3" s="89"/>
      <c r="F3" s="89"/>
      <c r="G3" s="89"/>
      <c r="H3" s="89"/>
      <c r="I3" s="89"/>
    </row>
    <row r="4" spans="1:9" ht="19.95" customHeight="1" x14ac:dyDescent="0.3">
      <c r="A4" s="88"/>
      <c r="B4" s="92" t="s">
        <v>839</v>
      </c>
      <c r="C4" s="88"/>
      <c r="D4" s="88"/>
      <c r="E4" s="88"/>
      <c r="F4" s="88"/>
      <c r="G4" s="88"/>
      <c r="H4" s="88"/>
      <c r="I4" s="88"/>
    </row>
    <row r="5" spans="1:9" ht="28.8" customHeight="1" x14ac:dyDescent="0.3">
      <c r="A5" s="89"/>
      <c r="B5" s="93" t="s">
        <v>151</v>
      </c>
      <c r="C5" s="93" t="s">
        <v>28</v>
      </c>
      <c r="D5" s="93" t="s">
        <v>152</v>
      </c>
      <c r="E5" s="93" t="s">
        <v>153</v>
      </c>
      <c r="F5" s="93" t="s">
        <v>154</v>
      </c>
      <c r="G5" s="93" t="s">
        <v>333</v>
      </c>
      <c r="H5" s="93" t="s">
        <v>155</v>
      </c>
      <c r="I5" s="93" t="s">
        <v>334</v>
      </c>
    </row>
    <row r="6" spans="1:9" ht="18" customHeight="1" x14ac:dyDescent="0.3">
      <c r="A6" s="89"/>
      <c r="B6" s="101" t="s">
        <v>484</v>
      </c>
      <c r="C6" s="98" t="s">
        <v>156</v>
      </c>
      <c r="D6" s="94">
        <v>240000</v>
      </c>
      <c r="E6" s="98" t="s">
        <v>157</v>
      </c>
      <c r="F6" s="96">
        <v>1.1000000000000001</v>
      </c>
      <c r="G6" s="97">
        <f>IF($E6="COP",$D6*12*1000000/Input!$C$5,$D6)*$F6</f>
        <v>264000</v>
      </c>
      <c r="H6" s="33">
        <v>0.2</v>
      </c>
      <c r="I6" s="97">
        <f t="shared" ref="I6:I8" si="0">$G6*$H6</f>
        <v>52800</v>
      </c>
    </row>
    <row r="7" spans="1:9" ht="18" customHeight="1" x14ac:dyDescent="0.3">
      <c r="A7" s="89"/>
      <c r="B7" s="101" t="s">
        <v>485</v>
      </c>
      <c r="C7" s="98" t="s">
        <v>156</v>
      </c>
      <c r="D7" s="94">
        <v>240000</v>
      </c>
      <c r="E7" s="98" t="s">
        <v>157</v>
      </c>
      <c r="F7" s="96">
        <v>1.1000000000000001</v>
      </c>
      <c r="G7" s="97">
        <f>IF($E7="COP",$D7*12*1000000/Input!$C$5,$D7)*$F7</f>
        <v>264000</v>
      </c>
      <c r="H7" s="33">
        <v>0.2</v>
      </c>
      <c r="I7" s="97">
        <f t="shared" si="0"/>
        <v>52800</v>
      </c>
    </row>
    <row r="8" spans="1:9" ht="18" customHeight="1" x14ac:dyDescent="0.3">
      <c r="A8" s="89"/>
      <c r="B8" s="101" t="s">
        <v>486</v>
      </c>
      <c r="C8" s="98" t="s">
        <v>156</v>
      </c>
      <c r="D8" s="94">
        <v>240000</v>
      </c>
      <c r="E8" s="98" t="s">
        <v>157</v>
      </c>
      <c r="F8" s="96">
        <v>1.1000000000000001</v>
      </c>
      <c r="G8" s="97">
        <f>IF($E8="COP",$D8*12*1000000/Input!$C$5,$D8)*$F8</f>
        <v>264000</v>
      </c>
      <c r="H8" s="33">
        <v>0.2</v>
      </c>
      <c r="I8" s="97">
        <f t="shared" si="0"/>
        <v>52800</v>
      </c>
    </row>
    <row r="9" spans="1:9" ht="19.95" customHeight="1" x14ac:dyDescent="0.3">
      <c r="A9" s="99"/>
      <c r="B9" s="102" t="s">
        <v>840</v>
      </c>
      <c r="C9" s="99"/>
      <c r="D9" s="99"/>
      <c r="E9" s="99"/>
      <c r="F9" s="99"/>
      <c r="G9" s="100">
        <f>SUM(G6:G8)</f>
        <v>792000</v>
      </c>
      <c r="H9" s="99"/>
      <c r="I9" s="100"/>
    </row>
    <row r="10" spans="1:9" ht="19.95" customHeight="1" x14ac:dyDescent="0.3">
      <c r="A10" s="99"/>
      <c r="B10" s="102" t="s">
        <v>841</v>
      </c>
      <c r="C10" s="99"/>
      <c r="D10" s="99"/>
      <c r="E10" s="99"/>
      <c r="F10" s="99"/>
      <c r="G10" s="99"/>
      <c r="H10" s="99"/>
      <c r="I10" s="100">
        <f>SUM(I6:I8)</f>
        <v>158400</v>
      </c>
    </row>
    <row r="11" spans="1:9" ht="19.95" customHeight="1" x14ac:dyDescent="0.3">
      <c r="A11" s="99"/>
      <c r="B11" s="102" t="s">
        <v>335</v>
      </c>
      <c r="C11" s="99"/>
      <c r="D11" s="99"/>
      <c r="E11" s="99"/>
      <c r="F11" s="99"/>
      <c r="G11" s="99"/>
      <c r="H11" s="99"/>
      <c r="I11" s="100">
        <f>G9-I10</f>
        <v>633600</v>
      </c>
    </row>
    <row r="12" spans="1:9" ht="18" customHeight="1" x14ac:dyDescent="0.3">
      <c r="A12" s="89"/>
      <c r="B12" s="101"/>
      <c r="C12" s="89"/>
      <c r="D12" s="89"/>
      <c r="E12" s="89"/>
      <c r="F12" s="89"/>
      <c r="G12" s="89"/>
      <c r="H12" s="89"/>
      <c r="I12" s="89"/>
    </row>
  </sheetData>
  <mergeCells count="1">
    <mergeCell ref="B2:I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0F567-0DB5-4964-960B-0CE683CF3F59}">
  <sheetPr>
    <tabColor rgb="FF132E57"/>
    <pageSetUpPr fitToPage="1"/>
  </sheetPr>
  <dimension ref="A1:I16"/>
  <sheetViews>
    <sheetView showGridLines="0" workbookViewId="0">
      <selection activeCell="M3" sqref="M3"/>
    </sheetView>
  </sheetViews>
  <sheetFormatPr defaultRowHeight="14.4" x14ac:dyDescent="0.3"/>
  <cols>
    <col min="1" max="1" width="4.109375" customWidth="1"/>
    <col min="2" max="2" width="55.5546875" customWidth="1"/>
    <col min="3" max="5" width="19.44140625" customWidth="1"/>
    <col min="6" max="9" width="14.88671875" customWidth="1"/>
  </cols>
  <sheetData>
    <row r="1" spans="1:9" ht="36" customHeight="1" x14ac:dyDescent="0.3">
      <c r="A1" s="90"/>
      <c r="B1" s="91" t="s">
        <v>842</v>
      </c>
      <c r="C1" s="90"/>
      <c r="D1" s="90"/>
      <c r="E1" s="90"/>
      <c r="F1" s="90"/>
      <c r="G1" s="90"/>
      <c r="H1" s="90"/>
      <c r="I1" s="90"/>
    </row>
    <row r="2" spans="1:9" ht="19.95" customHeight="1" x14ac:dyDescent="0.3">
      <c r="A2" s="89"/>
      <c r="B2" s="560" t="s">
        <v>337</v>
      </c>
      <c r="C2" s="561"/>
      <c r="D2" s="561"/>
      <c r="E2" s="561"/>
      <c r="F2" s="561"/>
      <c r="G2" s="561"/>
      <c r="H2" s="561"/>
      <c r="I2" s="561"/>
    </row>
    <row r="3" spans="1:9" ht="18" customHeight="1" x14ac:dyDescent="0.3">
      <c r="A3" s="89"/>
      <c r="B3" s="89"/>
      <c r="C3" s="89"/>
      <c r="D3" s="89"/>
      <c r="E3" s="89"/>
      <c r="F3" s="89"/>
      <c r="G3" s="89"/>
      <c r="H3" s="89"/>
      <c r="I3" s="89"/>
    </row>
    <row r="4" spans="1:9" ht="19.95" customHeight="1" x14ac:dyDescent="0.3">
      <c r="A4" s="88"/>
      <c r="B4" s="92" t="s">
        <v>843</v>
      </c>
      <c r="C4" s="88"/>
      <c r="D4" s="88"/>
      <c r="E4" s="88"/>
      <c r="F4" s="88"/>
      <c r="G4" s="88"/>
      <c r="H4" s="88"/>
      <c r="I4" s="88"/>
    </row>
    <row r="5" spans="1:9" ht="43.2" customHeight="1" x14ac:dyDescent="0.3">
      <c r="A5" s="89"/>
      <c r="B5" s="93" t="s">
        <v>151</v>
      </c>
      <c r="C5" s="93" t="s">
        <v>28</v>
      </c>
      <c r="D5" s="93" t="s">
        <v>152</v>
      </c>
      <c r="E5" s="93" t="s">
        <v>153</v>
      </c>
      <c r="F5" s="93" t="s">
        <v>154</v>
      </c>
      <c r="G5" s="93" t="s">
        <v>333</v>
      </c>
      <c r="H5" s="93" t="s">
        <v>155</v>
      </c>
      <c r="I5" s="93" t="s">
        <v>334</v>
      </c>
    </row>
    <row r="6" spans="1:9" ht="18" customHeight="1" x14ac:dyDescent="0.3">
      <c r="A6" s="89"/>
      <c r="B6" s="101" t="s">
        <v>158</v>
      </c>
      <c r="C6" s="98" t="s">
        <v>159</v>
      </c>
      <c r="D6" s="95">
        <v>25</v>
      </c>
      <c r="E6" s="98" t="s">
        <v>160</v>
      </c>
      <c r="F6" s="96">
        <v>1.45</v>
      </c>
      <c r="G6" s="97">
        <f>IF($E6="COP",$D6*12*1000000/Input!$C$5,$D6)*$F6</f>
        <v>140776.6990291262</v>
      </c>
      <c r="H6" s="33">
        <v>0</v>
      </c>
      <c r="I6" s="97">
        <f t="shared" ref="I6:I12" si="0">$G6*$H6</f>
        <v>0</v>
      </c>
    </row>
    <row r="7" spans="1:9" ht="18" customHeight="1" x14ac:dyDescent="0.3">
      <c r="A7" s="89"/>
      <c r="B7" s="101" t="s">
        <v>161</v>
      </c>
      <c r="C7" s="98" t="s">
        <v>159</v>
      </c>
      <c r="D7" s="95">
        <v>15</v>
      </c>
      <c r="E7" s="98" t="s">
        <v>160</v>
      </c>
      <c r="F7" s="96">
        <v>1.45</v>
      </c>
      <c r="G7" s="97">
        <f>IF($E7="COP",$D7*12*1000000/Input!$C$5,$D7)*$F7</f>
        <v>84466.01941747572</v>
      </c>
      <c r="H7" s="33">
        <v>0</v>
      </c>
      <c r="I7" s="97">
        <f t="shared" si="0"/>
        <v>0</v>
      </c>
    </row>
    <row r="8" spans="1:9" ht="18" customHeight="1" x14ac:dyDescent="0.3">
      <c r="A8" s="89"/>
      <c r="B8" s="101" t="s">
        <v>162</v>
      </c>
      <c r="C8" s="98" t="s">
        <v>159</v>
      </c>
      <c r="D8" s="95">
        <v>9</v>
      </c>
      <c r="E8" s="98" t="s">
        <v>160</v>
      </c>
      <c r="F8" s="96">
        <v>1.45</v>
      </c>
      <c r="G8" s="97">
        <f>IF($E8="COP",$D8*12*1000000/Input!$C$5,$D8)*$F8</f>
        <v>50679.611650485436</v>
      </c>
      <c r="H8" s="33">
        <v>0</v>
      </c>
      <c r="I8" s="97">
        <f t="shared" si="0"/>
        <v>0</v>
      </c>
    </row>
    <row r="9" spans="1:9" ht="18" customHeight="1" x14ac:dyDescent="0.3">
      <c r="A9" s="89"/>
      <c r="B9" s="101" t="s">
        <v>163</v>
      </c>
      <c r="C9" s="98" t="s">
        <v>159</v>
      </c>
      <c r="D9" s="95">
        <v>10</v>
      </c>
      <c r="E9" s="98" t="s">
        <v>160</v>
      </c>
      <c r="F9" s="96">
        <v>1.45</v>
      </c>
      <c r="G9" s="97">
        <f>IF($E9="COP",$D9*12*1000000/Input!$C$5,$D9)*$F9</f>
        <v>56310.679611650485</v>
      </c>
      <c r="H9" s="33">
        <v>0</v>
      </c>
      <c r="I9" s="97">
        <f t="shared" si="0"/>
        <v>0</v>
      </c>
    </row>
    <row r="10" spans="1:9" ht="18" customHeight="1" x14ac:dyDescent="0.3">
      <c r="A10" s="89"/>
      <c r="B10" s="101" t="s">
        <v>480</v>
      </c>
      <c r="C10" s="98" t="s">
        <v>159</v>
      </c>
      <c r="D10" s="95">
        <v>9</v>
      </c>
      <c r="E10" s="98" t="s">
        <v>160</v>
      </c>
      <c r="F10" s="96">
        <v>1.45</v>
      </c>
      <c r="G10" s="97">
        <f>IF($E10="COP",$D10*12*1000000/Input!$C$5,$D10)*$F10</f>
        <v>50679.611650485436</v>
      </c>
      <c r="H10" s="33">
        <v>0</v>
      </c>
      <c r="I10" s="97">
        <f t="shared" si="0"/>
        <v>0</v>
      </c>
    </row>
    <row r="11" spans="1:9" ht="18" customHeight="1" x14ac:dyDescent="0.3">
      <c r="A11" s="89"/>
      <c r="B11" s="101" t="s">
        <v>481</v>
      </c>
      <c r="C11" s="98" t="s">
        <v>482</v>
      </c>
      <c r="D11" s="95">
        <v>9</v>
      </c>
      <c r="E11" s="98" t="s">
        <v>160</v>
      </c>
      <c r="F11" s="96">
        <v>1.45</v>
      </c>
      <c r="G11" s="97">
        <f>IF($E11="COP",$D11*12*1000000/Input!$C$5,$D11)*$F11</f>
        <v>50679.611650485436</v>
      </c>
      <c r="H11" s="33">
        <v>0</v>
      </c>
      <c r="I11" s="97">
        <f t="shared" si="0"/>
        <v>0</v>
      </c>
    </row>
    <row r="12" spans="1:9" ht="18" customHeight="1" x14ac:dyDescent="0.3">
      <c r="A12" s="89"/>
      <c r="B12" s="101" t="s">
        <v>488</v>
      </c>
      <c r="C12" s="98" t="s">
        <v>482</v>
      </c>
      <c r="D12" s="95">
        <v>12</v>
      </c>
      <c r="E12" s="98" t="s">
        <v>160</v>
      </c>
      <c r="F12" s="96">
        <v>1.45</v>
      </c>
      <c r="G12" s="97">
        <f>IF($E12="COP",$D12*12*1000000/Input!$C$5,$D12)*$F12</f>
        <v>67572.815533980582</v>
      </c>
      <c r="H12" s="33">
        <v>0</v>
      </c>
      <c r="I12" s="97">
        <f t="shared" si="0"/>
        <v>0</v>
      </c>
    </row>
    <row r="13" spans="1:9" ht="19.95" customHeight="1" x14ac:dyDescent="0.3">
      <c r="A13" s="99"/>
      <c r="B13" s="102" t="s">
        <v>844</v>
      </c>
      <c r="C13" s="99"/>
      <c r="D13" s="99"/>
      <c r="E13" s="99"/>
      <c r="F13" s="99"/>
      <c r="G13" s="100">
        <f>SUM(G6:G12)</f>
        <v>501165.04854368931</v>
      </c>
      <c r="H13" s="99"/>
      <c r="I13" s="100"/>
    </row>
    <row r="14" spans="1:9" ht="19.95" customHeight="1" x14ac:dyDescent="0.3">
      <c r="A14" s="99"/>
      <c r="B14" s="102" t="s">
        <v>845</v>
      </c>
      <c r="C14" s="99"/>
      <c r="D14" s="99"/>
      <c r="E14" s="99"/>
      <c r="F14" s="99"/>
      <c r="G14" s="99"/>
      <c r="H14" s="99"/>
      <c r="I14" s="100">
        <f>SUM(I6:I12)</f>
        <v>0</v>
      </c>
    </row>
    <row r="15" spans="1:9" ht="19.95" customHeight="1" x14ac:dyDescent="0.3">
      <c r="A15" s="99"/>
      <c r="B15" s="102" t="s">
        <v>335</v>
      </c>
      <c r="C15" s="99"/>
      <c r="D15" s="99"/>
      <c r="E15" s="99"/>
      <c r="F15" s="99"/>
      <c r="G15" s="99"/>
      <c r="H15" s="99"/>
      <c r="I15" s="100">
        <f>G13-I14</f>
        <v>501165.04854368931</v>
      </c>
    </row>
    <row r="16" spans="1:9" ht="18" customHeight="1" x14ac:dyDescent="0.3">
      <c r="A16" s="89"/>
      <c r="B16" s="101"/>
      <c r="C16" s="89"/>
      <c r="D16" s="89"/>
      <c r="E16" s="89"/>
      <c r="F16" s="89"/>
      <c r="G16" s="89"/>
      <c r="H16" s="89"/>
      <c r="I16" s="89"/>
    </row>
  </sheetData>
  <mergeCells count="1">
    <mergeCell ref="B2:I2"/>
  </mergeCells>
  <pageMargins left="0.7" right="0.7" top="0.75" bottom="0.75" header="0.3" footer="0.3"/>
  <pageSetup scale="69" fitToHeight="0" orientation="landscape"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5DA1A-B976-4FB4-BFFF-5A55B45BC076}">
  <sheetPr>
    <tabColor rgb="FF132E57"/>
  </sheetPr>
  <dimension ref="A1:D91"/>
  <sheetViews>
    <sheetView showGridLines="0" workbookViewId="0"/>
  </sheetViews>
  <sheetFormatPr defaultRowHeight="14.4" x14ac:dyDescent="0.3"/>
  <cols>
    <col min="1" max="1" width="2.5546875" customWidth="1"/>
    <col min="2" max="2" width="35.21875" customWidth="1"/>
    <col min="3" max="3" width="103.6640625" customWidth="1"/>
  </cols>
  <sheetData>
    <row r="1" spans="1:4" ht="30" customHeight="1" x14ac:dyDescent="0.45">
      <c r="A1" s="439"/>
      <c r="B1" s="492" t="s">
        <v>1244</v>
      </c>
      <c r="C1" s="439"/>
      <c r="D1" s="439"/>
    </row>
    <row r="2" spans="1:4" ht="14.55" customHeight="1" x14ac:dyDescent="0.3">
      <c r="A2" s="439"/>
      <c r="B2" s="493" t="s">
        <v>1245</v>
      </c>
      <c r="C2" s="439"/>
      <c r="D2" s="439"/>
    </row>
    <row r="3" spans="1:4" x14ac:dyDescent="0.3">
      <c r="A3" s="439"/>
      <c r="B3" s="439"/>
      <c r="C3" s="439"/>
      <c r="D3" s="439"/>
    </row>
    <row r="4" spans="1:4" ht="19.95" customHeight="1" x14ac:dyDescent="0.3">
      <c r="A4" s="439"/>
      <c r="B4" s="447" t="s">
        <v>1246</v>
      </c>
      <c r="C4" s="447"/>
      <c r="D4" s="439"/>
    </row>
    <row r="5" spans="1:4" ht="48" customHeight="1" x14ac:dyDescent="0.3">
      <c r="A5" s="439"/>
      <c r="B5" s="536" t="s">
        <v>1520</v>
      </c>
      <c r="C5" s="536"/>
      <c r="D5" s="439"/>
    </row>
    <row r="6" spans="1:4" ht="48" customHeight="1" x14ac:dyDescent="0.3">
      <c r="A6" s="439"/>
      <c r="B6" s="536" t="s">
        <v>1532</v>
      </c>
      <c r="C6" s="536"/>
      <c r="D6" s="439"/>
    </row>
    <row r="7" spans="1:4" ht="10.050000000000001" customHeight="1" x14ac:dyDescent="0.3">
      <c r="A7" s="439"/>
      <c r="B7" s="439"/>
      <c r="C7" s="439"/>
      <c r="D7" s="439"/>
    </row>
    <row r="8" spans="1:4" ht="19.95" customHeight="1" x14ac:dyDescent="0.3">
      <c r="A8" s="439"/>
      <c r="B8" s="447" t="s">
        <v>1247</v>
      </c>
      <c r="C8" s="447"/>
      <c r="D8" s="439"/>
    </row>
    <row r="9" spans="1:4" ht="14.55" customHeight="1" x14ac:dyDescent="0.3">
      <c r="A9" s="439"/>
      <c r="B9" s="480" t="s">
        <v>1248</v>
      </c>
      <c r="C9" s="478" t="s">
        <v>1249</v>
      </c>
      <c r="D9" s="439"/>
    </row>
    <row r="10" spans="1:4" ht="14.55" customHeight="1" x14ac:dyDescent="0.3">
      <c r="A10" s="439"/>
      <c r="B10" s="480" t="s">
        <v>1250</v>
      </c>
      <c r="C10" s="478" t="s">
        <v>1251</v>
      </c>
      <c r="D10" s="439"/>
    </row>
    <row r="11" spans="1:4" ht="28.8" customHeight="1" x14ac:dyDescent="0.3">
      <c r="A11" s="439"/>
      <c r="B11" s="480" t="s">
        <v>1252</v>
      </c>
      <c r="C11" s="478" t="s">
        <v>1253</v>
      </c>
      <c r="D11" s="439"/>
    </row>
    <row r="12" spans="1:4" ht="28.8" customHeight="1" x14ac:dyDescent="0.3">
      <c r="A12" s="439"/>
      <c r="B12" s="480" t="s">
        <v>1254</v>
      </c>
      <c r="C12" s="478" t="s">
        <v>1255</v>
      </c>
      <c r="D12" s="439"/>
    </row>
    <row r="13" spans="1:4" ht="14.55" customHeight="1" x14ac:dyDescent="0.3">
      <c r="A13" s="439"/>
      <c r="B13" s="480" t="s">
        <v>1256</v>
      </c>
      <c r="C13" s="478" t="s">
        <v>1257</v>
      </c>
      <c r="D13" s="439"/>
    </row>
    <row r="14" spans="1:4" ht="28.8" customHeight="1" x14ac:dyDescent="0.3">
      <c r="A14" s="439"/>
      <c r="B14" s="480" t="s">
        <v>1258</v>
      </c>
      <c r="C14" s="478" t="s">
        <v>1259</v>
      </c>
      <c r="D14" s="439"/>
    </row>
    <row r="15" spans="1:4" x14ac:dyDescent="0.3">
      <c r="A15" s="439"/>
      <c r="B15" s="439"/>
      <c r="C15" s="439"/>
      <c r="D15" s="439"/>
    </row>
    <row r="16" spans="1:4" ht="19.95" customHeight="1" x14ac:dyDescent="0.3">
      <c r="A16" s="439"/>
      <c r="B16" s="447" t="s">
        <v>1260</v>
      </c>
      <c r="C16" s="447"/>
      <c r="D16" s="439"/>
    </row>
    <row r="17" spans="1:4" ht="57.45" customHeight="1" x14ac:dyDescent="0.3">
      <c r="A17" s="439"/>
      <c r="B17" s="480" t="s">
        <v>1261</v>
      </c>
      <c r="C17" s="478" t="s">
        <v>1262</v>
      </c>
      <c r="D17" s="439"/>
    </row>
    <row r="18" spans="1:4" ht="28.8" customHeight="1" x14ac:dyDescent="0.3">
      <c r="A18" s="439"/>
      <c r="B18" s="480" t="s">
        <v>1263</v>
      </c>
      <c r="C18" s="478" t="s">
        <v>1264</v>
      </c>
      <c r="D18" s="439"/>
    </row>
    <row r="19" spans="1:4" ht="28.8" customHeight="1" x14ac:dyDescent="0.3">
      <c r="A19" s="439"/>
      <c r="B19" s="480" t="s">
        <v>1265</v>
      </c>
      <c r="C19" s="478" t="s">
        <v>1266</v>
      </c>
      <c r="D19" s="439"/>
    </row>
    <row r="20" spans="1:4" ht="28.8" customHeight="1" x14ac:dyDescent="0.3">
      <c r="A20" s="439"/>
      <c r="B20" s="480" t="s">
        <v>1267</v>
      </c>
      <c r="C20" s="478" t="s">
        <v>1268</v>
      </c>
      <c r="D20" s="439"/>
    </row>
    <row r="21" spans="1:4" x14ac:dyDescent="0.3">
      <c r="A21" s="439"/>
      <c r="B21" s="439"/>
      <c r="C21" s="439"/>
      <c r="D21" s="439"/>
    </row>
    <row r="22" spans="1:4" ht="19.95" customHeight="1" x14ac:dyDescent="0.3">
      <c r="A22" s="439"/>
      <c r="B22" s="447" t="s">
        <v>1269</v>
      </c>
      <c r="C22" s="447"/>
      <c r="D22" s="439"/>
    </row>
    <row r="23" spans="1:4" ht="28.8" customHeight="1" x14ac:dyDescent="0.3">
      <c r="A23" s="439"/>
      <c r="B23" s="480" t="s">
        <v>1270</v>
      </c>
      <c r="C23" s="478" t="s">
        <v>1521</v>
      </c>
      <c r="D23" s="439"/>
    </row>
    <row r="24" spans="1:4" ht="28.8" customHeight="1" x14ac:dyDescent="0.3">
      <c r="A24" s="439"/>
      <c r="B24" s="480" t="s">
        <v>1271</v>
      </c>
      <c r="C24" s="478" t="s">
        <v>1522</v>
      </c>
      <c r="D24" s="439"/>
    </row>
    <row r="25" spans="1:4" ht="43.2" customHeight="1" x14ac:dyDescent="0.3">
      <c r="A25" s="439"/>
      <c r="B25" s="480" t="s">
        <v>1272</v>
      </c>
      <c r="C25" s="478" t="s">
        <v>1523</v>
      </c>
      <c r="D25" s="439"/>
    </row>
    <row r="26" spans="1:4" ht="28.8" customHeight="1" x14ac:dyDescent="0.3">
      <c r="A26" s="439"/>
      <c r="B26" s="480" t="s">
        <v>1273</v>
      </c>
      <c r="C26" s="478" t="s">
        <v>1274</v>
      </c>
      <c r="D26" s="439"/>
    </row>
    <row r="27" spans="1:4" ht="43.2" customHeight="1" x14ac:dyDescent="0.3">
      <c r="A27" s="439"/>
      <c r="B27" s="480" t="s">
        <v>1275</v>
      </c>
      <c r="C27" s="478" t="s">
        <v>1276</v>
      </c>
      <c r="D27" s="439"/>
    </row>
    <row r="28" spans="1:4" ht="14.55" customHeight="1" x14ac:dyDescent="0.3">
      <c r="A28" s="439"/>
      <c r="B28" s="480" t="s">
        <v>1277</v>
      </c>
      <c r="C28" s="478" t="s">
        <v>1360</v>
      </c>
      <c r="D28" s="439"/>
    </row>
    <row r="29" spans="1:4" ht="43.2" customHeight="1" x14ac:dyDescent="0.3">
      <c r="A29" s="439"/>
      <c r="B29" s="480" t="s">
        <v>1278</v>
      </c>
      <c r="C29" s="478" t="s">
        <v>1279</v>
      </c>
      <c r="D29" s="439"/>
    </row>
    <row r="30" spans="1:4" ht="43.2" customHeight="1" x14ac:dyDescent="0.3">
      <c r="A30" s="439"/>
      <c r="B30" s="480" t="s">
        <v>1280</v>
      </c>
      <c r="C30" s="478" t="s">
        <v>1281</v>
      </c>
      <c r="D30" s="439"/>
    </row>
    <row r="31" spans="1:4" ht="28.8" customHeight="1" x14ac:dyDescent="0.3">
      <c r="A31" s="439"/>
      <c r="B31" s="480" t="s">
        <v>1282</v>
      </c>
      <c r="C31" s="478" t="s">
        <v>1283</v>
      </c>
      <c r="D31" s="439"/>
    </row>
    <row r="32" spans="1:4" ht="28.8" customHeight="1" x14ac:dyDescent="0.3">
      <c r="A32" s="439"/>
      <c r="B32" s="480" t="s">
        <v>1361</v>
      </c>
      <c r="C32" s="478" t="s">
        <v>1317</v>
      </c>
      <c r="D32" s="439"/>
    </row>
    <row r="33" spans="1:4" x14ac:dyDescent="0.3">
      <c r="A33" s="439"/>
      <c r="B33" s="439"/>
      <c r="C33" s="439"/>
      <c r="D33" s="439"/>
    </row>
    <row r="34" spans="1:4" ht="19.95" customHeight="1" x14ac:dyDescent="0.3">
      <c r="A34" s="439"/>
      <c r="B34" s="447" t="s">
        <v>1284</v>
      </c>
      <c r="C34" s="447"/>
      <c r="D34" s="439"/>
    </row>
    <row r="35" spans="1:4" ht="14.55" customHeight="1" x14ac:dyDescent="0.3">
      <c r="A35" s="439"/>
      <c r="B35" s="480" t="s">
        <v>1285</v>
      </c>
      <c r="C35" s="478" t="s">
        <v>1286</v>
      </c>
      <c r="D35" s="439"/>
    </row>
    <row r="36" spans="1:4" ht="14.55" customHeight="1" x14ac:dyDescent="0.3">
      <c r="A36" s="439"/>
      <c r="B36" s="480" t="s">
        <v>1287</v>
      </c>
      <c r="C36" s="478" t="s">
        <v>1288</v>
      </c>
      <c r="D36" s="439"/>
    </row>
    <row r="37" spans="1:4" ht="14.55" customHeight="1" x14ac:dyDescent="0.3">
      <c r="A37" s="439"/>
      <c r="B37" s="480" t="s">
        <v>1289</v>
      </c>
      <c r="C37" s="478" t="s">
        <v>1290</v>
      </c>
      <c r="D37" s="439"/>
    </row>
    <row r="38" spans="1:4" ht="14.55" customHeight="1" x14ac:dyDescent="0.3">
      <c r="A38" s="439"/>
      <c r="B38" s="480" t="s">
        <v>1291</v>
      </c>
      <c r="C38" s="478" t="s">
        <v>1292</v>
      </c>
      <c r="D38" s="439"/>
    </row>
    <row r="39" spans="1:4" ht="14.55" customHeight="1" x14ac:dyDescent="0.3">
      <c r="A39" s="439"/>
      <c r="B39" s="480" t="s">
        <v>1293</v>
      </c>
      <c r="C39" s="478" t="s">
        <v>1294</v>
      </c>
      <c r="D39" s="439"/>
    </row>
    <row r="40" spans="1:4" ht="14.55" customHeight="1" x14ac:dyDescent="0.3">
      <c r="A40" s="439"/>
      <c r="B40" s="480" t="s">
        <v>1295</v>
      </c>
      <c r="C40" s="478" t="s">
        <v>1296</v>
      </c>
      <c r="D40" s="439"/>
    </row>
    <row r="41" spans="1:4" x14ac:dyDescent="0.3">
      <c r="A41" s="439"/>
      <c r="B41" s="439"/>
      <c r="C41" s="439"/>
      <c r="D41" s="439"/>
    </row>
    <row r="42" spans="1:4" ht="19.95" customHeight="1" x14ac:dyDescent="0.3">
      <c r="A42" s="439"/>
      <c r="B42" s="447" t="s">
        <v>1297</v>
      </c>
      <c r="C42" s="447"/>
      <c r="D42" s="439"/>
    </row>
    <row r="43" spans="1:4" ht="28.8" customHeight="1" x14ac:dyDescent="0.3">
      <c r="A43" s="439"/>
      <c r="B43" s="480" t="s">
        <v>1298</v>
      </c>
      <c r="C43" s="478" t="s">
        <v>1299</v>
      </c>
      <c r="D43" s="439"/>
    </row>
    <row r="44" spans="1:4" ht="14.55" customHeight="1" x14ac:dyDescent="0.3">
      <c r="A44" s="439"/>
      <c r="B44" s="480" t="s">
        <v>1300</v>
      </c>
      <c r="C44" s="478" t="s">
        <v>1301</v>
      </c>
      <c r="D44" s="439"/>
    </row>
    <row r="45" spans="1:4" ht="14.55" customHeight="1" x14ac:dyDescent="0.3">
      <c r="A45" s="439"/>
      <c r="B45" s="480" t="s">
        <v>1302</v>
      </c>
      <c r="C45" s="478" t="s">
        <v>1303</v>
      </c>
      <c r="D45" s="439"/>
    </row>
    <row r="46" spans="1:4" ht="28.8" customHeight="1" x14ac:dyDescent="0.3">
      <c r="A46" s="439"/>
      <c r="B46" s="480" t="s">
        <v>1304</v>
      </c>
      <c r="C46" s="478" t="s">
        <v>1305</v>
      </c>
      <c r="D46" s="439"/>
    </row>
    <row r="47" spans="1:4" x14ac:dyDescent="0.3">
      <c r="A47" s="439"/>
      <c r="B47" s="439"/>
      <c r="C47" s="439"/>
      <c r="D47" s="439"/>
    </row>
    <row r="48" spans="1:4" ht="16.95" customHeight="1" x14ac:dyDescent="0.3">
      <c r="A48" s="439"/>
      <c r="B48" s="562" t="s">
        <v>1306</v>
      </c>
      <c r="C48" s="562"/>
      <c r="D48" s="439"/>
    </row>
    <row r="49" spans="1:4" x14ac:dyDescent="0.3">
      <c r="A49" s="439"/>
      <c r="B49" s="439"/>
      <c r="C49" s="439"/>
      <c r="D49" s="439"/>
    </row>
    <row r="50" spans="1:4" x14ac:dyDescent="0.3">
      <c r="A50" s="439"/>
      <c r="B50" s="439"/>
      <c r="C50" s="439"/>
      <c r="D50" s="439"/>
    </row>
    <row r="51" spans="1:4" x14ac:dyDescent="0.3">
      <c r="A51" s="439"/>
      <c r="B51" s="439"/>
      <c r="C51" s="439"/>
      <c r="D51" s="439"/>
    </row>
    <row r="52" spans="1:4" x14ac:dyDescent="0.3">
      <c r="A52" s="439"/>
      <c r="B52" s="439"/>
      <c r="C52" s="439"/>
      <c r="D52" s="439"/>
    </row>
    <row r="53" spans="1:4" x14ac:dyDescent="0.3">
      <c r="A53" s="439"/>
      <c r="B53" s="439"/>
      <c r="C53" s="439"/>
      <c r="D53" s="439"/>
    </row>
    <row r="54" spans="1:4" x14ac:dyDescent="0.3">
      <c r="A54" s="439"/>
      <c r="B54" s="439"/>
      <c r="C54" s="439"/>
      <c r="D54" s="439"/>
    </row>
    <row r="55" spans="1:4" x14ac:dyDescent="0.3">
      <c r="A55" s="439"/>
      <c r="B55" s="439"/>
      <c r="C55" s="439"/>
      <c r="D55" s="439"/>
    </row>
    <row r="56" spans="1:4" x14ac:dyDescent="0.3">
      <c r="A56" s="439"/>
      <c r="B56" s="439"/>
      <c r="C56" s="439"/>
      <c r="D56" s="439"/>
    </row>
    <row r="57" spans="1:4" x14ac:dyDescent="0.3">
      <c r="A57" s="439"/>
      <c r="B57" s="439"/>
      <c r="C57" s="439"/>
      <c r="D57" s="439"/>
    </row>
    <row r="58" spans="1:4" x14ac:dyDescent="0.3">
      <c r="A58" s="439"/>
      <c r="B58" s="439"/>
      <c r="C58" s="439"/>
      <c r="D58" s="439"/>
    </row>
    <row r="59" spans="1:4" x14ac:dyDescent="0.3">
      <c r="A59" s="439"/>
      <c r="B59" s="439"/>
      <c r="C59" s="439"/>
      <c r="D59" s="439"/>
    </row>
    <row r="60" spans="1:4" x14ac:dyDescent="0.3">
      <c r="A60" s="439"/>
      <c r="B60" s="439"/>
      <c r="C60" s="439"/>
      <c r="D60" s="439"/>
    </row>
    <row r="61" spans="1:4" x14ac:dyDescent="0.3">
      <c r="A61" s="439"/>
      <c r="B61" s="439"/>
      <c r="C61" s="439"/>
      <c r="D61" s="439"/>
    </row>
    <row r="62" spans="1:4" x14ac:dyDescent="0.3">
      <c r="A62" s="439"/>
      <c r="B62" s="439"/>
      <c r="C62" s="439"/>
      <c r="D62" s="439"/>
    </row>
    <row r="63" spans="1:4" x14ac:dyDescent="0.3">
      <c r="A63" s="439"/>
      <c r="B63" s="439"/>
      <c r="C63" s="439"/>
      <c r="D63" s="439"/>
    </row>
    <row r="64" spans="1:4" x14ac:dyDescent="0.3">
      <c r="A64" s="439"/>
      <c r="B64" s="439"/>
      <c r="C64" s="439"/>
      <c r="D64" s="439"/>
    </row>
    <row r="65" spans="1:4" x14ac:dyDescent="0.3">
      <c r="A65" s="439"/>
      <c r="B65" s="439"/>
      <c r="C65" s="439"/>
      <c r="D65" s="439"/>
    </row>
    <row r="66" spans="1:4" x14ac:dyDescent="0.3">
      <c r="A66" s="439"/>
      <c r="B66" s="439"/>
      <c r="C66" s="439"/>
      <c r="D66" s="439"/>
    </row>
    <row r="67" spans="1:4" x14ac:dyDescent="0.3">
      <c r="A67" s="439"/>
      <c r="B67" s="439"/>
      <c r="C67" s="439"/>
      <c r="D67" s="439"/>
    </row>
    <row r="68" spans="1:4" x14ac:dyDescent="0.3">
      <c r="A68" s="439"/>
      <c r="B68" s="439"/>
      <c r="C68" s="439"/>
      <c r="D68" s="439"/>
    </row>
    <row r="69" spans="1:4" x14ac:dyDescent="0.3">
      <c r="A69" s="439"/>
      <c r="B69" s="439"/>
      <c r="C69" s="439"/>
      <c r="D69" s="439"/>
    </row>
    <row r="70" spans="1:4" x14ac:dyDescent="0.3">
      <c r="A70" s="439"/>
      <c r="B70" s="439"/>
      <c r="C70" s="439"/>
      <c r="D70" s="439"/>
    </row>
    <row r="71" spans="1:4" x14ac:dyDescent="0.3">
      <c r="A71" s="439"/>
      <c r="B71" s="439"/>
      <c r="C71" s="439"/>
      <c r="D71" s="439"/>
    </row>
    <row r="72" spans="1:4" x14ac:dyDescent="0.3">
      <c r="A72" s="439"/>
      <c r="B72" s="439"/>
      <c r="C72" s="439"/>
      <c r="D72" s="439"/>
    </row>
    <row r="73" spans="1:4" x14ac:dyDescent="0.3">
      <c r="A73" s="439"/>
      <c r="B73" s="439"/>
      <c r="C73" s="439"/>
      <c r="D73" s="439"/>
    </row>
    <row r="74" spans="1:4" x14ac:dyDescent="0.3">
      <c r="A74" s="439"/>
      <c r="B74" s="439"/>
      <c r="C74" s="439"/>
      <c r="D74" s="439"/>
    </row>
    <row r="75" spans="1:4" x14ac:dyDescent="0.3">
      <c r="A75" s="439"/>
      <c r="B75" s="439"/>
      <c r="C75" s="439"/>
      <c r="D75" s="439"/>
    </row>
    <row r="76" spans="1:4" x14ac:dyDescent="0.3">
      <c r="A76" s="439"/>
      <c r="B76" s="439"/>
      <c r="C76" s="439"/>
      <c r="D76" s="439"/>
    </row>
    <row r="77" spans="1:4" x14ac:dyDescent="0.3">
      <c r="A77" s="439"/>
      <c r="B77" s="439"/>
      <c r="C77" s="439"/>
      <c r="D77" s="439"/>
    </row>
    <row r="78" spans="1:4" x14ac:dyDescent="0.3">
      <c r="A78" s="439"/>
      <c r="B78" s="439"/>
      <c r="C78" s="439"/>
      <c r="D78" s="439"/>
    </row>
    <row r="79" spans="1:4" x14ac:dyDescent="0.3">
      <c r="A79" s="439"/>
      <c r="B79" s="439"/>
      <c r="C79" s="439"/>
      <c r="D79" s="439"/>
    </row>
    <row r="80" spans="1:4" x14ac:dyDescent="0.3">
      <c r="A80" s="439"/>
      <c r="B80" s="439"/>
      <c r="C80" s="439"/>
      <c r="D80" s="439"/>
    </row>
    <row r="81" spans="1:4" x14ac:dyDescent="0.3">
      <c r="A81" s="439"/>
      <c r="B81" s="439"/>
      <c r="C81" s="439"/>
      <c r="D81" s="439"/>
    </row>
    <row r="82" spans="1:4" x14ac:dyDescent="0.3">
      <c r="A82" s="439"/>
      <c r="B82" s="439"/>
      <c r="C82" s="439"/>
      <c r="D82" s="439"/>
    </row>
    <row r="83" spans="1:4" x14ac:dyDescent="0.3">
      <c r="A83" s="439"/>
      <c r="B83" s="439"/>
      <c r="C83" s="439"/>
      <c r="D83" s="439"/>
    </row>
    <row r="84" spans="1:4" x14ac:dyDescent="0.3">
      <c r="A84" s="439"/>
      <c r="B84" s="439"/>
      <c r="C84" s="439"/>
      <c r="D84" s="439"/>
    </row>
    <row r="85" spans="1:4" x14ac:dyDescent="0.3">
      <c r="A85" s="439"/>
      <c r="B85" s="439"/>
      <c r="C85" s="439"/>
      <c r="D85" s="439"/>
    </row>
    <row r="86" spans="1:4" x14ac:dyDescent="0.3">
      <c r="A86" s="439"/>
      <c r="B86" s="439"/>
      <c r="C86" s="439"/>
      <c r="D86" s="439"/>
    </row>
    <row r="87" spans="1:4" x14ac:dyDescent="0.3">
      <c r="A87" s="439"/>
      <c r="B87" s="439"/>
      <c r="C87" s="439"/>
      <c r="D87" s="439"/>
    </row>
    <row r="88" spans="1:4" x14ac:dyDescent="0.3">
      <c r="A88" s="439"/>
      <c r="B88" s="439"/>
      <c r="C88" s="439"/>
      <c r="D88" s="439"/>
    </row>
    <row r="89" spans="1:4" x14ac:dyDescent="0.3">
      <c r="A89" s="439"/>
      <c r="B89" s="439"/>
      <c r="C89" s="439"/>
      <c r="D89" s="439"/>
    </row>
    <row r="90" spans="1:4" x14ac:dyDescent="0.3">
      <c r="A90" s="439"/>
      <c r="B90" s="439"/>
      <c r="C90" s="439"/>
      <c r="D90" s="439"/>
    </row>
    <row r="91" spans="1:4" x14ac:dyDescent="0.3">
      <c r="A91" s="439"/>
      <c r="B91" s="439"/>
      <c r="C91" s="439"/>
      <c r="D91" s="439"/>
    </row>
  </sheetData>
  <mergeCells count="3">
    <mergeCell ref="B5:C5"/>
    <mergeCell ref="B6:C6"/>
    <mergeCell ref="B48:C48"/>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D9C25-393A-475A-B9F0-32FB921A0D61}">
  <sheetPr>
    <tabColor rgb="FF132E57"/>
  </sheetPr>
  <dimension ref="A1:H100"/>
  <sheetViews>
    <sheetView showGridLines="0" workbookViewId="0"/>
  </sheetViews>
  <sheetFormatPr defaultRowHeight="14.4" x14ac:dyDescent="0.3"/>
  <cols>
    <col min="1" max="1" width="2.5546875" customWidth="1"/>
    <col min="2" max="2" width="35.21875" customWidth="1"/>
    <col min="3" max="3" width="103.6640625" customWidth="1"/>
  </cols>
  <sheetData>
    <row r="1" spans="1:8" ht="30" customHeight="1" x14ac:dyDescent="0.45">
      <c r="A1" s="439"/>
      <c r="B1" s="492" t="s">
        <v>1212</v>
      </c>
      <c r="C1" s="439"/>
      <c r="D1" s="439"/>
      <c r="E1" s="439"/>
      <c r="F1" s="439"/>
      <c r="G1" s="439"/>
      <c r="H1" s="439"/>
    </row>
    <row r="2" spans="1:8" ht="14.55" customHeight="1" x14ac:dyDescent="0.3">
      <c r="A2" s="439"/>
      <c r="B2" s="493" t="s">
        <v>1213</v>
      </c>
      <c r="C2" s="439"/>
      <c r="D2" s="439"/>
      <c r="E2" s="439"/>
      <c r="F2" s="439"/>
      <c r="G2" s="439"/>
      <c r="H2" s="439"/>
    </row>
    <row r="3" spans="1:8" x14ac:dyDescent="0.3">
      <c r="A3" s="439"/>
      <c r="B3" s="439"/>
      <c r="C3" s="439"/>
      <c r="D3" s="439"/>
      <c r="E3" s="439"/>
      <c r="F3" s="439"/>
      <c r="G3" s="439"/>
      <c r="H3" s="439"/>
    </row>
    <row r="4" spans="1:8" ht="19.95" customHeight="1" x14ac:dyDescent="0.3">
      <c r="B4" s="494" t="s">
        <v>1243</v>
      </c>
      <c r="C4" s="494"/>
    </row>
    <row r="5" spans="1:8" ht="48" customHeight="1" x14ac:dyDescent="0.3">
      <c r="B5" s="530" t="s">
        <v>1448</v>
      </c>
      <c r="C5" s="530"/>
    </row>
    <row r="6" spans="1:8" ht="48" customHeight="1" x14ac:dyDescent="0.3">
      <c r="B6" s="530" t="s">
        <v>1449</v>
      </c>
      <c r="C6" s="530"/>
    </row>
    <row r="7" spans="1:8" ht="34.049999999999997" customHeight="1" x14ac:dyDescent="0.3">
      <c r="B7" s="530" t="s">
        <v>1450</v>
      </c>
      <c r="C7" s="530"/>
    </row>
    <row r="8" spans="1:8" ht="34.049999999999997" customHeight="1" x14ac:dyDescent="0.3">
      <c r="A8" s="439"/>
      <c r="B8" s="530" t="s">
        <v>1451</v>
      </c>
      <c r="C8" s="530"/>
      <c r="D8" s="439"/>
      <c r="E8" s="439"/>
      <c r="F8" s="439"/>
      <c r="G8" s="439"/>
      <c r="H8" s="439"/>
    </row>
    <row r="9" spans="1:8" x14ac:dyDescent="0.3">
      <c r="A9" s="439"/>
      <c r="B9" s="439"/>
      <c r="C9" s="439"/>
      <c r="D9" s="439"/>
      <c r="E9" s="439"/>
      <c r="F9" s="439"/>
      <c r="G9" s="439"/>
      <c r="H9" s="439"/>
    </row>
    <row r="10" spans="1:8" ht="14.55" customHeight="1" x14ac:dyDescent="0.3">
      <c r="A10" s="439"/>
      <c r="B10" s="447" t="s">
        <v>1395</v>
      </c>
      <c r="C10" s="447"/>
      <c r="D10" s="439"/>
      <c r="E10" s="439"/>
      <c r="F10" s="439"/>
      <c r="G10" s="439"/>
      <c r="H10" s="439"/>
    </row>
    <row r="11" spans="1:8" ht="14.55" customHeight="1" x14ac:dyDescent="0.3">
      <c r="A11" s="439"/>
      <c r="B11" s="480" t="s">
        <v>1485</v>
      </c>
      <c r="C11" s="478" t="s">
        <v>1452</v>
      </c>
      <c r="D11" s="439"/>
      <c r="E11" s="439"/>
      <c r="F11" s="439"/>
      <c r="G11" s="439"/>
      <c r="H11" s="439"/>
    </row>
    <row r="12" spans="1:8" ht="28.8" customHeight="1" x14ac:dyDescent="0.3">
      <c r="A12" s="439"/>
      <c r="B12" s="480" t="s">
        <v>1396</v>
      </c>
      <c r="C12" s="478" t="s">
        <v>1453</v>
      </c>
      <c r="D12" s="439"/>
      <c r="E12" s="439"/>
      <c r="F12" s="439"/>
      <c r="G12" s="439"/>
      <c r="H12" s="439"/>
    </row>
    <row r="13" spans="1:8" ht="28.8" customHeight="1" x14ac:dyDescent="0.3">
      <c r="A13" s="439"/>
      <c r="B13" s="480" t="s">
        <v>1486</v>
      </c>
      <c r="C13" s="478" t="s">
        <v>1490</v>
      </c>
      <c r="D13" s="439"/>
      <c r="E13" s="439"/>
      <c r="F13" s="439"/>
      <c r="G13" s="439"/>
      <c r="H13" s="439"/>
    </row>
    <row r="14" spans="1:8" ht="28.8" customHeight="1" x14ac:dyDescent="0.3">
      <c r="A14" s="439"/>
      <c r="B14" s="480" t="s">
        <v>1487</v>
      </c>
      <c r="C14" s="478" t="s">
        <v>1454</v>
      </c>
      <c r="D14" s="439"/>
      <c r="E14" s="439"/>
      <c r="F14" s="439"/>
      <c r="G14" s="439"/>
      <c r="H14" s="439"/>
    </row>
    <row r="15" spans="1:8" ht="28.8" customHeight="1" x14ac:dyDescent="0.3">
      <c r="A15" s="439"/>
      <c r="B15" s="480" t="s">
        <v>1397</v>
      </c>
      <c r="C15" s="478" t="s">
        <v>1455</v>
      </c>
      <c r="D15" s="439"/>
      <c r="E15" s="439"/>
      <c r="F15" s="439"/>
      <c r="G15" s="439"/>
      <c r="H15" s="439"/>
    </row>
    <row r="16" spans="1:8" x14ac:dyDescent="0.3">
      <c r="A16" s="439"/>
      <c r="B16" s="439"/>
      <c r="C16" s="439"/>
      <c r="D16" s="439"/>
      <c r="E16" s="439"/>
      <c r="F16" s="439"/>
      <c r="G16" s="439"/>
      <c r="H16" s="439"/>
    </row>
    <row r="18" spans="1:8" ht="14.55" customHeight="1" x14ac:dyDescent="0.3">
      <c r="A18" s="439"/>
      <c r="B18" s="447" t="s">
        <v>1214</v>
      </c>
      <c r="C18" s="447"/>
      <c r="D18" s="439"/>
      <c r="E18" s="439"/>
      <c r="F18" s="439"/>
      <c r="G18" s="439"/>
      <c r="H18" s="439"/>
    </row>
    <row r="19" spans="1:8" ht="14.55" customHeight="1" x14ac:dyDescent="0.3">
      <c r="A19" s="439"/>
      <c r="B19" s="480" t="s">
        <v>1215</v>
      </c>
      <c r="C19" s="478" t="s">
        <v>1456</v>
      </c>
      <c r="D19" s="439"/>
      <c r="E19" s="439"/>
      <c r="F19" s="439"/>
      <c r="G19" s="439"/>
      <c r="H19" s="439"/>
    </row>
    <row r="20" spans="1:8" ht="28.8" customHeight="1" x14ac:dyDescent="0.3">
      <c r="A20" s="439"/>
      <c r="B20" s="480" t="s">
        <v>1488</v>
      </c>
      <c r="C20" s="478" t="s">
        <v>1457</v>
      </c>
      <c r="D20" s="439"/>
      <c r="E20" s="439"/>
      <c r="F20" s="439"/>
      <c r="G20" s="439"/>
      <c r="H20" s="439"/>
    </row>
    <row r="21" spans="1:8" ht="28.8" customHeight="1" x14ac:dyDescent="0.3">
      <c r="A21" s="439"/>
      <c r="B21" s="480" t="s">
        <v>1489</v>
      </c>
      <c r="C21" s="478" t="s">
        <v>1458</v>
      </c>
      <c r="D21" s="439"/>
      <c r="E21" s="439"/>
      <c r="F21" s="439"/>
      <c r="G21" s="439"/>
      <c r="H21" s="439"/>
    </row>
    <row r="22" spans="1:8" ht="28.8" customHeight="1" x14ac:dyDescent="0.3">
      <c r="A22" s="439"/>
      <c r="B22" s="480" t="s">
        <v>1216</v>
      </c>
      <c r="C22" s="478" t="s">
        <v>1459</v>
      </c>
      <c r="D22" s="439"/>
      <c r="E22" s="439"/>
      <c r="F22" s="439"/>
      <c r="G22" s="439"/>
      <c r="H22" s="439"/>
    </row>
    <row r="23" spans="1:8" ht="14.55" customHeight="1" x14ac:dyDescent="0.3">
      <c r="A23" s="439"/>
      <c r="B23" s="480" t="s">
        <v>1217</v>
      </c>
      <c r="C23" s="478" t="s">
        <v>1460</v>
      </c>
      <c r="D23" s="439"/>
      <c r="E23" s="439"/>
      <c r="F23" s="439"/>
      <c r="G23" s="439"/>
      <c r="H23" s="439"/>
    </row>
    <row r="24" spans="1:8" ht="14.55" customHeight="1" x14ac:dyDescent="0.3">
      <c r="A24" s="439"/>
      <c r="B24" s="480" t="s">
        <v>1218</v>
      </c>
      <c r="C24" s="478" t="s">
        <v>1461</v>
      </c>
      <c r="D24" s="439"/>
      <c r="E24" s="439"/>
      <c r="F24" s="439"/>
      <c r="G24" s="439"/>
      <c r="H24" s="439"/>
    </row>
    <row r="25" spans="1:8" ht="14.55" customHeight="1" x14ac:dyDescent="0.3">
      <c r="A25" s="439"/>
      <c r="B25" s="480" t="s">
        <v>1219</v>
      </c>
      <c r="C25" s="478" t="s">
        <v>1462</v>
      </c>
      <c r="D25" s="439"/>
      <c r="E25" s="439"/>
      <c r="F25" s="439"/>
      <c r="G25" s="439"/>
      <c r="H25" s="439"/>
    </row>
    <row r="26" spans="1:8" ht="28.8" customHeight="1" x14ac:dyDescent="0.3">
      <c r="A26" s="439"/>
      <c r="B26" s="480" t="s">
        <v>1378</v>
      </c>
      <c r="C26" s="478" t="s">
        <v>1463</v>
      </c>
      <c r="D26" s="439"/>
      <c r="E26" s="439"/>
      <c r="F26" s="439"/>
      <c r="G26" s="439"/>
      <c r="H26" s="439"/>
    </row>
    <row r="27" spans="1:8" x14ac:dyDescent="0.3">
      <c r="A27" s="439"/>
      <c r="B27" s="439"/>
      <c r="C27" s="439"/>
      <c r="D27" s="439"/>
      <c r="E27" s="439"/>
      <c r="F27" s="439"/>
      <c r="G27" s="439"/>
      <c r="H27" s="439"/>
    </row>
    <row r="28" spans="1:8" ht="14.55" customHeight="1" x14ac:dyDescent="0.3">
      <c r="A28" s="439"/>
      <c r="B28" s="447" t="s">
        <v>268</v>
      </c>
      <c r="C28" s="447"/>
      <c r="D28" s="439"/>
      <c r="E28" s="439"/>
      <c r="F28" s="439"/>
      <c r="G28" s="439"/>
      <c r="H28" s="439"/>
    </row>
    <row r="29" spans="1:8" ht="28.8" customHeight="1" x14ac:dyDescent="0.3">
      <c r="A29" s="439"/>
      <c r="B29" s="480" t="s">
        <v>1220</v>
      </c>
      <c r="C29" s="478" t="s">
        <v>1464</v>
      </c>
      <c r="D29" s="439"/>
      <c r="E29" s="439"/>
      <c r="F29" s="439"/>
      <c r="G29" s="439"/>
      <c r="H29" s="439"/>
    </row>
    <row r="30" spans="1:8" ht="28.8" customHeight="1" x14ac:dyDescent="0.3">
      <c r="A30" s="439"/>
      <c r="B30" s="480" t="s">
        <v>1221</v>
      </c>
      <c r="C30" s="478" t="s">
        <v>1465</v>
      </c>
      <c r="D30" s="439"/>
      <c r="E30" s="439"/>
      <c r="F30" s="439"/>
      <c r="G30" s="439"/>
      <c r="H30" s="439"/>
    </row>
    <row r="31" spans="1:8" ht="28.8" customHeight="1" x14ac:dyDescent="0.3">
      <c r="A31" s="439"/>
      <c r="B31" s="480" t="s">
        <v>1222</v>
      </c>
      <c r="C31" s="478" t="s">
        <v>1466</v>
      </c>
      <c r="D31" s="439"/>
      <c r="E31" s="439"/>
      <c r="F31" s="439"/>
      <c r="G31" s="439"/>
      <c r="H31" s="439"/>
    </row>
    <row r="32" spans="1:8" x14ac:dyDescent="0.3">
      <c r="A32" s="439"/>
      <c r="B32" s="439"/>
      <c r="C32" s="439"/>
      <c r="D32" s="439"/>
      <c r="E32" s="439"/>
      <c r="F32" s="439"/>
      <c r="G32" s="439"/>
      <c r="H32" s="439"/>
    </row>
    <row r="33" spans="1:8" ht="14.55" customHeight="1" x14ac:dyDescent="0.3">
      <c r="A33" s="439"/>
      <c r="B33" s="447" t="s">
        <v>1223</v>
      </c>
      <c r="C33" s="447"/>
      <c r="D33" s="439"/>
      <c r="E33" s="439"/>
      <c r="F33" s="439"/>
      <c r="G33" s="439"/>
      <c r="H33" s="439"/>
    </row>
    <row r="34" spans="1:8" ht="14.55" customHeight="1" x14ac:dyDescent="0.3">
      <c r="A34" s="439"/>
      <c r="B34" s="480" t="s">
        <v>1224</v>
      </c>
      <c r="C34" s="478" t="s">
        <v>1467</v>
      </c>
      <c r="D34" s="439"/>
      <c r="E34" s="439"/>
      <c r="F34" s="439"/>
      <c r="G34" s="439"/>
      <c r="H34" s="439"/>
    </row>
    <row r="35" spans="1:8" ht="14.55" customHeight="1" x14ac:dyDescent="0.3">
      <c r="A35" s="439"/>
      <c r="B35" s="480" t="s">
        <v>1225</v>
      </c>
      <c r="C35" s="478" t="s">
        <v>1468</v>
      </c>
      <c r="D35" s="439"/>
      <c r="E35" s="439"/>
      <c r="F35" s="439"/>
      <c r="G35" s="439"/>
      <c r="H35" s="439"/>
    </row>
    <row r="36" spans="1:8" ht="28.8" customHeight="1" x14ac:dyDescent="0.3">
      <c r="A36" s="439"/>
      <c r="B36" s="480" t="s">
        <v>1226</v>
      </c>
      <c r="C36" s="478" t="s">
        <v>1469</v>
      </c>
      <c r="D36" s="439"/>
      <c r="E36" s="439"/>
      <c r="F36" s="439"/>
      <c r="G36" s="439"/>
      <c r="H36" s="439"/>
    </row>
    <row r="37" spans="1:8" ht="28.8" customHeight="1" x14ac:dyDescent="0.3">
      <c r="A37" s="439"/>
      <c r="B37" s="480" t="s">
        <v>1227</v>
      </c>
      <c r="C37" s="478" t="s">
        <v>1470</v>
      </c>
      <c r="D37" s="439"/>
      <c r="E37" s="439"/>
      <c r="F37" s="439"/>
      <c r="G37" s="439"/>
      <c r="H37" s="439"/>
    </row>
    <row r="38" spans="1:8" x14ac:dyDescent="0.3">
      <c r="A38" s="439"/>
      <c r="B38" s="439"/>
      <c r="C38" s="439"/>
      <c r="D38" s="439"/>
      <c r="E38" s="439"/>
      <c r="F38" s="439"/>
      <c r="G38" s="439"/>
      <c r="H38" s="439"/>
    </row>
    <row r="39" spans="1:8" ht="14.55" customHeight="1" x14ac:dyDescent="0.3">
      <c r="A39" s="439"/>
      <c r="B39" s="447" t="s">
        <v>1228</v>
      </c>
      <c r="C39" s="447"/>
      <c r="D39" s="439"/>
      <c r="E39" s="439"/>
      <c r="F39" s="439"/>
      <c r="G39" s="439"/>
      <c r="H39" s="439"/>
    </row>
    <row r="40" spans="1:8" ht="28.8" customHeight="1" x14ac:dyDescent="0.3">
      <c r="A40" s="439"/>
      <c r="B40" s="480" t="str">
        <f>Properties!$E$6</f>
        <v>Aires de Campestre Apto 801 (Penthouse)</v>
      </c>
      <c r="C40" s="478" t="str">
        <f>Properties!$F$6&amp;" · "&amp;MID(Properties!$C$6,3,40)</f>
        <v>El Poblado, Medellín · Signed</v>
      </c>
      <c r="D40" s="439"/>
      <c r="E40" s="439"/>
      <c r="F40" s="439"/>
      <c r="G40" s="439"/>
      <c r="H40" s="439"/>
    </row>
    <row r="41" spans="1:8" ht="14.55" customHeight="1" x14ac:dyDescent="0.3">
      <c r="A41" s="439"/>
      <c r="B41" s="480" t="str">
        <f>Properties!$E$7</f>
        <v>Fontanar Apto 201 (Penthouse)</v>
      </c>
      <c r="C41" s="478" t="str">
        <f>Properties!$F$7&amp;" · "&amp;MID(Properties!$C$7,3,40)</f>
        <v>El Poblado, Medellín · Signed</v>
      </c>
      <c r="D41" s="439"/>
      <c r="E41" s="439"/>
      <c r="F41" s="439"/>
      <c r="G41" s="439"/>
      <c r="H41" s="439"/>
    </row>
    <row r="42" spans="1:8" ht="14.55" customHeight="1" x14ac:dyDescent="0.3">
      <c r="A42" s="439"/>
      <c r="B42" s="480" t="str">
        <f>Properties!$E$8</f>
        <v>San Lucas Apto 101</v>
      </c>
      <c r="C42" s="478" t="str">
        <f>Properties!$F$8&amp;" · "&amp;MID(Properties!$C$8,3,40)</f>
        <v>El Poblado, Medellín · Negotiated</v>
      </c>
      <c r="D42" s="439"/>
      <c r="E42" s="439"/>
      <c r="F42" s="439"/>
      <c r="G42" s="439"/>
      <c r="H42" s="439"/>
    </row>
    <row r="43" spans="1:8" ht="28.8" customHeight="1" x14ac:dyDescent="0.3">
      <c r="A43" s="439"/>
      <c r="B43" s="480" t="str">
        <f>Properties!$E$9</f>
        <v>Casa Montana Lote 2 (Samuel Gaviria House)</v>
      </c>
      <c r="C43" s="478" t="str">
        <f>Properties!$F$9&amp;" · "&amp;MID(Properties!$C$9,3,40)</f>
        <v>El Retiro, Antioquia · Negotiated</v>
      </c>
      <c r="D43" s="439"/>
      <c r="E43" s="439"/>
      <c r="F43" s="439"/>
      <c r="G43" s="439"/>
      <c r="H43" s="439"/>
    </row>
    <row r="44" spans="1:8" ht="14.55" customHeight="1" x14ac:dyDescent="0.3">
      <c r="A44" s="439"/>
      <c r="B44" s="480" t="str">
        <f>Properties!$E$10</f>
        <v>Casa Monte Sereno</v>
      </c>
      <c r="C44" s="478" t="str">
        <f>Properties!$F$10&amp;" · "&amp;MID(Properties!$C$10,3,40)</f>
        <v>El Retiro, Antioquia · Negotiated</v>
      </c>
      <c r="D44" s="439"/>
      <c r="E44" s="439"/>
      <c r="F44" s="439"/>
      <c r="G44" s="439"/>
      <c r="H44" s="439"/>
    </row>
    <row r="45" spans="1:8" ht="14.55" customHeight="1" x14ac:dyDescent="0.3">
      <c r="A45" s="439"/>
      <c r="B45" s="480" t="s">
        <v>1229</v>
      </c>
      <c r="C45" s="478" t="s">
        <v>1471</v>
      </c>
      <c r="D45" s="439"/>
      <c r="E45" s="439"/>
      <c r="F45" s="439"/>
      <c r="G45" s="439"/>
      <c r="H45" s="439"/>
    </row>
    <row r="46" spans="1:8" x14ac:dyDescent="0.3">
      <c r="A46" s="439"/>
      <c r="B46" s="439"/>
      <c r="C46" s="439"/>
      <c r="D46" s="439"/>
      <c r="E46" s="439"/>
      <c r="F46" s="439"/>
      <c r="G46" s="439"/>
      <c r="H46" s="439"/>
    </row>
    <row r="47" spans="1:8" ht="14.55" customHeight="1" x14ac:dyDescent="0.3">
      <c r="A47" s="439"/>
      <c r="B47" s="447" t="s">
        <v>1230</v>
      </c>
      <c r="C47" s="447"/>
      <c r="D47" s="439"/>
      <c r="E47" s="439"/>
      <c r="F47" s="439"/>
      <c r="G47" s="439"/>
      <c r="H47" s="439"/>
    </row>
    <row r="48" spans="1:8" ht="43.2" customHeight="1" x14ac:dyDescent="0.3">
      <c r="A48" s="439"/>
      <c r="B48" s="480" t="s">
        <v>205</v>
      </c>
      <c r="C48" s="478" t="s">
        <v>1531</v>
      </c>
      <c r="D48" s="439"/>
      <c r="E48" s="439"/>
      <c r="F48" s="439"/>
      <c r="G48" s="439"/>
      <c r="H48" s="439"/>
    </row>
    <row r="49" spans="1:8" ht="14.55" customHeight="1" x14ac:dyDescent="0.3">
      <c r="A49" s="439"/>
      <c r="B49" s="480" t="s">
        <v>1231</v>
      </c>
      <c r="C49" s="478" t="s">
        <v>1472</v>
      </c>
      <c r="D49" s="439"/>
      <c r="E49" s="439"/>
      <c r="F49" s="439"/>
      <c r="G49" s="439"/>
      <c r="H49" s="439"/>
    </row>
    <row r="50" spans="1:8" x14ac:dyDescent="0.3">
      <c r="A50" s="439"/>
      <c r="B50" s="439"/>
      <c r="C50" s="439"/>
      <c r="D50" s="439"/>
      <c r="E50" s="439"/>
      <c r="F50" s="439"/>
      <c r="G50" s="439"/>
      <c r="H50" s="439"/>
    </row>
    <row r="51" spans="1:8" ht="14.55" customHeight="1" x14ac:dyDescent="0.3">
      <c r="A51" s="439"/>
      <c r="B51" s="447" t="s">
        <v>1232</v>
      </c>
      <c r="C51" s="447"/>
      <c r="D51" s="439"/>
      <c r="E51" s="439"/>
      <c r="F51" s="439"/>
      <c r="G51" s="439"/>
      <c r="H51" s="439"/>
    </row>
    <row r="52" spans="1:8" ht="14.55" customHeight="1" x14ac:dyDescent="0.3">
      <c r="A52" s="439"/>
      <c r="B52" s="480" t="s">
        <v>1233</v>
      </c>
      <c r="C52" s="478" t="s">
        <v>1323</v>
      </c>
      <c r="D52" s="439"/>
      <c r="E52" s="439"/>
      <c r="F52" s="439"/>
      <c r="G52" s="439"/>
      <c r="H52" s="439"/>
    </row>
    <row r="53" spans="1:8" ht="14.55" customHeight="1" x14ac:dyDescent="0.3">
      <c r="A53" s="439"/>
      <c r="B53" s="480" t="s">
        <v>16</v>
      </c>
      <c r="C53" s="478" t="s">
        <v>1473</v>
      </c>
      <c r="D53" s="439"/>
      <c r="E53" s="439"/>
      <c r="F53" s="439"/>
      <c r="G53" s="439"/>
      <c r="H53" s="439"/>
    </row>
    <row r="54" spans="1:8" ht="28.8" customHeight="1" x14ac:dyDescent="0.3">
      <c r="A54" s="439"/>
      <c r="B54" s="480" t="s">
        <v>219</v>
      </c>
      <c r="C54" s="478" t="s">
        <v>1474</v>
      </c>
      <c r="D54" s="439"/>
      <c r="E54" s="439"/>
      <c r="F54" s="439"/>
      <c r="G54" s="439"/>
      <c r="H54" s="439"/>
    </row>
    <row r="55" spans="1:8" ht="14.55" customHeight="1" x14ac:dyDescent="0.3">
      <c r="A55" s="439"/>
      <c r="B55" s="480" t="s">
        <v>1234</v>
      </c>
      <c r="C55" s="478" t="s">
        <v>1475</v>
      </c>
      <c r="D55" s="439"/>
      <c r="E55" s="439"/>
      <c r="F55" s="439"/>
      <c r="G55" s="439"/>
      <c r="H55" s="439"/>
    </row>
    <row r="56" spans="1:8" x14ac:dyDescent="0.3">
      <c r="D56" s="439"/>
      <c r="E56" s="439"/>
      <c r="F56" s="439"/>
      <c r="G56" s="439"/>
      <c r="H56" s="439"/>
    </row>
    <row r="57" spans="1:8" ht="14.55" customHeight="1" x14ac:dyDescent="0.3">
      <c r="B57" s="447" t="s">
        <v>1378</v>
      </c>
      <c r="C57" s="447"/>
      <c r="D57" s="439"/>
      <c r="E57" s="439"/>
      <c r="F57" s="439"/>
      <c r="G57" s="439"/>
      <c r="H57" s="439"/>
    </row>
    <row r="58" spans="1:8" ht="28.8" customHeight="1" x14ac:dyDescent="0.3">
      <c r="A58" s="439"/>
      <c r="B58" s="480" t="s">
        <v>1379</v>
      </c>
      <c r="C58" s="478" t="s">
        <v>1476</v>
      </c>
      <c r="D58" s="439"/>
      <c r="E58" s="439"/>
      <c r="F58" s="439"/>
      <c r="G58" s="439"/>
      <c r="H58" s="439"/>
    </row>
    <row r="59" spans="1:8" ht="28.8" customHeight="1" x14ac:dyDescent="0.3">
      <c r="A59" s="439"/>
      <c r="B59" s="480" t="s">
        <v>1391</v>
      </c>
      <c r="C59" s="478" t="s">
        <v>1477</v>
      </c>
      <c r="D59" s="439"/>
      <c r="E59" s="439"/>
      <c r="F59" s="439"/>
      <c r="G59" s="439"/>
      <c r="H59" s="439"/>
    </row>
    <row r="60" spans="1:8" ht="28.8" customHeight="1" x14ac:dyDescent="0.3">
      <c r="A60" s="439"/>
      <c r="B60" s="480" t="s">
        <v>1380</v>
      </c>
      <c r="C60" s="478" t="s">
        <v>1478</v>
      </c>
      <c r="D60" s="439"/>
      <c r="E60" s="439"/>
      <c r="F60" s="439"/>
      <c r="G60" s="439"/>
      <c r="H60" s="439"/>
    </row>
    <row r="61" spans="1:8" x14ac:dyDescent="0.3">
      <c r="A61" s="439"/>
      <c r="B61" s="439"/>
      <c r="C61" s="439"/>
      <c r="D61" s="439"/>
      <c r="E61" s="439"/>
      <c r="F61" s="439"/>
      <c r="G61" s="439"/>
      <c r="H61" s="439"/>
    </row>
    <row r="62" spans="1:8" ht="14.55" customHeight="1" x14ac:dyDescent="0.3">
      <c r="A62" s="439"/>
      <c r="B62" s="447" t="s">
        <v>1235</v>
      </c>
      <c r="C62" s="447"/>
      <c r="D62" s="439"/>
      <c r="E62" s="439"/>
      <c r="F62" s="439"/>
      <c r="G62" s="439"/>
      <c r="H62" s="439"/>
    </row>
    <row r="63" spans="1:8" ht="43.2" customHeight="1" x14ac:dyDescent="0.3">
      <c r="A63" s="439"/>
      <c r="B63" s="480" t="s">
        <v>1236</v>
      </c>
      <c r="C63" s="478" t="s">
        <v>1479</v>
      </c>
      <c r="D63" s="439"/>
      <c r="E63" s="439"/>
      <c r="F63" s="439"/>
      <c r="G63" s="439"/>
      <c r="H63" s="439"/>
    </row>
    <row r="64" spans="1:8" ht="14.55" customHeight="1" x14ac:dyDescent="0.3">
      <c r="A64" s="439"/>
      <c r="B64" s="480" t="s">
        <v>1187</v>
      </c>
      <c r="C64" s="478" t="s">
        <v>1480</v>
      </c>
      <c r="D64" s="439"/>
      <c r="E64" s="439"/>
      <c r="F64" s="439"/>
      <c r="G64" s="439"/>
      <c r="H64" s="439"/>
    </row>
    <row r="65" spans="1:8" x14ac:dyDescent="0.3">
      <c r="A65" s="439"/>
      <c r="B65" s="439"/>
      <c r="C65" s="439"/>
      <c r="D65" s="439"/>
      <c r="E65" s="439"/>
      <c r="F65" s="439"/>
      <c r="G65" s="439"/>
      <c r="H65" s="439"/>
    </row>
    <row r="66" spans="1:8" ht="14.55" customHeight="1" x14ac:dyDescent="0.3">
      <c r="A66" s="439"/>
      <c r="B66" s="447" t="s">
        <v>1237</v>
      </c>
      <c r="C66" s="447"/>
      <c r="D66" s="439"/>
      <c r="E66" s="439"/>
      <c r="F66" s="439"/>
      <c r="G66" s="439"/>
      <c r="H66" s="439"/>
    </row>
    <row r="67" spans="1:8" ht="28.8" customHeight="1" x14ac:dyDescent="0.3">
      <c r="A67" s="439"/>
      <c r="B67" s="480" t="s">
        <v>1238</v>
      </c>
      <c r="C67" s="478" t="s">
        <v>1481</v>
      </c>
      <c r="D67" s="439"/>
      <c r="E67" s="439"/>
      <c r="F67" s="439"/>
      <c r="G67" s="439"/>
      <c r="H67" s="439"/>
    </row>
    <row r="68" spans="1:8" ht="14.55" customHeight="1" x14ac:dyDescent="0.3">
      <c r="A68" s="439"/>
      <c r="B68" s="480" t="s">
        <v>1239</v>
      </c>
      <c r="C68" s="478" t="s">
        <v>1482</v>
      </c>
      <c r="D68" s="439"/>
      <c r="E68" s="439"/>
      <c r="F68" s="439"/>
      <c r="G68" s="439"/>
      <c r="H68" s="439"/>
    </row>
    <row r="69" spans="1:8" ht="14.55" customHeight="1" x14ac:dyDescent="0.3">
      <c r="A69" s="439"/>
      <c r="B69" s="480" t="s">
        <v>1240</v>
      </c>
      <c r="C69" s="478" t="s">
        <v>1483</v>
      </c>
      <c r="D69" s="439"/>
      <c r="E69" s="439"/>
      <c r="F69" s="439"/>
      <c r="G69" s="439"/>
      <c r="H69" s="439"/>
    </row>
    <row r="70" spans="1:8" ht="14.55" customHeight="1" x14ac:dyDescent="0.3">
      <c r="A70" s="439"/>
      <c r="B70" s="480" t="s">
        <v>1241</v>
      </c>
      <c r="C70" s="478" t="s">
        <v>1484</v>
      </c>
      <c r="D70" s="439"/>
      <c r="E70" s="439"/>
      <c r="F70" s="439"/>
      <c r="G70" s="439"/>
      <c r="H70" s="439"/>
    </row>
    <row r="71" spans="1:8" x14ac:dyDescent="0.3">
      <c r="A71" s="439"/>
      <c r="B71" s="439"/>
      <c r="C71" s="439"/>
      <c r="D71" s="439"/>
      <c r="E71" s="439"/>
      <c r="F71" s="439"/>
      <c r="G71" s="439"/>
      <c r="H71" s="439"/>
    </row>
    <row r="72" spans="1:8" ht="28.95" customHeight="1" x14ac:dyDescent="0.3">
      <c r="A72" s="439"/>
      <c r="B72" s="529" t="s">
        <v>1242</v>
      </c>
      <c r="C72" s="529"/>
      <c r="D72" s="439"/>
      <c r="E72" s="439"/>
      <c r="F72" s="439"/>
      <c r="G72" s="439"/>
      <c r="H72" s="439"/>
    </row>
    <row r="73" spans="1:8" x14ac:dyDescent="0.3">
      <c r="A73" s="439"/>
      <c r="B73" s="439"/>
      <c r="C73" s="439"/>
      <c r="D73" s="439"/>
      <c r="E73" s="439"/>
      <c r="F73" s="439"/>
      <c r="G73" s="439"/>
      <c r="H73" s="439"/>
    </row>
    <row r="74" spans="1:8" x14ac:dyDescent="0.3">
      <c r="A74" s="439"/>
      <c r="B74" s="439"/>
      <c r="C74" s="439"/>
      <c r="D74" s="439"/>
      <c r="E74" s="439"/>
      <c r="F74" s="439"/>
      <c r="G74" s="439"/>
      <c r="H74" s="439"/>
    </row>
    <row r="75" spans="1:8" x14ac:dyDescent="0.3">
      <c r="A75" s="439"/>
      <c r="B75" s="439"/>
      <c r="C75" s="439"/>
      <c r="D75" s="439"/>
      <c r="E75" s="439"/>
      <c r="F75" s="439"/>
      <c r="G75" s="439"/>
      <c r="H75" s="439"/>
    </row>
    <row r="76" spans="1:8" x14ac:dyDescent="0.3">
      <c r="A76" s="439"/>
      <c r="B76" s="439"/>
      <c r="C76" s="439"/>
      <c r="D76" s="439"/>
      <c r="E76" s="439"/>
      <c r="F76" s="439"/>
      <c r="G76" s="439"/>
      <c r="H76" s="439"/>
    </row>
    <row r="77" spans="1:8" x14ac:dyDescent="0.3">
      <c r="A77" s="439"/>
      <c r="B77" s="439"/>
      <c r="C77" s="439"/>
      <c r="D77" s="439"/>
      <c r="E77" s="439"/>
      <c r="F77" s="439"/>
      <c r="G77" s="439"/>
      <c r="H77" s="439"/>
    </row>
    <row r="78" spans="1:8" x14ac:dyDescent="0.3">
      <c r="A78" s="439"/>
      <c r="B78" s="439"/>
      <c r="C78" s="439"/>
      <c r="D78" s="439"/>
      <c r="E78" s="439"/>
      <c r="F78" s="439"/>
      <c r="G78" s="439"/>
      <c r="H78" s="439"/>
    </row>
    <row r="79" spans="1:8" x14ac:dyDescent="0.3">
      <c r="A79" s="439"/>
      <c r="B79" s="439"/>
      <c r="C79" s="439"/>
      <c r="D79" s="439"/>
      <c r="E79" s="439"/>
      <c r="F79" s="439"/>
      <c r="G79" s="439"/>
      <c r="H79" s="439"/>
    </row>
    <row r="80" spans="1:8" x14ac:dyDescent="0.3">
      <c r="A80" s="439"/>
      <c r="B80" s="439"/>
      <c r="C80" s="439"/>
      <c r="D80" s="439"/>
      <c r="E80" s="439"/>
      <c r="F80" s="439"/>
      <c r="G80" s="439"/>
      <c r="H80" s="439"/>
    </row>
    <row r="81" spans="1:8" x14ac:dyDescent="0.3">
      <c r="A81" s="439"/>
      <c r="B81" s="439"/>
      <c r="C81" s="439"/>
      <c r="D81" s="439"/>
      <c r="E81" s="439"/>
      <c r="F81" s="439"/>
      <c r="G81" s="439"/>
      <c r="H81" s="439"/>
    </row>
    <row r="82" spans="1:8" x14ac:dyDescent="0.3">
      <c r="A82" s="439"/>
      <c r="B82" s="439"/>
      <c r="C82" s="439"/>
      <c r="D82" s="439"/>
      <c r="E82" s="439"/>
      <c r="F82" s="439"/>
      <c r="G82" s="439"/>
      <c r="H82" s="439"/>
    </row>
    <row r="83" spans="1:8" x14ac:dyDescent="0.3">
      <c r="A83" s="439"/>
      <c r="B83" s="439"/>
      <c r="C83" s="439"/>
      <c r="D83" s="439"/>
      <c r="E83" s="439"/>
      <c r="F83" s="439"/>
      <c r="G83" s="439"/>
      <c r="H83" s="439"/>
    </row>
    <row r="84" spans="1:8" x14ac:dyDescent="0.3">
      <c r="A84" s="439"/>
      <c r="B84" s="439"/>
      <c r="C84" s="439"/>
      <c r="D84" s="439"/>
      <c r="E84" s="439"/>
      <c r="F84" s="439"/>
      <c r="G84" s="439"/>
      <c r="H84" s="439"/>
    </row>
    <row r="85" spans="1:8" x14ac:dyDescent="0.3">
      <c r="A85" s="439"/>
      <c r="B85" s="439"/>
      <c r="C85" s="439"/>
      <c r="D85" s="439"/>
      <c r="E85" s="439"/>
      <c r="F85" s="439"/>
      <c r="G85" s="439"/>
      <c r="H85" s="439"/>
    </row>
    <row r="86" spans="1:8" x14ac:dyDescent="0.3">
      <c r="A86" s="439"/>
      <c r="B86" s="439"/>
      <c r="C86" s="439"/>
      <c r="D86" s="439"/>
      <c r="E86" s="439"/>
      <c r="F86" s="439"/>
      <c r="G86" s="439"/>
      <c r="H86" s="439"/>
    </row>
    <row r="87" spans="1:8" x14ac:dyDescent="0.3">
      <c r="A87" s="439"/>
      <c r="B87" s="439"/>
      <c r="C87" s="439"/>
      <c r="D87" s="439"/>
      <c r="E87" s="439"/>
      <c r="F87" s="439"/>
      <c r="G87" s="439"/>
      <c r="H87" s="439"/>
    </row>
    <row r="88" spans="1:8" x14ac:dyDescent="0.3">
      <c r="A88" s="439"/>
      <c r="B88" s="439"/>
      <c r="C88" s="439"/>
      <c r="D88" s="439"/>
      <c r="E88" s="439"/>
      <c r="F88" s="439"/>
      <c r="G88" s="439"/>
      <c r="H88" s="439"/>
    </row>
    <row r="89" spans="1:8" x14ac:dyDescent="0.3">
      <c r="A89" s="439"/>
      <c r="B89" s="439"/>
      <c r="C89" s="439"/>
      <c r="D89" s="439"/>
      <c r="E89" s="439"/>
      <c r="F89" s="439"/>
      <c r="G89" s="439"/>
      <c r="H89" s="439"/>
    </row>
    <row r="90" spans="1:8" x14ac:dyDescent="0.3">
      <c r="A90" s="439"/>
      <c r="B90" s="439"/>
      <c r="C90" s="439"/>
      <c r="D90" s="439"/>
      <c r="E90" s="439"/>
      <c r="F90" s="439"/>
      <c r="G90" s="439"/>
      <c r="H90" s="439"/>
    </row>
    <row r="91" spans="1:8" x14ac:dyDescent="0.3">
      <c r="A91" s="439"/>
      <c r="B91" s="439"/>
      <c r="C91" s="439"/>
      <c r="D91" s="439"/>
      <c r="E91" s="439"/>
      <c r="F91" s="439"/>
      <c r="G91" s="439"/>
      <c r="H91" s="439"/>
    </row>
    <row r="92" spans="1:8" x14ac:dyDescent="0.3">
      <c r="A92" s="439"/>
      <c r="B92" s="439"/>
      <c r="C92" s="439"/>
      <c r="D92" s="439"/>
      <c r="E92" s="439"/>
      <c r="F92" s="439"/>
      <c r="G92" s="439"/>
      <c r="H92" s="439"/>
    </row>
    <row r="93" spans="1:8" x14ac:dyDescent="0.3">
      <c r="A93" s="439"/>
      <c r="B93" s="439"/>
      <c r="C93" s="439"/>
      <c r="D93" s="439"/>
      <c r="E93" s="439"/>
      <c r="F93" s="439"/>
      <c r="G93" s="439"/>
      <c r="H93" s="439"/>
    </row>
    <row r="94" spans="1:8" x14ac:dyDescent="0.3">
      <c r="A94" s="439"/>
      <c r="B94" s="439"/>
      <c r="C94" s="439"/>
      <c r="D94" s="439"/>
      <c r="E94" s="439"/>
      <c r="F94" s="439"/>
      <c r="G94" s="439"/>
      <c r="H94" s="439"/>
    </row>
    <row r="95" spans="1:8" x14ac:dyDescent="0.3">
      <c r="A95" s="439"/>
      <c r="B95" s="439"/>
      <c r="C95" s="439"/>
      <c r="D95" s="439"/>
      <c r="E95" s="439"/>
      <c r="F95" s="439"/>
      <c r="G95" s="439"/>
      <c r="H95" s="439"/>
    </row>
    <row r="96" spans="1:8" x14ac:dyDescent="0.3">
      <c r="A96" s="439"/>
      <c r="B96" s="439"/>
      <c r="C96" s="439"/>
      <c r="D96" s="439"/>
      <c r="E96" s="439"/>
      <c r="F96" s="439"/>
      <c r="G96" s="439"/>
      <c r="H96" s="439"/>
    </row>
    <row r="97" spans="1:8" x14ac:dyDescent="0.3">
      <c r="A97" s="439"/>
      <c r="B97" s="439"/>
      <c r="C97" s="439"/>
      <c r="D97" s="439"/>
      <c r="E97" s="439"/>
      <c r="F97" s="439"/>
      <c r="G97" s="439"/>
      <c r="H97" s="439"/>
    </row>
    <row r="98" spans="1:8" x14ac:dyDescent="0.3">
      <c r="A98" s="439"/>
      <c r="B98" s="439"/>
      <c r="C98" s="439"/>
      <c r="D98" s="439"/>
      <c r="E98" s="439"/>
      <c r="F98" s="439"/>
      <c r="G98" s="439"/>
      <c r="H98" s="439"/>
    </row>
    <row r="99" spans="1:8" x14ac:dyDescent="0.3">
      <c r="A99" s="439"/>
      <c r="B99" s="439"/>
      <c r="C99" s="439"/>
      <c r="D99" s="439"/>
      <c r="E99" s="439"/>
      <c r="F99" s="439"/>
      <c r="G99" s="439"/>
      <c r="H99" s="439"/>
    </row>
    <row r="100" spans="1:8" x14ac:dyDescent="0.3">
      <c r="A100" s="439"/>
      <c r="B100" s="439"/>
      <c r="C100" s="439"/>
      <c r="D100" s="439"/>
      <c r="E100" s="439"/>
      <c r="F100" s="439"/>
      <c r="G100" s="439"/>
      <c r="H100" s="439"/>
    </row>
  </sheetData>
  <mergeCells count="5">
    <mergeCell ref="B72:C72"/>
    <mergeCell ref="B5:C5"/>
    <mergeCell ref="B6:C6"/>
    <mergeCell ref="B7:C7"/>
    <mergeCell ref="B8:C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1F9A2-BE40-41E2-A59D-B17B3B93DA06}">
  <sheetPr>
    <tabColor rgb="FF132E57"/>
  </sheetPr>
  <dimension ref="B1:C32"/>
  <sheetViews>
    <sheetView showGridLines="0" workbookViewId="0"/>
  </sheetViews>
  <sheetFormatPr defaultRowHeight="14.4" x14ac:dyDescent="0.3"/>
  <cols>
    <col min="1" max="1" width="2.77734375" customWidth="1"/>
    <col min="2" max="2" width="38.88671875" customWidth="1"/>
    <col min="3" max="3" width="103.6640625" customWidth="1"/>
  </cols>
  <sheetData>
    <row r="1" spans="2:3" ht="24" customHeight="1" x14ac:dyDescent="0.3">
      <c r="B1" s="566" t="s">
        <v>1565</v>
      </c>
      <c r="C1" s="566"/>
    </row>
    <row r="2" spans="2:3" ht="18" customHeight="1" x14ac:dyDescent="0.3">
      <c r="B2" s="567" t="s">
        <v>1566</v>
      </c>
      <c r="C2" s="565"/>
    </row>
    <row r="3" spans="2:3" x14ac:dyDescent="0.3">
      <c r="B3" s="172"/>
      <c r="C3" s="172"/>
    </row>
    <row r="4" spans="2:3" x14ac:dyDescent="0.3">
      <c r="B4" s="568" t="s">
        <v>1567</v>
      </c>
      <c r="C4" s="568" t="s">
        <v>1568</v>
      </c>
    </row>
    <row r="5" spans="2:3" ht="16.05" customHeight="1" x14ac:dyDescent="0.3">
      <c r="B5" s="571" t="s">
        <v>1569</v>
      </c>
      <c r="C5" s="569"/>
    </row>
    <row r="6" spans="2:3" ht="28.8" x14ac:dyDescent="0.3">
      <c r="B6" s="570" t="s">
        <v>1570</v>
      </c>
      <c r="C6" s="172" t="s">
        <v>1571</v>
      </c>
    </row>
    <row r="7" spans="2:3" x14ac:dyDescent="0.3">
      <c r="B7" s="570" t="s">
        <v>1572</v>
      </c>
      <c r="C7" s="172" t="s">
        <v>1573</v>
      </c>
    </row>
    <row r="8" spans="2:3" x14ac:dyDescent="0.3">
      <c r="B8" s="570" t="s">
        <v>1574</v>
      </c>
      <c r="C8" s="172" t="str">
        <f>"Zero by design. Cleaning and guest turnover are included in the "&amp;TEXT(Input!$C$31,"0%")&amp;" property management &amp; housekeeping fee."</f>
        <v>Zero by design. Cleaning and guest turnover are included in the 20% property management &amp; housekeeping fee.</v>
      </c>
    </row>
    <row r="9" spans="2:3" x14ac:dyDescent="0.3">
      <c r="B9" s="570" t="s">
        <v>1575</v>
      </c>
      <c r="C9" s="172" t="str">
        <f>"ServCo fee of "&amp;TEXT(Input!$C$31,"0.0%")&amp;" of gross rent, from each property's rental start. Market range: 15%–25% of rent (ref 12)."</f>
        <v>ServCo fee of 20.0% of gross rent, from each property's rental start. Market range: 15%–25% of rent (ref 12).</v>
      </c>
    </row>
    <row r="10" spans="2:3" ht="43.2" x14ac:dyDescent="0.3">
      <c r="B10" s="570" t="s">
        <v>1576</v>
      </c>
      <c r="C10" s="172" t="str">
        <f>"Municipal industry and commerce tax (ICA, incl. signage tax) plus the FONTUR tourism levy, at a blended "&amp;TEXT(Input!$C$21,"0.00%")&amp;" of gross rent, weighted by property. The FONTUR levy is why this sits above ICA-only rates of 0.2%–1.0% (ref 6)."</f>
        <v>Municipal industry and commerce tax (ICA, incl. signage tax) plus the FONTUR tourism levy, at a blended 1.25% of gross rent, weighted by property. The FONTUR levy is why this sits above ICA-only rates of 0.2%–1.0% (ref 6).</v>
      </c>
    </row>
    <row r="11" spans="2:3" x14ac:dyDescent="0.3">
      <c r="B11" s="570" t="s">
        <v>1577</v>
      </c>
      <c r="C11" s="172" t="str">
        <f>"Broker and notary costs at "&amp;TEXT(Input!$C$15,"0.0%")&amp;" of gross sale price."</f>
        <v>Broker and notary costs at 3.8% of gross sale price.</v>
      </c>
    </row>
    <row r="12" spans="2:3" x14ac:dyDescent="0.3">
      <c r="B12" s="571" t="s">
        <v>1578</v>
      </c>
      <c r="C12" s="569"/>
    </row>
    <row r="13" spans="2:3" ht="28.8" x14ac:dyDescent="0.3">
      <c r="B13" s="570" t="s">
        <v>1579</v>
      </c>
      <c r="C13" s="172" t="s">
        <v>1580</v>
      </c>
    </row>
    <row r="14" spans="2:3" ht="28.8" x14ac:dyDescent="0.3">
      <c r="B14" s="570" t="s">
        <v>72</v>
      </c>
      <c r="C14" s="172" t="str">
        <f>"All-risk policy at "&amp;TEXT(Input!$C$18,"0.00%")&amp;" of all-in basis per year, from rental start to sale. The works period is excluded (contractor's cover applies). Typical range 0.1%–0.2%; no numbered source."</f>
        <v>All-risk policy at 0.15% of all-in basis per year, from rental start to sale. The works period is excluded (contractor's cover applies). Typical range 0.1%–0.2%; no numbered source.</v>
      </c>
    </row>
    <row r="15" spans="2:3" ht="28.8" x14ac:dyDescent="0.3">
      <c r="B15" s="570" t="s">
        <v>73</v>
      </c>
      <c r="C15" s="172" t="s">
        <v>1581</v>
      </c>
    </row>
    <row r="16" spans="2:3" ht="28.8" x14ac:dyDescent="0.3">
      <c r="B16" s="570" t="s">
        <v>169</v>
      </c>
      <c r="C16" s="172" t="s">
        <v>1582</v>
      </c>
    </row>
    <row r="17" spans="2:3" x14ac:dyDescent="0.3">
      <c r="B17" s="570" t="s">
        <v>170</v>
      </c>
      <c r="C17" s="172" t="str">
        <f>TEXT(Input!$C$19,"0.0%")&amp;" of all-in basis per year, from each property's rental start. No external benchmark."</f>
        <v>0.5% of all-in basis per year, from each property's rental start. No external benchmark.</v>
      </c>
    </row>
    <row r="18" spans="2:3" ht="28.8" x14ac:dyDescent="0.3">
      <c r="B18" s="570" t="s">
        <v>1583</v>
      </c>
      <c r="C18" s="172" t="str">
        <f>"Flat per-property fee, set to "&amp;TEXT(Input!$C$32,"$#,##0")&amp;" because the property management fee already covers this work. Raise the input to reinstate."</f>
        <v>Flat per-property fee, set to $0 because the property management fee already covers this work. Raise the input to reinstate.</v>
      </c>
    </row>
    <row r="19" spans="2:3" x14ac:dyDescent="0.3">
      <c r="B19" s="570" t="s">
        <v>1584</v>
      </c>
      <c r="C19" s="172" t="s">
        <v>1585</v>
      </c>
    </row>
    <row r="20" spans="2:3" ht="28.8" x14ac:dyDescent="0.3">
      <c r="B20" s="570" t="s">
        <v>79</v>
      </c>
      <c r="C20" s="172" t="str">
        <f>"ServCo fee of "&amp;TEXT(Input!$C$30,"0.0%")&amp;" per year of all-in basis owned, from acquisition. Market range: 1%–2% of equity (ref 13). The model charges on basis, which is close to equity with no debt."</f>
        <v>ServCo fee of 1.0% per year of all-in basis owned, from acquisition. Market range: 1%–2% of equity (ref 13). The model charges on basis, which is close to equity with no debt.</v>
      </c>
    </row>
    <row r="21" spans="2:3" ht="28.8" x14ac:dyDescent="0.3">
      <c r="B21" s="570" t="s">
        <v>1586</v>
      </c>
      <c r="C21" s="172" t="str">
        <f>"Dulcinea fund costs of "&amp;TEXT(Input!$C$35,"$#,##0")&amp;" per year, ending at the final sale. Covers audit and administration. No external benchmark."</f>
        <v>Dulcinea fund costs of $30,000 per year, ending at the final sale. Covers audit and administration. No external benchmark.</v>
      </c>
    </row>
    <row r="22" spans="2:3" ht="28.8" x14ac:dyDescent="0.3">
      <c r="B22" s="570" t="s">
        <v>1587</v>
      </c>
      <c r="C22" s="172" t="str">
        <f>"4-per-1,000 levy ("&amp;TEXT(Input!$C$22,"0.0%")&amp;") on acquisition, works, operating-cost and fund G&amp;A payments. Statutory rate. Legal basis: Estatuto Tributario Arts. 871–872."</f>
        <v>4-per-1,000 levy (0.4%) on acquisition, works, operating-cost and fund G&amp;A payments. Statutory rate. Legal basis: Estatuto Tributario Arts. 871–872.</v>
      </c>
    </row>
    <row r="23" spans="2:3" ht="28.8" x14ac:dyDescent="0.3">
      <c r="B23" s="570" t="s">
        <v>1588</v>
      </c>
      <c r="C23" s="172" t="s">
        <v>1589</v>
      </c>
    </row>
    <row r="24" spans="2:3" x14ac:dyDescent="0.3">
      <c r="B24" s="571" t="s">
        <v>1590</v>
      </c>
      <c r="C24" s="569"/>
    </row>
    <row r="25" spans="2:3" ht="28.8" x14ac:dyDescent="0.3">
      <c r="B25" s="570" t="s">
        <v>1591</v>
      </c>
      <c r="C25" s="172" t="str">
        <f>"Tax on cumulative rental operating income at "&amp;TEXT(Input!$C$25,"0%")&amp;", the cap advised by counsel (statutory rate 35%). Operating losses are carried forward and offset later rental income, as Colombian law allows (Estatuto Tributario Arts. 240 and 147)."</f>
        <v>Tax on cumulative rental operating income at 15%, the cap advised by counsel (statutory rate 35%). Operating losses are carried forward and offset later rental income, as Colombian law allows (Estatuto Tributario Arts. 240 and 147).</v>
      </c>
    </row>
    <row r="26" spans="2:3" ht="28.8" x14ac:dyDescent="0.3">
      <c r="B26" s="570" t="s">
        <v>1592</v>
      </c>
      <c r="C26" s="172" t="str">
        <f>"Sale gains taxed at the "&amp;TEXT(Input!$C$26,"0%")&amp;" occasional-gains rate for every property, regardless of hold period (model convention; see Glossary). Legal basis: Estatuto Tributario Arts. 300 and 313."</f>
        <v>Sale gains taxed at the 15% occasional-gains rate for every property, regardless of hold period (model convention; see Glossary). Legal basis: Estatuto Tributario Arts. 300 and 313.</v>
      </c>
    </row>
    <row r="27" spans="2:3" x14ac:dyDescent="0.3">
      <c r="B27" s="571" t="s">
        <v>1593</v>
      </c>
      <c r="C27" s="569"/>
    </row>
    <row r="28" spans="2:3" ht="28.8" x14ac:dyDescent="0.3">
      <c r="B28" s="570" t="s">
        <v>1594</v>
      </c>
      <c r="C28" s="172" t="s">
        <v>1595</v>
      </c>
    </row>
    <row r="29" spans="2:3" ht="28.8" x14ac:dyDescent="0.3">
      <c r="B29" s="570" t="s">
        <v>1596</v>
      </c>
      <c r="C29" s="172" t="s">
        <v>1597</v>
      </c>
    </row>
    <row r="30" spans="2:3" ht="28.8" x14ac:dyDescent="0.3">
      <c r="B30" s="570" t="s">
        <v>1598</v>
      </c>
      <c r="C30" s="172" t="s">
        <v>1599</v>
      </c>
    </row>
    <row r="31" spans="2:3" ht="43.2" x14ac:dyDescent="0.3">
      <c r="B31" s="570" t="s">
        <v>252</v>
      </c>
      <c r="C31" s="172" t="s">
        <v>1600</v>
      </c>
    </row>
    <row r="32" spans="2:3" ht="28.8" x14ac:dyDescent="0.3">
      <c r="B32" s="570" t="s">
        <v>325</v>
      </c>
      <c r="C32" s="172" t="str">
        <f>"IRR is XIRR on dated monthly cash flows: calls in the month of the acquisition they fund, distributions in the month of the exit. Totals tie to the statements: "&amp;TEXT('_IRR Engine'!$Q$24,"$#,##0")&amp;" called, "&amp;TEXT('_IRR Engine'!$Q$26,"$#,##0")&amp;" distributed."</f>
        <v>IRR is XIRR on dated monthly cash flows: calls in the month of the acquisition they fund, distributions in the month of the exit. Totals tie to the statements: $6,719,800 called, $9,646,475 distributed.</v>
      </c>
    </row>
  </sheetData>
  <mergeCells count="2">
    <mergeCell ref="B1:C1"/>
    <mergeCell ref="B2:C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61850-F8A6-48D7-B1E0-75E57FBDF91B}">
  <sheetPr>
    <tabColor rgb="FF132E57"/>
    <pageSetUpPr fitToPage="1"/>
  </sheetPr>
  <dimension ref="A1:C147"/>
  <sheetViews>
    <sheetView workbookViewId="0">
      <selection sqref="A1:C133"/>
    </sheetView>
  </sheetViews>
  <sheetFormatPr defaultRowHeight="14.4" x14ac:dyDescent="0.3"/>
  <cols>
    <col min="1" max="1" width="2.88671875" customWidth="1"/>
    <col min="2" max="2" width="41.6640625" customWidth="1"/>
    <col min="3" max="3" width="118.5546875" customWidth="1"/>
  </cols>
  <sheetData>
    <row r="1" spans="1:3" ht="36" customHeight="1" x14ac:dyDescent="0.3">
      <c r="A1" s="57"/>
      <c r="B1" s="53" t="s">
        <v>187</v>
      </c>
      <c r="C1" s="31"/>
    </row>
    <row r="2" spans="1:3" s="7" customFormat="1" ht="14.55" customHeight="1" x14ac:dyDescent="0.3">
      <c r="A2" s="112"/>
      <c r="B2" s="87" t="s">
        <v>1023</v>
      </c>
      <c r="C2" s="9"/>
    </row>
    <row r="3" spans="1:3" x14ac:dyDescent="0.3">
      <c r="A3" s="1"/>
      <c r="B3" s="9"/>
      <c r="C3" s="9"/>
    </row>
    <row r="4" spans="1:3" ht="19.95" customHeight="1" x14ac:dyDescent="0.3">
      <c r="A4" s="192"/>
      <c r="B4" s="191" t="s">
        <v>303</v>
      </c>
      <c r="C4" s="191"/>
    </row>
    <row r="5" spans="1:3" ht="34.049999999999997" customHeight="1" x14ac:dyDescent="0.3">
      <c r="A5" s="1"/>
      <c r="B5" s="541" t="s">
        <v>1024</v>
      </c>
      <c r="C5" s="541"/>
    </row>
    <row r="6" spans="1:3" ht="28.8" customHeight="1" x14ac:dyDescent="0.3">
      <c r="A6" s="1"/>
      <c r="B6" s="190"/>
      <c r="C6" s="139"/>
    </row>
    <row r="7" spans="1:3" ht="19.95" customHeight="1" x14ac:dyDescent="0.3">
      <c r="A7" s="1"/>
      <c r="B7" s="191" t="s">
        <v>304</v>
      </c>
      <c r="C7" s="191"/>
    </row>
    <row r="8" spans="1:3" ht="28.8" customHeight="1" x14ac:dyDescent="0.3">
      <c r="A8" s="1"/>
      <c r="B8" s="190" t="s">
        <v>305</v>
      </c>
      <c r="C8" s="139" t="s">
        <v>1025</v>
      </c>
    </row>
    <row r="9" spans="1:3" ht="28.8" customHeight="1" x14ac:dyDescent="0.3">
      <c r="A9" s="1"/>
      <c r="B9" s="190" t="s">
        <v>306</v>
      </c>
      <c r="C9" s="139" t="s">
        <v>307</v>
      </c>
    </row>
    <row r="10" spans="1:3" ht="28.8" customHeight="1" x14ac:dyDescent="0.3">
      <c r="A10" s="1"/>
      <c r="B10" s="190" t="s">
        <v>308</v>
      </c>
      <c r="C10" s="139" t="s">
        <v>309</v>
      </c>
    </row>
    <row r="11" spans="1:3" ht="28.8" customHeight="1" x14ac:dyDescent="0.3">
      <c r="A11" s="1"/>
      <c r="B11" s="190" t="s">
        <v>310</v>
      </c>
      <c r="C11" s="139" t="s">
        <v>311</v>
      </c>
    </row>
    <row r="12" spans="1:3" ht="28.8" customHeight="1" x14ac:dyDescent="0.3">
      <c r="A12" s="1"/>
      <c r="B12" s="190" t="s">
        <v>312</v>
      </c>
      <c r="C12" s="139" t="s">
        <v>313</v>
      </c>
    </row>
    <row r="13" spans="1:3" ht="28.8" customHeight="1" x14ac:dyDescent="0.3">
      <c r="A13" s="1"/>
      <c r="B13" s="190" t="s">
        <v>579</v>
      </c>
      <c r="C13" s="139" t="s">
        <v>435</v>
      </c>
    </row>
    <row r="14" spans="1:3" ht="28.8" customHeight="1" x14ac:dyDescent="0.3">
      <c r="A14" s="1"/>
      <c r="B14" s="190"/>
      <c r="C14" s="139"/>
    </row>
    <row r="15" spans="1:3" ht="19.95" customHeight="1" x14ac:dyDescent="0.3">
      <c r="A15" s="192"/>
      <c r="B15" s="191" t="s">
        <v>577</v>
      </c>
      <c r="C15" s="191"/>
    </row>
    <row r="16" spans="1:3" ht="28.8" customHeight="1" x14ac:dyDescent="0.3">
      <c r="A16" s="1"/>
      <c r="B16" s="190" t="s">
        <v>521</v>
      </c>
      <c r="C16" s="139" t="str">
        <f>"Operating figures are in Year-1 dollars. Cost lines carry no inflation; rent grows at real rent growth ("&amp;TEXT(Input!$C$8,"0.0%")&amp;"/yr)."</f>
        <v>Operating figures are in Year-1 dollars. Cost lines carry no inflation; rent grows at real rent growth (2.0%/yr).</v>
      </c>
    </row>
    <row r="17" spans="1:3" ht="28.8" customHeight="1" x14ac:dyDescent="0.3">
      <c r="A17" s="1"/>
      <c r="B17" s="190" t="s">
        <v>522</v>
      </c>
      <c r="C17" s="139" t="str">
        <f>"Rent growth above inflation ("&amp;TEXT(Input!$C$8,"0.0%")&amp;"/yr). Market appreciation ("&amp;TEXT(Input!$C$55,"0.0%")&amp;"/yr) prices the exit only."</f>
        <v>Rent growth above inflation (2.0%/yr). Market appreciation (7.8%/yr) prices the exit only.</v>
      </c>
    </row>
    <row r="18" spans="1:3" ht="57.45" customHeight="1" x14ac:dyDescent="0.3">
      <c r="A18" s="1"/>
      <c r="B18" s="190" t="s">
        <v>1182</v>
      </c>
      <c r="C18" s="139" t="s">
        <v>1183</v>
      </c>
    </row>
    <row r="19" spans="1:3" ht="28.8" customHeight="1" x14ac:dyDescent="0.3">
      <c r="A19" s="1"/>
      <c r="B19" s="190"/>
      <c r="C19" s="139"/>
    </row>
    <row r="20" spans="1:3" ht="19.95" customHeight="1" x14ac:dyDescent="0.3">
      <c r="A20" s="1"/>
      <c r="B20" s="191" t="s">
        <v>527</v>
      </c>
      <c r="C20" s="191"/>
    </row>
    <row r="21" spans="1:3" ht="28.8" customHeight="1" x14ac:dyDescent="0.3">
      <c r="A21" s="1"/>
      <c r="B21" s="190" t="s">
        <v>67</v>
      </c>
      <c r="C21" s="139" t="s">
        <v>1084</v>
      </c>
    </row>
    <row r="22" spans="1:3" ht="28.8" customHeight="1" x14ac:dyDescent="0.3">
      <c r="A22" s="1"/>
      <c r="B22" s="190" t="s">
        <v>68</v>
      </c>
      <c r="C22" s="139" t="s">
        <v>1085</v>
      </c>
    </row>
    <row r="23" spans="1:3" ht="28.8" customHeight="1" x14ac:dyDescent="0.3">
      <c r="A23" s="1"/>
      <c r="B23" s="190" t="s">
        <v>69</v>
      </c>
      <c r="C23" s="139" t="s">
        <v>528</v>
      </c>
    </row>
    <row r="24" spans="1:3" ht="28.8" customHeight="1" x14ac:dyDescent="0.3">
      <c r="A24" s="1"/>
      <c r="B24" s="190" t="s">
        <v>70</v>
      </c>
      <c r="C24" s="139" t="s">
        <v>529</v>
      </c>
    </row>
    <row r="25" spans="1:3" ht="28.8" customHeight="1" x14ac:dyDescent="0.3">
      <c r="A25" s="192"/>
      <c r="B25" s="190" t="s">
        <v>71</v>
      </c>
      <c r="C25" s="139" t="s">
        <v>530</v>
      </c>
    </row>
    <row r="26" spans="1:3" ht="28.8" customHeight="1" x14ac:dyDescent="0.3">
      <c r="A26" s="1"/>
      <c r="B26" s="190" t="s">
        <v>72</v>
      </c>
      <c r="C26" s="139" t="s">
        <v>531</v>
      </c>
    </row>
    <row r="27" spans="1:3" ht="28.8" customHeight="1" x14ac:dyDescent="0.3">
      <c r="A27" s="1"/>
      <c r="B27" s="190" t="s">
        <v>169</v>
      </c>
      <c r="C27" s="139" t="s">
        <v>1536</v>
      </c>
    </row>
    <row r="28" spans="1:3" ht="28.8" customHeight="1" x14ac:dyDescent="0.3">
      <c r="A28" s="1"/>
      <c r="B28" s="190" t="s">
        <v>401</v>
      </c>
      <c r="C28" s="139" t="s">
        <v>532</v>
      </c>
    </row>
    <row r="29" spans="1:3" ht="28.8" customHeight="1" x14ac:dyDescent="0.3">
      <c r="A29" s="1"/>
      <c r="B29" s="190" t="s">
        <v>533</v>
      </c>
      <c r="C29" s="139" t="s">
        <v>534</v>
      </c>
    </row>
    <row r="30" spans="1:3" ht="28.8" customHeight="1" x14ac:dyDescent="0.3">
      <c r="A30" s="1"/>
      <c r="B30" s="190" t="s">
        <v>403</v>
      </c>
      <c r="C30" s="139" t="s">
        <v>535</v>
      </c>
    </row>
    <row r="31" spans="1:3" ht="28.8" customHeight="1" x14ac:dyDescent="0.3">
      <c r="A31" s="1"/>
      <c r="B31" s="190" t="s">
        <v>75</v>
      </c>
      <c r="C31" s="139" t="s">
        <v>536</v>
      </c>
    </row>
    <row r="32" spans="1:3" ht="28.8" customHeight="1" x14ac:dyDescent="0.3">
      <c r="A32" s="1"/>
      <c r="B32" s="190" t="s">
        <v>76</v>
      </c>
      <c r="C32" s="139" t="s">
        <v>537</v>
      </c>
    </row>
    <row r="33" spans="1:3" ht="28.8" customHeight="1" x14ac:dyDescent="0.3">
      <c r="A33" s="1"/>
      <c r="B33" s="190" t="s">
        <v>404</v>
      </c>
      <c r="C33" s="139" t="s">
        <v>538</v>
      </c>
    </row>
    <row r="34" spans="1:3" ht="28.8" customHeight="1" x14ac:dyDescent="0.3">
      <c r="A34" s="1"/>
      <c r="B34" s="190" t="s">
        <v>77</v>
      </c>
      <c r="C34" s="139" t="s">
        <v>539</v>
      </c>
    </row>
    <row r="35" spans="1:3" ht="28.8" customHeight="1" x14ac:dyDescent="0.3">
      <c r="A35" s="1"/>
      <c r="B35" s="190" t="s">
        <v>78</v>
      </c>
      <c r="C35" s="139" t="s">
        <v>540</v>
      </c>
    </row>
    <row r="36" spans="1:3" ht="28.8" customHeight="1" x14ac:dyDescent="0.3">
      <c r="A36" s="192"/>
      <c r="B36" s="190"/>
      <c r="C36" s="139"/>
    </row>
    <row r="37" spans="1:3" ht="19.95" customHeight="1" x14ac:dyDescent="0.3">
      <c r="A37" s="1"/>
      <c r="B37" s="191" t="s">
        <v>541</v>
      </c>
      <c r="C37" s="191"/>
    </row>
    <row r="38" spans="1:3" ht="28.8" customHeight="1" x14ac:dyDescent="0.3">
      <c r="A38" s="1"/>
      <c r="B38" s="190" t="s">
        <v>94</v>
      </c>
      <c r="C38" s="139" t="s">
        <v>542</v>
      </c>
    </row>
    <row r="39" spans="1:3" ht="28.8" customHeight="1" x14ac:dyDescent="0.3">
      <c r="A39" s="1"/>
      <c r="B39" s="190" t="s">
        <v>543</v>
      </c>
      <c r="C39" s="139" t="s">
        <v>544</v>
      </c>
    </row>
    <row r="40" spans="1:3" ht="28.8" customHeight="1" x14ac:dyDescent="0.3">
      <c r="A40" s="1"/>
      <c r="B40" s="190" t="s">
        <v>97</v>
      </c>
      <c r="C40" s="139" t="s">
        <v>545</v>
      </c>
    </row>
    <row r="41" spans="1:3" ht="28.8" customHeight="1" x14ac:dyDescent="0.3">
      <c r="A41" s="1"/>
      <c r="B41" s="190" t="s">
        <v>98</v>
      </c>
      <c r="C41" s="139" t="s">
        <v>546</v>
      </c>
    </row>
    <row r="42" spans="1:3" ht="28.8" customHeight="1" x14ac:dyDescent="0.3">
      <c r="A42" s="1"/>
      <c r="B42" s="190" t="s">
        <v>91</v>
      </c>
      <c r="C42" s="139" t="s">
        <v>1086</v>
      </c>
    </row>
    <row r="43" spans="1:3" ht="28.8" customHeight="1" x14ac:dyDescent="0.3">
      <c r="A43" s="192"/>
      <c r="B43" s="190" t="s">
        <v>99</v>
      </c>
      <c r="C43" s="139" t="s">
        <v>547</v>
      </c>
    </row>
    <row r="44" spans="1:3" ht="28.8" customHeight="1" x14ac:dyDescent="0.3">
      <c r="A44" s="1"/>
      <c r="B44" s="190" t="s">
        <v>100</v>
      </c>
      <c r="C44" s="139" t="s">
        <v>548</v>
      </c>
    </row>
    <row r="45" spans="1:3" ht="28.8" customHeight="1" x14ac:dyDescent="0.3">
      <c r="A45" s="1"/>
      <c r="B45" s="190" t="s">
        <v>101</v>
      </c>
      <c r="C45" s="139" t="s">
        <v>549</v>
      </c>
    </row>
    <row r="46" spans="1:3" ht="57.45" customHeight="1" x14ac:dyDescent="0.3">
      <c r="A46" s="1"/>
      <c r="B46" s="190" t="s">
        <v>550</v>
      </c>
      <c r="C46" s="139" t="str">
        <f>_xlfn._LONGTEXT("Equity Investor capital drawn to fund acquisitions, works, operating deficits and the cash reserve. Called just-in-time: the annual total on the Statement of Cash Flows is dated on _IRR Engine to the month the cash is actually spent — purchase price and c","losing costs at the closing month, renovation as billed month by month over the works period, operating deficits as they occur. Total called to date: ")&amp;TEXT('Investor Return'!$C$16,"$#,##0")&amp;" against a "&amp;TEXT(Input!$C$37,"$#,##0")&amp;" commitment."</f>
        <v>Equity Investor capital drawn to fund acquisitions, works, operating deficits and the cash reserve. Called just-in-time: the annual total on the Statement of Cash Flows is dated on _IRR Engine to the month the cash is actually spent — purchase price and closing costs at the closing month, renovation as billed month by month over the works period, operating deficits as they occur. Total called to date: $6,719,800 against a $7,000,000 commitment.</v>
      </c>
    </row>
    <row r="47" spans="1:3" ht="28.8" customHeight="1" x14ac:dyDescent="0.3">
      <c r="A47" s="1"/>
      <c r="B47" s="190" t="s">
        <v>103</v>
      </c>
      <c r="C47" s="139" t="s">
        <v>551</v>
      </c>
    </row>
    <row r="48" spans="1:3" ht="28.8" customHeight="1" x14ac:dyDescent="0.3">
      <c r="A48" s="1"/>
      <c r="B48" s="190" t="s">
        <v>104</v>
      </c>
      <c r="C48" s="139" t="s">
        <v>552</v>
      </c>
    </row>
    <row r="49" spans="1:3" ht="28.8" customHeight="1" x14ac:dyDescent="0.3">
      <c r="A49" s="1"/>
      <c r="B49" s="190" t="s">
        <v>105</v>
      </c>
      <c r="C49" s="139" t="s">
        <v>553</v>
      </c>
    </row>
    <row r="50" spans="1:3" ht="28.8" customHeight="1" x14ac:dyDescent="0.3">
      <c r="A50" s="1"/>
      <c r="B50" s="190" t="s">
        <v>554</v>
      </c>
      <c r="C50" s="139" t="s">
        <v>555</v>
      </c>
    </row>
    <row r="51" spans="1:3" ht="28.8" customHeight="1" x14ac:dyDescent="0.3">
      <c r="A51" s="193"/>
      <c r="B51" s="190"/>
      <c r="C51" s="139"/>
    </row>
    <row r="52" spans="1:3" ht="19.95" customHeight="1" x14ac:dyDescent="0.3">
      <c r="A52" s="1"/>
      <c r="B52" s="191" t="s">
        <v>556</v>
      </c>
      <c r="C52" s="191"/>
    </row>
    <row r="53" spans="1:3" ht="28.8" customHeight="1" x14ac:dyDescent="0.3">
      <c r="A53" s="1"/>
      <c r="B53" s="190" t="s">
        <v>108</v>
      </c>
      <c r="C53" s="139" t="s">
        <v>557</v>
      </c>
    </row>
    <row r="54" spans="1:3" ht="28.8" customHeight="1" x14ac:dyDescent="0.3">
      <c r="A54" s="193"/>
      <c r="B54" s="190" t="s">
        <v>110</v>
      </c>
      <c r="C54" s="139" t="s">
        <v>558</v>
      </c>
    </row>
    <row r="55" spans="1:3" ht="28.8" customHeight="1" x14ac:dyDescent="0.3">
      <c r="A55" s="1"/>
      <c r="B55" s="190" t="s">
        <v>112</v>
      </c>
      <c r="C55" s="139" t="s">
        <v>559</v>
      </c>
    </row>
    <row r="56" spans="1:3" ht="28.8" customHeight="1" x14ac:dyDescent="0.3">
      <c r="A56" s="1"/>
      <c r="B56" s="190" t="s">
        <v>113</v>
      </c>
      <c r="C56" s="139" t="s">
        <v>560</v>
      </c>
    </row>
    <row r="57" spans="1:3" ht="28.8" customHeight="1" x14ac:dyDescent="0.3">
      <c r="A57" s="1"/>
      <c r="B57" s="190" t="s">
        <v>115</v>
      </c>
      <c r="C57" s="139" t="s">
        <v>561</v>
      </c>
    </row>
    <row r="58" spans="1:3" ht="28.8" customHeight="1" x14ac:dyDescent="0.3">
      <c r="A58" s="1"/>
      <c r="B58" s="190" t="s">
        <v>116</v>
      </c>
      <c r="C58" s="139" t="s">
        <v>562</v>
      </c>
    </row>
    <row r="59" spans="1:3" ht="28.8" customHeight="1" x14ac:dyDescent="0.3">
      <c r="A59" s="1"/>
      <c r="B59" s="190" t="s">
        <v>563</v>
      </c>
      <c r="C59" s="139" t="s">
        <v>564</v>
      </c>
    </row>
    <row r="60" spans="1:3" ht="28.8" customHeight="1" x14ac:dyDescent="0.3">
      <c r="A60" s="1"/>
      <c r="B60" s="190"/>
      <c r="C60" s="139"/>
    </row>
    <row r="61" spans="1:3" ht="19.95" customHeight="1" x14ac:dyDescent="0.3">
      <c r="B61" s="191" t="s">
        <v>578</v>
      </c>
      <c r="C61" s="191"/>
    </row>
    <row r="62" spans="1:3" ht="28.8" customHeight="1" x14ac:dyDescent="0.3">
      <c r="B62" s="190" t="s">
        <v>233</v>
      </c>
      <c r="C62" s="139" t="s">
        <v>565</v>
      </c>
    </row>
    <row r="63" spans="1:3" ht="28.8" customHeight="1" x14ac:dyDescent="0.3">
      <c r="B63" s="190" t="s">
        <v>241</v>
      </c>
      <c r="C63" s="139" t="s">
        <v>566</v>
      </c>
    </row>
    <row r="64" spans="1:3" ht="28.8" customHeight="1" x14ac:dyDescent="0.3">
      <c r="B64" s="190" t="s">
        <v>239</v>
      </c>
      <c r="C64" s="139" t="s">
        <v>567</v>
      </c>
    </row>
    <row r="65" spans="2:3" ht="28.8" customHeight="1" x14ac:dyDescent="0.3">
      <c r="B65" s="190" t="s">
        <v>242</v>
      </c>
      <c r="C65" s="139" t="s">
        <v>568</v>
      </c>
    </row>
    <row r="66" spans="2:3" ht="28.8" customHeight="1" x14ac:dyDescent="0.3">
      <c r="B66" s="190" t="s">
        <v>496</v>
      </c>
      <c r="C66" s="139" t="s">
        <v>569</v>
      </c>
    </row>
    <row r="67" spans="2:3" ht="28.8" customHeight="1" x14ac:dyDescent="0.3">
      <c r="B67" s="190" t="s">
        <v>503</v>
      </c>
      <c r="C67" s="139" t="s">
        <v>570</v>
      </c>
    </row>
    <row r="68" spans="2:3" ht="28.8" customHeight="1" x14ac:dyDescent="0.3">
      <c r="B68" s="190" t="s">
        <v>340</v>
      </c>
      <c r="C68" s="139" t="s">
        <v>571</v>
      </c>
    </row>
    <row r="69" spans="2:3" ht="28.8" customHeight="1" x14ac:dyDescent="0.3">
      <c r="B69" s="190" t="s">
        <v>572</v>
      </c>
      <c r="C69" s="139" t="s">
        <v>573</v>
      </c>
    </row>
    <row r="70" spans="2:3" ht="28.8" customHeight="1" x14ac:dyDescent="0.3">
      <c r="B70" s="190" t="s">
        <v>508</v>
      </c>
      <c r="C70" s="139" t="s">
        <v>574</v>
      </c>
    </row>
    <row r="71" spans="2:3" ht="28.8" customHeight="1" x14ac:dyDescent="0.3">
      <c r="B71" s="190" t="s">
        <v>339</v>
      </c>
      <c r="C71" s="139" t="s">
        <v>575</v>
      </c>
    </row>
    <row r="72" spans="2:3" ht="43.2" customHeight="1" x14ac:dyDescent="0.3">
      <c r="B72" s="190" t="s">
        <v>205</v>
      </c>
      <c r="C72" s="139" t="s">
        <v>206</v>
      </c>
    </row>
    <row r="73" spans="2:3" ht="28.8" customHeight="1" x14ac:dyDescent="0.3">
      <c r="B73" s="190" t="s">
        <v>207</v>
      </c>
      <c r="C73" s="139" t="str">
        <f>"ServCo's fee for portfolio oversight: "&amp;TEXT(Input!$C$30,"0.0%")&amp;" per year of the all-in basis of properties owned."</f>
        <v>ServCo's fee for portfolio oversight: 1.0% per year of the all-in basis of properties owned.</v>
      </c>
    </row>
    <row r="74" spans="2:3" ht="28.8" customHeight="1" x14ac:dyDescent="0.3">
      <c r="B74" s="190" t="s">
        <v>1544</v>
      </c>
      <c r="C74" s="139" t="str">
        <f>"ServCo's single fee for running the rentals, including cleaning and guest turnover: "&amp;TEXT(Input!$C$31,"0%")&amp;" of gross rental revenue."</f>
        <v>ServCo's single fee for running the rentals, including cleaning and guest turnover: 20% of gross rental revenue.</v>
      </c>
    </row>
    <row r="75" spans="2:3" ht="43.35" customHeight="1" x14ac:dyDescent="0.3">
      <c r="B75" s="190" t="s">
        <v>208</v>
      </c>
      <c r="C75" s="139" t="str">
        <f>"A flat per-property monthly charge for concierge, oversight and vendor management, eliminated as duplicative: property management at "&amp;TEXT(Input!$C$31,"0%")&amp;" of gross rent and housekeeping &amp; turnover at "&amp;TEXT(Input!$C$20,"0%")&amp;" already cover that work. The input is retained at "&amp;TEXT(Input!$C$32,"$#,##0")&amp;" per property per month so the charge can be reinstated by raising it."</f>
        <v>A flat per-property monthly charge for concierge, oversight and vendor management, eliminated as duplicative: property management at 20% of gross rent and housekeeping &amp; turnover at 0% already cover that work. The input is retained at $0 per property per month so the charge can be reinstated by raising it.</v>
      </c>
    </row>
    <row r="76" spans="2:3" ht="28.8" customHeight="1" x14ac:dyDescent="0.3">
      <c r="B76" s="190" t="s">
        <v>209</v>
      </c>
      <c r="C76" s="139" t="s">
        <v>210</v>
      </c>
    </row>
    <row r="77" spans="2:3" ht="28.8" customHeight="1" x14ac:dyDescent="0.3">
      <c r="B77" s="190"/>
      <c r="C77" s="139"/>
    </row>
    <row r="78" spans="2:3" ht="19.95" customHeight="1" x14ac:dyDescent="0.3">
      <c r="B78" s="191" t="s">
        <v>188</v>
      </c>
      <c r="C78" s="191"/>
    </row>
    <row r="79" spans="2:3" ht="28.8" customHeight="1" x14ac:dyDescent="0.3">
      <c r="B79" s="190" t="s">
        <v>189</v>
      </c>
      <c r="C79" s="139" t="s">
        <v>190</v>
      </c>
    </row>
    <row r="80" spans="2:3" ht="28.8" customHeight="1" x14ac:dyDescent="0.3">
      <c r="B80" s="190" t="s">
        <v>1089</v>
      </c>
      <c r="C80" s="139" t="str">
        <f>"Timeline positions are expressed as model months. Month 1 is "&amp;TEXT(Input!$C$7,"mmm yyyy")&amp;"; each year of the plan spans twelve months."</f>
        <v>Timeline positions are expressed as model months. Month 1 is Oct 2026; each year of the plan spans twelve months.</v>
      </c>
    </row>
    <row r="81" spans="2:3" ht="28.8" customHeight="1" x14ac:dyDescent="0.3">
      <c r="B81" s="190" t="s">
        <v>1065</v>
      </c>
      <c r="C81" s="139" t="s">
        <v>1090</v>
      </c>
    </row>
    <row r="82" spans="2:3" ht="28.8" customHeight="1" x14ac:dyDescent="0.3">
      <c r="B82" s="190" t="s">
        <v>1066</v>
      </c>
      <c r="C82" s="139" t="str" cm="1">
        <f t="array" ref="C82">"Months from purchase to sale. Active holds run "&amp;TEXT(_xlfn.MINIFS(Properties!$S$6:$S$15,Properties!$D$6:$D$15,1),"0")&amp;" to "&amp;TEXT(_xlfn.MAXIFS(Properties!$S$6:$S$15,Properties!$D$6:$D$15,1),"0")&amp;" months, averaging "&amp;TEXT(SUMPRODUCT(Properties!$D$6:$D$15,Properties!$S$6:$S$15)/SUM(Properties!$D$6:$D$15),"0.0")&amp;" months. "&amp;IF(_xlfn.MINIFS(Properties!$S$6:$S$15,Properties!$D$6:$D$15,1)&gt;=24,"Every hold reaches the 24 months needed for the "&amp;TEXT(Input!$C$26,"0%")&amp;" occasional-gains rate.",TEXT(SUMPRODUCT(Properties!$D$6:$D$15*(Properties!$S$6:$S$15&lt;24)),"0")&amp;" hold(s) fall short of the 24 months needed for the "&amp;TEXT(Input!$C$26,"0%")&amp;" occasional-gains rate and are taxed at "&amp;TEXT(Input!$C$25,"0%")&amp;".")</f>
        <v>Months from purchase to sale. Active holds run 25 to 35 months, averaging 30.0 months. Every hold reaches the 24 months needed for the 15% occasional-gains rate.</v>
      </c>
    </row>
    <row r="83" spans="2:3" ht="28.8" customHeight="1" x14ac:dyDescent="0.3">
      <c r="B83" s="190" t="s">
        <v>834</v>
      </c>
      <c r="C83" s="139" t="str">
        <f>"Value created by renovating, repositioning and buying below the comparable — currently "&amp;TEXT(Input!$C$12,"0%")&amp;" of all-in basis at exit. Exit value = all-in basis ÷ (1 − entry discount) × (1 + appreciation)^hold years."</f>
        <v>Value created by renovating, repositioning and buying below the comparable — currently 73% of all-in basis at exit. Exit value = all-in basis ÷ (1 − entry discount) × (1 + appreciation)^hold years.</v>
      </c>
    </row>
    <row r="84" spans="2:3" ht="57.45" customHeight="1" x14ac:dyDescent="0.3">
      <c r="B84" s="190" t="s">
        <v>192</v>
      </c>
      <c r="C84" s="139" t="str">
        <f>_xlfn._LONGTEXT("The projected sale price of a renovated property: all-in basis ÷ (1 − entry discount) × (1 + appreciation)^hold years, with BOTH the discount and the appreciation rate set per property on the Input tab (columns J and G of the per-property table). Currentl","y ")&amp;TEXT(_xlfn.MINIFS(Input!$I$80:$I$89,Properties!$D$6:$D$15,1),"0%")&amp;" discount for every active property, and appreciation of "&amp;TEXT(MAX(Input!$G$80:$G$89),"0.0%")&amp;" for the El Poblado apartments against "&amp;TEXT(_xlfn.MINIFS(Input!$G$80:$G$89,Properties!$D$6:$D$15,1),"0.0%")&amp;" for the El Retiro houses. Selling costs and taxes are charged separately."</f>
        <v>The projected sale price of a renovated property: all-in basis ÷ (1 − entry discount) × (1 + appreciation)^hold years, with BOTH the discount and the appreciation rate set per property on the Input tab (columns J and G of the per-property table). Currently 30% discount for every active property, and appreciation of 8.5% for the El Poblado apartments against 7.1% for the El Retiro houses. Selling costs and taxes are charged separately.</v>
      </c>
    </row>
    <row r="85" spans="2:3" ht="28.8" customHeight="1" x14ac:dyDescent="0.3">
      <c r="B85" s="190" t="s">
        <v>193</v>
      </c>
      <c r="C85" s="139" t="str">
        <f>"Notary fees, registration tax, and registry rights paid by the buyer at purchase, modeled at "&amp;TEXT(Input!$C$14,"0.0%")&amp;" of the purchase price."</f>
        <v>Notary fees, registration tax, and registry rights paid by the buyer at purchase, modeled at 2.5% of the purchase price.</v>
      </c>
    </row>
    <row r="86" spans="2:3" ht="28.8" customHeight="1" x14ac:dyDescent="0.3">
      <c r="B86" s="190" t="s">
        <v>194</v>
      </c>
      <c r="C86" s="139" t="str">
        <f>"Broker commission plus the seller's notary share at sale, modeled at "&amp;TEXT(Input!$C$15,"0.0%")&amp;" of the sale price."</f>
        <v>Broker commission plus the seller's notary share at sale, modeled at 3.8% of the sale price.</v>
      </c>
    </row>
    <row r="87" spans="2:3" ht="57.45" customHeight="1" x14ac:dyDescent="0.3">
      <c r="B87" s="190" t="s">
        <v>582</v>
      </c>
      <c r="C87" s="139" t="s">
        <v>1423</v>
      </c>
    </row>
    <row r="88" spans="2:3" ht="57.45" customHeight="1" x14ac:dyDescent="0.3">
      <c r="B88" s="190" t="s">
        <v>833</v>
      </c>
      <c r="C88" s="139" t="str">
        <f>"The negotiated purchase discount to the fully improved comparable value — the model's primary return lever, set per property in the Input cost table (m²-weighted active average "&amp;TEXT(SUMPRODUCT(Properties!$D$6:$D$15,Input!$I$80:$I$89)/SUM(Properties!$D$6:$D$15),"0%")&amp;"). Exit value divides all-in basis by (1 − discount), so every point of discount is captured as value at exit. Each point moves deal-level IRR by roughly one point; the sensitivity grids on Portfolio Analysis show the full range."</f>
        <v>The negotiated purchase discount to the fully improved comparable value — the model's primary return lever, set per property in the Input cost table (m²-weighted active average 30%). Exit value divides all-in basis by (1 − discount), so every point of discount is captured as value at exit. Each point moves deal-level IRR by roughly one point; the sensitivity grids on Portfolio Analysis show the full range.</v>
      </c>
    </row>
    <row r="89" spans="2:3" ht="28.8" customHeight="1" x14ac:dyDescent="0.3">
      <c r="B89" s="190"/>
      <c r="C89" s="139"/>
    </row>
    <row r="90" spans="2:3" ht="19.95" customHeight="1" x14ac:dyDescent="0.3">
      <c r="B90" s="191" t="s">
        <v>195</v>
      </c>
      <c r="C90" s="191"/>
    </row>
    <row r="91" spans="2:3" ht="43.35" customHeight="1" x14ac:dyDescent="0.3">
      <c r="B91" s="190" t="s">
        <v>196</v>
      </c>
      <c r="C91" s="139" t="str">
        <f>"Stabilized annual STR revenue a property earns once renovated: for each calendar month, days × booked occupancy × effective nightly rate, summed over the year (see _Seasonality). Daily rates are set per active property (currently "&amp;TEXT(_xlfn.MINIFS(Input!$J$80:$J$89,Properties!$D$6:$D$15,1),"$#,##0")&amp;"–"&amp;TEXT(_xlfn.MAXIFS(Input!$J$80:$J$89,Properties!$D$6:$D$15,1),"$#,##0")&amp;"/night), with a 28-night minimum stay priced at MIN(28 × daily rate, "&amp;TEXT(Input!$C$170,"$#,##0")&amp;") and extra nights at the daily rate."</f>
        <v>Stabilized annual STR revenue a property earns once renovated: for each calendar month, days × booked occupancy × effective nightly rate, summed over the year (see _Seasonality). Daily rates are set per active property (currently $250–$340/night), with a 28-night minimum stay priced at MIN(28 × daily rate, $9,500) and extra nights at the daily rate.</v>
      </c>
    </row>
    <row r="92" spans="2:3" ht="28.8" customHeight="1" x14ac:dyDescent="0.3">
      <c r="B92" s="190" t="s">
        <v>197</v>
      </c>
      <c r="C92" s="139" t="str">
        <f>_xlfn._LONGTEXT("Net Operating Income at full operation: stabilized gross rent minus all property operating costs (predial, insurance, administración, utilities, maintenance, housekeeping, ICA, property management, service fees). A result of rent and costs — not set by ex","it value.")</f>
        <v>Net Operating Income at full operation: stabilized gross rent minus all property operating costs (predial, insurance, administración, utilities, maintenance, housekeeping, ICA, property management, service fees). A result of rent and costs — not set by exit value.</v>
      </c>
    </row>
    <row r="93" spans="2:3" ht="28.8" customHeight="1" x14ac:dyDescent="0.3">
      <c r="B93" s="190" t="s">
        <v>198</v>
      </c>
      <c r="C93" s="139" t="str">
        <f>"Share of time a property is rented once stabilized — rentals run month-at-a-time. Vacancy is set per property on the Input tab; occupancy is currently "&amp;TEXT(1-Input!$H$80,"0%")&amp;" ("&amp;TEXT((1-Input!$H$80)*12,"0.0")&amp;" rented months per year)."</f>
        <v>Share of time a property is rented once stabilized — rentals run month-at-a-time. Vacancy is set per property on the Input tab; occupancy is currently 60% (7.2 rented months per year).</v>
      </c>
    </row>
    <row r="94" spans="2:3" ht="28.8" customHeight="1" x14ac:dyDescent="0.3">
      <c r="B94" s="190" t="s">
        <v>199</v>
      </c>
      <c r="C94" s="139" t="s">
        <v>200</v>
      </c>
    </row>
    <row r="95" spans="2:3" ht="28.8" customHeight="1" x14ac:dyDescent="0.3">
      <c r="B95" s="190" t="s">
        <v>201</v>
      </c>
      <c r="C95" s="139" t="str">
        <f>"The period after renovation over which occupancy builds linearly to stabilized level, currently "&amp;TEXT(Input!$C$11,"0")&amp;" month"&amp;IF(Input!$C$11=1,"","s")&amp;IF(Input!$C$11&lt;=1," — rent reaches stabilized level immediately at the rent-start month.",".")</f>
        <v>The period after renovation over which occupancy builds linearly to stabilized level, currently 1 month — rent reaches stabilized level immediately at the rent-start month.</v>
      </c>
    </row>
    <row r="96" spans="2:3" ht="28.8" customHeight="1" x14ac:dyDescent="0.3">
      <c r="B96" s="190" t="s">
        <v>202</v>
      </c>
      <c r="C96" s="139" t="str">
        <f>"Annual allowance for repairs and upkeep, modeled at "&amp;TEXT(Input!$C$19,"0.0%")&amp;" of all-in basis per year, accrued from each property's rental start — not during renovation."</f>
        <v>Annual allowance for repairs and upkeep, modeled at 0.5% of all-in basis per year, accrued from each property's rental start — not during renovation.</v>
      </c>
    </row>
    <row r="97" spans="2:3" ht="28.8" customHeight="1" x14ac:dyDescent="0.3">
      <c r="B97" s="190" t="s">
        <v>203</v>
      </c>
      <c r="C97" s="139" t="str">
        <f>"Cleaning and guest-turnover services for furnished rentals. No longer a separate charge — included in the "&amp;TEXT(Input!$C$31,"0%")&amp;" Property Management &amp; Housekeeping fee. ServCo's delivery cost is about "&amp;TEXT(Input!$C$159,"0%")&amp;" of gross rent."</f>
        <v>Cleaning and guest-turnover services for furnished rentals. No longer a separate charge — included in the 20% Property Management &amp; Housekeeping fee. ServCo's delivery cost is about 5% of gross rent.</v>
      </c>
    </row>
    <row r="98" spans="2:3" ht="43.35" customHeight="1" x14ac:dyDescent="0.3">
      <c r="B98" s="190" t="s">
        <v>832</v>
      </c>
      <c r="C98" s="139" t="str">
        <f>"Trailing-12-month gross rent divided by the annual property operating cost — currently "&amp;TEXT('Portfolio Analysis'!$E$143,"0.00")&amp;"x for the active portfolio. Above 1.0x the rental operation pays for the hold; in this model rent's job is carry coverage, not the return, which comes from the entry discount and the exit."</f>
        <v>Trailing-12-month gross rent divided by the annual property operating cost — currently 1.50x for the active portfolio. Above 1.0x the rental operation pays for the hold; in this model rent's job is carry coverage, not the return, which comes from the entry discount and the exit.</v>
      </c>
    </row>
    <row r="99" spans="2:3" ht="28.8" customHeight="1" x14ac:dyDescent="0.3">
      <c r="B99" s="190"/>
      <c r="C99" s="139"/>
    </row>
    <row r="100" spans="2:3" ht="22.05" customHeight="1" x14ac:dyDescent="0.3">
      <c r="B100" s="477" t="s">
        <v>204</v>
      </c>
      <c r="C100" s="477"/>
    </row>
    <row r="101" spans="2:3" ht="43.2" customHeight="1" x14ac:dyDescent="0.3">
      <c r="B101" s="190" t="s">
        <v>1144</v>
      </c>
      <c r="C101" s="139" t="str">
        <f>"The official COP/USD rate published daily by the Superintendencia Financiera. Used only to translate COP-quoted source figures into USD at COP "&amp;TEXT(Input!$C$5,"#,##0")&amp;" per USD. All fund transactions settle in USD, so there is no FX exposure or hedging (see USD Transactions — No FX Hedging)."</f>
        <v>The official COP/USD rate published daily by the Superintendencia Financiera. Used only to translate COP-quoted source figures into USD at COP 3,090 per USD. All fund transactions settle in USD, so there is no FX exposure or hedging (see USD Transactions — No FX Hedging).</v>
      </c>
    </row>
    <row r="102" spans="2:3" ht="57.45" customHeight="1" x14ac:dyDescent="0.3">
      <c r="B102" s="190" t="s">
        <v>1145</v>
      </c>
      <c r="C102" s="139" t="str">
        <f>"Annual municipal property tax (Ley 44 de 1990) = cadastral valuation × a per-mil rate set by each municipality by use, estrato and value band. Input per property on the Input property table (cols O–P): Medellín "&amp;TEXT(Input!$O$80,"0")&amp;"‰ (Acuerdo 066 de 2017), El Retiro "&amp;TEXT(Input!$O$83,"0")&amp;"‰ (placeholder, to confirm). Converted to an effective "&amp;TEXT(_xlfn.MINIFS(Input!$C$80:$C$89,Properties!$D$6:$D$15,1),"0.00%")&amp;"–"&amp;TEXT(_xlfn.MAXIFS(Input!$C$80:$C$89,Properties!$D$6:$D$15,1),"0.00%")&amp;" of all-in basis per year. Income Statement line: Impuesto Predial Unificado — IPU (Ley 44/1990 Arts. 1–4)."</f>
        <v>Annual municipal property tax (Ley 44 de 1990) = cadastral valuation × a per-mil rate set by each municipality by use, estrato and value band. Input per property on the Input property table (cols O–P): Medellín 15‰ (Acuerdo 066 de 2017), El Retiro 12‰ (placeholder, to confirm). Converted to an effective 0.48%–0.71% of all-in basis per year. Income Statement line: Impuesto Predial Unificado — IPU (Ley 44/1990 Arts. 1–4).</v>
      </c>
    </row>
    <row r="103" spans="2:3" ht="43.2" customHeight="1" x14ac:dyDescent="0.3">
      <c r="B103" s="190" t="s">
        <v>1146</v>
      </c>
      <c r="C103" s="139" t="str">
        <f>"The official assessed value on which the predial is charged, set by the cadastral authority (Catastro Medellín; Catastro Departamental de Antioquia for El Retiro). Usually below market value. Modeled at "&amp;TEXT(Input!$P$80,"0%")&amp;" of purchase price (assumption — replace with each property's predial bill)."</f>
        <v>The official assessed value on which the predial is charged, set by the cadastral authority (Catastro Medellín; Catastro Departamental de Antioquia for El Retiro). Usually below market value. Modeled at 60% of purchase price (assumption — replace with each property's predial bill).</v>
      </c>
    </row>
    <row r="104" spans="2:3" ht="43.2" customHeight="1" x14ac:dyDescent="0.3">
      <c r="B104" s="190" t="s">
        <v>1147</v>
      </c>
      <c r="C104" s="139" t="str">
        <f>"Municipal tax on gross revenue from business activity (Ley 14 de 1983), rate set per CIIU activity code. Furnished STR falls under CIIU 5519 (other visitor accommodation): Medellín "&amp;TEXT(Input!$Q$80,"0")&amp;"‰ (Acuerdo 066 de 2017; 7‰ with sustainable-tourism certification), El Retiro "&amp;TEXT(Input!$Q$83,"0")&amp;"‰ (placeholder, to confirm). Charged on each property's STR revenue."</f>
        <v>Municipal tax on gross revenue from business activity (Ley 14 de 1983), rate set per CIIU activity code. Furnished STR falls under CIIU 5519 (other visitor accommodation): Medellín 10‰ (Acuerdo 066 de 2017; 7‰ with sustainable-tourism certification), El Retiro 10‰ (placeholder, to confirm). Charged on each property's STR revenue.</v>
      </c>
    </row>
    <row r="105" spans="2:3" ht="28.8" customHeight="1" x14ac:dyDescent="0.3">
      <c r="B105" s="190" t="s">
        <v>1148</v>
      </c>
      <c r="C105" s="139" t="str">
        <f>"A surcharge of 15% of ICA, due only when the business posts signs visible from public space. Set to "&amp;TEXT(Input!$R$80,"0%")&amp;" because the units carry no exterior signage."</f>
        <v>A surcharge of 15% of ICA, due only when the business posts signs visible from public space. Set to 0% because the units carry no exterior signage.</v>
      </c>
    </row>
    <row r="106" spans="2:3" ht="43.2" customHeight="1" x14ac:dyDescent="0.3">
      <c r="B106" s="190" t="s">
        <v>1149</v>
      </c>
      <c r="C106" s="139" t="str">
        <f>"Mandatory "&amp;TEXT(Input!$S$80,"0.0")&amp;"‰ levy on operating revenue of tourism providers, including vivienda turística (Ley 1101 de 2006 art. 2, as amended by Ley 2068 de 2020). Paid quarterly to FONTUR; cannot be passed on to the guest."</f>
        <v>Mandatory 2.5‰ levy on operating revenue of tourism providers, including vivienda turística (Ley 1101 de 2006 art. 2, as amended by Ley 2068 de 2020). Paid quarterly to FONTUR; cannot be passed on to the guest.</v>
      </c>
    </row>
    <row r="107" spans="2:3" ht="43.2" customHeight="1" x14ac:dyDescent="0.3">
      <c r="B107" s="190" t="s">
        <v>1150</v>
      </c>
      <c r="C107" s="139" t="str">
        <f>"Model line combining ICA + Avisos y Tableros + FONTUR, charged per property at "&amp;TEXT(Input!$U$80,"0.00%")&amp;" of STR revenue (Input col U). Portfolio revenue-weighted rate: "&amp;TEXT(Input!$C$21,"0.00%")&amp;". Income Statement line: Impuestos sobre ingresos STR (Ley 14/1983 Arts. 32 y 37; Ley 1101/2006 Art. 2)."</f>
        <v>Model line combining ICA + Avisos y Tableros + FONTUR, charged per property at 1.25% of STR revenue (Input col U). Portfolio revenue-weighted rate: 1.25%. Income Statement line: Impuestos sobre ingresos STR (Ley 14/1983 Arts. 32 y 37; Ley 1101/2006 Art. 2).</v>
      </c>
    </row>
    <row r="108" spans="2:3" ht="43.2" customHeight="1" x14ac:dyDescent="0.3">
      <c r="B108" s="190" t="s">
        <v>1151</v>
      </c>
      <c r="C108" s="139" t="str">
        <f>_xlfn._LONGTEXT("General 19% IVA (Art. 468 ET) applies to stays under 30 days. Stays by non-resident foreign guests are exempt (Art. 481 lit. d ET; Decreto 1625 de 2016 art. 1.3.1.11.1) when the unit is in the National Tourism Registry and the passport is kept on file. Tr","eated as pass-through: STR rates are modeled net of IVA, so it does not touch the P&amp;L (Input C27, reference only).")</f>
        <v>General 19% IVA (Art. 468 ET) applies to stays under 30 days. Stays by non-resident foreign guests are exempt (Art. 481 lit. d ET; Decreto 1625 de 2016 art. 1.3.1.11.1) when the unit is in the National Tourism Registry and the passport is kept on file. Treated as pass-through: STR rates are modeled net of IVA, so it does not touch the P&amp;L (Input C27, reference only).</v>
      </c>
    </row>
    <row r="109" spans="2:3" ht="28.8" customHeight="1" x14ac:dyDescent="0.3">
      <c r="B109" s="190" t="s">
        <v>1152</v>
      </c>
      <c r="C109" s="139" t="s">
        <v>1153</v>
      </c>
    </row>
    <row r="110" spans="2:3" ht="28.8" customHeight="1" x14ac:dyDescent="0.3">
      <c r="B110" s="190" t="s">
        <v>1154</v>
      </c>
      <c r="C110" s="139" t="s">
        <v>1155</v>
      </c>
    </row>
    <row r="111" spans="2:3" ht="28.8" customHeight="1" x14ac:dyDescent="0.3">
      <c r="B111" s="190" t="s">
        <v>1156</v>
      </c>
      <c r="C111" s="139" t="str">
        <f>"Colombia's "&amp;TEXT(Input!$C$22,"0.0%")&amp;" tax on bank debits (Art. 871 ET), applied to the model's cash disbursements."</f>
        <v>Colombia's 0.4% tax on bank debits (Art. 871 ET), applied to the model's cash disbursements.</v>
      </c>
    </row>
    <row r="112" spans="2:3" ht="43.2" customHeight="1" x14ac:dyDescent="0.3">
      <c r="B112" s="190" t="s">
        <v>1157</v>
      </c>
      <c r="C112" s="139" t="str">
        <f>"Income tax on rental operating profit, modeled at "&amp;TEXT(Input!$C$25,"0%")&amp;_xlfn._LONGTEXT(". The statutory general rate is 35% (Art. 240 ET, Ley 2277 de 2022), but per counsel (25 Sep 2026) the fund's structure caps its maximum tax rate on any income at 15%. Applied only in years with rental operating profit after fixed costs; sale gains are ta","xed separately (see Gains Tax Fixed at 15% (Model Exception)).")</f>
        <v>Income tax on rental operating profit, modeled at 15%. The statutory general rate is 35% (Art. 240 ET, Ley 2277 de 2022), but per counsel (25 Sep 2026) the fund's structure caps its maximum tax rate on any income at 15%. Applied only in years with rental operating profit after fixed costs; sale gains are taxed separately (see Gains Tax Fixed at 15% (Model Exception)).</v>
      </c>
    </row>
    <row r="113" spans="2:3" ht="43.2" customHeight="1" x14ac:dyDescent="0.3">
      <c r="B113" s="190" t="s">
        <v>1158</v>
      </c>
      <c r="C113" s="139" t="str">
        <f>"Flat "&amp;TEXT(Input!$C$26,"0%")&amp;_xlfn._LONGTEXT(" tax on the gain from selling fixed assets (Arts. 300 and 313 ET, rate set by Ley 2277 de 2022). By statute it applies only to assets held two years or more. In this model it is applied to EVERY sale regardless of hold — see Gains Tax Fixed at 15% (Model ","Exception).")</f>
        <v>Flat 15% tax on the gain from selling fixed assets (Arts. 300 and 313 ET, rate set by Ley 2277 de 2022). By statute it applies only to assets held two years or more. In this model it is applied to EVERY sale regardless of hold — see Gains Tax Fixed at 15% (Model Exception).</v>
      </c>
    </row>
    <row r="114" spans="2:3" ht="28.8" customHeight="1" x14ac:dyDescent="0.3">
      <c r="B114" s="190" t="s">
        <v>1159</v>
      </c>
      <c r="C114" s="139" t="str">
        <f>"Income Statement line 'Impuesto de Ganancia Ocasional — venta de inmuebles (Arts. 300 y 313 ET)': sale price less selling costs less all-in basis, taxed at a fixed "&amp;TEXT(Input!$C$26,"0%")&amp;" for every property (model exception). Per property on Properties column AD."</f>
        <v>Income Statement line 'Impuesto de Ganancia Ocasional — venta de inmuebles (Arts. 300 y 313 ET)': sale price less selling costs less all-in basis, taxed at a fixed 15% for every property (model exception). Per property on Properties column AD.</v>
      </c>
    </row>
    <row r="115" spans="2:3" ht="72" customHeight="1" x14ac:dyDescent="0.3">
      <c r="B115" s="190" t="s">
        <v>1186</v>
      </c>
      <c r="C115" s="139" t="str">
        <f>"For this model, the Impuesto de Ganancia Ocasional is fixed at "&amp;TEXT(Input!$C$26,"0%")&amp;_xlfn._LONGTEXT(" on every property sale, whenever it occurs. By statute (Arts. 300 and 313 ET) the 15% rate applies only to fixed assets held two years or more, with shorter holds or inventory treatment otherwise taxed at the 35% general rate — but per counsel (25 Sep 20","26) the fund's structure caps its maximum tax rate at 15% on any income, so no sale is modeled above 15%. Planned holds run ")&amp;TEXT(_xlfn.MINIFS(Properties!$S$6:$S$15,Properties!$D$6:$D$15,1),"0")&amp;"–"&amp;TEXT(_xlfn.MAXIFS(Properties!$S$6:$S$15,Properties!$D$6:$D$15,1),"0")&amp;" months."</f>
        <v>For this model, the Impuesto de Ganancia Ocasional is fixed at 15% on every property sale, whenever it occurs. By statute (Arts. 300 and 313 ET) the 15% rate applies only to fixed assets held two years or more, with shorter holds or inventory treatment otherwise taxed at the 35% general rate — but per counsel (25 Sep 2026) the fund's structure caps its maximum tax rate at 15% on any income, so no sale is modeled above 15%. Planned holds run 25–35 months.</v>
      </c>
    </row>
    <row r="116" spans="2:3" ht="158.55000000000001" customHeight="1" x14ac:dyDescent="0.3">
      <c r="B116" s="190" t="s">
        <v>1189</v>
      </c>
      <c r="C116" s="139" t="str">
        <f>_xlfn._LONGTEXT("Improvement costs DO reduce the taxable gain. By law, the tax cost of a fixed asset (costo fiscal, Art. 69 ET) is the purchase price plus additions and improvements (adiciones y mejoras) plus any valorización contributions, and it may be indexed for infla","tion each year (reajuste fiscal, Art. 70 ET). In the model: tax cost basis = all-in basis (purchase + closing + renovation incl. FF&amp;E) × (1 + US inflation ")&amp;TEXT(Input!$C$28,"0.0%")&amp;")^hold years — indexed with the US CPI because every transaction is in USD (Properties column AN). Taxable gain = net sale proceeds − tax cost basis; tax = gain × "&amp;TEXT(Input!$C$26,"0%")&amp;" (Properties AD). Improvements lower gains tax by about "&amp;TEXT(Properties!$N$21*Input!$C$26,"$#,##0")&amp;" and the inflation indexation by a further "&amp;TEXT((Properties!$AN$21-Properties!$P$21)*Input!$C$26,"$#,##0")&amp;_xlfn._LONGTEXT(". Conditions to confirm with tax counsel: (1) improvements must be supported by electronic invoices (factura electrónica) and paid through the banking system; (2) FF&amp;E is movable property — if sold with the home it should be priced separately in the deed;"," (3) DIAN publishes the reajuste fiscal factor in COP terms — applying US CPI to a USD basis is a model convention; (4) Colombian tax is computed in COP at the purchase- and sale-date exchange rates, so peso depreciation during the hold would raise the CO","P gain and the tax above the model's USD figure; (5) the declared sale price cannot be below the catastral valuation or self-assessed value (Art. 90 ET).")</f>
        <v>Improvement costs DO reduce the taxable gain. By law, the tax cost of a fixed asset (costo fiscal, Art. 69 ET) is the purchase price plus additions and improvements (adiciones y mejoras) plus any valorización contributions, and it may be indexed for inflation each year (reajuste fiscal, Art. 70 ET). In the model: tax cost basis = all-in basis (purchase + closing + renovation incl. FF&amp;E) × (1 + US inflation 3.4%)^hold years — indexed with the US CPI because every transaction is in USD (Properties column AN). Taxable gain = net sale proceeds − tax cost basis; tax = gain × 15% (Properties AD). Improvements lower gains tax by about $284,466 and the inflation indexation by a further $87,285. Conditions to confirm with tax counsel: (1) improvements must be supported by electronic invoices (factura electrónica) and paid through the banking system; (2) FF&amp;E is movable property — if sold with the home it should be priced separately in the deed; (3) DIAN publishes the reajuste fiscal factor in COP terms — applying US CPI to a USD basis is a model convention; (4) Colombian tax is computed in COP at the purchase- and sale-date exchange rates, so peso depreciation during the hold would raise the COP gain and the tax above the model's USD figure; (5) the declared sale price cannot be below the catastral valuation or self-assessed value (Art. 90 ET).</v>
      </c>
    </row>
    <row r="117" spans="2:3" ht="28.8" customHeight="1" x14ac:dyDescent="0.3">
      <c r="B117" s="190" t="s">
        <v>1160</v>
      </c>
      <c r="C117" s="139" t="s">
        <v>1161</v>
      </c>
    </row>
    <row r="118" spans="2:3" ht="28.8" customHeight="1" x14ac:dyDescent="0.3">
      <c r="B118" s="190" t="s">
        <v>1162</v>
      </c>
      <c r="C118" s="139" t="str">
        <f>"Departmental registration tax (Antioquia, Ley 223 de 1995), registry rights and notary fees on each purchase deed. Included in buyer closing costs at "&amp;TEXT(Input!$C$14,"0.0%")&amp;" of purchase price."</f>
        <v>Departmental registration tax (Antioquia, Ley 223 de 1995), registry rights and notary fees on each purchase deed. Included in buyer closing costs at 2.5% of purchase price.</v>
      </c>
    </row>
    <row r="119" spans="2:3" ht="28.8" customHeight="1" x14ac:dyDescent="0.3">
      <c r="B119" s="190" t="s">
        <v>1163</v>
      </c>
      <c r="C119" s="139" t="s">
        <v>1164</v>
      </c>
    </row>
    <row r="120" spans="2:3" ht="28.8" customHeight="1" x14ac:dyDescent="0.3">
      <c r="B120" s="190" t="s">
        <v>1165</v>
      </c>
      <c r="C120" s="139" t="s">
        <v>1166</v>
      </c>
    </row>
    <row r="121" spans="2:3" ht="28.8" customHeight="1" x14ac:dyDescent="0.3">
      <c r="B121" s="190"/>
      <c r="C121" s="139"/>
    </row>
    <row r="122" spans="2:3" ht="19.95" customHeight="1" x14ac:dyDescent="0.3">
      <c r="B122" s="191" t="s">
        <v>211</v>
      </c>
      <c r="C122" s="191"/>
    </row>
    <row r="123" spans="2:3" ht="28.8" customHeight="1" x14ac:dyDescent="0.3">
      <c r="B123" s="190" t="s">
        <v>212</v>
      </c>
      <c r="C123" s="139" t="str">
        <f>"The investor capital raised into Dulcinea, currently "&amp;TEXT(Input!$C$37,"$#,##0")&amp;", funding acquisitions, renovations, closing costs, Year-1 operations, and reserve."</f>
        <v>The investor capital raised into Dulcinea, currently $7,000,000, funding acquisitions, renovations, closing costs, Year-1 operations, and reserve.</v>
      </c>
    </row>
    <row r="124" spans="2:3" ht="28.8" customHeight="1" x14ac:dyDescent="0.3">
      <c r="B124" s="190" t="s">
        <v>213</v>
      </c>
      <c r="C124" s="139" t="s">
        <v>214</v>
      </c>
    </row>
    <row r="125" spans="2:3" ht="57.45" customHeight="1" x14ac:dyDescent="0.3">
      <c r="B125" s="190" t="s">
        <v>1378</v>
      </c>
      <c r="C125" s="139" t="s">
        <v>1388</v>
      </c>
    </row>
    <row r="126" spans="2:3" ht="43.2" customHeight="1" x14ac:dyDescent="0.3">
      <c r="B126" s="190" t="s">
        <v>1389</v>
      </c>
      <c r="C126" s="139" t="str">
        <f>"Equity investors in Dulcinea I are eligible for up to "&amp;TEXT(Input!$C$48,"0%")&amp;" of the Lola &amp; Ber Hospitality Brand business, which starts at the same time as the fund. The full interest applies at full subscription of the authorized raise; the model assumes "&amp;TEXT(Input!$C$49,"0%")&amp;" subscription, giving "&amp;TEXT(Input!$C$50,"0.0%")&amp;" (at current commitments: "&amp;TEXT(Input!$C$51,"0.0%")&amp;"). Shown on the Balance Sheet as 'Lola &amp; Ber Hospitality Brand Company — equity interest (intangible)'."</f>
        <v>Equity investors in Dulcinea I are eligible for up to 3% of the Lola &amp; Ber Hospitality Brand business, which starts at the same time as the fund. The full interest applies at full subscription of the authorized raise; the model assumes 100% subscription, giving 3.0% (at current commitments: 0.9%). Shown on the Balance Sheet as 'Lola &amp; Ber Hospitality Brand Company — equity interest (intangible)'.</v>
      </c>
    </row>
    <row r="127" spans="2:3" ht="43.2" customHeight="1" x14ac:dyDescent="0.3">
      <c r="B127" s="190" t="s">
        <v>1393</v>
      </c>
      <c r="C127" s="139" t="s">
        <v>1394</v>
      </c>
    </row>
    <row r="128" spans="2:3" ht="43.2" customHeight="1" x14ac:dyDescent="0.3">
      <c r="B128" s="190" t="s">
        <v>1390</v>
      </c>
      <c r="C128" s="139" t="s">
        <v>1377</v>
      </c>
    </row>
    <row r="129" spans="2:3" ht="28.8" customHeight="1" x14ac:dyDescent="0.3">
      <c r="B129" s="190" t="s">
        <v>123</v>
      </c>
      <c r="C129" s="139" t="s">
        <v>215</v>
      </c>
    </row>
    <row r="130" spans="2:3" ht="57.45" customHeight="1" x14ac:dyDescent="0.3">
      <c r="B130" s="190" t="s">
        <v>216</v>
      </c>
      <c r="C130" s="139" t="str">
        <f>"Internal Rate of Return: the annualized return implied by the size and timing of investor cash flows — capital in, distributions out. Time-sensitive: the same profit earned sooner produces a higher IRR. Dulcinea computes it as XIRR on "&amp;TEXT(COUNT('_IRR Engine'!$B$6:$B$125),"0")&amp;" dated monthly cash flows, so each capital call and distribution is discounted from the month it actually occurs rather than from a year-end. The current figure is "&amp;TEXT('Investor Return'!$C$22,"0.0%")&amp;" at the investor level and "&amp;TEXT('Portfolio Analysis'!$E$13,"0.0%")&amp;" at the deal level before fund costs."</f>
        <v>Internal Rate of Return: the annualized return implied by the size and timing of investor cash flows — capital in, distributions out. Time-sensitive: the same profit earned sooner produces a higher IRR. Dulcinea computes it as XIRR on 120 dated monthly cash flows, so each capital call and distribution is discounted from the month it actually occurs rather than from a year-end. The current figure is 15.7% at the investor level and 23.4% at the deal level before fund costs.</v>
      </c>
    </row>
    <row r="131" spans="2:3" ht="43.2" customHeight="1" x14ac:dyDescent="0.3">
      <c r="B131" s="190" t="s">
        <v>830</v>
      </c>
      <c r="C131" s="139" t="str">
        <f>"Excel's dated internal rate of return: the discount rate at which the net present value of a cash-flow series is zero, using each flow's actual calendar date rather than assuming equal annual periods. Every headline IRR in this workbook is XIRR on the "&amp;TEXT('_IRR Engine'!$Q$5,"0")&amp;" dated monthly cash flows built on _IRR Engine. See IRR."</f>
        <v>Excel's dated internal rate of return: the discount rate at which the net present value of a cash-flow series is zero, using each flow's actual calendar date rather than assuming equal annual periods. Every headline IRR in this workbook is XIRR on the 120 dated monthly cash flows built on _IRR Engine. See IRR.</v>
      </c>
    </row>
    <row r="132" spans="2:3" ht="57.45" customHeight="1" x14ac:dyDescent="0.3">
      <c r="B132" s="190" t="s">
        <v>831</v>
      </c>
      <c r="C132" s="139" t="str">
        <f>"Deal-level ("&amp;TEXT('Portfolio Analysis'!$E$13,"0.0%")&amp;" pre-tax) is the return on the property trade itself, before gains tax, fund overheads and carry; after gains tax it is "&amp;TEXT('_IRR Engine'!$Q$17,"0.0%")&amp;". Fund-level — the Equity Investor's number — is "&amp;TEXT('Investor Return'!$C$22,"0.0%")&amp;" net of everything. Portfolio Analysis rows 13–17 bridge the two step by step: tax, then overheads, then carry ("&amp;TEXT('Portfolio Analysis'!$E$16,"0.0%")&amp;"), then cash-timing. The remaining timing gap of "&amp;TEXT(('Portfolio Analysis'!$E$16-'Portfolio Analysis'!$E$17)*100,"0.0")&amp;" pts is the cost of holding a small cash reserve and of funding overheads through the year rather than at the instant they fall due."</f>
        <v>Deal-level (23.4% pre-tax) is the return on the property trade itself, before gains tax, fund overheads and carry; after gains tax it is 20.8%. Fund-level — the Equity Investor's number — is 15.7% net of everything. Portfolio Analysis rows 13–17 bridge the two step by step: tax, then overheads, then carry (15.9%), then cash-timing. The remaining timing gap of 0.2 pts is the cost of holding a small cash reserve and of funding overheads through the year rather than at the instant they fall due.</v>
      </c>
    </row>
    <row r="133" spans="2:3" ht="14.55" customHeight="1" x14ac:dyDescent="0.3">
      <c r="B133" s="190" t="s">
        <v>217</v>
      </c>
      <c r="C133" s="139" t="s">
        <v>218</v>
      </c>
    </row>
    <row r="134" spans="2:3" ht="28.8" customHeight="1" x14ac:dyDescent="0.3">
      <c r="B134" s="190" t="s">
        <v>219</v>
      </c>
      <c r="C134" s="139" t="str">
        <f>"Cash returned to the investor: after-tax net sale proceeds paid out as each property sells, plus a final distribution of remaining cash at the end of Year "&amp;TEXT(Input!$C$57,"0")&amp;"."</f>
        <v>Cash returned to the investor: after-tax net sale proceeds paid out as each property sells, plus a final distribution of remaining cash at the end of Year 4.</v>
      </c>
    </row>
    <row r="135" spans="2:3" ht="86.55" customHeight="1" x14ac:dyDescent="0.3">
      <c r="B135" s="190" t="s">
        <v>191</v>
      </c>
      <c r="C135" s="139" t="str">
        <f>_xlfn._LONGTEXT("Annual net operating income divided by the sale price. Dulcinea measures it on the FULL TRAILING TWELVE MONTHS of stabilized NOI immediately before each sale — not one month annualised — so it reflects the last year of rent the property actually earned, i","ncluding real rent growth compounded to its exit year. The active portfolio prices out at ")&amp;TEXT(Properties!$AH$21,"0.00%")&amp;" on "&amp;TEXT(Properties!$AK$21,"$#,##0")&amp;" of trailing NOI against "&amp;TEXT(Properties!$W$21,"$#,##0")&amp;_xlfn._LONGTEXT(" of exit value. A low cap rate here is expected: exits are priced off residential comparables rather than income, so the return comes from the entry discount and appreciation. Per property on Properties column AH; the full build is on the Portfolio Analys","is tab.")</f>
        <v>Annual net operating income divided by the sale price. Dulcinea measures it on the FULL TRAILING TWELVE MONTHS of stabilized NOI immediately before each sale — not one month annualised — so it reflects the last year of rent the property actually earned, including real rent growth compounded to its exit year. The active portfolio prices out at 1.01% on $114,395 of trailing NOI against $11,376,911 of exit value. A low cap rate here is expected: exits are priced off residential comparables rather than income, so the return comes from the entry discount and appreciation. Per property on Properties column AH; the full build is on the Portfolio Analysis tab.</v>
      </c>
    </row>
    <row r="136" spans="2:3" ht="43.2" customHeight="1" x14ac:dyDescent="0.3">
      <c r="B136" s="190" t="s">
        <v>765</v>
      </c>
      <c r="C136" s="139" t="str">
        <f>"Annual net operating income divided by the all-in basis (purchase, closing and renovation). Same trailing-twelve-month NOI as the exit cap rate, measured against what was paid rather than what it sells for: "&amp;TEXT(Properties!$AI$21,"0.00%")&amp;" across the active portfolio. Per property on Properties column AI."</f>
        <v>Annual net operating income divided by the all-in basis (purchase, closing and renovation). Same trailing-twelve-month NOI as the exit cap rate, measured against what was paid rather than what it sells for: 1.74% across the active portfolio. Per property on Properties column AI.</v>
      </c>
    </row>
    <row r="137" spans="2:3" ht="43.2" customHeight="1" x14ac:dyDescent="0.3">
      <c r="B137" s="190" t="s">
        <v>825</v>
      </c>
      <c r="C137" s="139" t="str">
        <f>"The last full year of net operating income each property earns before its sale — the sum of the twelve months immediately preceding the exit month, including real rent growth compounded to the exit year: "&amp;TEXT(Properties!$AK$21,"$#,##0")&amp;" across the active portfolio against "&amp;TEXT(Properties!$X$21,"$#,##0")&amp;" on the year-one stabilized basis. The numerator for the Exit Cap Rate and Yield on Cost; per property on Properties columns AK–AL."</f>
        <v>The last full year of net operating income each property earns before its sale — the sum of the twelve months immediately preceding the exit month, including real rent growth compounded to the exit year: $114,395 across the active portfolio against $97,619 on the year-one stabilized basis. The numerator for the Exit Cap Rate and Yield on Cost; per property on Properties columns AK–AL.</v>
      </c>
    </row>
    <row r="138" spans="2:3" ht="28.8" customHeight="1" x14ac:dyDescent="0.3">
      <c r="B138" s="190" t="s">
        <v>826</v>
      </c>
      <c r="C138" s="139" t="str">
        <f>"Trailing-12-month gross rent divided by all-in basis (on cost: "&amp;TEXT(Properties!$AM$21,"0.00%")&amp;" for the active portfolio) or by exit value (on exit: "&amp;TEXT(Properties!$AJ$21,"0.00%")&amp;"). The intuitive rent-on-price figures before the operating cost stack; per property on Properties columns AM and AJ."</f>
        <v>Trailing-12-month gross rent divided by all-in basis (on cost: 4.84% for the active portfolio) or by exit value (on exit: 2.80%). The intuitive rent-on-price figures before the operating cost stack; per property on Properties columns AM and AJ.</v>
      </c>
    </row>
    <row r="139" spans="2:3" ht="43.2" customHeight="1" x14ac:dyDescent="0.3">
      <c r="B139" s="190" t="s">
        <v>827</v>
      </c>
      <c r="C139" s="139" t="str">
        <f>"The uniform decline in exit values the Equity Investor can absorb and still recover capital in full — currently "&amp;TEXT('Portfolio Analysis'!$E$142,"0.0%")&amp;", computed as net profit divided by post-tax, post-selling-cost exit value. By construction it approximates the entry discount: buying at "&amp;TEXT(1-SUMPRODUCT(Properties!$D$6:$D$15,Input!$I$80:$I$89)/SUM(Properties!$D$6:$D$15),"$0.00")&amp;" per dollar of comparable value means comparables must fall roughly the discount before cost is impaired."</f>
        <v>The uniform decline in exit values the Equity Investor can absorb and still recover capital in full — currently 31.5%, computed as net profit divided by post-tax, post-selling-cost exit value. By construction it approximates the entry discount: buying at $0.70 per dollar of comparable value means comparables must fall roughly the discount before cost is impaired.</v>
      </c>
    </row>
    <row r="140" spans="2:3" ht="43.2" customHeight="1" x14ac:dyDescent="0.3">
      <c r="B140" s="190" t="s">
        <v>828</v>
      </c>
      <c r="C140" s="139" t="str">
        <f>"Reinvesting sale proceeds into later acquisitions instead of distributing them. Not permitted under the Operating Agreement (§4.3, deal-by-deal distributions) and not used in this model: every purchase is funded by called capital within the "&amp;TEXT(Input!$C$37,"$#,##0")&amp;" commitment. The Commitment Headroom block on Sources &amp; Uses shows "&amp;TEXT('Sources &amp; Uses'!$C$22,"$#,##0")&amp;" called against "&amp;TEXT('Sources &amp; Uses'!$C$21,"$#,##0")&amp;" authorized."</f>
        <v>Reinvesting sale proceeds into later acquisitions instead of distributing them. Not permitted under the Operating Agreement (§4.3, deal-by-deal distributions) and not used in this model: every purchase is funded by called capital within the $7,000,000 commitment. The Commitment Headroom block on Sources &amp; Uses shows $6,719,800 called against $7,000,000 authorized.</v>
      </c>
    </row>
    <row r="141" spans="2:3" ht="57.45" customHeight="1" x14ac:dyDescent="0.3">
      <c r="B141" s="190" t="s">
        <v>829</v>
      </c>
      <c r="C141" s="139" t="str">
        <f>"Cash held in the fund's account as an operating buffer, sized at "&amp;TEXT(Input!$C$39,"0")&amp;" months of forward fund overheads (Year-1 target "&amp;TEXT('Statement of Cash Flows'!$C$56,"$#,##0")&amp;_xlfn._LONGTEXT("). Small by design: because Equity Investors are bound to fund capital calls on short notice, the balance of protection is held as Uncalled Commitment rather than idle cash — cash sitting in the fund earns nothing and lowers the Equity Investor IRR. The t","arget falls to zero at final exit; distributions release everything above it.")</f>
        <v>Cash held in the fund's account as an operating buffer, sized at 3 months of forward fund overheads (Year-1 target $24,326). Small by design: because Equity Investors are bound to fund capital calls on short notice, the balance of protection is held as Uncalled Commitment rather than idle cash — cash sitting in the fund earns nothing and lowers the Equity Investor IRR. The target falls to zero at final exit; distributions release everything above it.</v>
      </c>
    </row>
    <row r="142" spans="2:3" ht="72" customHeight="1" x14ac:dyDescent="0.3">
      <c r="B142" s="190" t="s">
        <v>927</v>
      </c>
      <c r="C142" s="139" t="str">
        <f>_xlfn._LONGTEXT("The convention that Equity Investor capital is called only when — and in the amount that — cash is needed: purchase price and closing costs for the closing date, renovation against the contractor's monthly progress billing, operating deficits as they aris","e. Calling earlier leaves cash idle in the fund and lowers the Equity Investor IRR without changing profit; calling later is not possible without borrowing. Dulcinea does not use a subscription line: it would raise the reported IRR only by adding interest"," cost and lowering MOIC. Modelled on _IRR Engine column E; the annual totals tie to the Statement of Cash Flows.")</f>
        <v>The convention that Equity Investor capital is called only when — and in the amount that — cash is needed: purchase price and closing costs for the closing date, renovation against the contractor's monthly progress billing, operating deficits as they arise. Calling earlier leaves cash idle in the fund and lowers the Equity Investor IRR without changing profit; calling later is not possible without borrowing. Dulcinea does not use a subscription line: it would raise the reported IRR only by adding interest cost and lowering MOIC. Modelled on _IRR Engine column E; the annual totals tie to the Statement of Cash Flows.</v>
      </c>
    </row>
    <row r="143" spans="2:3" ht="43.2" customHeight="1" x14ac:dyDescent="0.3">
      <c r="B143" s="190" t="s">
        <v>928</v>
      </c>
      <c r="C143" s="139" t="str">
        <f>"The part of the "&amp;TEXT(Input!$C$37,"$#,##0")&amp;_xlfn._LONGTEXT(" commitment not yet drawn. Equity Investors are contractually bound to fund it on notice, so it serves as the fund's true liquidity reserve in place of cash on hand. Once fully drawn, any further need can be met only from the cash reserve or sale proceeds"," — the model flags a shortfall on the Input tab row 92 and Sources &amp; Uses row 24.")</f>
        <v>The part of the $7,000,000 commitment not yet drawn. Equity Investors are contractually bound to fund it on notice, so it serves as the fund's true liquidity reserve in place of cash on hand. Once fully drawn, any further need can be met only from the cash reserve or sale proceeds — the model flags a shortfall on the Input tab row 92 and Sources &amp; Uses row 24.</v>
      </c>
    </row>
    <row r="144" spans="2:3" ht="43.2" customHeight="1" x14ac:dyDescent="0.3">
      <c r="B144" s="190" t="s">
        <v>884</v>
      </c>
      <c r="C144" s="139" t="s">
        <v>1362</v>
      </c>
    </row>
    <row r="145" spans="2:3" ht="43.35" customHeight="1" x14ac:dyDescent="0.3">
      <c r="B145" s="190" t="s">
        <v>1363</v>
      </c>
      <c r="C145" s="139" t="s">
        <v>1364</v>
      </c>
    </row>
    <row r="146" spans="2:3" ht="43.2" customHeight="1" x14ac:dyDescent="0.3">
      <c r="B146" s="190" t="s">
        <v>1365</v>
      </c>
      <c r="C146" s="139" t="s">
        <v>1366</v>
      </c>
    </row>
    <row r="147" spans="2:3" ht="72" customHeight="1" x14ac:dyDescent="0.3">
      <c r="B147" s="190" t="s">
        <v>932</v>
      </c>
      <c r="C147" s="139" t="str">
        <f>"The annual rate at which a property's fully improved comparable value rises, set individually for each property on the Input tab (column F, in COP) and converted to USD net of peso depreciation (column G). Currently "&amp;TEXT(MAX(Input!$F$80:$F$89),"0.0%")&amp;" for El Poblado apartments and "&amp;TEXT(_xlfn.MINIFS(Input!$F$80:$F$89,Properties!$D$6:$D$15,1),"0.0%")&amp;" for El Retiro houses, following the DANE IPVN split between apartamentos and casas. The single figure quoted elsewhere in the workbook ("&amp;TEXT(Input!$C$55,"0.0%")&amp;") is the basis-weighted portfolio average, used only to centre the sensitivity axis. Appreciation prices the EXIT only; rents grow at real rent growth instead."</f>
        <v>The annual rate at which a property's fully improved comparable value rises, set individually for each property on the Input tab (column F, in COP) and converted to USD net of peso depreciation (column G). Currently 8.5% for El Poblado apartments and 7.2% for El Retiro houses, following the DANE IPVN split between apartamentos and casas. The single figure quoted elsewhere in the workbook (7.8%) is the basis-weighted portfolio average, used only to centre the sensitivity axis. Appreciation prices the EXIT only; rents grow at real rent growth instead.</v>
      </c>
    </row>
  </sheetData>
  <mergeCells count="1">
    <mergeCell ref="B5:C5"/>
  </mergeCells>
  <pageMargins left="0.7" right="0.7" top="0.75" bottom="0.75" header="0.3" footer="0.3"/>
  <pageSetup scale="75" fitToHeight="0" orientation="landscape" horizontalDpi="0"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FCFB3-163C-465D-9965-DFD128C36FC1}">
  <sheetPr>
    <tabColor rgb="FF132E57"/>
  </sheetPr>
  <dimension ref="A1:DR119"/>
  <sheetViews>
    <sheetView workbookViewId="0">
      <pane xSplit="2" ySplit="5" topLeftCell="C6" activePane="bottomRight" state="frozen"/>
      <selection pane="topRight" activeCell="C1" sqref="C1"/>
      <selection pane="bottomLeft" activeCell="A6" sqref="A6"/>
      <selection pane="bottomRight"/>
    </sheetView>
  </sheetViews>
  <sheetFormatPr defaultRowHeight="14.4" x14ac:dyDescent="0.3"/>
  <cols>
    <col min="1" max="1" width="46.33203125" customWidth="1"/>
    <col min="2" max="2" width="9.21875" customWidth="1"/>
    <col min="3" max="42" width="15.21875" customWidth="1"/>
  </cols>
  <sheetData>
    <row r="1" spans="1:122" ht="24" customHeight="1" x14ac:dyDescent="0.3">
      <c r="A1" s="4" t="s">
        <v>1059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row>
    <row r="2" spans="1:122" ht="14.55" customHeight="1" x14ac:dyDescent="0.3">
      <c r="A2" s="2" t="str">
        <f>TEXT(COUNT($C$3:$DR$3),"0")&amp;" months ("&amp;TEXT(COUNT($C$3:$DR$3)/'_IRR Engine'!$Q$7,"0")&amp;_xlfn._LONGTEXT(" years). Every row is formula-driven from Properties and Input — no inputs live here. All timing (purchase, renovation, rent start, sale) is in model months. Column B is the Properties row index (property #), which is why the property order follows the Pr","operties table rather than the alphabet. Feeds the Income Statement, Property Detail, ServCo Financials, the Cash Flow Statement, the Balance Sheet and _IRR Engine.")</f>
        <v>120 months (10 years). Every row is formula-driven from Properties and Input — no inputs live here. All timing (purchase, renovation, rent start, sale) is in model months. Column B is the Properties row index (property #), which is why the property order follows the Properties table rather than the alphabet. Feeds the Income Statement, Property Detail, ServCo Financials, the Cash Flow Statement, the Balance Sheet and _IRR Engine.</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row>
    <row r="3" spans="1:122" ht="14.55" customHeight="1" x14ac:dyDescent="0.3">
      <c r="A3" s="5" t="s">
        <v>681</v>
      </c>
      <c r="B3" s="142" t="s">
        <v>754</v>
      </c>
      <c r="C3" s="242">
        <f t="shared" ref="C3:AH3" si="0">COLUMN()-2</f>
        <v>1</v>
      </c>
      <c r="D3" s="242">
        <f t="shared" si="0"/>
        <v>2</v>
      </c>
      <c r="E3" s="242">
        <f t="shared" si="0"/>
        <v>3</v>
      </c>
      <c r="F3" s="242">
        <f t="shared" si="0"/>
        <v>4</v>
      </c>
      <c r="G3" s="242">
        <f t="shared" si="0"/>
        <v>5</v>
      </c>
      <c r="H3" s="242">
        <f t="shared" si="0"/>
        <v>6</v>
      </c>
      <c r="I3" s="242">
        <f t="shared" si="0"/>
        <v>7</v>
      </c>
      <c r="J3" s="242">
        <f t="shared" si="0"/>
        <v>8</v>
      </c>
      <c r="K3" s="242">
        <f t="shared" si="0"/>
        <v>9</v>
      </c>
      <c r="L3" s="242">
        <f t="shared" si="0"/>
        <v>10</v>
      </c>
      <c r="M3" s="242">
        <f t="shared" si="0"/>
        <v>11</v>
      </c>
      <c r="N3" s="242">
        <f t="shared" si="0"/>
        <v>12</v>
      </c>
      <c r="O3" s="242">
        <f t="shared" si="0"/>
        <v>13</v>
      </c>
      <c r="P3" s="242">
        <f t="shared" si="0"/>
        <v>14</v>
      </c>
      <c r="Q3" s="242">
        <f t="shared" si="0"/>
        <v>15</v>
      </c>
      <c r="R3" s="242">
        <f t="shared" si="0"/>
        <v>16</v>
      </c>
      <c r="S3" s="242">
        <f t="shared" si="0"/>
        <v>17</v>
      </c>
      <c r="T3" s="242">
        <f t="shared" si="0"/>
        <v>18</v>
      </c>
      <c r="U3" s="242">
        <f t="shared" si="0"/>
        <v>19</v>
      </c>
      <c r="V3" s="242">
        <f t="shared" si="0"/>
        <v>20</v>
      </c>
      <c r="W3" s="242">
        <f t="shared" si="0"/>
        <v>21</v>
      </c>
      <c r="X3" s="242">
        <f t="shared" si="0"/>
        <v>22</v>
      </c>
      <c r="Y3" s="242">
        <f t="shared" si="0"/>
        <v>23</v>
      </c>
      <c r="Z3" s="242">
        <f t="shared" si="0"/>
        <v>24</v>
      </c>
      <c r="AA3" s="242">
        <f t="shared" si="0"/>
        <v>25</v>
      </c>
      <c r="AB3" s="242">
        <f t="shared" si="0"/>
        <v>26</v>
      </c>
      <c r="AC3" s="242">
        <f t="shared" si="0"/>
        <v>27</v>
      </c>
      <c r="AD3" s="242">
        <f t="shared" si="0"/>
        <v>28</v>
      </c>
      <c r="AE3" s="242">
        <f t="shared" si="0"/>
        <v>29</v>
      </c>
      <c r="AF3" s="242">
        <f t="shared" si="0"/>
        <v>30</v>
      </c>
      <c r="AG3" s="242">
        <f t="shared" si="0"/>
        <v>31</v>
      </c>
      <c r="AH3" s="242">
        <f t="shared" si="0"/>
        <v>32</v>
      </c>
      <c r="AI3" s="242">
        <f t="shared" ref="AI3:BN3" si="1">COLUMN()-2</f>
        <v>33</v>
      </c>
      <c r="AJ3" s="242">
        <f t="shared" si="1"/>
        <v>34</v>
      </c>
      <c r="AK3" s="242">
        <f t="shared" si="1"/>
        <v>35</v>
      </c>
      <c r="AL3" s="242">
        <f t="shared" si="1"/>
        <v>36</v>
      </c>
      <c r="AM3" s="242">
        <f t="shared" si="1"/>
        <v>37</v>
      </c>
      <c r="AN3" s="242">
        <f t="shared" si="1"/>
        <v>38</v>
      </c>
      <c r="AO3" s="242">
        <f t="shared" si="1"/>
        <v>39</v>
      </c>
      <c r="AP3" s="242">
        <f t="shared" si="1"/>
        <v>40</v>
      </c>
      <c r="AQ3" s="242">
        <f t="shared" si="1"/>
        <v>41</v>
      </c>
      <c r="AR3" s="242">
        <f t="shared" si="1"/>
        <v>42</v>
      </c>
      <c r="AS3" s="242">
        <f t="shared" si="1"/>
        <v>43</v>
      </c>
      <c r="AT3" s="242">
        <f t="shared" si="1"/>
        <v>44</v>
      </c>
      <c r="AU3" s="242">
        <f t="shared" si="1"/>
        <v>45</v>
      </c>
      <c r="AV3" s="242">
        <f t="shared" si="1"/>
        <v>46</v>
      </c>
      <c r="AW3" s="242">
        <f t="shared" si="1"/>
        <v>47</v>
      </c>
      <c r="AX3" s="242">
        <f t="shared" si="1"/>
        <v>48</v>
      </c>
      <c r="AY3" s="242">
        <f t="shared" si="1"/>
        <v>49</v>
      </c>
      <c r="AZ3" s="242">
        <f t="shared" si="1"/>
        <v>50</v>
      </c>
      <c r="BA3" s="242">
        <f t="shared" si="1"/>
        <v>51</v>
      </c>
      <c r="BB3" s="242">
        <f t="shared" si="1"/>
        <v>52</v>
      </c>
      <c r="BC3" s="242">
        <f t="shared" si="1"/>
        <v>53</v>
      </c>
      <c r="BD3" s="242">
        <f t="shared" si="1"/>
        <v>54</v>
      </c>
      <c r="BE3" s="242">
        <f t="shared" si="1"/>
        <v>55</v>
      </c>
      <c r="BF3" s="242">
        <f t="shared" si="1"/>
        <v>56</v>
      </c>
      <c r="BG3" s="242">
        <f t="shared" si="1"/>
        <v>57</v>
      </c>
      <c r="BH3" s="242">
        <f t="shared" si="1"/>
        <v>58</v>
      </c>
      <c r="BI3" s="242">
        <f t="shared" si="1"/>
        <v>59</v>
      </c>
      <c r="BJ3" s="242">
        <f t="shared" si="1"/>
        <v>60</v>
      </c>
      <c r="BK3" s="242">
        <f t="shared" si="1"/>
        <v>61</v>
      </c>
      <c r="BL3" s="242">
        <f t="shared" si="1"/>
        <v>62</v>
      </c>
      <c r="BM3" s="242">
        <f t="shared" si="1"/>
        <v>63</v>
      </c>
      <c r="BN3" s="242">
        <f t="shared" si="1"/>
        <v>64</v>
      </c>
      <c r="BO3" s="242">
        <f t="shared" ref="BO3:CT3" si="2">COLUMN()-2</f>
        <v>65</v>
      </c>
      <c r="BP3" s="242">
        <f t="shared" si="2"/>
        <v>66</v>
      </c>
      <c r="BQ3" s="242">
        <f t="shared" si="2"/>
        <v>67</v>
      </c>
      <c r="BR3" s="242">
        <f t="shared" si="2"/>
        <v>68</v>
      </c>
      <c r="BS3" s="242">
        <f t="shared" si="2"/>
        <v>69</v>
      </c>
      <c r="BT3" s="242">
        <f t="shared" si="2"/>
        <v>70</v>
      </c>
      <c r="BU3" s="242">
        <f t="shared" si="2"/>
        <v>71</v>
      </c>
      <c r="BV3" s="242">
        <f t="shared" si="2"/>
        <v>72</v>
      </c>
      <c r="BW3" s="242">
        <f t="shared" si="2"/>
        <v>73</v>
      </c>
      <c r="BX3" s="242">
        <f t="shared" si="2"/>
        <v>74</v>
      </c>
      <c r="BY3" s="242">
        <f t="shared" si="2"/>
        <v>75</v>
      </c>
      <c r="BZ3" s="242">
        <f t="shared" si="2"/>
        <v>76</v>
      </c>
      <c r="CA3" s="242">
        <f t="shared" si="2"/>
        <v>77</v>
      </c>
      <c r="CB3" s="242">
        <f t="shared" si="2"/>
        <v>78</v>
      </c>
      <c r="CC3" s="242">
        <f t="shared" si="2"/>
        <v>79</v>
      </c>
      <c r="CD3" s="242">
        <f t="shared" si="2"/>
        <v>80</v>
      </c>
      <c r="CE3" s="242">
        <f t="shared" si="2"/>
        <v>81</v>
      </c>
      <c r="CF3" s="242">
        <f t="shared" si="2"/>
        <v>82</v>
      </c>
      <c r="CG3" s="242">
        <f t="shared" si="2"/>
        <v>83</v>
      </c>
      <c r="CH3" s="242">
        <f t="shared" si="2"/>
        <v>84</v>
      </c>
      <c r="CI3" s="242">
        <f t="shared" si="2"/>
        <v>85</v>
      </c>
      <c r="CJ3" s="242">
        <f t="shared" si="2"/>
        <v>86</v>
      </c>
      <c r="CK3" s="242">
        <f t="shared" si="2"/>
        <v>87</v>
      </c>
      <c r="CL3" s="242">
        <f t="shared" si="2"/>
        <v>88</v>
      </c>
      <c r="CM3" s="242">
        <f t="shared" si="2"/>
        <v>89</v>
      </c>
      <c r="CN3" s="242">
        <f t="shared" si="2"/>
        <v>90</v>
      </c>
      <c r="CO3" s="242">
        <f t="shared" si="2"/>
        <v>91</v>
      </c>
      <c r="CP3" s="242">
        <f t="shared" si="2"/>
        <v>92</v>
      </c>
      <c r="CQ3" s="242">
        <f t="shared" si="2"/>
        <v>93</v>
      </c>
      <c r="CR3" s="242">
        <f t="shared" si="2"/>
        <v>94</v>
      </c>
      <c r="CS3" s="242">
        <f t="shared" si="2"/>
        <v>95</v>
      </c>
      <c r="CT3" s="242">
        <f t="shared" si="2"/>
        <v>96</v>
      </c>
      <c r="CU3" s="242">
        <f t="shared" ref="CU3:DR3" si="3">COLUMN()-2</f>
        <v>97</v>
      </c>
      <c r="CV3" s="242">
        <f t="shared" si="3"/>
        <v>98</v>
      </c>
      <c r="CW3" s="242">
        <f t="shared" si="3"/>
        <v>99</v>
      </c>
      <c r="CX3" s="242">
        <f t="shared" si="3"/>
        <v>100</v>
      </c>
      <c r="CY3" s="242">
        <f t="shared" si="3"/>
        <v>101</v>
      </c>
      <c r="CZ3" s="242">
        <f t="shared" si="3"/>
        <v>102</v>
      </c>
      <c r="DA3" s="242">
        <f t="shared" si="3"/>
        <v>103</v>
      </c>
      <c r="DB3" s="242">
        <f t="shared" si="3"/>
        <v>104</v>
      </c>
      <c r="DC3" s="242">
        <f t="shared" si="3"/>
        <v>105</v>
      </c>
      <c r="DD3" s="242">
        <f t="shared" si="3"/>
        <v>106</v>
      </c>
      <c r="DE3" s="242">
        <f t="shared" si="3"/>
        <v>107</v>
      </c>
      <c r="DF3" s="242">
        <f t="shared" si="3"/>
        <v>108</v>
      </c>
      <c r="DG3" s="242">
        <f t="shared" si="3"/>
        <v>109</v>
      </c>
      <c r="DH3" s="242">
        <f t="shared" si="3"/>
        <v>110</v>
      </c>
      <c r="DI3" s="242">
        <f t="shared" si="3"/>
        <v>111</v>
      </c>
      <c r="DJ3" s="242">
        <f t="shared" si="3"/>
        <v>112</v>
      </c>
      <c r="DK3" s="242">
        <f t="shared" si="3"/>
        <v>113</v>
      </c>
      <c r="DL3" s="242">
        <f t="shared" si="3"/>
        <v>114</v>
      </c>
      <c r="DM3" s="242">
        <f t="shared" si="3"/>
        <v>115</v>
      </c>
      <c r="DN3" s="242">
        <f t="shared" si="3"/>
        <v>116</v>
      </c>
      <c r="DO3" s="242">
        <f t="shared" si="3"/>
        <v>117</v>
      </c>
      <c r="DP3" s="242">
        <f t="shared" si="3"/>
        <v>118</v>
      </c>
      <c r="DQ3" s="242">
        <f t="shared" si="3"/>
        <v>119</v>
      </c>
      <c r="DR3" s="242">
        <f t="shared" si="3"/>
        <v>120</v>
      </c>
    </row>
    <row r="4" spans="1:122" ht="14.55" customHeight="1" x14ac:dyDescent="0.3">
      <c r="A4" s="5" t="s">
        <v>1060</v>
      </c>
      <c r="B4" s="1"/>
      <c r="C4" s="5" t="str">
        <f>TEXT(EDATE(Input!$C$7,C3-1),"mmm-yy")</f>
        <v>Oct-26</v>
      </c>
      <c r="D4" s="5" t="str">
        <f>TEXT(EDATE(Input!$C$7,D3-1),"mmm-yy")</f>
        <v>Nov-26</v>
      </c>
      <c r="E4" s="5" t="str">
        <f>TEXT(EDATE(Input!$C$7,E3-1),"mmm-yy")</f>
        <v>Dec-26</v>
      </c>
      <c r="F4" s="5" t="str">
        <f>TEXT(EDATE(Input!$C$7,F3-1),"mmm-yy")</f>
        <v>Jan-27</v>
      </c>
      <c r="G4" s="5" t="str">
        <f>TEXT(EDATE(Input!$C$7,G3-1),"mmm-yy")</f>
        <v>Feb-27</v>
      </c>
      <c r="H4" s="5" t="str">
        <f>TEXT(EDATE(Input!$C$7,H3-1),"mmm-yy")</f>
        <v>Mar-27</v>
      </c>
      <c r="I4" s="5" t="str">
        <f>TEXT(EDATE(Input!$C$7,I3-1),"mmm-yy")</f>
        <v>Apr-27</v>
      </c>
      <c r="J4" s="5" t="str">
        <f>TEXT(EDATE(Input!$C$7,J3-1),"mmm-yy")</f>
        <v>May-27</v>
      </c>
      <c r="K4" s="5" t="str">
        <f>TEXT(EDATE(Input!$C$7,K3-1),"mmm-yy")</f>
        <v>Jun-27</v>
      </c>
      <c r="L4" s="5" t="str">
        <f>TEXT(EDATE(Input!$C$7,L3-1),"mmm-yy")</f>
        <v>Jul-27</v>
      </c>
      <c r="M4" s="5" t="str">
        <f>TEXT(EDATE(Input!$C$7,M3-1),"mmm-yy")</f>
        <v>Aug-27</v>
      </c>
      <c r="N4" s="5" t="str">
        <f>TEXT(EDATE(Input!$C$7,N3-1),"mmm-yy")</f>
        <v>Sep-27</v>
      </c>
      <c r="O4" s="5" t="str">
        <f>TEXT(EDATE(Input!$C$7,O3-1),"mmm-yy")</f>
        <v>Oct-27</v>
      </c>
      <c r="P4" s="5" t="str">
        <f>TEXT(EDATE(Input!$C$7,P3-1),"mmm-yy")</f>
        <v>Nov-27</v>
      </c>
      <c r="Q4" s="5" t="str">
        <f>TEXT(EDATE(Input!$C$7,Q3-1),"mmm-yy")</f>
        <v>Dec-27</v>
      </c>
      <c r="R4" s="5" t="str">
        <f>TEXT(EDATE(Input!$C$7,R3-1),"mmm-yy")</f>
        <v>Jan-28</v>
      </c>
      <c r="S4" s="5" t="str">
        <f>TEXT(EDATE(Input!$C$7,S3-1),"mmm-yy")</f>
        <v>Feb-28</v>
      </c>
      <c r="T4" s="5" t="str">
        <f>TEXT(EDATE(Input!$C$7,T3-1),"mmm-yy")</f>
        <v>Mar-28</v>
      </c>
      <c r="U4" s="5" t="str">
        <f>TEXT(EDATE(Input!$C$7,U3-1),"mmm-yy")</f>
        <v>Apr-28</v>
      </c>
      <c r="V4" s="5" t="str">
        <f>TEXT(EDATE(Input!$C$7,V3-1),"mmm-yy")</f>
        <v>May-28</v>
      </c>
      <c r="W4" s="5" t="str">
        <f>TEXT(EDATE(Input!$C$7,W3-1),"mmm-yy")</f>
        <v>Jun-28</v>
      </c>
      <c r="X4" s="5" t="str">
        <f>TEXT(EDATE(Input!$C$7,X3-1),"mmm-yy")</f>
        <v>Jul-28</v>
      </c>
      <c r="Y4" s="5" t="str">
        <f>TEXT(EDATE(Input!$C$7,Y3-1),"mmm-yy")</f>
        <v>Aug-28</v>
      </c>
      <c r="Z4" s="5" t="str">
        <f>TEXT(EDATE(Input!$C$7,Z3-1),"mmm-yy")</f>
        <v>Sep-28</v>
      </c>
      <c r="AA4" s="5" t="str">
        <f>TEXT(EDATE(Input!$C$7,AA3-1),"mmm-yy")</f>
        <v>Oct-28</v>
      </c>
      <c r="AB4" s="5" t="str">
        <f>TEXT(EDATE(Input!$C$7,AB3-1),"mmm-yy")</f>
        <v>Nov-28</v>
      </c>
      <c r="AC4" s="5" t="str">
        <f>TEXT(EDATE(Input!$C$7,AC3-1),"mmm-yy")</f>
        <v>Dec-28</v>
      </c>
      <c r="AD4" s="5" t="str">
        <f>TEXT(EDATE(Input!$C$7,AD3-1),"mmm-yy")</f>
        <v>Jan-29</v>
      </c>
      <c r="AE4" s="5" t="str">
        <f>TEXT(EDATE(Input!$C$7,AE3-1),"mmm-yy")</f>
        <v>Feb-29</v>
      </c>
      <c r="AF4" s="5" t="str">
        <f>TEXT(EDATE(Input!$C$7,AF3-1),"mmm-yy")</f>
        <v>Mar-29</v>
      </c>
      <c r="AG4" s="5" t="str">
        <f>TEXT(EDATE(Input!$C$7,AG3-1),"mmm-yy")</f>
        <v>Apr-29</v>
      </c>
      <c r="AH4" s="5" t="str">
        <f>TEXT(EDATE(Input!$C$7,AH3-1),"mmm-yy")</f>
        <v>May-29</v>
      </c>
      <c r="AI4" s="5" t="str">
        <f>TEXT(EDATE(Input!$C$7,AI3-1),"mmm-yy")</f>
        <v>Jun-29</v>
      </c>
      <c r="AJ4" s="5" t="str">
        <f>TEXT(EDATE(Input!$C$7,AJ3-1),"mmm-yy")</f>
        <v>Jul-29</v>
      </c>
      <c r="AK4" s="5" t="str">
        <f>TEXT(EDATE(Input!$C$7,AK3-1),"mmm-yy")</f>
        <v>Aug-29</v>
      </c>
      <c r="AL4" s="5" t="str">
        <f>TEXT(EDATE(Input!$C$7,AL3-1),"mmm-yy")</f>
        <v>Sep-29</v>
      </c>
      <c r="AM4" s="5" t="str">
        <f>TEXT(EDATE(Input!$C$7,AM3-1),"mmm-yy")</f>
        <v>Oct-29</v>
      </c>
      <c r="AN4" s="5" t="str">
        <f>TEXT(EDATE(Input!$C$7,AN3-1),"mmm-yy")</f>
        <v>Nov-29</v>
      </c>
      <c r="AO4" s="5" t="str">
        <f>TEXT(EDATE(Input!$C$7,AO3-1),"mmm-yy")</f>
        <v>Dec-29</v>
      </c>
      <c r="AP4" s="5" t="str">
        <f>TEXT(EDATE(Input!$C$7,AP3-1),"mmm-yy")</f>
        <v>Jan-30</v>
      </c>
      <c r="AQ4" s="5" t="str">
        <f>TEXT(EDATE(Input!$C$7,AQ3-1),"mmm-yy")</f>
        <v>Feb-30</v>
      </c>
      <c r="AR4" s="5" t="str">
        <f>TEXT(EDATE(Input!$C$7,AR3-1),"mmm-yy")</f>
        <v>Mar-30</v>
      </c>
      <c r="AS4" s="5" t="str">
        <f>TEXT(EDATE(Input!$C$7,AS3-1),"mmm-yy")</f>
        <v>Apr-30</v>
      </c>
      <c r="AT4" s="5" t="str">
        <f>TEXT(EDATE(Input!$C$7,AT3-1),"mmm-yy")</f>
        <v>May-30</v>
      </c>
      <c r="AU4" s="5" t="str">
        <f>TEXT(EDATE(Input!$C$7,AU3-1),"mmm-yy")</f>
        <v>Jun-30</v>
      </c>
      <c r="AV4" s="5" t="str">
        <f>TEXT(EDATE(Input!$C$7,AV3-1),"mmm-yy")</f>
        <v>Jul-30</v>
      </c>
      <c r="AW4" s="5" t="str">
        <f>TEXT(EDATE(Input!$C$7,AW3-1),"mmm-yy")</f>
        <v>Aug-30</v>
      </c>
      <c r="AX4" s="5" t="str">
        <f>TEXT(EDATE(Input!$C$7,AX3-1),"mmm-yy")</f>
        <v>Sep-30</v>
      </c>
      <c r="AY4" s="5" t="str">
        <f>TEXT(EDATE(Input!$C$7,AY3-1),"mmm-yy")</f>
        <v>Oct-30</v>
      </c>
      <c r="AZ4" s="5" t="str">
        <f>TEXT(EDATE(Input!$C$7,AZ3-1),"mmm-yy")</f>
        <v>Nov-30</v>
      </c>
      <c r="BA4" s="5" t="str">
        <f>TEXT(EDATE(Input!$C$7,BA3-1),"mmm-yy")</f>
        <v>Dec-30</v>
      </c>
      <c r="BB4" s="5" t="str">
        <f>TEXT(EDATE(Input!$C$7,BB3-1),"mmm-yy")</f>
        <v>Jan-31</v>
      </c>
      <c r="BC4" s="5" t="str">
        <f>TEXT(EDATE(Input!$C$7,BC3-1),"mmm-yy")</f>
        <v>Feb-31</v>
      </c>
      <c r="BD4" s="5" t="str">
        <f>TEXT(EDATE(Input!$C$7,BD3-1),"mmm-yy")</f>
        <v>Mar-31</v>
      </c>
      <c r="BE4" s="5" t="str">
        <f>TEXT(EDATE(Input!$C$7,BE3-1),"mmm-yy")</f>
        <v>Apr-31</v>
      </c>
      <c r="BF4" s="5" t="str">
        <f>TEXT(EDATE(Input!$C$7,BF3-1),"mmm-yy")</f>
        <v>May-31</v>
      </c>
      <c r="BG4" s="5" t="str">
        <f>TEXT(EDATE(Input!$C$7,BG3-1),"mmm-yy")</f>
        <v>Jun-31</v>
      </c>
      <c r="BH4" s="5" t="str">
        <f>TEXT(EDATE(Input!$C$7,BH3-1),"mmm-yy")</f>
        <v>Jul-31</v>
      </c>
      <c r="BI4" s="5" t="str">
        <f>TEXT(EDATE(Input!$C$7,BI3-1),"mmm-yy")</f>
        <v>Aug-31</v>
      </c>
      <c r="BJ4" s="5" t="str">
        <f>TEXT(EDATE(Input!$C$7,BJ3-1),"mmm-yy")</f>
        <v>Sep-31</v>
      </c>
      <c r="BK4" s="5" t="str">
        <f>TEXT(EDATE(Input!$C$7,BK3-1),"mmm-yy")</f>
        <v>Oct-31</v>
      </c>
      <c r="BL4" s="5" t="str">
        <f>TEXT(EDATE(Input!$C$7,BL3-1),"mmm-yy")</f>
        <v>Nov-31</v>
      </c>
      <c r="BM4" s="5" t="str">
        <f>TEXT(EDATE(Input!$C$7,BM3-1),"mmm-yy")</f>
        <v>Dec-31</v>
      </c>
      <c r="BN4" s="5" t="str">
        <f>TEXT(EDATE(Input!$C$7,BN3-1),"mmm-yy")</f>
        <v>Jan-32</v>
      </c>
      <c r="BO4" s="5" t="str">
        <f>TEXT(EDATE(Input!$C$7,BO3-1),"mmm-yy")</f>
        <v>Feb-32</v>
      </c>
      <c r="BP4" s="5" t="str">
        <f>TEXT(EDATE(Input!$C$7,BP3-1),"mmm-yy")</f>
        <v>Mar-32</v>
      </c>
      <c r="BQ4" s="5" t="str">
        <f>TEXT(EDATE(Input!$C$7,BQ3-1),"mmm-yy")</f>
        <v>Apr-32</v>
      </c>
      <c r="BR4" s="5" t="str">
        <f>TEXT(EDATE(Input!$C$7,BR3-1),"mmm-yy")</f>
        <v>May-32</v>
      </c>
      <c r="BS4" s="5" t="str">
        <f>TEXT(EDATE(Input!$C$7,BS3-1),"mmm-yy")</f>
        <v>Jun-32</v>
      </c>
      <c r="BT4" s="5" t="str">
        <f>TEXT(EDATE(Input!$C$7,BT3-1),"mmm-yy")</f>
        <v>Jul-32</v>
      </c>
      <c r="BU4" s="5" t="str">
        <f>TEXT(EDATE(Input!$C$7,BU3-1),"mmm-yy")</f>
        <v>Aug-32</v>
      </c>
      <c r="BV4" s="5" t="str">
        <f>TEXT(EDATE(Input!$C$7,BV3-1),"mmm-yy")</f>
        <v>Sep-32</v>
      </c>
      <c r="BW4" s="5" t="str">
        <f>TEXT(EDATE(Input!$C$7,BW3-1),"mmm-yy")</f>
        <v>Oct-32</v>
      </c>
      <c r="BX4" s="5" t="str">
        <f>TEXT(EDATE(Input!$C$7,BX3-1),"mmm-yy")</f>
        <v>Nov-32</v>
      </c>
      <c r="BY4" s="5" t="str">
        <f>TEXT(EDATE(Input!$C$7,BY3-1),"mmm-yy")</f>
        <v>Dec-32</v>
      </c>
      <c r="BZ4" s="5" t="str">
        <f>TEXT(EDATE(Input!$C$7,BZ3-1),"mmm-yy")</f>
        <v>Jan-33</v>
      </c>
      <c r="CA4" s="5" t="str">
        <f>TEXT(EDATE(Input!$C$7,CA3-1),"mmm-yy")</f>
        <v>Feb-33</v>
      </c>
      <c r="CB4" s="5" t="str">
        <f>TEXT(EDATE(Input!$C$7,CB3-1),"mmm-yy")</f>
        <v>Mar-33</v>
      </c>
      <c r="CC4" s="5" t="str">
        <f>TEXT(EDATE(Input!$C$7,CC3-1),"mmm-yy")</f>
        <v>Apr-33</v>
      </c>
      <c r="CD4" s="5" t="str">
        <f>TEXT(EDATE(Input!$C$7,CD3-1),"mmm-yy")</f>
        <v>May-33</v>
      </c>
      <c r="CE4" s="5" t="str">
        <f>TEXT(EDATE(Input!$C$7,CE3-1),"mmm-yy")</f>
        <v>Jun-33</v>
      </c>
      <c r="CF4" s="5" t="str">
        <f>TEXT(EDATE(Input!$C$7,CF3-1),"mmm-yy")</f>
        <v>Jul-33</v>
      </c>
      <c r="CG4" s="5" t="str">
        <f>TEXT(EDATE(Input!$C$7,CG3-1),"mmm-yy")</f>
        <v>Aug-33</v>
      </c>
      <c r="CH4" s="5" t="str">
        <f>TEXT(EDATE(Input!$C$7,CH3-1),"mmm-yy")</f>
        <v>Sep-33</v>
      </c>
      <c r="CI4" s="5" t="str">
        <f>TEXT(EDATE(Input!$C$7,CI3-1),"mmm-yy")</f>
        <v>Oct-33</v>
      </c>
      <c r="CJ4" s="5" t="str">
        <f>TEXT(EDATE(Input!$C$7,CJ3-1),"mmm-yy")</f>
        <v>Nov-33</v>
      </c>
      <c r="CK4" s="5" t="str">
        <f>TEXT(EDATE(Input!$C$7,CK3-1),"mmm-yy")</f>
        <v>Dec-33</v>
      </c>
      <c r="CL4" s="5" t="str">
        <f>TEXT(EDATE(Input!$C$7,CL3-1),"mmm-yy")</f>
        <v>Jan-34</v>
      </c>
      <c r="CM4" s="5" t="str">
        <f>TEXT(EDATE(Input!$C$7,CM3-1),"mmm-yy")</f>
        <v>Feb-34</v>
      </c>
      <c r="CN4" s="5" t="str">
        <f>TEXT(EDATE(Input!$C$7,CN3-1),"mmm-yy")</f>
        <v>Mar-34</v>
      </c>
      <c r="CO4" s="5" t="str">
        <f>TEXT(EDATE(Input!$C$7,CO3-1),"mmm-yy")</f>
        <v>Apr-34</v>
      </c>
      <c r="CP4" s="5" t="str">
        <f>TEXT(EDATE(Input!$C$7,CP3-1),"mmm-yy")</f>
        <v>May-34</v>
      </c>
      <c r="CQ4" s="5" t="str">
        <f>TEXT(EDATE(Input!$C$7,CQ3-1),"mmm-yy")</f>
        <v>Jun-34</v>
      </c>
      <c r="CR4" s="5" t="str">
        <f>TEXT(EDATE(Input!$C$7,CR3-1),"mmm-yy")</f>
        <v>Jul-34</v>
      </c>
      <c r="CS4" s="5" t="str">
        <f>TEXT(EDATE(Input!$C$7,CS3-1),"mmm-yy")</f>
        <v>Aug-34</v>
      </c>
      <c r="CT4" s="5" t="str">
        <f>TEXT(EDATE(Input!$C$7,CT3-1),"mmm-yy")</f>
        <v>Sep-34</v>
      </c>
      <c r="CU4" s="5" t="str">
        <f>TEXT(EDATE(Input!$C$7,CU3-1),"mmm-yy")</f>
        <v>Oct-34</v>
      </c>
      <c r="CV4" s="5" t="str">
        <f>TEXT(EDATE(Input!$C$7,CV3-1),"mmm-yy")</f>
        <v>Nov-34</v>
      </c>
      <c r="CW4" s="5" t="str">
        <f>TEXT(EDATE(Input!$C$7,CW3-1),"mmm-yy")</f>
        <v>Dec-34</v>
      </c>
      <c r="CX4" s="5" t="str">
        <f>TEXT(EDATE(Input!$C$7,CX3-1),"mmm-yy")</f>
        <v>Jan-35</v>
      </c>
      <c r="CY4" s="5" t="str">
        <f>TEXT(EDATE(Input!$C$7,CY3-1),"mmm-yy")</f>
        <v>Feb-35</v>
      </c>
      <c r="CZ4" s="5" t="str">
        <f>TEXT(EDATE(Input!$C$7,CZ3-1),"mmm-yy")</f>
        <v>Mar-35</v>
      </c>
      <c r="DA4" s="5" t="str">
        <f>TEXT(EDATE(Input!$C$7,DA3-1),"mmm-yy")</f>
        <v>Apr-35</v>
      </c>
      <c r="DB4" s="5" t="str">
        <f>TEXT(EDATE(Input!$C$7,DB3-1),"mmm-yy")</f>
        <v>May-35</v>
      </c>
      <c r="DC4" s="5" t="str">
        <f>TEXT(EDATE(Input!$C$7,DC3-1),"mmm-yy")</f>
        <v>Jun-35</v>
      </c>
      <c r="DD4" s="5" t="str">
        <f>TEXT(EDATE(Input!$C$7,DD3-1),"mmm-yy")</f>
        <v>Jul-35</v>
      </c>
      <c r="DE4" s="5" t="str">
        <f>TEXT(EDATE(Input!$C$7,DE3-1),"mmm-yy")</f>
        <v>Aug-35</v>
      </c>
      <c r="DF4" s="5" t="str">
        <f>TEXT(EDATE(Input!$C$7,DF3-1),"mmm-yy")</f>
        <v>Sep-35</v>
      </c>
      <c r="DG4" s="5" t="str">
        <f>TEXT(EDATE(Input!$C$7,DG3-1),"mmm-yy")</f>
        <v>Oct-35</v>
      </c>
      <c r="DH4" s="5" t="str">
        <f>TEXT(EDATE(Input!$C$7,DH3-1),"mmm-yy")</f>
        <v>Nov-35</v>
      </c>
      <c r="DI4" s="5" t="str">
        <f>TEXT(EDATE(Input!$C$7,DI3-1),"mmm-yy")</f>
        <v>Dec-35</v>
      </c>
      <c r="DJ4" s="5" t="str">
        <f>TEXT(EDATE(Input!$C$7,DJ3-1),"mmm-yy")</f>
        <v>Jan-36</v>
      </c>
      <c r="DK4" s="5" t="str">
        <f>TEXT(EDATE(Input!$C$7,DK3-1),"mmm-yy")</f>
        <v>Feb-36</v>
      </c>
      <c r="DL4" s="5" t="str">
        <f>TEXT(EDATE(Input!$C$7,DL3-1),"mmm-yy")</f>
        <v>Mar-36</v>
      </c>
      <c r="DM4" s="5" t="str">
        <f>TEXT(EDATE(Input!$C$7,DM3-1),"mmm-yy")</f>
        <v>Apr-36</v>
      </c>
      <c r="DN4" s="5" t="str">
        <f>TEXT(EDATE(Input!$C$7,DN3-1),"mmm-yy")</f>
        <v>May-36</v>
      </c>
      <c r="DO4" s="5" t="str">
        <f>TEXT(EDATE(Input!$C$7,DO3-1),"mmm-yy")</f>
        <v>Jun-36</v>
      </c>
      <c r="DP4" s="5" t="str">
        <f>TEXT(EDATE(Input!$C$7,DP3-1),"mmm-yy")</f>
        <v>Jul-36</v>
      </c>
      <c r="DQ4" s="5" t="str">
        <f>TEXT(EDATE(Input!$C$7,DQ3-1),"mmm-yy")</f>
        <v>Aug-36</v>
      </c>
      <c r="DR4" s="5" t="str">
        <f>TEXT(EDATE(Input!$C$7,DR3-1),"mmm-yy")</f>
        <v>Sep-36</v>
      </c>
    </row>
    <row r="5" spans="1:122" ht="14.55" customHeight="1" x14ac:dyDescent="0.3">
      <c r="A5" s="5" t="s">
        <v>52</v>
      </c>
      <c r="B5" s="1"/>
      <c r="C5" s="242">
        <f>ROUNDUP(C3/'_IRR Engine'!$Q$7,0)</f>
        <v>1</v>
      </c>
      <c r="D5" s="242">
        <f>ROUNDUP(D3/'_IRR Engine'!$Q$7,0)</f>
        <v>1</v>
      </c>
      <c r="E5" s="242">
        <f>ROUNDUP(E3/'_IRR Engine'!$Q$7,0)</f>
        <v>1</v>
      </c>
      <c r="F5" s="242">
        <f>ROUNDUP(F3/'_IRR Engine'!$Q$7,0)</f>
        <v>1</v>
      </c>
      <c r="G5" s="242">
        <f>ROUNDUP(G3/'_IRR Engine'!$Q$7,0)</f>
        <v>1</v>
      </c>
      <c r="H5" s="242">
        <f>ROUNDUP(H3/'_IRR Engine'!$Q$7,0)</f>
        <v>1</v>
      </c>
      <c r="I5" s="242">
        <f>ROUNDUP(I3/'_IRR Engine'!$Q$7,0)</f>
        <v>1</v>
      </c>
      <c r="J5" s="242">
        <f>ROUNDUP(J3/'_IRR Engine'!$Q$7,0)</f>
        <v>1</v>
      </c>
      <c r="K5" s="242">
        <f>ROUNDUP(K3/'_IRR Engine'!$Q$7,0)</f>
        <v>1</v>
      </c>
      <c r="L5" s="242">
        <f>ROUNDUP(L3/'_IRR Engine'!$Q$7,0)</f>
        <v>1</v>
      </c>
      <c r="M5" s="242">
        <f>ROUNDUP(M3/'_IRR Engine'!$Q$7,0)</f>
        <v>1</v>
      </c>
      <c r="N5" s="242">
        <f>ROUNDUP(N3/'_IRR Engine'!$Q$7,0)</f>
        <v>1</v>
      </c>
      <c r="O5" s="242">
        <f>ROUNDUP(O3/'_IRR Engine'!$Q$7,0)</f>
        <v>2</v>
      </c>
      <c r="P5" s="242">
        <f>ROUNDUP(P3/'_IRR Engine'!$Q$7,0)</f>
        <v>2</v>
      </c>
      <c r="Q5" s="242">
        <f>ROUNDUP(Q3/'_IRR Engine'!$Q$7,0)</f>
        <v>2</v>
      </c>
      <c r="R5" s="242">
        <f>ROUNDUP(R3/'_IRR Engine'!$Q$7,0)</f>
        <v>2</v>
      </c>
      <c r="S5" s="242">
        <f>ROUNDUP(S3/'_IRR Engine'!$Q$7,0)</f>
        <v>2</v>
      </c>
      <c r="T5" s="242">
        <f>ROUNDUP(T3/'_IRR Engine'!$Q$7,0)</f>
        <v>2</v>
      </c>
      <c r="U5" s="242">
        <f>ROUNDUP(U3/'_IRR Engine'!$Q$7,0)</f>
        <v>2</v>
      </c>
      <c r="V5" s="242">
        <f>ROUNDUP(V3/'_IRR Engine'!$Q$7,0)</f>
        <v>2</v>
      </c>
      <c r="W5" s="242">
        <f>ROUNDUP(W3/'_IRR Engine'!$Q$7,0)</f>
        <v>2</v>
      </c>
      <c r="X5" s="242">
        <f>ROUNDUP(X3/'_IRR Engine'!$Q$7,0)</f>
        <v>2</v>
      </c>
      <c r="Y5" s="242">
        <f>ROUNDUP(Y3/'_IRR Engine'!$Q$7,0)</f>
        <v>2</v>
      </c>
      <c r="Z5" s="242">
        <f>ROUNDUP(Z3/'_IRR Engine'!$Q$7,0)</f>
        <v>2</v>
      </c>
      <c r="AA5" s="242">
        <f>ROUNDUP(AA3/'_IRR Engine'!$Q$7,0)</f>
        <v>3</v>
      </c>
      <c r="AB5" s="242">
        <f>ROUNDUP(AB3/'_IRR Engine'!$Q$7,0)</f>
        <v>3</v>
      </c>
      <c r="AC5" s="242">
        <f>ROUNDUP(AC3/'_IRR Engine'!$Q$7,0)</f>
        <v>3</v>
      </c>
      <c r="AD5" s="242">
        <f>ROUNDUP(AD3/'_IRR Engine'!$Q$7,0)</f>
        <v>3</v>
      </c>
      <c r="AE5" s="242">
        <f>ROUNDUP(AE3/'_IRR Engine'!$Q$7,0)</f>
        <v>3</v>
      </c>
      <c r="AF5" s="242">
        <f>ROUNDUP(AF3/'_IRR Engine'!$Q$7,0)</f>
        <v>3</v>
      </c>
      <c r="AG5" s="242">
        <f>ROUNDUP(AG3/'_IRR Engine'!$Q$7,0)</f>
        <v>3</v>
      </c>
      <c r="AH5" s="242">
        <f>ROUNDUP(AH3/'_IRR Engine'!$Q$7,0)</f>
        <v>3</v>
      </c>
      <c r="AI5" s="242">
        <f>ROUNDUP(AI3/'_IRR Engine'!$Q$7,0)</f>
        <v>3</v>
      </c>
      <c r="AJ5" s="242">
        <f>ROUNDUP(AJ3/'_IRR Engine'!$Q$7,0)</f>
        <v>3</v>
      </c>
      <c r="AK5" s="242">
        <f>ROUNDUP(AK3/'_IRR Engine'!$Q$7,0)</f>
        <v>3</v>
      </c>
      <c r="AL5" s="242">
        <f>ROUNDUP(AL3/'_IRR Engine'!$Q$7,0)</f>
        <v>3</v>
      </c>
      <c r="AM5" s="242">
        <f>ROUNDUP(AM3/'_IRR Engine'!$Q$7,0)</f>
        <v>4</v>
      </c>
      <c r="AN5" s="242">
        <f>ROUNDUP(AN3/'_IRR Engine'!$Q$7,0)</f>
        <v>4</v>
      </c>
      <c r="AO5" s="242">
        <f>ROUNDUP(AO3/'_IRR Engine'!$Q$7,0)</f>
        <v>4</v>
      </c>
      <c r="AP5" s="242">
        <f>ROUNDUP(AP3/'_IRR Engine'!$Q$7,0)</f>
        <v>4</v>
      </c>
      <c r="AQ5" s="242">
        <f>ROUNDUP(AQ3/'_IRR Engine'!$Q$7,0)</f>
        <v>4</v>
      </c>
      <c r="AR5" s="242">
        <f>ROUNDUP(AR3/'_IRR Engine'!$Q$7,0)</f>
        <v>4</v>
      </c>
      <c r="AS5" s="242">
        <f>ROUNDUP(AS3/'_IRR Engine'!$Q$7,0)</f>
        <v>4</v>
      </c>
      <c r="AT5" s="242">
        <f>ROUNDUP(AT3/'_IRR Engine'!$Q$7,0)</f>
        <v>4</v>
      </c>
      <c r="AU5" s="242">
        <f>ROUNDUP(AU3/'_IRR Engine'!$Q$7,0)</f>
        <v>4</v>
      </c>
      <c r="AV5" s="242">
        <f>ROUNDUP(AV3/'_IRR Engine'!$Q$7,0)</f>
        <v>4</v>
      </c>
      <c r="AW5" s="242">
        <f>ROUNDUP(AW3/'_IRR Engine'!$Q$7,0)</f>
        <v>4</v>
      </c>
      <c r="AX5" s="242">
        <f>ROUNDUP(AX3/'_IRR Engine'!$Q$7,0)</f>
        <v>4</v>
      </c>
      <c r="AY5" s="242">
        <f>ROUNDUP(AY3/'_IRR Engine'!$Q$7,0)</f>
        <v>5</v>
      </c>
      <c r="AZ5" s="242">
        <f>ROUNDUP(AZ3/'_IRR Engine'!$Q$7,0)</f>
        <v>5</v>
      </c>
      <c r="BA5" s="242">
        <f>ROUNDUP(BA3/'_IRR Engine'!$Q$7,0)</f>
        <v>5</v>
      </c>
      <c r="BB5" s="242">
        <f>ROUNDUP(BB3/'_IRR Engine'!$Q$7,0)</f>
        <v>5</v>
      </c>
      <c r="BC5" s="242">
        <f>ROUNDUP(BC3/'_IRR Engine'!$Q$7,0)</f>
        <v>5</v>
      </c>
      <c r="BD5" s="242">
        <f>ROUNDUP(BD3/'_IRR Engine'!$Q$7,0)</f>
        <v>5</v>
      </c>
      <c r="BE5" s="242">
        <f>ROUNDUP(BE3/'_IRR Engine'!$Q$7,0)</f>
        <v>5</v>
      </c>
      <c r="BF5" s="242">
        <f>ROUNDUP(BF3/'_IRR Engine'!$Q$7,0)</f>
        <v>5</v>
      </c>
      <c r="BG5" s="242">
        <f>ROUNDUP(BG3/'_IRR Engine'!$Q$7,0)</f>
        <v>5</v>
      </c>
      <c r="BH5" s="242">
        <f>ROUNDUP(BH3/'_IRR Engine'!$Q$7,0)</f>
        <v>5</v>
      </c>
      <c r="BI5" s="242">
        <f>ROUNDUP(BI3/'_IRR Engine'!$Q$7,0)</f>
        <v>5</v>
      </c>
      <c r="BJ5" s="242">
        <f>ROUNDUP(BJ3/'_IRR Engine'!$Q$7,0)</f>
        <v>5</v>
      </c>
      <c r="BK5" s="242">
        <f>ROUNDUP(BK3/'_IRR Engine'!$Q$7,0)</f>
        <v>6</v>
      </c>
      <c r="BL5" s="242">
        <f>ROUNDUP(BL3/'_IRR Engine'!$Q$7,0)</f>
        <v>6</v>
      </c>
      <c r="BM5" s="242">
        <f>ROUNDUP(BM3/'_IRR Engine'!$Q$7,0)</f>
        <v>6</v>
      </c>
      <c r="BN5" s="242">
        <f>ROUNDUP(BN3/'_IRR Engine'!$Q$7,0)</f>
        <v>6</v>
      </c>
      <c r="BO5" s="242">
        <f>ROUNDUP(BO3/'_IRR Engine'!$Q$7,0)</f>
        <v>6</v>
      </c>
      <c r="BP5" s="242">
        <f>ROUNDUP(BP3/'_IRR Engine'!$Q$7,0)</f>
        <v>6</v>
      </c>
      <c r="BQ5" s="242">
        <f>ROUNDUP(BQ3/'_IRR Engine'!$Q$7,0)</f>
        <v>6</v>
      </c>
      <c r="BR5" s="242">
        <f>ROUNDUP(BR3/'_IRR Engine'!$Q$7,0)</f>
        <v>6</v>
      </c>
      <c r="BS5" s="242">
        <f>ROUNDUP(BS3/'_IRR Engine'!$Q$7,0)</f>
        <v>6</v>
      </c>
      <c r="BT5" s="242">
        <f>ROUNDUP(BT3/'_IRR Engine'!$Q$7,0)</f>
        <v>6</v>
      </c>
      <c r="BU5" s="242">
        <f>ROUNDUP(BU3/'_IRR Engine'!$Q$7,0)</f>
        <v>6</v>
      </c>
      <c r="BV5" s="242">
        <f>ROUNDUP(BV3/'_IRR Engine'!$Q$7,0)</f>
        <v>6</v>
      </c>
      <c r="BW5" s="242">
        <f>ROUNDUP(BW3/'_IRR Engine'!$Q$7,0)</f>
        <v>7</v>
      </c>
      <c r="BX5" s="242">
        <f>ROUNDUP(BX3/'_IRR Engine'!$Q$7,0)</f>
        <v>7</v>
      </c>
      <c r="BY5" s="242">
        <f>ROUNDUP(BY3/'_IRR Engine'!$Q$7,0)</f>
        <v>7</v>
      </c>
      <c r="BZ5" s="242">
        <f>ROUNDUP(BZ3/'_IRR Engine'!$Q$7,0)</f>
        <v>7</v>
      </c>
      <c r="CA5" s="242">
        <f>ROUNDUP(CA3/'_IRR Engine'!$Q$7,0)</f>
        <v>7</v>
      </c>
      <c r="CB5" s="242">
        <f>ROUNDUP(CB3/'_IRR Engine'!$Q$7,0)</f>
        <v>7</v>
      </c>
      <c r="CC5" s="242">
        <f>ROUNDUP(CC3/'_IRR Engine'!$Q$7,0)</f>
        <v>7</v>
      </c>
      <c r="CD5" s="242">
        <f>ROUNDUP(CD3/'_IRR Engine'!$Q$7,0)</f>
        <v>7</v>
      </c>
      <c r="CE5" s="242">
        <f>ROUNDUP(CE3/'_IRR Engine'!$Q$7,0)</f>
        <v>7</v>
      </c>
      <c r="CF5" s="242">
        <f>ROUNDUP(CF3/'_IRR Engine'!$Q$7,0)</f>
        <v>7</v>
      </c>
      <c r="CG5" s="242">
        <f>ROUNDUP(CG3/'_IRR Engine'!$Q$7,0)</f>
        <v>7</v>
      </c>
      <c r="CH5" s="242">
        <f>ROUNDUP(CH3/'_IRR Engine'!$Q$7,0)</f>
        <v>7</v>
      </c>
      <c r="CI5" s="242">
        <f>ROUNDUP(CI3/'_IRR Engine'!$Q$7,0)</f>
        <v>8</v>
      </c>
      <c r="CJ5" s="242">
        <f>ROUNDUP(CJ3/'_IRR Engine'!$Q$7,0)</f>
        <v>8</v>
      </c>
      <c r="CK5" s="242">
        <f>ROUNDUP(CK3/'_IRR Engine'!$Q$7,0)</f>
        <v>8</v>
      </c>
      <c r="CL5" s="242">
        <f>ROUNDUP(CL3/'_IRR Engine'!$Q$7,0)</f>
        <v>8</v>
      </c>
      <c r="CM5" s="242">
        <f>ROUNDUP(CM3/'_IRR Engine'!$Q$7,0)</f>
        <v>8</v>
      </c>
      <c r="CN5" s="242">
        <f>ROUNDUP(CN3/'_IRR Engine'!$Q$7,0)</f>
        <v>8</v>
      </c>
      <c r="CO5" s="242">
        <f>ROUNDUP(CO3/'_IRR Engine'!$Q$7,0)</f>
        <v>8</v>
      </c>
      <c r="CP5" s="242">
        <f>ROUNDUP(CP3/'_IRR Engine'!$Q$7,0)</f>
        <v>8</v>
      </c>
      <c r="CQ5" s="242">
        <f>ROUNDUP(CQ3/'_IRR Engine'!$Q$7,0)</f>
        <v>8</v>
      </c>
      <c r="CR5" s="242">
        <f>ROUNDUP(CR3/'_IRR Engine'!$Q$7,0)</f>
        <v>8</v>
      </c>
      <c r="CS5" s="242">
        <f>ROUNDUP(CS3/'_IRR Engine'!$Q$7,0)</f>
        <v>8</v>
      </c>
      <c r="CT5" s="242">
        <f>ROUNDUP(CT3/'_IRR Engine'!$Q$7,0)</f>
        <v>8</v>
      </c>
      <c r="CU5" s="242">
        <f>ROUNDUP(CU3/'_IRR Engine'!$Q$7,0)</f>
        <v>9</v>
      </c>
      <c r="CV5" s="242">
        <f>ROUNDUP(CV3/'_IRR Engine'!$Q$7,0)</f>
        <v>9</v>
      </c>
      <c r="CW5" s="242">
        <f>ROUNDUP(CW3/'_IRR Engine'!$Q$7,0)</f>
        <v>9</v>
      </c>
      <c r="CX5" s="242">
        <f>ROUNDUP(CX3/'_IRR Engine'!$Q$7,0)</f>
        <v>9</v>
      </c>
      <c r="CY5" s="242">
        <f>ROUNDUP(CY3/'_IRR Engine'!$Q$7,0)</f>
        <v>9</v>
      </c>
      <c r="CZ5" s="242">
        <f>ROUNDUP(CZ3/'_IRR Engine'!$Q$7,0)</f>
        <v>9</v>
      </c>
      <c r="DA5" s="242">
        <f>ROUNDUP(DA3/'_IRR Engine'!$Q$7,0)</f>
        <v>9</v>
      </c>
      <c r="DB5" s="242">
        <f>ROUNDUP(DB3/'_IRR Engine'!$Q$7,0)</f>
        <v>9</v>
      </c>
      <c r="DC5" s="242">
        <f>ROUNDUP(DC3/'_IRR Engine'!$Q$7,0)</f>
        <v>9</v>
      </c>
      <c r="DD5" s="242">
        <f>ROUNDUP(DD3/'_IRR Engine'!$Q$7,0)</f>
        <v>9</v>
      </c>
      <c r="DE5" s="242">
        <f>ROUNDUP(DE3/'_IRR Engine'!$Q$7,0)</f>
        <v>9</v>
      </c>
      <c r="DF5" s="242">
        <f>ROUNDUP(DF3/'_IRR Engine'!$Q$7,0)</f>
        <v>9</v>
      </c>
      <c r="DG5" s="242">
        <f>ROUNDUP(DG3/'_IRR Engine'!$Q$7,0)</f>
        <v>10</v>
      </c>
      <c r="DH5" s="242">
        <f>ROUNDUP(DH3/'_IRR Engine'!$Q$7,0)</f>
        <v>10</v>
      </c>
      <c r="DI5" s="242">
        <f>ROUNDUP(DI3/'_IRR Engine'!$Q$7,0)</f>
        <v>10</v>
      </c>
      <c r="DJ5" s="242">
        <f>ROUNDUP(DJ3/'_IRR Engine'!$Q$7,0)</f>
        <v>10</v>
      </c>
      <c r="DK5" s="242">
        <f>ROUNDUP(DK3/'_IRR Engine'!$Q$7,0)</f>
        <v>10</v>
      </c>
      <c r="DL5" s="242">
        <f>ROUNDUP(DL3/'_IRR Engine'!$Q$7,0)</f>
        <v>10</v>
      </c>
      <c r="DM5" s="242">
        <f>ROUNDUP(DM3/'_IRR Engine'!$Q$7,0)</f>
        <v>10</v>
      </c>
      <c r="DN5" s="242">
        <f>ROUNDUP(DN3/'_IRR Engine'!$Q$7,0)</f>
        <v>10</v>
      </c>
      <c r="DO5" s="242">
        <f>ROUNDUP(DO3/'_IRR Engine'!$Q$7,0)</f>
        <v>10</v>
      </c>
      <c r="DP5" s="242">
        <f>ROUNDUP(DP3/'_IRR Engine'!$Q$7,0)</f>
        <v>10</v>
      </c>
      <c r="DQ5" s="242">
        <f>ROUNDUP(DQ3/'_IRR Engine'!$Q$7,0)</f>
        <v>10</v>
      </c>
      <c r="DR5" s="242">
        <f>ROUNDUP(DR3/'_IRR Engine'!$Q$7,0)</f>
        <v>10</v>
      </c>
    </row>
    <row r="6" spans="1:122" ht="16.05"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row>
    <row r="7" spans="1:122" ht="19.95" customHeight="1" x14ac:dyDescent="0.3">
      <c r="A7" s="3" t="s">
        <v>53</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row>
    <row r="8" spans="1:122" ht="16.05" customHeight="1" x14ac:dyDescent="0.3">
      <c r="A8" s="148" t="str" cm="1">
        <f t="array" ref="A8">INDEX(Properties!$E:$E,$B8+5)</f>
        <v>Aires de Campestre Apto 801 (Penthouse)</v>
      </c>
      <c r="B8" s="1">
        <v>1</v>
      </c>
      <c r="C8" s="123" cm="1">
        <f t="array" ref="C8">INDEX(Properties!$D:$D,$B8+5)*(IF(C$3=INDEX(Properties!$Q:$Q,$B8+5),INDEX(Properties!$M:$M,$B8+5)+INDEX(Properties!$O:$O,$B8+5),0))</f>
        <v>0</v>
      </c>
      <c r="D8" s="123" cm="1">
        <f t="array" ref="D8">INDEX(Properties!$D:$D,$B8+5)*(IF(D$3=INDEX(Properties!$Q:$Q,$B8+5),INDEX(Properties!$M:$M,$B8+5)+INDEX(Properties!$O:$O,$B8+5),0))</f>
        <v>683333.33333333326</v>
      </c>
      <c r="E8" s="123" cm="1">
        <f t="array" ref="E8">INDEX(Properties!$D:$D,$B8+5)*(IF(E$3=INDEX(Properties!$Q:$Q,$B8+5),INDEX(Properties!$M:$M,$B8+5)+INDEX(Properties!$O:$O,$B8+5),0))</f>
        <v>0</v>
      </c>
      <c r="F8" s="123" cm="1">
        <f t="array" ref="F8">INDEX(Properties!$D:$D,$B8+5)*(IF(F$3=INDEX(Properties!$Q:$Q,$B8+5),INDEX(Properties!$M:$M,$B8+5)+INDEX(Properties!$O:$O,$B8+5),0))</f>
        <v>0</v>
      </c>
      <c r="G8" s="123" cm="1">
        <f t="array" ref="G8">INDEX(Properties!$D:$D,$B8+5)*(IF(G$3=INDEX(Properties!$Q:$Q,$B8+5),INDEX(Properties!$M:$M,$B8+5)+INDEX(Properties!$O:$O,$B8+5),0))</f>
        <v>0</v>
      </c>
      <c r="H8" s="123" cm="1">
        <f t="array" ref="H8">INDEX(Properties!$D:$D,$B8+5)*(IF(H$3=INDEX(Properties!$Q:$Q,$B8+5),INDEX(Properties!$M:$M,$B8+5)+INDEX(Properties!$O:$O,$B8+5),0))</f>
        <v>0</v>
      </c>
      <c r="I8" s="123" cm="1">
        <f t="array" ref="I8">INDEX(Properties!$D:$D,$B8+5)*(IF(I$3=INDEX(Properties!$Q:$Q,$B8+5),INDEX(Properties!$M:$M,$B8+5)+INDEX(Properties!$O:$O,$B8+5),0))</f>
        <v>0</v>
      </c>
      <c r="J8" s="123" cm="1">
        <f t="array" ref="J8">INDEX(Properties!$D:$D,$B8+5)*(IF(J$3=INDEX(Properties!$Q:$Q,$B8+5),INDEX(Properties!$M:$M,$B8+5)+INDEX(Properties!$O:$O,$B8+5),0))</f>
        <v>0</v>
      </c>
      <c r="K8" s="123" cm="1">
        <f t="array" ref="K8">INDEX(Properties!$D:$D,$B8+5)*(IF(K$3=INDEX(Properties!$Q:$Q,$B8+5),INDEX(Properties!$M:$M,$B8+5)+INDEX(Properties!$O:$O,$B8+5),0))</f>
        <v>0</v>
      </c>
      <c r="L8" s="123" cm="1">
        <f t="array" ref="L8">INDEX(Properties!$D:$D,$B8+5)*(IF(L$3=INDEX(Properties!$Q:$Q,$B8+5),INDEX(Properties!$M:$M,$B8+5)+INDEX(Properties!$O:$O,$B8+5),0))</f>
        <v>0</v>
      </c>
      <c r="M8" s="123" cm="1">
        <f t="array" ref="M8">INDEX(Properties!$D:$D,$B8+5)*(IF(M$3=INDEX(Properties!$Q:$Q,$B8+5),INDEX(Properties!$M:$M,$B8+5)+INDEX(Properties!$O:$O,$B8+5),0))</f>
        <v>0</v>
      </c>
      <c r="N8" s="123" cm="1">
        <f t="array" ref="N8">INDEX(Properties!$D:$D,$B8+5)*(IF(N$3=INDEX(Properties!$Q:$Q,$B8+5),INDEX(Properties!$M:$M,$B8+5)+INDEX(Properties!$O:$O,$B8+5),0))</f>
        <v>0</v>
      </c>
      <c r="O8" s="123" cm="1">
        <f t="array" ref="O8">INDEX(Properties!$D:$D,$B8+5)*(IF(O$3=INDEX(Properties!$Q:$Q,$B8+5),INDEX(Properties!$M:$M,$B8+5)+INDEX(Properties!$O:$O,$B8+5),0))</f>
        <v>0</v>
      </c>
      <c r="P8" s="123" cm="1">
        <f t="array" ref="P8">INDEX(Properties!$D:$D,$B8+5)*(IF(P$3=INDEX(Properties!$Q:$Q,$B8+5),INDEX(Properties!$M:$M,$B8+5)+INDEX(Properties!$O:$O,$B8+5),0))</f>
        <v>0</v>
      </c>
      <c r="Q8" s="123" cm="1">
        <f t="array" ref="Q8">INDEX(Properties!$D:$D,$B8+5)*(IF(Q$3=INDEX(Properties!$Q:$Q,$B8+5),INDEX(Properties!$M:$M,$B8+5)+INDEX(Properties!$O:$O,$B8+5),0))</f>
        <v>0</v>
      </c>
      <c r="R8" s="123" cm="1">
        <f t="array" ref="R8">INDEX(Properties!$D:$D,$B8+5)*(IF(R$3=INDEX(Properties!$Q:$Q,$B8+5),INDEX(Properties!$M:$M,$B8+5)+INDEX(Properties!$O:$O,$B8+5),0))</f>
        <v>0</v>
      </c>
      <c r="S8" s="123" cm="1">
        <f t="array" ref="S8">INDEX(Properties!$D:$D,$B8+5)*(IF(S$3=INDEX(Properties!$Q:$Q,$B8+5),INDEX(Properties!$M:$M,$B8+5)+INDEX(Properties!$O:$O,$B8+5),0))</f>
        <v>0</v>
      </c>
      <c r="T8" s="123" cm="1">
        <f t="array" ref="T8">INDEX(Properties!$D:$D,$B8+5)*(IF(T$3=INDEX(Properties!$Q:$Q,$B8+5),INDEX(Properties!$M:$M,$B8+5)+INDEX(Properties!$O:$O,$B8+5),0))</f>
        <v>0</v>
      </c>
      <c r="U8" s="123" cm="1">
        <f t="array" ref="U8">INDEX(Properties!$D:$D,$B8+5)*(IF(U$3=INDEX(Properties!$Q:$Q,$B8+5),INDEX(Properties!$M:$M,$B8+5)+INDEX(Properties!$O:$O,$B8+5),0))</f>
        <v>0</v>
      </c>
      <c r="V8" s="123" cm="1">
        <f t="array" ref="V8">INDEX(Properties!$D:$D,$B8+5)*(IF(V$3=INDEX(Properties!$Q:$Q,$B8+5),INDEX(Properties!$M:$M,$B8+5)+INDEX(Properties!$O:$O,$B8+5),0))</f>
        <v>0</v>
      </c>
      <c r="W8" s="123" cm="1">
        <f t="array" ref="W8">INDEX(Properties!$D:$D,$B8+5)*(IF(W$3=INDEX(Properties!$Q:$Q,$B8+5),INDEX(Properties!$M:$M,$B8+5)+INDEX(Properties!$O:$O,$B8+5),0))</f>
        <v>0</v>
      </c>
      <c r="X8" s="123" cm="1">
        <f t="array" ref="X8">INDEX(Properties!$D:$D,$B8+5)*(IF(X$3=INDEX(Properties!$Q:$Q,$B8+5),INDEX(Properties!$M:$M,$B8+5)+INDEX(Properties!$O:$O,$B8+5),0))</f>
        <v>0</v>
      </c>
      <c r="Y8" s="123" cm="1">
        <f t="array" ref="Y8">INDEX(Properties!$D:$D,$B8+5)*(IF(Y$3=INDEX(Properties!$Q:$Q,$B8+5),INDEX(Properties!$M:$M,$B8+5)+INDEX(Properties!$O:$O,$B8+5),0))</f>
        <v>0</v>
      </c>
      <c r="Z8" s="123" cm="1">
        <f t="array" ref="Z8">INDEX(Properties!$D:$D,$B8+5)*(IF(Z$3=INDEX(Properties!$Q:$Q,$B8+5),INDEX(Properties!$M:$M,$B8+5)+INDEX(Properties!$O:$O,$B8+5),0))</f>
        <v>0</v>
      </c>
      <c r="AA8" s="123" cm="1">
        <f t="array" ref="AA8">INDEX(Properties!$D:$D,$B8+5)*(IF(AA$3=INDEX(Properties!$Q:$Q,$B8+5),INDEX(Properties!$M:$M,$B8+5)+INDEX(Properties!$O:$O,$B8+5),0))</f>
        <v>0</v>
      </c>
      <c r="AB8" s="123" cm="1">
        <f t="array" ref="AB8">INDEX(Properties!$D:$D,$B8+5)*(IF(AB$3=INDEX(Properties!$Q:$Q,$B8+5),INDEX(Properties!$M:$M,$B8+5)+INDEX(Properties!$O:$O,$B8+5),0))</f>
        <v>0</v>
      </c>
      <c r="AC8" s="123" cm="1">
        <f t="array" ref="AC8">INDEX(Properties!$D:$D,$B8+5)*(IF(AC$3=INDEX(Properties!$Q:$Q,$B8+5),INDEX(Properties!$M:$M,$B8+5)+INDEX(Properties!$O:$O,$B8+5),0))</f>
        <v>0</v>
      </c>
      <c r="AD8" s="123" cm="1">
        <f t="array" ref="AD8">INDEX(Properties!$D:$D,$B8+5)*(IF(AD$3=INDEX(Properties!$Q:$Q,$B8+5),INDEX(Properties!$M:$M,$B8+5)+INDEX(Properties!$O:$O,$B8+5),0))</f>
        <v>0</v>
      </c>
      <c r="AE8" s="123" cm="1">
        <f t="array" ref="AE8">INDEX(Properties!$D:$D,$B8+5)*(IF(AE$3=INDEX(Properties!$Q:$Q,$B8+5),INDEX(Properties!$M:$M,$B8+5)+INDEX(Properties!$O:$O,$B8+5),0))</f>
        <v>0</v>
      </c>
      <c r="AF8" s="123" cm="1">
        <f t="array" ref="AF8">INDEX(Properties!$D:$D,$B8+5)*(IF(AF$3=INDEX(Properties!$Q:$Q,$B8+5),INDEX(Properties!$M:$M,$B8+5)+INDEX(Properties!$O:$O,$B8+5),0))</f>
        <v>0</v>
      </c>
      <c r="AG8" s="123" cm="1">
        <f t="array" ref="AG8">INDEX(Properties!$D:$D,$B8+5)*(IF(AG$3=INDEX(Properties!$Q:$Q,$B8+5),INDEX(Properties!$M:$M,$B8+5)+INDEX(Properties!$O:$O,$B8+5),0))</f>
        <v>0</v>
      </c>
      <c r="AH8" s="123" cm="1">
        <f t="array" ref="AH8">INDEX(Properties!$D:$D,$B8+5)*(IF(AH$3=INDEX(Properties!$Q:$Q,$B8+5),INDEX(Properties!$M:$M,$B8+5)+INDEX(Properties!$O:$O,$B8+5),0))</f>
        <v>0</v>
      </c>
      <c r="AI8" s="123" cm="1">
        <f t="array" ref="AI8">INDEX(Properties!$D:$D,$B8+5)*(IF(AI$3=INDEX(Properties!$Q:$Q,$B8+5),INDEX(Properties!$M:$M,$B8+5)+INDEX(Properties!$O:$O,$B8+5),0))</f>
        <v>0</v>
      </c>
      <c r="AJ8" s="123" cm="1">
        <f t="array" ref="AJ8">INDEX(Properties!$D:$D,$B8+5)*(IF(AJ$3=INDEX(Properties!$Q:$Q,$B8+5),INDEX(Properties!$M:$M,$B8+5)+INDEX(Properties!$O:$O,$B8+5),0))</f>
        <v>0</v>
      </c>
      <c r="AK8" s="123" cm="1">
        <f t="array" ref="AK8">INDEX(Properties!$D:$D,$B8+5)*(IF(AK$3=INDEX(Properties!$Q:$Q,$B8+5),INDEX(Properties!$M:$M,$B8+5)+INDEX(Properties!$O:$O,$B8+5),0))</f>
        <v>0</v>
      </c>
      <c r="AL8" s="123" cm="1">
        <f t="array" ref="AL8">INDEX(Properties!$D:$D,$B8+5)*(IF(AL$3=INDEX(Properties!$Q:$Q,$B8+5),INDEX(Properties!$M:$M,$B8+5)+INDEX(Properties!$O:$O,$B8+5),0))</f>
        <v>0</v>
      </c>
      <c r="AM8" s="123" cm="1">
        <f t="array" ref="AM8">INDEX(Properties!$D:$D,$B8+5)*(IF(AM$3=INDEX(Properties!$Q:$Q,$B8+5),INDEX(Properties!$M:$M,$B8+5)+INDEX(Properties!$O:$O,$B8+5),0))</f>
        <v>0</v>
      </c>
      <c r="AN8" s="123" cm="1">
        <f t="array" ref="AN8">INDEX(Properties!$D:$D,$B8+5)*(IF(AN$3=INDEX(Properties!$Q:$Q,$B8+5),INDEX(Properties!$M:$M,$B8+5)+INDEX(Properties!$O:$O,$B8+5),0))</f>
        <v>0</v>
      </c>
      <c r="AO8" s="123" cm="1">
        <f t="array" ref="AO8">INDEX(Properties!$D:$D,$B8+5)*(IF(AO$3=INDEX(Properties!$Q:$Q,$B8+5),INDEX(Properties!$M:$M,$B8+5)+INDEX(Properties!$O:$O,$B8+5),0))</f>
        <v>0</v>
      </c>
      <c r="AP8" s="123" cm="1">
        <f t="array" ref="AP8">INDEX(Properties!$D:$D,$B8+5)*(IF(AP$3=INDEX(Properties!$Q:$Q,$B8+5),INDEX(Properties!$M:$M,$B8+5)+INDEX(Properties!$O:$O,$B8+5),0))</f>
        <v>0</v>
      </c>
      <c r="AQ8" s="123" cm="1">
        <f t="array" ref="AQ8">INDEX(Properties!$D:$D,$B8+5)*(IF(AQ$3=INDEX(Properties!$Q:$Q,$B8+5),INDEX(Properties!$M:$M,$B8+5)+INDEX(Properties!$O:$O,$B8+5),0))</f>
        <v>0</v>
      </c>
      <c r="AR8" s="123" cm="1">
        <f t="array" ref="AR8">INDEX(Properties!$D:$D,$B8+5)*(IF(AR$3=INDEX(Properties!$Q:$Q,$B8+5),INDEX(Properties!$M:$M,$B8+5)+INDEX(Properties!$O:$O,$B8+5),0))</f>
        <v>0</v>
      </c>
      <c r="AS8" s="123" cm="1">
        <f t="array" ref="AS8">INDEX(Properties!$D:$D,$B8+5)*(IF(AS$3=INDEX(Properties!$Q:$Q,$B8+5),INDEX(Properties!$M:$M,$B8+5)+INDEX(Properties!$O:$O,$B8+5),0))</f>
        <v>0</v>
      </c>
      <c r="AT8" s="123" cm="1">
        <f t="array" ref="AT8">INDEX(Properties!$D:$D,$B8+5)*(IF(AT$3=INDEX(Properties!$Q:$Q,$B8+5),INDEX(Properties!$M:$M,$B8+5)+INDEX(Properties!$O:$O,$B8+5),0))</f>
        <v>0</v>
      </c>
      <c r="AU8" s="123" cm="1">
        <f t="array" ref="AU8">INDEX(Properties!$D:$D,$B8+5)*(IF(AU$3=INDEX(Properties!$Q:$Q,$B8+5),INDEX(Properties!$M:$M,$B8+5)+INDEX(Properties!$O:$O,$B8+5),0))</f>
        <v>0</v>
      </c>
      <c r="AV8" s="123" cm="1">
        <f t="array" ref="AV8">INDEX(Properties!$D:$D,$B8+5)*(IF(AV$3=INDEX(Properties!$Q:$Q,$B8+5),INDEX(Properties!$M:$M,$B8+5)+INDEX(Properties!$O:$O,$B8+5),0))</f>
        <v>0</v>
      </c>
      <c r="AW8" s="123" cm="1">
        <f t="array" ref="AW8">INDEX(Properties!$D:$D,$B8+5)*(IF(AW$3=INDEX(Properties!$Q:$Q,$B8+5),INDEX(Properties!$M:$M,$B8+5)+INDEX(Properties!$O:$O,$B8+5),0))</f>
        <v>0</v>
      </c>
      <c r="AX8" s="123" cm="1">
        <f t="array" ref="AX8">INDEX(Properties!$D:$D,$B8+5)*(IF(AX$3=INDEX(Properties!$Q:$Q,$B8+5),INDEX(Properties!$M:$M,$B8+5)+INDEX(Properties!$O:$O,$B8+5),0))</f>
        <v>0</v>
      </c>
      <c r="AY8" s="123" cm="1">
        <f t="array" ref="AY8">INDEX(Properties!$D:$D,$B8+5)*(IF(AY$3=INDEX(Properties!$Q:$Q,$B8+5),INDEX(Properties!$M:$M,$B8+5)+INDEX(Properties!$O:$O,$B8+5),0))</f>
        <v>0</v>
      </c>
      <c r="AZ8" s="123" cm="1">
        <f t="array" ref="AZ8">INDEX(Properties!$D:$D,$B8+5)*(IF(AZ$3=INDEX(Properties!$Q:$Q,$B8+5),INDEX(Properties!$M:$M,$B8+5)+INDEX(Properties!$O:$O,$B8+5),0))</f>
        <v>0</v>
      </c>
      <c r="BA8" s="123" cm="1">
        <f t="array" ref="BA8">INDEX(Properties!$D:$D,$B8+5)*(IF(BA$3=INDEX(Properties!$Q:$Q,$B8+5),INDEX(Properties!$M:$M,$B8+5)+INDEX(Properties!$O:$O,$B8+5),0))</f>
        <v>0</v>
      </c>
      <c r="BB8" s="123" cm="1">
        <f t="array" ref="BB8">INDEX(Properties!$D:$D,$B8+5)*(IF(BB$3=INDEX(Properties!$Q:$Q,$B8+5),INDEX(Properties!$M:$M,$B8+5)+INDEX(Properties!$O:$O,$B8+5),0))</f>
        <v>0</v>
      </c>
      <c r="BC8" s="123" cm="1">
        <f t="array" ref="BC8">INDEX(Properties!$D:$D,$B8+5)*(IF(BC$3=INDEX(Properties!$Q:$Q,$B8+5),INDEX(Properties!$M:$M,$B8+5)+INDEX(Properties!$O:$O,$B8+5),0))</f>
        <v>0</v>
      </c>
      <c r="BD8" s="123" cm="1">
        <f t="array" ref="BD8">INDEX(Properties!$D:$D,$B8+5)*(IF(BD$3=INDEX(Properties!$Q:$Q,$B8+5),INDEX(Properties!$M:$M,$B8+5)+INDEX(Properties!$O:$O,$B8+5),0))</f>
        <v>0</v>
      </c>
      <c r="BE8" s="123" cm="1">
        <f t="array" ref="BE8">INDEX(Properties!$D:$D,$B8+5)*(IF(BE$3=INDEX(Properties!$Q:$Q,$B8+5),INDEX(Properties!$M:$M,$B8+5)+INDEX(Properties!$O:$O,$B8+5),0))</f>
        <v>0</v>
      </c>
      <c r="BF8" s="123" cm="1">
        <f t="array" ref="BF8">INDEX(Properties!$D:$D,$B8+5)*(IF(BF$3=INDEX(Properties!$Q:$Q,$B8+5),INDEX(Properties!$M:$M,$B8+5)+INDEX(Properties!$O:$O,$B8+5),0))</f>
        <v>0</v>
      </c>
      <c r="BG8" s="123" cm="1">
        <f t="array" ref="BG8">INDEX(Properties!$D:$D,$B8+5)*(IF(BG$3=INDEX(Properties!$Q:$Q,$B8+5),INDEX(Properties!$M:$M,$B8+5)+INDEX(Properties!$O:$O,$B8+5),0))</f>
        <v>0</v>
      </c>
      <c r="BH8" s="123" cm="1">
        <f t="array" ref="BH8">INDEX(Properties!$D:$D,$B8+5)*(IF(BH$3=INDEX(Properties!$Q:$Q,$B8+5),INDEX(Properties!$M:$M,$B8+5)+INDEX(Properties!$O:$O,$B8+5),0))</f>
        <v>0</v>
      </c>
      <c r="BI8" s="123" cm="1">
        <f t="array" ref="BI8">INDEX(Properties!$D:$D,$B8+5)*(IF(BI$3=INDEX(Properties!$Q:$Q,$B8+5),INDEX(Properties!$M:$M,$B8+5)+INDEX(Properties!$O:$O,$B8+5),0))</f>
        <v>0</v>
      </c>
      <c r="BJ8" s="123" cm="1">
        <f t="array" ref="BJ8">INDEX(Properties!$D:$D,$B8+5)*(IF(BJ$3=INDEX(Properties!$Q:$Q,$B8+5),INDEX(Properties!$M:$M,$B8+5)+INDEX(Properties!$O:$O,$B8+5),0))</f>
        <v>0</v>
      </c>
      <c r="BK8" s="123" cm="1">
        <f t="array" ref="BK8">INDEX(Properties!$D:$D,$B8+5)*(IF(BK$3=INDEX(Properties!$Q:$Q,$B8+5),INDEX(Properties!$M:$M,$B8+5)+INDEX(Properties!$O:$O,$B8+5),0))</f>
        <v>0</v>
      </c>
      <c r="BL8" s="123" cm="1">
        <f t="array" ref="BL8">INDEX(Properties!$D:$D,$B8+5)*(IF(BL$3=INDEX(Properties!$Q:$Q,$B8+5),INDEX(Properties!$M:$M,$B8+5)+INDEX(Properties!$O:$O,$B8+5),0))</f>
        <v>0</v>
      </c>
      <c r="BM8" s="123" cm="1">
        <f t="array" ref="BM8">INDEX(Properties!$D:$D,$B8+5)*(IF(BM$3=INDEX(Properties!$Q:$Q,$B8+5),INDEX(Properties!$M:$M,$B8+5)+INDEX(Properties!$O:$O,$B8+5),0))</f>
        <v>0</v>
      </c>
      <c r="BN8" s="123" cm="1">
        <f t="array" ref="BN8">INDEX(Properties!$D:$D,$B8+5)*(IF(BN$3=INDEX(Properties!$Q:$Q,$B8+5),INDEX(Properties!$M:$M,$B8+5)+INDEX(Properties!$O:$O,$B8+5),0))</f>
        <v>0</v>
      </c>
      <c r="BO8" s="123" cm="1">
        <f t="array" ref="BO8">INDEX(Properties!$D:$D,$B8+5)*(IF(BO$3=INDEX(Properties!$Q:$Q,$B8+5),INDEX(Properties!$M:$M,$B8+5)+INDEX(Properties!$O:$O,$B8+5),0))</f>
        <v>0</v>
      </c>
      <c r="BP8" s="123" cm="1">
        <f t="array" ref="BP8">INDEX(Properties!$D:$D,$B8+5)*(IF(BP$3=INDEX(Properties!$Q:$Q,$B8+5),INDEX(Properties!$M:$M,$B8+5)+INDEX(Properties!$O:$O,$B8+5),0))</f>
        <v>0</v>
      </c>
      <c r="BQ8" s="123" cm="1">
        <f t="array" ref="BQ8">INDEX(Properties!$D:$D,$B8+5)*(IF(BQ$3=INDEX(Properties!$Q:$Q,$B8+5),INDEX(Properties!$M:$M,$B8+5)+INDEX(Properties!$O:$O,$B8+5),0))</f>
        <v>0</v>
      </c>
      <c r="BR8" s="123" cm="1">
        <f t="array" ref="BR8">INDEX(Properties!$D:$D,$B8+5)*(IF(BR$3=INDEX(Properties!$Q:$Q,$B8+5),INDEX(Properties!$M:$M,$B8+5)+INDEX(Properties!$O:$O,$B8+5),0))</f>
        <v>0</v>
      </c>
      <c r="BS8" s="123" cm="1">
        <f t="array" ref="BS8">INDEX(Properties!$D:$D,$B8+5)*(IF(BS$3=INDEX(Properties!$Q:$Q,$B8+5),INDEX(Properties!$M:$M,$B8+5)+INDEX(Properties!$O:$O,$B8+5),0))</f>
        <v>0</v>
      </c>
      <c r="BT8" s="123" cm="1">
        <f t="array" ref="BT8">INDEX(Properties!$D:$D,$B8+5)*(IF(BT$3=INDEX(Properties!$Q:$Q,$B8+5),INDEX(Properties!$M:$M,$B8+5)+INDEX(Properties!$O:$O,$B8+5),0))</f>
        <v>0</v>
      </c>
      <c r="BU8" s="123" cm="1">
        <f t="array" ref="BU8">INDEX(Properties!$D:$D,$B8+5)*(IF(BU$3=INDEX(Properties!$Q:$Q,$B8+5),INDEX(Properties!$M:$M,$B8+5)+INDEX(Properties!$O:$O,$B8+5),0))</f>
        <v>0</v>
      </c>
      <c r="BV8" s="123" cm="1">
        <f t="array" ref="BV8">INDEX(Properties!$D:$D,$B8+5)*(IF(BV$3=INDEX(Properties!$Q:$Q,$B8+5),INDEX(Properties!$M:$M,$B8+5)+INDEX(Properties!$O:$O,$B8+5),0))</f>
        <v>0</v>
      </c>
      <c r="BW8" s="123" cm="1">
        <f t="array" ref="BW8">INDEX(Properties!$D:$D,$B8+5)*(IF(BW$3=INDEX(Properties!$Q:$Q,$B8+5),INDEX(Properties!$M:$M,$B8+5)+INDEX(Properties!$O:$O,$B8+5),0))</f>
        <v>0</v>
      </c>
      <c r="BX8" s="123" cm="1">
        <f t="array" ref="BX8">INDEX(Properties!$D:$D,$B8+5)*(IF(BX$3=INDEX(Properties!$Q:$Q,$B8+5),INDEX(Properties!$M:$M,$B8+5)+INDEX(Properties!$O:$O,$B8+5),0))</f>
        <v>0</v>
      </c>
      <c r="BY8" s="123" cm="1">
        <f t="array" ref="BY8">INDEX(Properties!$D:$D,$B8+5)*(IF(BY$3=INDEX(Properties!$Q:$Q,$B8+5),INDEX(Properties!$M:$M,$B8+5)+INDEX(Properties!$O:$O,$B8+5),0))</f>
        <v>0</v>
      </c>
      <c r="BZ8" s="123" cm="1">
        <f t="array" ref="BZ8">INDEX(Properties!$D:$D,$B8+5)*(IF(BZ$3=INDEX(Properties!$Q:$Q,$B8+5),INDEX(Properties!$M:$M,$B8+5)+INDEX(Properties!$O:$O,$B8+5),0))</f>
        <v>0</v>
      </c>
      <c r="CA8" s="123" cm="1">
        <f t="array" ref="CA8">INDEX(Properties!$D:$D,$B8+5)*(IF(CA$3=INDEX(Properties!$Q:$Q,$B8+5),INDEX(Properties!$M:$M,$B8+5)+INDEX(Properties!$O:$O,$B8+5),0))</f>
        <v>0</v>
      </c>
      <c r="CB8" s="123" cm="1">
        <f t="array" ref="CB8">INDEX(Properties!$D:$D,$B8+5)*(IF(CB$3=INDEX(Properties!$Q:$Q,$B8+5),INDEX(Properties!$M:$M,$B8+5)+INDEX(Properties!$O:$O,$B8+5),0))</f>
        <v>0</v>
      </c>
      <c r="CC8" s="123" cm="1">
        <f t="array" ref="CC8">INDEX(Properties!$D:$D,$B8+5)*(IF(CC$3=INDEX(Properties!$Q:$Q,$B8+5),INDEX(Properties!$M:$M,$B8+5)+INDEX(Properties!$O:$O,$B8+5),0))</f>
        <v>0</v>
      </c>
      <c r="CD8" s="123" cm="1">
        <f t="array" ref="CD8">INDEX(Properties!$D:$D,$B8+5)*(IF(CD$3=INDEX(Properties!$Q:$Q,$B8+5),INDEX(Properties!$M:$M,$B8+5)+INDEX(Properties!$O:$O,$B8+5),0))</f>
        <v>0</v>
      </c>
      <c r="CE8" s="123" cm="1">
        <f t="array" ref="CE8">INDEX(Properties!$D:$D,$B8+5)*(IF(CE$3=INDEX(Properties!$Q:$Q,$B8+5),INDEX(Properties!$M:$M,$B8+5)+INDEX(Properties!$O:$O,$B8+5),0))</f>
        <v>0</v>
      </c>
      <c r="CF8" s="123" cm="1">
        <f t="array" ref="CF8">INDEX(Properties!$D:$D,$B8+5)*(IF(CF$3=INDEX(Properties!$Q:$Q,$B8+5),INDEX(Properties!$M:$M,$B8+5)+INDEX(Properties!$O:$O,$B8+5),0))</f>
        <v>0</v>
      </c>
      <c r="CG8" s="123" cm="1">
        <f t="array" ref="CG8">INDEX(Properties!$D:$D,$B8+5)*(IF(CG$3=INDEX(Properties!$Q:$Q,$B8+5),INDEX(Properties!$M:$M,$B8+5)+INDEX(Properties!$O:$O,$B8+5),0))</f>
        <v>0</v>
      </c>
      <c r="CH8" s="123" cm="1">
        <f t="array" ref="CH8">INDEX(Properties!$D:$D,$B8+5)*(IF(CH$3=INDEX(Properties!$Q:$Q,$B8+5),INDEX(Properties!$M:$M,$B8+5)+INDEX(Properties!$O:$O,$B8+5),0))</f>
        <v>0</v>
      </c>
      <c r="CI8" s="123" cm="1">
        <f t="array" ref="CI8">INDEX(Properties!$D:$D,$B8+5)*(IF(CI$3=INDEX(Properties!$Q:$Q,$B8+5),INDEX(Properties!$M:$M,$B8+5)+INDEX(Properties!$O:$O,$B8+5),0))</f>
        <v>0</v>
      </c>
      <c r="CJ8" s="123" cm="1">
        <f t="array" ref="CJ8">INDEX(Properties!$D:$D,$B8+5)*(IF(CJ$3=INDEX(Properties!$Q:$Q,$B8+5),INDEX(Properties!$M:$M,$B8+5)+INDEX(Properties!$O:$O,$B8+5),0))</f>
        <v>0</v>
      </c>
      <c r="CK8" s="123" cm="1">
        <f t="array" ref="CK8">INDEX(Properties!$D:$D,$B8+5)*(IF(CK$3=INDEX(Properties!$Q:$Q,$B8+5),INDEX(Properties!$M:$M,$B8+5)+INDEX(Properties!$O:$O,$B8+5),0))</f>
        <v>0</v>
      </c>
      <c r="CL8" s="123" cm="1">
        <f t="array" ref="CL8">INDEX(Properties!$D:$D,$B8+5)*(IF(CL$3=INDEX(Properties!$Q:$Q,$B8+5),INDEX(Properties!$M:$M,$B8+5)+INDEX(Properties!$O:$O,$B8+5),0))</f>
        <v>0</v>
      </c>
      <c r="CM8" s="123" cm="1">
        <f t="array" ref="CM8">INDEX(Properties!$D:$D,$B8+5)*(IF(CM$3=INDEX(Properties!$Q:$Q,$B8+5),INDEX(Properties!$M:$M,$B8+5)+INDEX(Properties!$O:$O,$B8+5),0))</f>
        <v>0</v>
      </c>
      <c r="CN8" s="123" cm="1">
        <f t="array" ref="CN8">INDEX(Properties!$D:$D,$B8+5)*(IF(CN$3=INDEX(Properties!$Q:$Q,$B8+5),INDEX(Properties!$M:$M,$B8+5)+INDEX(Properties!$O:$O,$B8+5),0))</f>
        <v>0</v>
      </c>
      <c r="CO8" s="123" cm="1">
        <f t="array" ref="CO8">INDEX(Properties!$D:$D,$B8+5)*(IF(CO$3=INDEX(Properties!$Q:$Q,$B8+5),INDEX(Properties!$M:$M,$B8+5)+INDEX(Properties!$O:$O,$B8+5),0))</f>
        <v>0</v>
      </c>
      <c r="CP8" s="123" cm="1">
        <f t="array" ref="CP8">INDEX(Properties!$D:$D,$B8+5)*(IF(CP$3=INDEX(Properties!$Q:$Q,$B8+5),INDEX(Properties!$M:$M,$B8+5)+INDEX(Properties!$O:$O,$B8+5),0))</f>
        <v>0</v>
      </c>
      <c r="CQ8" s="123" cm="1">
        <f t="array" ref="CQ8">INDEX(Properties!$D:$D,$B8+5)*(IF(CQ$3=INDEX(Properties!$Q:$Q,$B8+5),INDEX(Properties!$M:$M,$B8+5)+INDEX(Properties!$O:$O,$B8+5),0))</f>
        <v>0</v>
      </c>
      <c r="CR8" s="123" cm="1">
        <f t="array" ref="CR8">INDEX(Properties!$D:$D,$B8+5)*(IF(CR$3=INDEX(Properties!$Q:$Q,$B8+5),INDEX(Properties!$M:$M,$B8+5)+INDEX(Properties!$O:$O,$B8+5),0))</f>
        <v>0</v>
      </c>
      <c r="CS8" s="123" cm="1">
        <f t="array" ref="CS8">INDEX(Properties!$D:$D,$B8+5)*(IF(CS$3=INDEX(Properties!$Q:$Q,$B8+5),INDEX(Properties!$M:$M,$B8+5)+INDEX(Properties!$O:$O,$B8+5),0))</f>
        <v>0</v>
      </c>
      <c r="CT8" s="123" cm="1">
        <f t="array" ref="CT8">INDEX(Properties!$D:$D,$B8+5)*(IF(CT$3=INDEX(Properties!$Q:$Q,$B8+5),INDEX(Properties!$M:$M,$B8+5)+INDEX(Properties!$O:$O,$B8+5),0))</f>
        <v>0</v>
      </c>
      <c r="CU8" s="123" cm="1">
        <f t="array" ref="CU8">INDEX(Properties!$D:$D,$B8+5)*(IF(CU$3=INDEX(Properties!$Q:$Q,$B8+5),INDEX(Properties!$M:$M,$B8+5)+INDEX(Properties!$O:$O,$B8+5),0))</f>
        <v>0</v>
      </c>
      <c r="CV8" s="123" cm="1">
        <f t="array" ref="CV8">INDEX(Properties!$D:$D,$B8+5)*(IF(CV$3=INDEX(Properties!$Q:$Q,$B8+5),INDEX(Properties!$M:$M,$B8+5)+INDEX(Properties!$O:$O,$B8+5),0))</f>
        <v>0</v>
      </c>
      <c r="CW8" s="123" cm="1">
        <f t="array" ref="CW8">INDEX(Properties!$D:$D,$B8+5)*(IF(CW$3=INDEX(Properties!$Q:$Q,$B8+5),INDEX(Properties!$M:$M,$B8+5)+INDEX(Properties!$O:$O,$B8+5),0))</f>
        <v>0</v>
      </c>
      <c r="CX8" s="123" cm="1">
        <f t="array" ref="CX8">INDEX(Properties!$D:$D,$B8+5)*(IF(CX$3=INDEX(Properties!$Q:$Q,$B8+5),INDEX(Properties!$M:$M,$B8+5)+INDEX(Properties!$O:$O,$B8+5),0))</f>
        <v>0</v>
      </c>
      <c r="CY8" s="123" cm="1">
        <f t="array" ref="CY8">INDEX(Properties!$D:$D,$B8+5)*(IF(CY$3=INDEX(Properties!$Q:$Q,$B8+5),INDEX(Properties!$M:$M,$B8+5)+INDEX(Properties!$O:$O,$B8+5),0))</f>
        <v>0</v>
      </c>
      <c r="CZ8" s="123" cm="1">
        <f t="array" ref="CZ8">INDEX(Properties!$D:$D,$B8+5)*(IF(CZ$3=INDEX(Properties!$Q:$Q,$B8+5),INDEX(Properties!$M:$M,$B8+5)+INDEX(Properties!$O:$O,$B8+5),0))</f>
        <v>0</v>
      </c>
      <c r="DA8" s="123" cm="1">
        <f t="array" ref="DA8">INDEX(Properties!$D:$D,$B8+5)*(IF(DA$3=INDEX(Properties!$Q:$Q,$B8+5),INDEX(Properties!$M:$M,$B8+5)+INDEX(Properties!$O:$O,$B8+5),0))</f>
        <v>0</v>
      </c>
      <c r="DB8" s="123" cm="1">
        <f t="array" ref="DB8">INDEX(Properties!$D:$D,$B8+5)*(IF(DB$3=INDEX(Properties!$Q:$Q,$B8+5),INDEX(Properties!$M:$M,$B8+5)+INDEX(Properties!$O:$O,$B8+5),0))</f>
        <v>0</v>
      </c>
      <c r="DC8" s="123" cm="1">
        <f t="array" ref="DC8">INDEX(Properties!$D:$D,$B8+5)*(IF(DC$3=INDEX(Properties!$Q:$Q,$B8+5),INDEX(Properties!$M:$M,$B8+5)+INDEX(Properties!$O:$O,$B8+5),0))</f>
        <v>0</v>
      </c>
      <c r="DD8" s="123" cm="1">
        <f t="array" ref="DD8">INDEX(Properties!$D:$D,$B8+5)*(IF(DD$3=INDEX(Properties!$Q:$Q,$B8+5),INDEX(Properties!$M:$M,$B8+5)+INDEX(Properties!$O:$O,$B8+5),0))</f>
        <v>0</v>
      </c>
      <c r="DE8" s="123" cm="1">
        <f t="array" ref="DE8">INDEX(Properties!$D:$D,$B8+5)*(IF(DE$3=INDEX(Properties!$Q:$Q,$B8+5),INDEX(Properties!$M:$M,$B8+5)+INDEX(Properties!$O:$O,$B8+5),0))</f>
        <v>0</v>
      </c>
      <c r="DF8" s="123" cm="1">
        <f t="array" ref="DF8">INDEX(Properties!$D:$D,$B8+5)*(IF(DF$3=INDEX(Properties!$Q:$Q,$B8+5),INDEX(Properties!$M:$M,$B8+5)+INDEX(Properties!$O:$O,$B8+5),0))</f>
        <v>0</v>
      </c>
      <c r="DG8" s="123" cm="1">
        <f t="array" ref="DG8">INDEX(Properties!$D:$D,$B8+5)*(IF(DG$3=INDEX(Properties!$Q:$Q,$B8+5),INDEX(Properties!$M:$M,$B8+5)+INDEX(Properties!$O:$O,$B8+5),0))</f>
        <v>0</v>
      </c>
      <c r="DH8" s="123" cm="1">
        <f t="array" ref="DH8">INDEX(Properties!$D:$D,$B8+5)*(IF(DH$3=INDEX(Properties!$Q:$Q,$B8+5),INDEX(Properties!$M:$M,$B8+5)+INDEX(Properties!$O:$O,$B8+5),0))</f>
        <v>0</v>
      </c>
      <c r="DI8" s="123" cm="1">
        <f t="array" ref="DI8">INDEX(Properties!$D:$D,$B8+5)*(IF(DI$3=INDEX(Properties!$Q:$Q,$B8+5),INDEX(Properties!$M:$M,$B8+5)+INDEX(Properties!$O:$O,$B8+5),0))</f>
        <v>0</v>
      </c>
      <c r="DJ8" s="123" cm="1">
        <f t="array" ref="DJ8">INDEX(Properties!$D:$D,$B8+5)*(IF(DJ$3=INDEX(Properties!$Q:$Q,$B8+5),INDEX(Properties!$M:$M,$B8+5)+INDEX(Properties!$O:$O,$B8+5),0))</f>
        <v>0</v>
      </c>
      <c r="DK8" s="123" cm="1">
        <f t="array" ref="DK8">INDEX(Properties!$D:$D,$B8+5)*(IF(DK$3=INDEX(Properties!$Q:$Q,$B8+5),INDEX(Properties!$M:$M,$B8+5)+INDEX(Properties!$O:$O,$B8+5),0))</f>
        <v>0</v>
      </c>
      <c r="DL8" s="123" cm="1">
        <f t="array" ref="DL8">INDEX(Properties!$D:$D,$B8+5)*(IF(DL$3=INDEX(Properties!$Q:$Q,$B8+5),INDEX(Properties!$M:$M,$B8+5)+INDEX(Properties!$O:$O,$B8+5),0))</f>
        <v>0</v>
      </c>
      <c r="DM8" s="123" cm="1">
        <f t="array" ref="DM8">INDEX(Properties!$D:$D,$B8+5)*(IF(DM$3=INDEX(Properties!$Q:$Q,$B8+5),INDEX(Properties!$M:$M,$B8+5)+INDEX(Properties!$O:$O,$B8+5),0))</f>
        <v>0</v>
      </c>
      <c r="DN8" s="123" cm="1">
        <f t="array" ref="DN8">INDEX(Properties!$D:$D,$B8+5)*(IF(DN$3=INDEX(Properties!$Q:$Q,$B8+5),INDEX(Properties!$M:$M,$B8+5)+INDEX(Properties!$O:$O,$B8+5),0))</f>
        <v>0</v>
      </c>
      <c r="DO8" s="123" cm="1">
        <f t="array" ref="DO8">INDEX(Properties!$D:$D,$B8+5)*(IF(DO$3=INDEX(Properties!$Q:$Q,$B8+5),INDEX(Properties!$M:$M,$B8+5)+INDEX(Properties!$O:$O,$B8+5),0))</f>
        <v>0</v>
      </c>
      <c r="DP8" s="123" cm="1">
        <f t="array" ref="DP8">INDEX(Properties!$D:$D,$B8+5)*(IF(DP$3=INDEX(Properties!$Q:$Q,$B8+5),INDEX(Properties!$M:$M,$B8+5)+INDEX(Properties!$O:$O,$B8+5),0))</f>
        <v>0</v>
      </c>
      <c r="DQ8" s="123" cm="1">
        <f t="array" ref="DQ8">INDEX(Properties!$D:$D,$B8+5)*(IF(DQ$3=INDEX(Properties!$Q:$Q,$B8+5),INDEX(Properties!$M:$M,$B8+5)+INDEX(Properties!$O:$O,$B8+5),0))</f>
        <v>0</v>
      </c>
      <c r="DR8" s="123" cm="1">
        <f t="array" ref="DR8">INDEX(Properties!$D:$D,$B8+5)*(IF(DR$3=INDEX(Properties!$Q:$Q,$B8+5),INDEX(Properties!$M:$M,$B8+5)+INDEX(Properties!$O:$O,$B8+5),0))</f>
        <v>0</v>
      </c>
    </row>
    <row r="9" spans="1:122" ht="16.05" customHeight="1" x14ac:dyDescent="0.3">
      <c r="A9" s="148" t="str" cm="1">
        <f t="array" ref="A9">INDEX(Properties!$E:$E,$B9+5)</f>
        <v>Fontanar Apto 201 (Penthouse)</v>
      </c>
      <c r="B9" s="1">
        <v>2</v>
      </c>
      <c r="C9" s="123" cm="1">
        <f t="array" ref="C9">INDEX(Properties!$D:$D,$B9+5)*(IF(C$3=INDEX(Properties!$Q:$Q,$B9+5),INDEX(Properties!$M:$M,$B9+5)+INDEX(Properties!$O:$O,$B9+5),0))</f>
        <v>1044902.9126213592</v>
      </c>
      <c r="D9" s="123" cm="1">
        <f t="array" ref="D9">INDEX(Properties!$D:$D,$B9+5)*(IF(D$3=INDEX(Properties!$Q:$Q,$B9+5),INDEX(Properties!$M:$M,$B9+5)+INDEX(Properties!$O:$O,$B9+5),0))</f>
        <v>0</v>
      </c>
      <c r="E9" s="123" cm="1">
        <f t="array" ref="E9">INDEX(Properties!$D:$D,$B9+5)*(IF(E$3=INDEX(Properties!$Q:$Q,$B9+5),INDEX(Properties!$M:$M,$B9+5)+INDEX(Properties!$O:$O,$B9+5),0))</f>
        <v>0</v>
      </c>
      <c r="F9" s="123" cm="1">
        <f t="array" ref="F9">INDEX(Properties!$D:$D,$B9+5)*(IF(F$3=INDEX(Properties!$Q:$Q,$B9+5),INDEX(Properties!$M:$M,$B9+5)+INDEX(Properties!$O:$O,$B9+5),0))</f>
        <v>0</v>
      </c>
      <c r="G9" s="123" cm="1">
        <f t="array" ref="G9">INDEX(Properties!$D:$D,$B9+5)*(IF(G$3=INDEX(Properties!$Q:$Q,$B9+5),INDEX(Properties!$M:$M,$B9+5)+INDEX(Properties!$O:$O,$B9+5),0))</f>
        <v>0</v>
      </c>
      <c r="H9" s="123" cm="1">
        <f t="array" ref="H9">INDEX(Properties!$D:$D,$B9+5)*(IF(H$3=INDEX(Properties!$Q:$Q,$B9+5),INDEX(Properties!$M:$M,$B9+5)+INDEX(Properties!$O:$O,$B9+5),0))</f>
        <v>0</v>
      </c>
      <c r="I9" s="123" cm="1">
        <f t="array" ref="I9">INDEX(Properties!$D:$D,$B9+5)*(IF(I$3=INDEX(Properties!$Q:$Q,$B9+5),INDEX(Properties!$M:$M,$B9+5)+INDEX(Properties!$O:$O,$B9+5),0))</f>
        <v>0</v>
      </c>
      <c r="J9" s="123" cm="1">
        <f t="array" ref="J9">INDEX(Properties!$D:$D,$B9+5)*(IF(J$3=INDEX(Properties!$Q:$Q,$B9+5),INDEX(Properties!$M:$M,$B9+5)+INDEX(Properties!$O:$O,$B9+5),0))</f>
        <v>0</v>
      </c>
      <c r="K9" s="123" cm="1">
        <f t="array" ref="K9">INDEX(Properties!$D:$D,$B9+5)*(IF(K$3=INDEX(Properties!$Q:$Q,$B9+5),INDEX(Properties!$M:$M,$B9+5)+INDEX(Properties!$O:$O,$B9+5),0))</f>
        <v>0</v>
      </c>
      <c r="L9" s="123" cm="1">
        <f t="array" ref="L9">INDEX(Properties!$D:$D,$B9+5)*(IF(L$3=INDEX(Properties!$Q:$Q,$B9+5),INDEX(Properties!$M:$M,$B9+5)+INDEX(Properties!$O:$O,$B9+5),0))</f>
        <v>0</v>
      </c>
      <c r="M9" s="123" cm="1">
        <f t="array" ref="M9">INDEX(Properties!$D:$D,$B9+5)*(IF(M$3=INDEX(Properties!$Q:$Q,$B9+5),INDEX(Properties!$M:$M,$B9+5)+INDEX(Properties!$O:$O,$B9+5),0))</f>
        <v>0</v>
      </c>
      <c r="N9" s="123" cm="1">
        <f t="array" ref="N9">INDEX(Properties!$D:$D,$B9+5)*(IF(N$3=INDEX(Properties!$Q:$Q,$B9+5),INDEX(Properties!$M:$M,$B9+5)+INDEX(Properties!$O:$O,$B9+5),0))</f>
        <v>0</v>
      </c>
      <c r="O9" s="123" cm="1">
        <f t="array" ref="O9">INDEX(Properties!$D:$D,$B9+5)*(IF(O$3=INDEX(Properties!$Q:$Q,$B9+5),INDEX(Properties!$M:$M,$B9+5)+INDEX(Properties!$O:$O,$B9+5),0))</f>
        <v>0</v>
      </c>
      <c r="P9" s="123" cm="1">
        <f t="array" ref="P9">INDEX(Properties!$D:$D,$B9+5)*(IF(P$3=INDEX(Properties!$Q:$Q,$B9+5),INDEX(Properties!$M:$M,$B9+5)+INDEX(Properties!$O:$O,$B9+5),0))</f>
        <v>0</v>
      </c>
      <c r="Q9" s="123" cm="1">
        <f t="array" ref="Q9">INDEX(Properties!$D:$D,$B9+5)*(IF(Q$3=INDEX(Properties!$Q:$Q,$B9+5),INDEX(Properties!$M:$M,$B9+5)+INDEX(Properties!$O:$O,$B9+5),0))</f>
        <v>0</v>
      </c>
      <c r="R9" s="123" cm="1">
        <f t="array" ref="R9">INDEX(Properties!$D:$D,$B9+5)*(IF(R$3=INDEX(Properties!$Q:$Q,$B9+5),INDEX(Properties!$M:$M,$B9+5)+INDEX(Properties!$O:$O,$B9+5),0))</f>
        <v>0</v>
      </c>
      <c r="S9" s="123" cm="1">
        <f t="array" ref="S9">INDEX(Properties!$D:$D,$B9+5)*(IF(S$3=INDEX(Properties!$Q:$Q,$B9+5),INDEX(Properties!$M:$M,$B9+5)+INDEX(Properties!$O:$O,$B9+5),0))</f>
        <v>0</v>
      </c>
      <c r="T9" s="123" cm="1">
        <f t="array" ref="T9">INDEX(Properties!$D:$D,$B9+5)*(IF(T$3=INDEX(Properties!$Q:$Q,$B9+5),INDEX(Properties!$M:$M,$B9+5)+INDEX(Properties!$O:$O,$B9+5),0))</f>
        <v>0</v>
      </c>
      <c r="U9" s="123" cm="1">
        <f t="array" ref="U9">INDEX(Properties!$D:$D,$B9+5)*(IF(U$3=INDEX(Properties!$Q:$Q,$B9+5),INDEX(Properties!$M:$M,$B9+5)+INDEX(Properties!$O:$O,$B9+5),0))</f>
        <v>0</v>
      </c>
      <c r="V9" s="123" cm="1">
        <f t="array" ref="V9">INDEX(Properties!$D:$D,$B9+5)*(IF(V$3=INDEX(Properties!$Q:$Q,$B9+5),INDEX(Properties!$M:$M,$B9+5)+INDEX(Properties!$O:$O,$B9+5),0))</f>
        <v>0</v>
      </c>
      <c r="W9" s="123" cm="1">
        <f t="array" ref="W9">INDEX(Properties!$D:$D,$B9+5)*(IF(W$3=INDEX(Properties!$Q:$Q,$B9+5),INDEX(Properties!$M:$M,$B9+5)+INDEX(Properties!$O:$O,$B9+5),0))</f>
        <v>0</v>
      </c>
      <c r="X9" s="123" cm="1">
        <f t="array" ref="X9">INDEX(Properties!$D:$D,$B9+5)*(IF(X$3=INDEX(Properties!$Q:$Q,$B9+5),INDEX(Properties!$M:$M,$B9+5)+INDEX(Properties!$O:$O,$B9+5),0))</f>
        <v>0</v>
      </c>
      <c r="Y9" s="123" cm="1">
        <f t="array" ref="Y9">INDEX(Properties!$D:$D,$B9+5)*(IF(Y$3=INDEX(Properties!$Q:$Q,$B9+5),INDEX(Properties!$M:$M,$B9+5)+INDEX(Properties!$O:$O,$B9+5),0))</f>
        <v>0</v>
      </c>
      <c r="Z9" s="123" cm="1">
        <f t="array" ref="Z9">INDEX(Properties!$D:$D,$B9+5)*(IF(Z$3=INDEX(Properties!$Q:$Q,$B9+5),INDEX(Properties!$M:$M,$B9+5)+INDEX(Properties!$O:$O,$B9+5),0))</f>
        <v>0</v>
      </c>
      <c r="AA9" s="123" cm="1">
        <f t="array" ref="AA9">INDEX(Properties!$D:$D,$B9+5)*(IF(AA$3=INDEX(Properties!$Q:$Q,$B9+5),INDEX(Properties!$M:$M,$B9+5)+INDEX(Properties!$O:$O,$B9+5),0))</f>
        <v>0</v>
      </c>
      <c r="AB9" s="123" cm="1">
        <f t="array" ref="AB9">INDEX(Properties!$D:$D,$B9+5)*(IF(AB$3=INDEX(Properties!$Q:$Q,$B9+5),INDEX(Properties!$M:$M,$B9+5)+INDEX(Properties!$O:$O,$B9+5),0))</f>
        <v>0</v>
      </c>
      <c r="AC9" s="123" cm="1">
        <f t="array" ref="AC9">INDEX(Properties!$D:$D,$B9+5)*(IF(AC$3=INDEX(Properties!$Q:$Q,$B9+5),INDEX(Properties!$M:$M,$B9+5)+INDEX(Properties!$O:$O,$B9+5),0))</f>
        <v>0</v>
      </c>
      <c r="AD9" s="123" cm="1">
        <f t="array" ref="AD9">INDEX(Properties!$D:$D,$B9+5)*(IF(AD$3=INDEX(Properties!$Q:$Q,$B9+5),INDEX(Properties!$M:$M,$B9+5)+INDEX(Properties!$O:$O,$B9+5),0))</f>
        <v>0</v>
      </c>
      <c r="AE9" s="123" cm="1">
        <f t="array" ref="AE9">INDEX(Properties!$D:$D,$B9+5)*(IF(AE$3=INDEX(Properties!$Q:$Q,$B9+5),INDEX(Properties!$M:$M,$B9+5)+INDEX(Properties!$O:$O,$B9+5),0))</f>
        <v>0</v>
      </c>
      <c r="AF9" s="123" cm="1">
        <f t="array" ref="AF9">INDEX(Properties!$D:$D,$B9+5)*(IF(AF$3=INDEX(Properties!$Q:$Q,$B9+5),INDEX(Properties!$M:$M,$B9+5)+INDEX(Properties!$O:$O,$B9+5),0))</f>
        <v>0</v>
      </c>
      <c r="AG9" s="123" cm="1">
        <f t="array" ref="AG9">INDEX(Properties!$D:$D,$B9+5)*(IF(AG$3=INDEX(Properties!$Q:$Q,$B9+5),INDEX(Properties!$M:$M,$B9+5)+INDEX(Properties!$O:$O,$B9+5),0))</f>
        <v>0</v>
      </c>
      <c r="AH9" s="123" cm="1">
        <f t="array" ref="AH9">INDEX(Properties!$D:$D,$B9+5)*(IF(AH$3=INDEX(Properties!$Q:$Q,$B9+5),INDEX(Properties!$M:$M,$B9+5)+INDEX(Properties!$O:$O,$B9+5),0))</f>
        <v>0</v>
      </c>
      <c r="AI9" s="123" cm="1">
        <f t="array" ref="AI9">INDEX(Properties!$D:$D,$B9+5)*(IF(AI$3=INDEX(Properties!$Q:$Q,$B9+5),INDEX(Properties!$M:$M,$B9+5)+INDEX(Properties!$O:$O,$B9+5),0))</f>
        <v>0</v>
      </c>
      <c r="AJ9" s="123" cm="1">
        <f t="array" ref="AJ9">INDEX(Properties!$D:$D,$B9+5)*(IF(AJ$3=INDEX(Properties!$Q:$Q,$B9+5),INDEX(Properties!$M:$M,$B9+5)+INDEX(Properties!$O:$O,$B9+5),0))</f>
        <v>0</v>
      </c>
      <c r="AK9" s="123" cm="1">
        <f t="array" ref="AK9">INDEX(Properties!$D:$D,$B9+5)*(IF(AK$3=INDEX(Properties!$Q:$Q,$B9+5),INDEX(Properties!$M:$M,$B9+5)+INDEX(Properties!$O:$O,$B9+5),0))</f>
        <v>0</v>
      </c>
      <c r="AL9" s="123" cm="1">
        <f t="array" ref="AL9">INDEX(Properties!$D:$D,$B9+5)*(IF(AL$3=INDEX(Properties!$Q:$Q,$B9+5),INDEX(Properties!$M:$M,$B9+5)+INDEX(Properties!$O:$O,$B9+5),0))</f>
        <v>0</v>
      </c>
      <c r="AM9" s="123" cm="1">
        <f t="array" ref="AM9">INDEX(Properties!$D:$D,$B9+5)*(IF(AM$3=INDEX(Properties!$Q:$Q,$B9+5),INDEX(Properties!$M:$M,$B9+5)+INDEX(Properties!$O:$O,$B9+5),0))</f>
        <v>0</v>
      </c>
      <c r="AN9" s="123" cm="1">
        <f t="array" ref="AN9">INDEX(Properties!$D:$D,$B9+5)*(IF(AN$3=INDEX(Properties!$Q:$Q,$B9+5),INDEX(Properties!$M:$M,$B9+5)+INDEX(Properties!$O:$O,$B9+5),0))</f>
        <v>0</v>
      </c>
      <c r="AO9" s="123" cm="1">
        <f t="array" ref="AO9">INDEX(Properties!$D:$D,$B9+5)*(IF(AO$3=INDEX(Properties!$Q:$Q,$B9+5),INDEX(Properties!$M:$M,$B9+5)+INDEX(Properties!$O:$O,$B9+5),0))</f>
        <v>0</v>
      </c>
      <c r="AP9" s="123" cm="1">
        <f t="array" ref="AP9">INDEX(Properties!$D:$D,$B9+5)*(IF(AP$3=INDEX(Properties!$Q:$Q,$B9+5),INDEX(Properties!$M:$M,$B9+5)+INDEX(Properties!$O:$O,$B9+5),0))</f>
        <v>0</v>
      </c>
      <c r="AQ9" s="123" cm="1">
        <f t="array" ref="AQ9">INDEX(Properties!$D:$D,$B9+5)*(IF(AQ$3=INDEX(Properties!$Q:$Q,$B9+5),INDEX(Properties!$M:$M,$B9+5)+INDEX(Properties!$O:$O,$B9+5),0))</f>
        <v>0</v>
      </c>
      <c r="AR9" s="123" cm="1">
        <f t="array" ref="AR9">INDEX(Properties!$D:$D,$B9+5)*(IF(AR$3=INDEX(Properties!$Q:$Q,$B9+5),INDEX(Properties!$M:$M,$B9+5)+INDEX(Properties!$O:$O,$B9+5),0))</f>
        <v>0</v>
      </c>
      <c r="AS9" s="123" cm="1">
        <f t="array" ref="AS9">INDEX(Properties!$D:$D,$B9+5)*(IF(AS$3=INDEX(Properties!$Q:$Q,$B9+5),INDEX(Properties!$M:$M,$B9+5)+INDEX(Properties!$O:$O,$B9+5),0))</f>
        <v>0</v>
      </c>
      <c r="AT9" s="123" cm="1">
        <f t="array" ref="AT9">INDEX(Properties!$D:$D,$B9+5)*(IF(AT$3=INDEX(Properties!$Q:$Q,$B9+5),INDEX(Properties!$M:$M,$B9+5)+INDEX(Properties!$O:$O,$B9+5),0))</f>
        <v>0</v>
      </c>
      <c r="AU9" s="123" cm="1">
        <f t="array" ref="AU9">INDEX(Properties!$D:$D,$B9+5)*(IF(AU$3=INDEX(Properties!$Q:$Q,$B9+5),INDEX(Properties!$M:$M,$B9+5)+INDEX(Properties!$O:$O,$B9+5),0))</f>
        <v>0</v>
      </c>
      <c r="AV9" s="123" cm="1">
        <f t="array" ref="AV9">INDEX(Properties!$D:$D,$B9+5)*(IF(AV$3=INDEX(Properties!$Q:$Q,$B9+5),INDEX(Properties!$M:$M,$B9+5)+INDEX(Properties!$O:$O,$B9+5),0))</f>
        <v>0</v>
      </c>
      <c r="AW9" s="123" cm="1">
        <f t="array" ref="AW9">INDEX(Properties!$D:$D,$B9+5)*(IF(AW$3=INDEX(Properties!$Q:$Q,$B9+5),INDEX(Properties!$M:$M,$B9+5)+INDEX(Properties!$O:$O,$B9+5),0))</f>
        <v>0</v>
      </c>
      <c r="AX9" s="123" cm="1">
        <f t="array" ref="AX9">INDEX(Properties!$D:$D,$B9+5)*(IF(AX$3=INDEX(Properties!$Q:$Q,$B9+5),INDEX(Properties!$M:$M,$B9+5)+INDEX(Properties!$O:$O,$B9+5),0))</f>
        <v>0</v>
      </c>
      <c r="AY9" s="123" cm="1">
        <f t="array" ref="AY9">INDEX(Properties!$D:$D,$B9+5)*(IF(AY$3=INDEX(Properties!$Q:$Q,$B9+5),INDEX(Properties!$M:$M,$B9+5)+INDEX(Properties!$O:$O,$B9+5),0))</f>
        <v>0</v>
      </c>
      <c r="AZ9" s="123" cm="1">
        <f t="array" ref="AZ9">INDEX(Properties!$D:$D,$B9+5)*(IF(AZ$3=INDEX(Properties!$Q:$Q,$B9+5),INDEX(Properties!$M:$M,$B9+5)+INDEX(Properties!$O:$O,$B9+5),0))</f>
        <v>0</v>
      </c>
      <c r="BA9" s="123" cm="1">
        <f t="array" ref="BA9">INDEX(Properties!$D:$D,$B9+5)*(IF(BA$3=INDEX(Properties!$Q:$Q,$B9+5),INDEX(Properties!$M:$M,$B9+5)+INDEX(Properties!$O:$O,$B9+5),0))</f>
        <v>0</v>
      </c>
      <c r="BB9" s="123" cm="1">
        <f t="array" ref="BB9">INDEX(Properties!$D:$D,$B9+5)*(IF(BB$3=INDEX(Properties!$Q:$Q,$B9+5),INDEX(Properties!$M:$M,$B9+5)+INDEX(Properties!$O:$O,$B9+5),0))</f>
        <v>0</v>
      </c>
      <c r="BC9" s="123" cm="1">
        <f t="array" ref="BC9">INDEX(Properties!$D:$D,$B9+5)*(IF(BC$3=INDEX(Properties!$Q:$Q,$B9+5),INDEX(Properties!$M:$M,$B9+5)+INDEX(Properties!$O:$O,$B9+5),0))</f>
        <v>0</v>
      </c>
      <c r="BD9" s="123" cm="1">
        <f t="array" ref="BD9">INDEX(Properties!$D:$D,$B9+5)*(IF(BD$3=INDEX(Properties!$Q:$Q,$B9+5),INDEX(Properties!$M:$M,$B9+5)+INDEX(Properties!$O:$O,$B9+5),0))</f>
        <v>0</v>
      </c>
      <c r="BE9" s="123" cm="1">
        <f t="array" ref="BE9">INDEX(Properties!$D:$D,$B9+5)*(IF(BE$3=INDEX(Properties!$Q:$Q,$B9+5),INDEX(Properties!$M:$M,$B9+5)+INDEX(Properties!$O:$O,$B9+5),0))</f>
        <v>0</v>
      </c>
      <c r="BF9" s="123" cm="1">
        <f t="array" ref="BF9">INDEX(Properties!$D:$D,$B9+5)*(IF(BF$3=INDEX(Properties!$Q:$Q,$B9+5),INDEX(Properties!$M:$M,$B9+5)+INDEX(Properties!$O:$O,$B9+5),0))</f>
        <v>0</v>
      </c>
      <c r="BG9" s="123" cm="1">
        <f t="array" ref="BG9">INDEX(Properties!$D:$D,$B9+5)*(IF(BG$3=INDEX(Properties!$Q:$Q,$B9+5),INDEX(Properties!$M:$M,$B9+5)+INDEX(Properties!$O:$O,$B9+5),0))</f>
        <v>0</v>
      </c>
      <c r="BH9" s="123" cm="1">
        <f t="array" ref="BH9">INDEX(Properties!$D:$D,$B9+5)*(IF(BH$3=INDEX(Properties!$Q:$Q,$B9+5),INDEX(Properties!$M:$M,$B9+5)+INDEX(Properties!$O:$O,$B9+5),0))</f>
        <v>0</v>
      </c>
      <c r="BI9" s="123" cm="1">
        <f t="array" ref="BI9">INDEX(Properties!$D:$D,$B9+5)*(IF(BI$3=INDEX(Properties!$Q:$Q,$B9+5),INDEX(Properties!$M:$M,$B9+5)+INDEX(Properties!$O:$O,$B9+5),0))</f>
        <v>0</v>
      </c>
      <c r="BJ9" s="123" cm="1">
        <f t="array" ref="BJ9">INDEX(Properties!$D:$D,$B9+5)*(IF(BJ$3=INDEX(Properties!$Q:$Q,$B9+5),INDEX(Properties!$M:$M,$B9+5)+INDEX(Properties!$O:$O,$B9+5),0))</f>
        <v>0</v>
      </c>
      <c r="BK9" s="123" cm="1">
        <f t="array" ref="BK9">INDEX(Properties!$D:$D,$B9+5)*(IF(BK$3=INDEX(Properties!$Q:$Q,$B9+5),INDEX(Properties!$M:$M,$B9+5)+INDEX(Properties!$O:$O,$B9+5),0))</f>
        <v>0</v>
      </c>
      <c r="BL9" s="123" cm="1">
        <f t="array" ref="BL9">INDEX(Properties!$D:$D,$B9+5)*(IF(BL$3=INDEX(Properties!$Q:$Q,$B9+5),INDEX(Properties!$M:$M,$B9+5)+INDEX(Properties!$O:$O,$B9+5),0))</f>
        <v>0</v>
      </c>
      <c r="BM9" s="123" cm="1">
        <f t="array" ref="BM9">INDEX(Properties!$D:$D,$B9+5)*(IF(BM$3=INDEX(Properties!$Q:$Q,$B9+5),INDEX(Properties!$M:$M,$B9+5)+INDEX(Properties!$O:$O,$B9+5),0))</f>
        <v>0</v>
      </c>
      <c r="BN9" s="123" cm="1">
        <f t="array" ref="BN9">INDEX(Properties!$D:$D,$B9+5)*(IF(BN$3=INDEX(Properties!$Q:$Q,$B9+5),INDEX(Properties!$M:$M,$B9+5)+INDEX(Properties!$O:$O,$B9+5),0))</f>
        <v>0</v>
      </c>
      <c r="BO9" s="123" cm="1">
        <f t="array" ref="BO9">INDEX(Properties!$D:$D,$B9+5)*(IF(BO$3=INDEX(Properties!$Q:$Q,$B9+5),INDEX(Properties!$M:$M,$B9+5)+INDEX(Properties!$O:$O,$B9+5),0))</f>
        <v>0</v>
      </c>
      <c r="BP9" s="123" cm="1">
        <f t="array" ref="BP9">INDEX(Properties!$D:$D,$B9+5)*(IF(BP$3=INDEX(Properties!$Q:$Q,$B9+5),INDEX(Properties!$M:$M,$B9+5)+INDEX(Properties!$O:$O,$B9+5),0))</f>
        <v>0</v>
      </c>
      <c r="BQ9" s="123" cm="1">
        <f t="array" ref="BQ9">INDEX(Properties!$D:$D,$B9+5)*(IF(BQ$3=INDEX(Properties!$Q:$Q,$B9+5),INDEX(Properties!$M:$M,$B9+5)+INDEX(Properties!$O:$O,$B9+5),0))</f>
        <v>0</v>
      </c>
      <c r="BR9" s="123" cm="1">
        <f t="array" ref="BR9">INDEX(Properties!$D:$D,$B9+5)*(IF(BR$3=INDEX(Properties!$Q:$Q,$B9+5),INDEX(Properties!$M:$M,$B9+5)+INDEX(Properties!$O:$O,$B9+5),0))</f>
        <v>0</v>
      </c>
      <c r="BS9" s="123" cm="1">
        <f t="array" ref="BS9">INDEX(Properties!$D:$D,$B9+5)*(IF(BS$3=INDEX(Properties!$Q:$Q,$B9+5),INDEX(Properties!$M:$M,$B9+5)+INDEX(Properties!$O:$O,$B9+5),0))</f>
        <v>0</v>
      </c>
      <c r="BT9" s="123" cm="1">
        <f t="array" ref="BT9">INDEX(Properties!$D:$D,$B9+5)*(IF(BT$3=INDEX(Properties!$Q:$Q,$B9+5),INDEX(Properties!$M:$M,$B9+5)+INDEX(Properties!$O:$O,$B9+5),0))</f>
        <v>0</v>
      </c>
      <c r="BU9" s="123" cm="1">
        <f t="array" ref="BU9">INDEX(Properties!$D:$D,$B9+5)*(IF(BU$3=INDEX(Properties!$Q:$Q,$B9+5),INDEX(Properties!$M:$M,$B9+5)+INDEX(Properties!$O:$O,$B9+5),0))</f>
        <v>0</v>
      </c>
      <c r="BV9" s="123" cm="1">
        <f t="array" ref="BV9">INDEX(Properties!$D:$D,$B9+5)*(IF(BV$3=INDEX(Properties!$Q:$Q,$B9+5),INDEX(Properties!$M:$M,$B9+5)+INDEX(Properties!$O:$O,$B9+5),0))</f>
        <v>0</v>
      </c>
      <c r="BW9" s="123" cm="1">
        <f t="array" ref="BW9">INDEX(Properties!$D:$D,$B9+5)*(IF(BW$3=INDEX(Properties!$Q:$Q,$B9+5),INDEX(Properties!$M:$M,$B9+5)+INDEX(Properties!$O:$O,$B9+5),0))</f>
        <v>0</v>
      </c>
      <c r="BX9" s="123" cm="1">
        <f t="array" ref="BX9">INDEX(Properties!$D:$D,$B9+5)*(IF(BX$3=INDEX(Properties!$Q:$Q,$B9+5),INDEX(Properties!$M:$M,$B9+5)+INDEX(Properties!$O:$O,$B9+5),0))</f>
        <v>0</v>
      </c>
      <c r="BY9" s="123" cm="1">
        <f t="array" ref="BY9">INDEX(Properties!$D:$D,$B9+5)*(IF(BY$3=INDEX(Properties!$Q:$Q,$B9+5),INDEX(Properties!$M:$M,$B9+5)+INDEX(Properties!$O:$O,$B9+5),0))</f>
        <v>0</v>
      </c>
      <c r="BZ9" s="123" cm="1">
        <f t="array" ref="BZ9">INDEX(Properties!$D:$D,$B9+5)*(IF(BZ$3=INDEX(Properties!$Q:$Q,$B9+5),INDEX(Properties!$M:$M,$B9+5)+INDEX(Properties!$O:$O,$B9+5),0))</f>
        <v>0</v>
      </c>
      <c r="CA9" s="123" cm="1">
        <f t="array" ref="CA9">INDEX(Properties!$D:$D,$B9+5)*(IF(CA$3=INDEX(Properties!$Q:$Q,$B9+5),INDEX(Properties!$M:$M,$B9+5)+INDEX(Properties!$O:$O,$B9+5),0))</f>
        <v>0</v>
      </c>
      <c r="CB9" s="123" cm="1">
        <f t="array" ref="CB9">INDEX(Properties!$D:$D,$B9+5)*(IF(CB$3=INDEX(Properties!$Q:$Q,$B9+5),INDEX(Properties!$M:$M,$B9+5)+INDEX(Properties!$O:$O,$B9+5),0))</f>
        <v>0</v>
      </c>
      <c r="CC9" s="123" cm="1">
        <f t="array" ref="CC9">INDEX(Properties!$D:$D,$B9+5)*(IF(CC$3=INDEX(Properties!$Q:$Q,$B9+5),INDEX(Properties!$M:$M,$B9+5)+INDEX(Properties!$O:$O,$B9+5),0))</f>
        <v>0</v>
      </c>
      <c r="CD9" s="123" cm="1">
        <f t="array" ref="CD9">INDEX(Properties!$D:$D,$B9+5)*(IF(CD$3=INDEX(Properties!$Q:$Q,$B9+5),INDEX(Properties!$M:$M,$B9+5)+INDEX(Properties!$O:$O,$B9+5),0))</f>
        <v>0</v>
      </c>
      <c r="CE9" s="123" cm="1">
        <f t="array" ref="CE9">INDEX(Properties!$D:$D,$B9+5)*(IF(CE$3=INDEX(Properties!$Q:$Q,$B9+5),INDEX(Properties!$M:$M,$B9+5)+INDEX(Properties!$O:$O,$B9+5),0))</f>
        <v>0</v>
      </c>
      <c r="CF9" s="123" cm="1">
        <f t="array" ref="CF9">INDEX(Properties!$D:$D,$B9+5)*(IF(CF$3=INDEX(Properties!$Q:$Q,$B9+5),INDEX(Properties!$M:$M,$B9+5)+INDEX(Properties!$O:$O,$B9+5),0))</f>
        <v>0</v>
      </c>
      <c r="CG9" s="123" cm="1">
        <f t="array" ref="CG9">INDEX(Properties!$D:$D,$B9+5)*(IF(CG$3=INDEX(Properties!$Q:$Q,$B9+5),INDEX(Properties!$M:$M,$B9+5)+INDEX(Properties!$O:$O,$B9+5),0))</f>
        <v>0</v>
      </c>
      <c r="CH9" s="123" cm="1">
        <f t="array" ref="CH9">INDEX(Properties!$D:$D,$B9+5)*(IF(CH$3=INDEX(Properties!$Q:$Q,$B9+5),INDEX(Properties!$M:$M,$B9+5)+INDEX(Properties!$O:$O,$B9+5),0))</f>
        <v>0</v>
      </c>
      <c r="CI9" s="123" cm="1">
        <f t="array" ref="CI9">INDEX(Properties!$D:$D,$B9+5)*(IF(CI$3=INDEX(Properties!$Q:$Q,$B9+5),INDEX(Properties!$M:$M,$B9+5)+INDEX(Properties!$O:$O,$B9+5),0))</f>
        <v>0</v>
      </c>
      <c r="CJ9" s="123" cm="1">
        <f t="array" ref="CJ9">INDEX(Properties!$D:$D,$B9+5)*(IF(CJ$3=INDEX(Properties!$Q:$Q,$B9+5),INDEX(Properties!$M:$M,$B9+5)+INDEX(Properties!$O:$O,$B9+5),0))</f>
        <v>0</v>
      </c>
      <c r="CK9" s="123" cm="1">
        <f t="array" ref="CK9">INDEX(Properties!$D:$D,$B9+5)*(IF(CK$3=INDEX(Properties!$Q:$Q,$B9+5),INDEX(Properties!$M:$M,$B9+5)+INDEX(Properties!$O:$O,$B9+5),0))</f>
        <v>0</v>
      </c>
      <c r="CL9" s="123" cm="1">
        <f t="array" ref="CL9">INDEX(Properties!$D:$D,$B9+5)*(IF(CL$3=INDEX(Properties!$Q:$Q,$B9+5),INDEX(Properties!$M:$M,$B9+5)+INDEX(Properties!$O:$O,$B9+5),0))</f>
        <v>0</v>
      </c>
      <c r="CM9" s="123" cm="1">
        <f t="array" ref="CM9">INDEX(Properties!$D:$D,$B9+5)*(IF(CM$3=INDEX(Properties!$Q:$Q,$B9+5),INDEX(Properties!$M:$M,$B9+5)+INDEX(Properties!$O:$O,$B9+5),0))</f>
        <v>0</v>
      </c>
      <c r="CN9" s="123" cm="1">
        <f t="array" ref="CN9">INDEX(Properties!$D:$D,$B9+5)*(IF(CN$3=INDEX(Properties!$Q:$Q,$B9+5),INDEX(Properties!$M:$M,$B9+5)+INDEX(Properties!$O:$O,$B9+5),0))</f>
        <v>0</v>
      </c>
      <c r="CO9" s="123" cm="1">
        <f t="array" ref="CO9">INDEX(Properties!$D:$D,$B9+5)*(IF(CO$3=INDEX(Properties!$Q:$Q,$B9+5),INDEX(Properties!$M:$M,$B9+5)+INDEX(Properties!$O:$O,$B9+5),0))</f>
        <v>0</v>
      </c>
      <c r="CP9" s="123" cm="1">
        <f t="array" ref="CP9">INDEX(Properties!$D:$D,$B9+5)*(IF(CP$3=INDEX(Properties!$Q:$Q,$B9+5),INDEX(Properties!$M:$M,$B9+5)+INDEX(Properties!$O:$O,$B9+5),0))</f>
        <v>0</v>
      </c>
      <c r="CQ9" s="123" cm="1">
        <f t="array" ref="CQ9">INDEX(Properties!$D:$D,$B9+5)*(IF(CQ$3=INDEX(Properties!$Q:$Q,$B9+5),INDEX(Properties!$M:$M,$B9+5)+INDEX(Properties!$O:$O,$B9+5),0))</f>
        <v>0</v>
      </c>
      <c r="CR9" s="123" cm="1">
        <f t="array" ref="CR9">INDEX(Properties!$D:$D,$B9+5)*(IF(CR$3=INDEX(Properties!$Q:$Q,$B9+5),INDEX(Properties!$M:$M,$B9+5)+INDEX(Properties!$O:$O,$B9+5),0))</f>
        <v>0</v>
      </c>
      <c r="CS9" s="123" cm="1">
        <f t="array" ref="CS9">INDEX(Properties!$D:$D,$B9+5)*(IF(CS$3=INDEX(Properties!$Q:$Q,$B9+5),INDEX(Properties!$M:$M,$B9+5)+INDEX(Properties!$O:$O,$B9+5),0))</f>
        <v>0</v>
      </c>
      <c r="CT9" s="123" cm="1">
        <f t="array" ref="CT9">INDEX(Properties!$D:$D,$B9+5)*(IF(CT$3=INDEX(Properties!$Q:$Q,$B9+5),INDEX(Properties!$M:$M,$B9+5)+INDEX(Properties!$O:$O,$B9+5),0))</f>
        <v>0</v>
      </c>
      <c r="CU9" s="123" cm="1">
        <f t="array" ref="CU9">INDEX(Properties!$D:$D,$B9+5)*(IF(CU$3=INDEX(Properties!$Q:$Q,$B9+5),INDEX(Properties!$M:$M,$B9+5)+INDEX(Properties!$O:$O,$B9+5),0))</f>
        <v>0</v>
      </c>
      <c r="CV9" s="123" cm="1">
        <f t="array" ref="CV9">INDEX(Properties!$D:$D,$B9+5)*(IF(CV$3=INDEX(Properties!$Q:$Q,$B9+5),INDEX(Properties!$M:$M,$B9+5)+INDEX(Properties!$O:$O,$B9+5),0))</f>
        <v>0</v>
      </c>
      <c r="CW9" s="123" cm="1">
        <f t="array" ref="CW9">INDEX(Properties!$D:$D,$B9+5)*(IF(CW$3=INDEX(Properties!$Q:$Q,$B9+5),INDEX(Properties!$M:$M,$B9+5)+INDEX(Properties!$O:$O,$B9+5),0))</f>
        <v>0</v>
      </c>
      <c r="CX9" s="123" cm="1">
        <f t="array" ref="CX9">INDEX(Properties!$D:$D,$B9+5)*(IF(CX$3=INDEX(Properties!$Q:$Q,$B9+5),INDEX(Properties!$M:$M,$B9+5)+INDEX(Properties!$O:$O,$B9+5),0))</f>
        <v>0</v>
      </c>
      <c r="CY9" s="123" cm="1">
        <f t="array" ref="CY9">INDEX(Properties!$D:$D,$B9+5)*(IF(CY$3=INDEX(Properties!$Q:$Q,$B9+5),INDEX(Properties!$M:$M,$B9+5)+INDEX(Properties!$O:$O,$B9+5),0))</f>
        <v>0</v>
      </c>
      <c r="CZ9" s="123" cm="1">
        <f t="array" ref="CZ9">INDEX(Properties!$D:$D,$B9+5)*(IF(CZ$3=INDEX(Properties!$Q:$Q,$B9+5),INDEX(Properties!$M:$M,$B9+5)+INDEX(Properties!$O:$O,$B9+5),0))</f>
        <v>0</v>
      </c>
      <c r="DA9" s="123" cm="1">
        <f t="array" ref="DA9">INDEX(Properties!$D:$D,$B9+5)*(IF(DA$3=INDEX(Properties!$Q:$Q,$B9+5),INDEX(Properties!$M:$M,$B9+5)+INDEX(Properties!$O:$O,$B9+5),0))</f>
        <v>0</v>
      </c>
      <c r="DB9" s="123" cm="1">
        <f t="array" ref="DB9">INDEX(Properties!$D:$D,$B9+5)*(IF(DB$3=INDEX(Properties!$Q:$Q,$B9+5),INDEX(Properties!$M:$M,$B9+5)+INDEX(Properties!$O:$O,$B9+5),0))</f>
        <v>0</v>
      </c>
      <c r="DC9" s="123" cm="1">
        <f t="array" ref="DC9">INDEX(Properties!$D:$D,$B9+5)*(IF(DC$3=INDEX(Properties!$Q:$Q,$B9+5),INDEX(Properties!$M:$M,$B9+5)+INDEX(Properties!$O:$O,$B9+5),0))</f>
        <v>0</v>
      </c>
      <c r="DD9" s="123" cm="1">
        <f t="array" ref="DD9">INDEX(Properties!$D:$D,$B9+5)*(IF(DD$3=INDEX(Properties!$Q:$Q,$B9+5),INDEX(Properties!$M:$M,$B9+5)+INDEX(Properties!$O:$O,$B9+5),0))</f>
        <v>0</v>
      </c>
      <c r="DE9" s="123" cm="1">
        <f t="array" ref="DE9">INDEX(Properties!$D:$D,$B9+5)*(IF(DE$3=INDEX(Properties!$Q:$Q,$B9+5),INDEX(Properties!$M:$M,$B9+5)+INDEX(Properties!$O:$O,$B9+5),0))</f>
        <v>0</v>
      </c>
      <c r="DF9" s="123" cm="1">
        <f t="array" ref="DF9">INDEX(Properties!$D:$D,$B9+5)*(IF(DF$3=INDEX(Properties!$Q:$Q,$B9+5),INDEX(Properties!$M:$M,$B9+5)+INDEX(Properties!$O:$O,$B9+5),0))</f>
        <v>0</v>
      </c>
      <c r="DG9" s="123" cm="1">
        <f t="array" ref="DG9">INDEX(Properties!$D:$D,$B9+5)*(IF(DG$3=INDEX(Properties!$Q:$Q,$B9+5),INDEX(Properties!$M:$M,$B9+5)+INDEX(Properties!$O:$O,$B9+5),0))</f>
        <v>0</v>
      </c>
      <c r="DH9" s="123" cm="1">
        <f t="array" ref="DH9">INDEX(Properties!$D:$D,$B9+5)*(IF(DH$3=INDEX(Properties!$Q:$Q,$B9+5),INDEX(Properties!$M:$M,$B9+5)+INDEX(Properties!$O:$O,$B9+5),0))</f>
        <v>0</v>
      </c>
      <c r="DI9" s="123" cm="1">
        <f t="array" ref="DI9">INDEX(Properties!$D:$D,$B9+5)*(IF(DI$3=INDEX(Properties!$Q:$Q,$B9+5),INDEX(Properties!$M:$M,$B9+5)+INDEX(Properties!$O:$O,$B9+5),0))</f>
        <v>0</v>
      </c>
      <c r="DJ9" s="123" cm="1">
        <f t="array" ref="DJ9">INDEX(Properties!$D:$D,$B9+5)*(IF(DJ$3=INDEX(Properties!$Q:$Q,$B9+5),INDEX(Properties!$M:$M,$B9+5)+INDEX(Properties!$O:$O,$B9+5),0))</f>
        <v>0</v>
      </c>
      <c r="DK9" s="123" cm="1">
        <f t="array" ref="DK9">INDEX(Properties!$D:$D,$B9+5)*(IF(DK$3=INDEX(Properties!$Q:$Q,$B9+5),INDEX(Properties!$M:$M,$B9+5)+INDEX(Properties!$O:$O,$B9+5),0))</f>
        <v>0</v>
      </c>
      <c r="DL9" s="123" cm="1">
        <f t="array" ref="DL9">INDEX(Properties!$D:$D,$B9+5)*(IF(DL$3=INDEX(Properties!$Q:$Q,$B9+5),INDEX(Properties!$M:$M,$B9+5)+INDEX(Properties!$O:$O,$B9+5),0))</f>
        <v>0</v>
      </c>
      <c r="DM9" s="123" cm="1">
        <f t="array" ref="DM9">INDEX(Properties!$D:$D,$B9+5)*(IF(DM$3=INDEX(Properties!$Q:$Q,$B9+5),INDEX(Properties!$M:$M,$B9+5)+INDEX(Properties!$O:$O,$B9+5),0))</f>
        <v>0</v>
      </c>
      <c r="DN9" s="123" cm="1">
        <f t="array" ref="DN9">INDEX(Properties!$D:$D,$B9+5)*(IF(DN$3=INDEX(Properties!$Q:$Q,$B9+5),INDEX(Properties!$M:$M,$B9+5)+INDEX(Properties!$O:$O,$B9+5),0))</f>
        <v>0</v>
      </c>
      <c r="DO9" s="123" cm="1">
        <f t="array" ref="DO9">INDEX(Properties!$D:$D,$B9+5)*(IF(DO$3=INDEX(Properties!$Q:$Q,$B9+5),INDEX(Properties!$M:$M,$B9+5)+INDEX(Properties!$O:$O,$B9+5),0))</f>
        <v>0</v>
      </c>
      <c r="DP9" s="123" cm="1">
        <f t="array" ref="DP9">INDEX(Properties!$D:$D,$B9+5)*(IF(DP$3=INDEX(Properties!$Q:$Q,$B9+5),INDEX(Properties!$M:$M,$B9+5)+INDEX(Properties!$O:$O,$B9+5),0))</f>
        <v>0</v>
      </c>
      <c r="DQ9" s="123" cm="1">
        <f t="array" ref="DQ9">INDEX(Properties!$D:$D,$B9+5)*(IF(DQ$3=INDEX(Properties!$Q:$Q,$B9+5),INDEX(Properties!$M:$M,$B9+5)+INDEX(Properties!$O:$O,$B9+5),0))</f>
        <v>0</v>
      </c>
      <c r="DR9" s="123" cm="1">
        <f t="array" ref="DR9">INDEX(Properties!$D:$D,$B9+5)*(IF(DR$3=INDEX(Properties!$Q:$Q,$B9+5),INDEX(Properties!$M:$M,$B9+5)+INDEX(Properties!$O:$O,$B9+5),0))</f>
        <v>0</v>
      </c>
    </row>
    <row r="10" spans="1:122" ht="16.05" customHeight="1" x14ac:dyDescent="0.3">
      <c r="A10" s="148" t="str" cm="1">
        <f t="array" ref="A10">INDEX(Properties!$E:$E,$B10+5)</f>
        <v>San Lucas Apto 101</v>
      </c>
      <c r="B10" s="1">
        <v>3</v>
      </c>
      <c r="C10" s="123" cm="1">
        <f t="array" ref="C10">INDEX(Properties!$D:$D,$B10+5)*(IF(C$3=INDEX(Properties!$Q:$Q,$B10+5),INDEX(Properties!$M:$M,$B10+5)+INDEX(Properties!$O:$O,$B10+5),0))</f>
        <v>0</v>
      </c>
      <c r="D10" s="123" cm="1">
        <f t="array" ref="D10">INDEX(Properties!$D:$D,$B10+5)*(IF(D$3=INDEX(Properties!$Q:$Q,$B10+5),INDEX(Properties!$M:$M,$B10+5)+INDEX(Properties!$O:$O,$B10+5),0))</f>
        <v>0</v>
      </c>
      <c r="E10" s="123" cm="1">
        <f t="array" ref="E10">INDEX(Properties!$D:$D,$B10+5)*(IF(E$3=INDEX(Properties!$Q:$Q,$B10+5),INDEX(Properties!$M:$M,$B10+5)+INDEX(Properties!$O:$O,$B10+5),0))</f>
        <v>456108.4142394822</v>
      </c>
      <c r="F10" s="123" cm="1">
        <f t="array" ref="F10">INDEX(Properties!$D:$D,$B10+5)*(IF(F$3=INDEX(Properties!$Q:$Q,$B10+5),INDEX(Properties!$M:$M,$B10+5)+INDEX(Properties!$O:$O,$B10+5),0))</f>
        <v>0</v>
      </c>
      <c r="G10" s="123" cm="1">
        <f t="array" ref="G10">INDEX(Properties!$D:$D,$B10+5)*(IF(G$3=INDEX(Properties!$Q:$Q,$B10+5),INDEX(Properties!$M:$M,$B10+5)+INDEX(Properties!$O:$O,$B10+5),0))</f>
        <v>0</v>
      </c>
      <c r="H10" s="123" cm="1">
        <f t="array" ref="H10">INDEX(Properties!$D:$D,$B10+5)*(IF(H$3=INDEX(Properties!$Q:$Q,$B10+5),INDEX(Properties!$M:$M,$B10+5)+INDEX(Properties!$O:$O,$B10+5),0))</f>
        <v>0</v>
      </c>
      <c r="I10" s="123" cm="1">
        <f t="array" ref="I10">INDEX(Properties!$D:$D,$B10+5)*(IF(I$3=INDEX(Properties!$Q:$Q,$B10+5),INDEX(Properties!$M:$M,$B10+5)+INDEX(Properties!$O:$O,$B10+5),0))</f>
        <v>0</v>
      </c>
      <c r="J10" s="123" cm="1">
        <f t="array" ref="J10">INDEX(Properties!$D:$D,$B10+5)*(IF(J$3=INDEX(Properties!$Q:$Q,$B10+5),INDEX(Properties!$M:$M,$B10+5)+INDEX(Properties!$O:$O,$B10+5),0))</f>
        <v>0</v>
      </c>
      <c r="K10" s="123" cm="1">
        <f t="array" ref="K10">INDEX(Properties!$D:$D,$B10+5)*(IF(K$3=INDEX(Properties!$Q:$Q,$B10+5),INDEX(Properties!$M:$M,$B10+5)+INDEX(Properties!$O:$O,$B10+5),0))</f>
        <v>0</v>
      </c>
      <c r="L10" s="123" cm="1">
        <f t="array" ref="L10">INDEX(Properties!$D:$D,$B10+5)*(IF(L$3=INDEX(Properties!$Q:$Q,$B10+5),INDEX(Properties!$M:$M,$B10+5)+INDEX(Properties!$O:$O,$B10+5),0))</f>
        <v>0</v>
      </c>
      <c r="M10" s="123" cm="1">
        <f t="array" ref="M10">INDEX(Properties!$D:$D,$B10+5)*(IF(M$3=INDEX(Properties!$Q:$Q,$B10+5),INDEX(Properties!$M:$M,$B10+5)+INDEX(Properties!$O:$O,$B10+5),0))</f>
        <v>0</v>
      </c>
      <c r="N10" s="123" cm="1">
        <f t="array" ref="N10">INDEX(Properties!$D:$D,$B10+5)*(IF(N$3=INDEX(Properties!$Q:$Q,$B10+5),INDEX(Properties!$M:$M,$B10+5)+INDEX(Properties!$O:$O,$B10+5),0))</f>
        <v>0</v>
      </c>
      <c r="O10" s="123" cm="1">
        <f t="array" ref="O10">INDEX(Properties!$D:$D,$B10+5)*(IF(O$3=INDEX(Properties!$Q:$Q,$B10+5),INDEX(Properties!$M:$M,$B10+5)+INDEX(Properties!$O:$O,$B10+5),0))</f>
        <v>0</v>
      </c>
      <c r="P10" s="123" cm="1">
        <f t="array" ref="P10">INDEX(Properties!$D:$D,$B10+5)*(IF(P$3=INDEX(Properties!$Q:$Q,$B10+5),INDEX(Properties!$M:$M,$B10+5)+INDEX(Properties!$O:$O,$B10+5),0))</f>
        <v>0</v>
      </c>
      <c r="Q10" s="123" cm="1">
        <f t="array" ref="Q10">INDEX(Properties!$D:$D,$B10+5)*(IF(Q$3=INDEX(Properties!$Q:$Q,$B10+5),INDEX(Properties!$M:$M,$B10+5)+INDEX(Properties!$O:$O,$B10+5),0))</f>
        <v>0</v>
      </c>
      <c r="R10" s="123" cm="1">
        <f t="array" ref="R10">INDEX(Properties!$D:$D,$B10+5)*(IF(R$3=INDEX(Properties!$Q:$Q,$B10+5),INDEX(Properties!$M:$M,$B10+5)+INDEX(Properties!$O:$O,$B10+5),0))</f>
        <v>0</v>
      </c>
      <c r="S10" s="123" cm="1">
        <f t="array" ref="S10">INDEX(Properties!$D:$D,$B10+5)*(IF(S$3=INDEX(Properties!$Q:$Q,$B10+5),INDEX(Properties!$M:$M,$B10+5)+INDEX(Properties!$O:$O,$B10+5),0))</f>
        <v>0</v>
      </c>
      <c r="T10" s="123" cm="1">
        <f t="array" ref="T10">INDEX(Properties!$D:$D,$B10+5)*(IF(T$3=INDEX(Properties!$Q:$Q,$B10+5),INDEX(Properties!$M:$M,$B10+5)+INDEX(Properties!$O:$O,$B10+5),0))</f>
        <v>0</v>
      </c>
      <c r="U10" s="123" cm="1">
        <f t="array" ref="U10">INDEX(Properties!$D:$D,$B10+5)*(IF(U$3=INDEX(Properties!$Q:$Q,$B10+5),INDEX(Properties!$M:$M,$B10+5)+INDEX(Properties!$O:$O,$B10+5),0))</f>
        <v>0</v>
      </c>
      <c r="V10" s="123" cm="1">
        <f t="array" ref="V10">INDEX(Properties!$D:$D,$B10+5)*(IF(V$3=INDEX(Properties!$Q:$Q,$B10+5),INDEX(Properties!$M:$M,$B10+5)+INDEX(Properties!$O:$O,$B10+5),0))</f>
        <v>0</v>
      </c>
      <c r="W10" s="123" cm="1">
        <f t="array" ref="W10">INDEX(Properties!$D:$D,$B10+5)*(IF(W$3=INDEX(Properties!$Q:$Q,$B10+5),INDEX(Properties!$M:$M,$B10+5)+INDEX(Properties!$O:$O,$B10+5),0))</f>
        <v>0</v>
      </c>
      <c r="X10" s="123" cm="1">
        <f t="array" ref="X10">INDEX(Properties!$D:$D,$B10+5)*(IF(X$3=INDEX(Properties!$Q:$Q,$B10+5),INDEX(Properties!$M:$M,$B10+5)+INDEX(Properties!$O:$O,$B10+5),0))</f>
        <v>0</v>
      </c>
      <c r="Y10" s="123" cm="1">
        <f t="array" ref="Y10">INDEX(Properties!$D:$D,$B10+5)*(IF(Y$3=INDEX(Properties!$Q:$Q,$B10+5),INDEX(Properties!$M:$M,$B10+5)+INDEX(Properties!$O:$O,$B10+5),0))</f>
        <v>0</v>
      </c>
      <c r="Z10" s="123" cm="1">
        <f t="array" ref="Z10">INDEX(Properties!$D:$D,$B10+5)*(IF(Z$3=INDEX(Properties!$Q:$Q,$B10+5),INDEX(Properties!$M:$M,$B10+5)+INDEX(Properties!$O:$O,$B10+5),0))</f>
        <v>0</v>
      </c>
      <c r="AA10" s="123" cm="1">
        <f t="array" ref="AA10">INDEX(Properties!$D:$D,$B10+5)*(IF(AA$3=INDEX(Properties!$Q:$Q,$B10+5),INDEX(Properties!$M:$M,$B10+5)+INDEX(Properties!$O:$O,$B10+5),0))</f>
        <v>0</v>
      </c>
      <c r="AB10" s="123" cm="1">
        <f t="array" ref="AB10">INDEX(Properties!$D:$D,$B10+5)*(IF(AB$3=INDEX(Properties!$Q:$Q,$B10+5),INDEX(Properties!$M:$M,$B10+5)+INDEX(Properties!$O:$O,$B10+5),0))</f>
        <v>0</v>
      </c>
      <c r="AC10" s="123" cm="1">
        <f t="array" ref="AC10">INDEX(Properties!$D:$D,$B10+5)*(IF(AC$3=INDEX(Properties!$Q:$Q,$B10+5),INDEX(Properties!$M:$M,$B10+5)+INDEX(Properties!$O:$O,$B10+5),0))</f>
        <v>0</v>
      </c>
      <c r="AD10" s="123" cm="1">
        <f t="array" ref="AD10">INDEX(Properties!$D:$D,$B10+5)*(IF(AD$3=INDEX(Properties!$Q:$Q,$B10+5),INDEX(Properties!$M:$M,$B10+5)+INDEX(Properties!$O:$O,$B10+5),0))</f>
        <v>0</v>
      </c>
      <c r="AE10" s="123" cm="1">
        <f t="array" ref="AE10">INDEX(Properties!$D:$D,$B10+5)*(IF(AE$3=INDEX(Properties!$Q:$Q,$B10+5),INDEX(Properties!$M:$M,$B10+5)+INDEX(Properties!$O:$O,$B10+5),0))</f>
        <v>0</v>
      </c>
      <c r="AF10" s="123" cm="1">
        <f t="array" ref="AF10">INDEX(Properties!$D:$D,$B10+5)*(IF(AF$3=INDEX(Properties!$Q:$Q,$B10+5),INDEX(Properties!$M:$M,$B10+5)+INDEX(Properties!$O:$O,$B10+5),0))</f>
        <v>0</v>
      </c>
      <c r="AG10" s="123" cm="1">
        <f t="array" ref="AG10">INDEX(Properties!$D:$D,$B10+5)*(IF(AG$3=INDEX(Properties!$Q:$Q,$B10+5),INDEX(Properties!$M:$M,$B10+5)+INDEX(Properties!$O:$O,$B10+5),0))</f>
        <v>0</v>
      </c>
      <c r="AH10" s="123" cm="1">
        <f t="array" ref="AH10">INDEX(Properties!$D:$D,$B10+5)*(IF(AH$3=INDEX(Properties!$Q:$Q,$B10+5),INDEX(Properties!$M:$M,$B10+5)+INDEX(Properties!$O:$O,$B10+5),0))</f>
        <v>0</v>
      </c>
      <c r="AI10" s="123" cm="1">
        <f t="array" ref="AI10">INDEX(Properties!$D:$D,$B10+5)*(IF(AI$3=INDEX(Properties!$Q:$Q,$B10+5),INDEX(Properties!$M:$M,$B10+5)+INDEX(Properties!$O:$O,$B10+5),0))</f>
        <v>0</v>
      </c>
      <c r="AJ10" s="123" cm="1">
        <f t="array" ref="AJ10">INDEX(Properties!$D:$D,$B10+5)*(IF(AJ$3=INDEX(Properties!$Q:$Q,$B10+5),INDEX(Properties!$M:$M,$B10+5)+INDEX(Properties!$O:$O,$B10+5),0))</f>
        <v>0</v>
      </c>
      <c r="AK10" s="123" cm="1">
        <f t="array" ref="AK10">INDEX(Properties!$D:$D,$B10+5)*(IF(AK$3=INDEX(Properties!$Q:$Q,$B10+5),INDEX(Properties!$M:$M,$B10+5)+INDEX(Properties!$O:$O,$B10+5),0))</f>
        <v>0</v>
      </c>
      <c r="AL10" s="123" cm="1">
        <f t="array" ref="AL10">INDEX(Properties!$D:$D,$B10+5)*(IF(AL$3=INDEX(Properties!$Q:$Q,$B10+5),INDEX(Properties!$M:$M,$B10+5)+INDEX(Properties!$O:$O,$B10+5),0))</f>
        <v>0</v>
      </c>
      <c r="AM10" s="123" cm="1">
        <f t="array" ref="AM10">INDEX(Properties!$D:$D,$B10+5)*(IF(AM$3=INDEX(Properties!$Q:$Q,$B10+5),INDEX(Properties!$M:$M,$B10+5)+INDEX(Properties!$O:$O,$B10+5),0))</f>
        <v>0</v>
      </c>
      <c r="AN10" s="123" cm="1">
        <f t="array" ref="AN10">INDEX(Properties!$D:$D,$B10+5)*(IF(AN$3=INDEX(Properties!$Q:$Q,$B10+5),INDEX(Properties!$M:$M,$B10+5)+INDEX(Properties!$O:$O,$B10+5),0))</f>
        <v>0</v>
      </c>
      <c r="AO10" s="123" cm="1">
        <f t="array" ref="AO10">INDEX(Properties!$D:$D,$B10+5)*(IF(AO$3=INDEX(Properties!$Q:$Q,$B10+5),INDEX(Properties!$M:$M,$B10+5)+INDEX(Properties!$O:$O,$B10+5),0))</f>
        <v>0</v>
      </c>
      <c r="AP10" s="123" cm="1">
        <f t="array" ref="AP10">INDEX(Properties!$D:$D,$B10+5)*(IF(AP$3=INDEX(Properties!$Q:$Q,$B10+5),INDEX(Properties!$M:$M,$B10+5)+INDEX(Properties!$O:$O,$B10+5),0))</f>
        <v>0</v>
      </c>
      <c r="AQ10" s="123" cm="1">
        <f t="array" ref="AQ10">INDEX(Properties!$D:$D,$B10+5)*(IF(AQ$3=INDEX(Properties!$Q:$Q,$B10+5),INDEX(Properties!$M:$M,$B10+5)+INDEX(Properties!$O:$O,$B10+5),0))</f>
        <v>0</v>
      </c>
      <c r="AR10" s="123" cm="1">
        <f t="array" ref="AR10">INDEX(Properties!$D:$D,$B10+5)*(IF(AR$3=INDEX(Properties!$Q:$Q,$B10+5),INDEX(Properties!$M:$M,$B10+5)+INDEX(Properties!$O:$O,$B10+5),0))</f>
        <v>0</v>
      </c>
      <c r="AS10" s="123" cm="1">
        <f t="array" ref="AS10">INDEX(Properties!$D:$D,$B10+5)*(IF(AS$3=INDEX(Properties!$Q:$Q,$B10+5),INDEX(Properties!$M:$M,$B10+5)+INDEX(Properties!$O:$O,$B10+5),0))</f>
        <v>0</v>
      </c>
      <c r="AT10" s="123" cm="1">
        <f t="array" ref="AT10">INDEX(Properties!$D:$D,$B10+5)*(IF(AT$3=INDEX(Properties!$Q:$Q,$B10+5),INDEX(Properties!$M:$M,$B10+5)+INDEX(Properties!$O:$O,$B10+5),0))</f>
        <v>0</v>
      </c>
      <c r="AU10" s="123" cm="1">
        <f t="array" ref="AU10">INDEX(Properties!$D:$D,$B10+5)*(IF(AU$3=INDEX(Properties!$Q:$Q,$B10+5),INDEX(Properties!$M:$M,$B10+5)+INDEX(Properties!$O:$O,$B10+5),0))</f>
        <v>0</v>
      </c>
      <c r="AV10" s="123" cm="1">
        <f t="array" ref="AV10">INDEX(Properties!$D:$D,$B10+5)*(IF(AV$3=INDEX(Properties!$Q:$Q,$B10+5),INDEX(Properties!$M:$M,$B10+5)+INDEX(Properties!$O:$O,$B10+5),0))</f>
        <v>0</v>
      </c>
      <c r="AW10" s="123" cm="1">
        <f t="array" ref="AW10">INDEX(Properties!$D:$D,$B10+5)*(IF(AW$3=INDEX(Properties!$Q:$Q,$B10+5),INDEX(Properties!$M:$M,$B10+5)+INDEX(Properties!$O:$O,$B10+5),0))</f>
        <v>0</v>
      </c>
      <c r="AX10" s="123" cm="1">
        <f t="array" ref="AX10">INDEX(Properties!$D:$D,$B10+5)*(IF(AX$3=INDEX(Properties!$Q:$Q,$B10+5),INDEX(Properties!$M:$M,$B10+5)+INDEX(Properties!$O:$O,$B10+5),0))</f>
        <v>0</v>
      </c>
      <c r="AY10" s="123" cm="1">
        <f t="array" ref="AY10">INDEX(Properties!$D:$D,$B10+5)*(IF(AY$3=INDEX(Properties!$Q:$Q,$B10+5),INDEX(Properties!$M:$M,$B10+5)+INDEX(Properties!$O:$O,$B10+5),0))</f>
        <v>0</v>
      </c>
      <c r="AZ10" s="123" cm="1">
        <f t="array" ref="AZ10">INDEX(Properties!$D:$D,$B10+5)*(IF(AZ$3=INDEX(Properties!$Q:$Q,$B10+5),INDEX(Properties!$M:$M,$B10+5)+INDEX(Properties!$O:$O,$B10+5),0))</f>
        <v>0</v>
      </c>
      <c r="BA10" s="123" cm="1">
        <f t="array" ref="BA10">INDEX(Properties!$D:$D,$B10+5)*(IF(BA$3=INDEX(Properties!$Q:$Q,$B10+5),INDEX(Properties!$M:$M,$B10+5)+INDEX(Properties!$O:$O,$B10+5),0))</f>
        <v>0</v>
      </c>
      <c r="BB10" s="123" cm="1">
        <f t="array" ref="BB10">INDEX(Properties!$D:$D,$B10+5)*(IF(BB$3=INDEX(Properties!$Q:$Q,$B10+5),INDEX(Properties!$M:$M,$B10+5)+INDEX(Properties!$O:$O,$B10+5),0))</f>
        <v>0</v>
      </c>
      <c r="BC10" s="123" cm="1">
        <f t="array" ref="BC10">INDEX(Properties!$D:$D,$B10+5)*(IF(BC$3=INDEX(Properties!$Q:$Q,$B10+5),INDEX(Properties!$M:$M,$B10+5)+INDEX(Properties!$O:$O,$B10+5),0))</f>
        <v>0</v>
      </c>
      <c r="BD10" s="123" cm="1">
        <f t="array" ref="BD10">INDEX(Properties!$D:$D,$B10+5)*(IF(BD$3=INDEX(Properties!$Q:$Q,$B10+5),INDEX(Properties!$M:$M,$B10+5)+INDEX(Properties!$O:$O,$B10+5),0))</f>
        <v>0</v>
      </c>
      <c r="BE10" s="123" cm="1">
        <f t="array" ref="BE10">INDEX(Properties!$D:$D,$B10+5)*(IF(BE$3=INDEX(Properties!$Q:$Q,$B10+5),INDEX(Properties!$M:$M,$B10+5)+INDEX(Properties!$O:$O,$B10+5),0))</f>
        <v>0</v>
      </c>
      <c r="BF10" s="123" cm="1">
        <f t="array" ref="BF10">INDEX(Properties!$D:$D,$B10+5)*(IF(BF$3=INDEX(Properties!$Q:$Q,$B10+5),INDEX(Properties!$M:$M,$B10+5)+INDEX(Properties!$O:$O,$B10+5),0))</f>
        <v>0</v>
      </c>
      <c r="BG10" s="123" cm="1">
        <f t="array" ref="BG10">INDEX(Properties!$D:$D,$B10+5)*(IF(BG$3=INDEX(Properties!$Q:$Q,$B10+5),INDEX(Properties!$M:$M,$B10+5)+INDEX(Properties!$O:$O,$B10+5),0))</f>
        <v>0</v>
      </c>
      <c r="BH10" s="123" cm="1">
        <f t="array" ref="BH10">INDEX(Properties!$D:$D,$B10+5)*(IF(BH$3=INDEX(Properties!$Q:$Q,$B10+5),INDEX(Properties!$M:$M,$B10+5)+INDEX(Properties!$O:$O,$B10+5),0))</f>
        <v>0</v>
      </c>
      <c r="BI10" s="123" cm="1">
        <f t="array" ref="BI10">INDEX(Properties!$D:$D,$B10+5)*(IF(BI$3=INDEX(Properties!$Q:$Q,$B10+5),INDEX(Properties!$M:$M,$B10+5)+INDEX(Properties!$O:$O,$B10+5),0))</f>
        <v>0</v>
      </c>
      <c r="BJ10" s="123" cm="1">
        <f t="array" ref="BJ10">INDEX(Properties!$D:$D,$B10+5)*(IF(BJ$3=INDEX(Properties!$Q:$Q,$B10+5),INDEX(Properties!$M:$M,$B10+5)+INDEX(Properties!$O:$O,$B10+5),0))</f>
        <v>0</v>
      </c>
      <c r="BK10" s="123" cm="1">
        <f t="array" ref="BK10">INDEX(Properties!$D:$D,$B10+5)*(IF(BK$3=INDEX(Properties!$Q:$Q,$B10+5),INDEX(Properties!$M:$M,$B10+5)+INDEX(Properties!$O:$O,$B10+5),0))</f>
        <v>0</v>
      </c>
      <c r="BL10" s="123" cm="1">
        <f t="array" ref="BL10">INDEX(Properties!$D:$D,$B10+5)*(IF(BL$3=INDEX(Properties!$Q:$Q,$B10+5),INDEX(Properties!$M:$M,$B10+5)+INDEX(Properties!$O:$O,$B10+5),0))</f>
        <v>0</v>
      </c>
      <c r="BM10" s="123" cm="1">
        <f t="array" ref="BM10">INDEX(Properties!$D:$D,$B10+5)*(IF(BM$3=INDEX(Properties!$Q:$Q,$B10+5),INDEX(Properties!$M:$M,$B10+5)+INDEX(Properties!$O:$O,$B10+5),0))</f>
        <v>0</v>
      </c>
      <c r="BN10" s="123" cm="1">
        <f t="array" ref="BN10">INDEX(Properties!$D:$D,$B10+5)*(IF(BN$3=INDEX(Properties!$Q:$Q,$B10+5),INDEX(Properties!$M:$M,$B10+5)+INDEX(Properties!$O:$O,$B10+5),0))</f>
        <v>0</v>
      </c>
      <c r="BO10" s="123" cm="1">
        <f t="array" ref="BO10">INDEX(Properties!$D:$D,$B10+5)*(IF(BO$3=INDEX(Properties!$Q:$Q,$B10+5),INDEX(Properties!$M:$M,$B10+5)+INDEX(Properties!$O:$O,$B10+5),0))</f>
        <v>0</v>
      </c>
      <c r="BP10" s="123" cm="1">
        <f t="array" ref="BP10">INDEX(Properties!$D:$D,$B10+5)*(IF(BP$3=INDEX(Properties!$Q:$Q,$B10+5),INDEX(Properties!$M:$M,$B10+5)+INDEX(Properties!$O:$O,$B10+5),0))</f>
        <v>0</v>
      </c>
      <c r="BQ10" s="123" cm="1">
        <f t="array" ref="BQ10">INDEX(Properties!$D:$D,$B10+5)*(IF(BQ$3=INDEX(Properties!$Q:$Q,$B10+5),INDEX(Properties!$M:$M,$B10+5)+INDEX(Properties!$O:$O,$B10+5),0))</f>
        <v>0</v>
      </c>
      <c r="BR10" s="123" cm="1">
        <f t="array" ref="BR10">INDEX(Properties!$D:$D,$B10+5)*(IF(BR$3=INDEX(Properties!$Q:$Q,$B10+5),INDEX(Properties!$M:$M,$B10+5)+INDEX(Properties!$O:$O,$B10+5),0))</f>
        <v>0</v>
      </c>
      <c r="BS10" s="123" cm="1">
        <f t="array" ref="BS10">INDEX(Properties!$D:$D,$B10+5)*(IF(BS$3=INDEX(Properties!$Q:$Q,$B10+5),INDEX(Properties!$M:$M,$B10+5)+INDEX(Properties!$O:$O,$B10+5),0))</f>
        <v>0</v>
      </c>
      <c r="BT10" s="123" cm="1">
        <f t="array" ref="BT10">INDEX(Properties!$D:$D,$B10+5)*(IF(BT$3=INDEX(Properties!$Q:$Q,$B10+5),INDEX(Properties!$M:$M,$B10+5)+INDEX(Properties!$O:$O,$B10+5),0))</f>
        <v>0</v>
      </c>
      <c r="BU10" s="123" cm="1">
        <f t="array" ref="BU10">INDEX(Properties!$D:$D,$B10+5)*(IF(BU$3=INDEX(Properties!$Q:$Q,$B10+5),INDEX(Properties!$M:$M,$B10+5)+INDEX(Properties!$O:$O,$B10+5),0))</f>
        <v>0</v>
      </c>
      <c r="BV10" s="123" cm="1">
        <f t="array" ref="BV10">INDEX(Properties!$D:$D,$B10+5)*(IF(BV$3=INDEX(Properties!$Q:$Q,$B10+5),INDEX(Properties!$M:$M,$B10+5)+INDEX(Properties!$O:$O,$B10+5),0))</f>
        <v>0</v>
      </c>
      <c r="BW10" s="123" cm="1">
        <f t="array" ref="BW10">INDEX(Properties!$D:$D,$B10+5)*(IF(BW$3=INDEX(Properties!$Q:$Q,$B10+5),INDEX(Properties!$M:$M,$B10+5)+INDEX(Properties!$O:$O,$B10+5),0))</f>
        <v>0</v>
      </c>
      <c r="BX10" s="123" cm="1">
        <f t="array" ref="BX10">INDEX(Properties!$D:$D,$B10+5)*(IF(BX$3=INDEX(Properties!$Q:$Q,$B10+5),INDEX(Properties!$M:$M,$B10+5)+INDEX(Properties!$O:$O,$B10+5),0))</f>
        <v>0</v>
      </c>
      <c r="BY10" s="123" cm="1">
        <f t="array" ref="BY10">INDEX(Properties!$D:$D,$B10+5)*(IF(BY$3=INDEX(Properties!$Q:$Q,$B10+5),INDEX(Properties!$M:$M,$B10+5)+INDEX(Properties!$O:$O,$B10+5),0))</f>
        <v>0</v>
      </c>
      <c r="BZ10" s="123" cm="1">
        <f t="array" ref="BZ10">INDEX(Properties!$D:$D,$B10+5)*(IF(BZ$3=INDEX(Properties!$Q:$Q,$B10+5),INDEX(Properties!$M:$M,$B10+5)+INDEX(Properties!$O:$O,$B10+5),0))</f>
        <v>0</v>
      </c>
      <c r="CA10" s="123" cm="1">
        <f t="array" ref="CA10">INDEX(Properties!$D:$D,$B10+5)*(IF(CA$3=INDEX(Properties!$Q:$Q,$B10+5),INDEX(Properties!$M:$M,$B10+5)+INDEX(Properties!$O:$O,$B10+5),0))</f>
        <v>0</v>
      </c>
      <c r="CB10" s="123" cm="1">
        <f t="array" ref="CB10">INDEX(Properties!$D:$D,$B10+5)*(IF(CB$3=INDEX(Properties!$Q:$Q,$B10+5),INDEX(Properties!$M:$M,$B10+5)+INDEX(Properties!$O:$O,$B10+5),0))</f>
        <v>0</v>
      </c>
      <c r="CC10" s="123" cm="1">
        <f t="array" ref="CC10">INDEX(Properties!$D:$D,$B10+5)*(IF(CC$3=INDEX(Properties!$Q:$Q,$B10+5),INDEX(Properties!$M:$M,$B10+5)+INDEX(Properties!$O:$O,$B10+5),0))</f>
        <v>0</v>
      </c>
      <c r="CD10" s="123" cm="1">
        <f t="array" ref="CD10">INDEX(Properties!$D:$D,$B10+5)*(IF(CD$3=INDEX(Properties!$Q:$Q,$B10+5),INDEX(Properties!$M:$M,$B10+5)+INDEX(Properties!$O:$O,$B10+5),0))</f>
        <v>0</v>
      </c>
      <c r="CE10" s="123" cm="1">
        <f t="array" ref="CE10">INDEX(Properties!$D:$D,$B10+5)*(IF(CE$3=INDEX(Properties!$Q:$Q,$B10+5),INDEX(Properties!$M:$M,$B10+5)+INDEX(Properties!$O:$O,$B10+5),0))</f>
        <v>0</v>
      </c>
      <c r="CF10" s="123" cm="1">
        <f t="array" ref="CF10">INDEX(Properties!$D:$D,$B10+5)*(IF(CF$3=INDEX(Properties!$Q:$Q,$B10+5),INDEX(Properties!$M:$M,$B10+5)+INDEX(Properties!$O:$O,$B10+5),0))</f>
        <v>0</v>
      </c>
      <c r="CG10" s="123" cm="1">
        <f t="array" ref="CG10">INDEX(Properties!$D:$D,$B10+5)*(IF(CG$3=INDEX(Properties!$Q:$Q,$B10+5),INDEX(Properties!$M:$M,$B10+5)+INDEX(Properties!$O:$O,$B10+5),0))</f>
        <v>0</v>
      </c>
      <c r="CH10" s="123" cm="1">
        <f t="array" ref="CH10">INDEX(Properties!$D:$D,$B10+5)*(IF(CH$3=INDEX(Properties!$Q:$Q,$B10+5),INDEX(Properties!$M:$M,$B10+5)+INDEX(Properties!$O:$O,$B10+5),0))</f>
        <v>0</v>
      </c>
      <c r="CI10" s="123" cm="1">
        <f t="array" ref="CI10">INDEX(Properties!$D:$D,$B10+5)*(IF(CI$3=INDEX(Properties!$Q:$Q,$B10+5),INDEX(Properties!$M:$M,$B10+5)+INDEX(Properties!$O:$O,$B10+5),0))</f>
        <v>0</v>
      </c>
      <c r="CJ10" s="123" cm="1">
        <f t="array" ref="CJ10">INDEX(Properties!$D:$D,$B10+5)*(IF(CJ$3=INDEX(Properties!$Q:$Q,$B10+5),INDEX(Properties!$M:$M,$B10+5)+INDEX(Properties!$O:$O,$B10+5),0))</f>
        <v>0</v>
      </c>
      <c r="CK10" s="123" cm="1">
        <f t="array" ref="CK10">INDEX(Properties!$D:$D,$B10+5)*(IF(CK$3=INDEX(Properties!$Q:$Q,$B10+5),INDEX(Properties!$M:$M,$B10+5)+INDEX(Properties!$O:$O,$B10+5),0))</f>
        <v>0</v>
      </c>
      <c r="CL10" s="123" cm="1">
        <f t="array" ref="CL10">INDEX(Properties!$D:$D,$B10+5)*(IF(CL$3=INDEX(Properties!$Q:$Q,$B10+5),INDEX(Properties!$M:$M,$B10+5)+INDEX(Properties!$O:$O,$B10+5),0))</f>
        <v>0</v>
      </c>
      <c r="CM10" s="123" cm="1">
        <f t="array" ref="CM10">INDEX(Properties!$D:$D,$B10+5)*(IF(CM$3=INDEX(Properties!$Q:$Q,$B10+5),INDEX(Properties!$M:$M,$B10+5)+INDEX(Properties!$O:$O,$B10+5),0))</f>
        <v>0</v>
      </c>
      <c r="CN10" s="123" cm="1">
        <f t="array" ref="CN10">INDEX(Properties!$D:$D,$B10+5)*(IF(CN$3=INDEX(Properties!$Q:$Q,$B10+5),INDEX(Properties!$M:$M,$B10+5)+INDEX(Properties!$O:$O,$B10+5),0))</f>
        <v>0</v>
      </c>
      <c r="CO10" s="123" cm="1">
        <f t="array" ref="CO10">INDEX(Properties!$D:$D,$B10+5)*(IF(CO$3=INDEX(Properties!$Q:$Q,$B10+5),INDEX(Properties!$M:$M,$B10+5)+INDEX(Properties!$O:$O,$B10+5),0))</f>
        <v>0</v>
      </c>
      <c r="CP10" s="123" cm="1">
        <f t="array" ref="CP10">INDEX(Properties!$D:$D,$B10+5)*(IF(CP$3=INDEX(Properties!$Q:$Q,$B10+5),INDEX(Properties!$M:$M,$B10+5)+INDEX(Properties!$O:$O,$B10+5),0))</f>
        <v>0</v>
      </c>
      <c r="CQ10" s="123" cm="1">
        <f t="array" ref="CQ10">INDEX(Properties!$D:$D,$B10+5)*(IF(CQ$3=INDEX(Properties!$Q:$Q,$B10+5),INDEX(Properties!$M:$M,$B10+5)+INDEX(Properties!$O:$O,$B10+5),0))</f>
        <v>0</v>
      </c>
      <c r="CR10" s="123" cm="1">
        <f t="array" ref="CR10">INDEX(Properties!$D:$D,$B10+5)*(IF(CR$3=INDEX(Properties!$Q:$Q,$B10+5),INDEX(Properties!$M:$M,$B10+5)+INDEX(Properties!$O:$O,$B10+5),0))</f>
        <v>0</v>
      </c>
      <c r="CS10" s="123" cm="1">
        <f t="array" ref="CS10">INDEX(Properties!$D:$D,$B10+5)*(IF(CS$3=INDEX(Properties!$Q:$Q,$B10+5),INDEX(Properties!$M:$M,$B10+5)+INDEX(Properties!$O:$O,$B10+5),0))</f>
        <v>0</v>
      </c>
      <c r="CT10" s="123" cm="1">
        <f t="array" ref="CT10">INDEX(Properties!$D:$D,$B10+5)*(IF(CT$3=INDEX(Properties!$Q:$Q,$B10+5),INDEX(Properties!$M:$M,$B10+5)+INDEX(Properties!$O:$O,$B10+5),0))</f>
        <v>0</v>
      </c>
      <c r="CU10" s="123" cm="1">
        <f t="array" ref="CU10">INDEX(Properties!$D:$D,$B10+5)*(IF(CU$3=INDEX(Properties!$Q:$Q,$B10+5),INDEX(Properties!$M:$M,$B10+5)+INDEX(Properties!$O:$O,$B10+5),0))</f>
        <v>0</v>
      </c>
      <c r="CV10" s="123" cm="1">
        <f t="array" ref="CV10">INDEX(Properties!$D:$D,$B10+5)*(IF(CV$3=INDEX(Properties!$Q:$Q,$B10+5),INDEX(Properties!$M:$M,$B10+5)+INDEX(Properties!$O:$O,$B10+5),0))</f>
        <v>0</v>
      </c>
      <c r="CW10" s="123" cm="1">
        <f t="array" ref="CW10">INDEX(Properties!$D:$D,$B10+5)*(IF(CW$3=INDEX(Properties!$Q:$Q,$B10+5),INDEX(Properties!$M:$M,$B10+5)+INDEX(Properties!$O:$O,$B10+5),0))</f>
        <v>0</v>
      </c>
      <c r="CX10" s="123" cm="1">
        <f t="array" ref="CX10">INDEX(Properties!$D:$D,$B10+5)*(IF(CX$3=INDEX(Properties!$Q:$Q,$B10+5),INDEX(Properties!$M:$M,$B10+5)+INDEX(Properties!$O:$O,$B10+5),0))</f>
        <v>0</v>
      </c>
      <c r="CY10" s="123" cm="1">
        <f t="array" ref="CY10">INDEX(Properties!$D:$D,$B10+5)*(IF(CY$3=INDEX(Properties!$Q:$Q,$B10+5),INDEX(Properties!$M:$M,$B10+5)+INDEX(Properties!$O:$O,$B10+5),0))</f>
        <v>0</v>
      </c>
      <c r="CZ10" s="123" cm="1">
        <f t="array" ref="CZ10">INDEX(Properties!$D:$D,$B10+5)*(IF(CZ$3=INDEX(Properties!$Q:$Q,$B10+5),INDEX(Properties!$M:$M,$B10+5)+INDEX(Properties!$O:$O,$B10+5),0))</f>
        <v>0</v>
      </c>
      <c r="DA10" s="123" cm="1">
        <f t="array" ref="DA10">INDEX(Properties!$D:$D,$B10+5)*(IF(DA$3=INDEX(Properties!$Q:$Q,$B10+5),INDEX(Properties!$M:$M,$B10+5)+INDEX(Properties!$O:$O,$B10+5),0))</f>
        <v>0</v>
      </c>
      <c r="DB10" s="123" cm="1">
        <f t="array" ref="DB10">INDEX(Properties!$D:$D,$B10+5)*(IF(DB$3=INDEX(Properties!$Q:$Q,$B10+5),INDEX(Properties!$M:$M,$B10+5)+INDEX(Properties!$O:$O,$B10+5),0))</f>
        <v>0</v>
      </c>
      <c r="DC10" s="123" cm="1">
        <f t="array" ref="DC10">INDEX(Properties!$D:$D,$B10+5)*(IF(DC$3=INDEX(Properties!$Q:$Q,$B10+5),INDEX(Properties!$M:$M,$B10+5)+INDEX(Properties!$O:$O,$B10+5),0))</f>
        <v>0</v>
      </c>
      <c r="DD10" s="123" cm="1">
        <f t="array" ref="DD10">INDEX(Properties!$D:$D,$B10+5)*(IF(DD$3=INDEX(Properties!$Q:$Q,$B10+5),INDEX(Properties!$M:$M,$B10+5)+INDEX(Properties!$O:$O,$B10+5),0))</f>
        <v>0</v>
      </c>
      <c r="DE10" s="123" cm="1">
        <f t="array" ref="DE10">INDEX(Properties!$D:$D,$B10+5)*(IF(DE$3=INDEX(Properties!$Q:$Q,$B10+5),INDEX(Properties!$M:$M,$B10+5)+INDEX(Properties!$O:$O,$B10+5),0))</f>
        <v>0</v>
      </c>
      <c r="DF10" s="123" cm="1">
        <f t="array" ref="DF10">INDEX(Properties!$D:$D,$B10+5)*(IF(DF$3=INDEX(Properties!$Q:$Q,$B10+5),INDEX(Properties!$M:$M,$B10+5)+INDEX(Properties!$O:$O,$B10+5),0))</f>
        <v>0</v>
      </c>
      <c r="DG10" s="123" cm="1">
        <f t="array" ref="DG10">INDEX(Properties!$D:$D,$B10+5)*(IF(DG$3=INDEX(Properties!$Q:$Q,$B10+5),INDEX(Properties!$M:$M,$B10+5)+INDEX(Properties!$O:$O,$B10+5),0))</f>
        <v>0</v>
      </c>
      <c r="DH10" s="123" cm="1">
        <f t="array" ref="DH10">INDEX(Properties!$D:$D,$B10+5)*(IF(DH$3=INDEX(Properties!$Q:$Q,$B10+5),INDEX(Properties!$M:$M,$B10+5)+INDEX(Properties!$O:$O,$B10+5),0))</f>
        <v>0</v>
      </c>
      <c r="DI10" s="123" cm="1">
        <f t="array" ref="DI10">INDEX(Properties!$D:$D,$B10+5)*(IF(DI$3=INDEX(Properties!$Q:$Q,$B10+5),INDEX(Properties!$M:$M,$B10+5)+INDEX(Properties!$O:$O,$B10+5),0))</f>
        <v>0</v>
      </c>
      <c r="DJ10" s="123" cm="1">
        <f t="array" ref="DJ10">INDEX(Properties!$D:$D,$B10+5)*(IF(DJ$3=INDEX(Properties!$Q:$Q,$B10+5),INDEX(Properties!$M:$M,$B10+5)+INDEX(Properties!$O:$O,$B10+5),0))</f>
        <v>0</v>
      </c>
      <c r="DK10" s="123" cm="1">
        <f t="array" ref="DK10">INDEX(Properties!$D:$D,$B10+5)*(IF(DK$3=INDEX(Properties!$Q:$Q,$B10+5),INDEX(Properties!$M:$M,$B10+5)+INDEX(Properties!$O:$O,$B10+5),0))</f>
        <v>0</v>
      </c>
      <c r="DL10" s="123" cm="1">
        <f t="array" ref="DL10">INDEX(Properties!$D:$D,$B10+5)*(IF(DL$3=INDEX(Properties!$Q:$Q,$B10+5),INDEX(Properties!$M:$M,$B10+5)+INDEX(Properties!$O:$O,$B10+5),0))</f>
        <v>0</v>
      </c>
      <c r="DM10" s="123" cm="1">
        <f t="array" ref="DM10">INDEX(Properties!$D:$D,$B10+5)*(IF(DM$3=INDEX(Properties!$Q:$Q,$B10+5),INDEX(Properties!$M:$M,$B10+5)+INDEX(Properties!$O:$O,$B10+5),0))</f>
        <v>0</v>
      </c>
      <c r="DN10" s="123" cm="1">
        <f t="array" ref="DN10">INDEX(Properties!$D:$D,$B10+5)*(IF(DN$3=INDEX(Properties!$Q:$Q,$B10+5),INDEX(Properties!$M:$M,$B10+5)+INDEX(Properties!$O:$O,$B10+5),0))</f>
        <v>0</v>
      </c>
      <c r="DO10" s="123" cm="1">
        <f t="array" ref="DO10">INDEX(Properties!$D:$D,$B10+5)*(IF(DO$3=INDEX(Properties!$Q:$Q,$B10+5),INDEX(Properties!$M:$M,$B10+5)+INDEX(Properties!$O:$O,$B10+5),0))</f>
        <v>0</v>
      </c>
      <c r="DP10" s="123" cm="1">
        <f t="array" ref="DP10">INDEX(Properties!$D:$D,$B10+5)*(IF(DP$3=INDEX(Properties!$Q:$Q,$B10+5),INDEX(Properties!$M:$M,$B10+5)+INDEX(Properties!$O:$O,$B10+5),0))</f>
        <v>0</v>
      </c>
      <c r="DQ10" s="123" cm="1">
        <f t="array" ref="DQ10">INDEX(Properties!$D:$D,$B10+5)*(IF(DQ$3=INDEX(Properties!$Q:$Q,$B10+5),INDEX(Properties!$M:$M,$B10+5)+INDEX(Properties!$O:$O,$B10+5),0))</f>
        <v>0</v>
      </c>
      <c r="DR10" s="123" cm="1">
        <f t="array" ref="DR10">INDEX(Properties!$D:$D,$B10+5)*(IF(DR$3=INDEX(Properties!$Q:$Q,$B10+5),INDEX(Properties!$M:$M,$B10+5)+INDEX(Properties!$O:$O,$B10+5),0))</f>
        <v>0</v>
      </c>
    </row>
    <row r="11" spans="1:122" ht="16.05" customHeight="1" x14ac:dyDescent="0.3">
      <c r="A11" s="148" t="str" cm="1">
        <f t="array" ref="A11">INDEX(Properties!$E:$E,$B11+5)</f>
        <v>Casa Montana Lote 2 (Samuel Gaviria House)</v>
      </c>
      <c r="B11" s="1">
        <v>4</v>
      </c>
      <c r="C11" s="123" cm="1">
        <f t="array" ref="C11">INDEX(Properties!$D:$D,$B11+5)*(IF(C$3=INDEX(Properties!$Q:$Q,$B11+5),INDEX(Properties!$M:$M,$B11+5)+INDEX(Properties!$O:$O,$B11+5),0))</f>
        <v>0</v>
      </c>
      <c r="D11" s="123" cm="1">
        <f t="array" ref="D11">INDEX(Properties!$D:$D,$B11+5)*(IF(D$3=INDEX(Properties!$Q:$Q,$B11+5),INDEX(Properties!$M:$M,$B11+5)+INDEX(Properties!$O:$O,$B11+5),0))</f>
        <v>0</v>
      </c>
      <c r="E11" s="123" cm="1">
        <f t="array" ref="E11">INDEX(Properties!$D:$D,$B11+5)*(IF(E$3=INDEX(Properties!$Q:$Q,$B11+5),INDEX(Properties!$M:$M,$B11+5)+INDEX(Properties!$O:$O,$B11+5),0))</f>
        <v>0</v>
      </c>
      <c r="F11" s="123" cm="1">
        <f t="array" ref="F11">INDEX(Properties!$D:$D,$B11+5)*(IF(F$3=INDEX(Properties!$Q:$Q,$B11+5),INDEX(Properties!$M:$M,$B11+5)+INDEX(Properties!$O:$O,$B11+5),0))</f>
        <v>0</v>
      </c>
      <c r="G11" s="123" cm="1">
        <f t="array" ref="G11">INDEX(Properties!$D:$D,$B11+5)*(IF(G$3=INDEX(Properties!$Q:$Q,$B11+5),INDEX(Properties!$M:$M,$B11+5)+INDEX(Properties!$O:$O,$B11+5),0))</f>
        <v>0</v>
      </c>
      <c r="H11" s="123" cm="1">
        <f t="array" ref="H11">INDEX(Properties!$D:$D,$B11+5)*(IF(H$3=INDEX(Properties!$Q:$Q,$B11+5),INDEX(Properties!$M:$M,$B11+5)+INDEX(Properties!$O:$O,$B11+5),0))</f>
        <v>0</v>
      </c>
      <c r="I11" s="123" cm="1">
        <f t="array" ref="I11">INDEX(Properties!$D:$D,$B11+5)*(IF(I$3=INDEX(Properties!$Q:$Q,$B11+5),INDEX(Properties!$M:$M,$B11+5)+INDEX(Properties!$O:$O,$B11+5),0))</f>
        <v>0</v>
      </c>
      <c r="J11" s="123" cm="1">
        <f t="array" ref="J11">INDEX(Properties!$D:$D,$B11+5)*(IF(J$3=INDEX(Properties!$Q:$Q,$B11+5),INDEX(Properties!$M:$M,$B11+5)+INDEX(Properties!$O:$O,$B11+5),0))</f>
        <v>1164320.3883495147</v>
      </c>
      <c r="K11" s="123" cm="1">
        <f t="array" ref="K11">INDEX(Properties!$D:$D,$B11+5)*(IF(K$3=INDEX(Properties!$Q:$Q,$B11+5),INDEX(Properties!$M:$M,$B11+5)+INDEX(Properties!$O:$O,$B11+5),0))</f>
        <v>0</v>
      </c>
      <c r="L11" s="123" cm="1">
        <f t="array" ref="L11">INDEX(Properties!$D:$D,$B11+5)*(IF(L$3=INDEX(Properties!$Q:$Q,$B11+5),INDEX(Properties!$M:$M,$B11+5)+INDEX(Properties!$O:$O,$B11+5),0))</f>
        <v>0</v>
      </c>
      <c r="M11" s="123" cm="1">
        <f t="array" ref="M11">INDEX(Properties!$D:$D,$B11+5)*(IF(M$3=INDEX(Properties!$Q:$Q,$B11+5),INDEX(Properties!$M:$M,$B11+5)+INDEX(Properties!$O:$O,$B11+5),0))</f>
        <v>0</v>
      </c>
      <c r="N11" s="123" cm="1">
        <f t="array" ref="N11">INDEX(Properties!$D:$D,$B11+5)*(IF(N$3=INDEX(Properties!$Q:$Q,$B11+5),INDEX(Properties!$M:$M,$B11+5)+INDEX(Properties!$O:$O,$B11+5),0))</f>
        <v>0</v>
      </c>
      <c r="O11" s="123" cm="1">
        <f t="array" ref="O11">INDEX(Properties!$D:$D,$B11+5)*(IF(O$3=INDEX(Properties!$Q:$Q,$B11+5),INDEX(Properties!$M:$M,$B11+5)+INDEX(Properties!$O:$O,$B11+5),0))</f>
        <v>0</v>
      </c>
      <c r="P11" s="123" cm="1">
        <f t="array" ref="P11">INDEX(Properties!$D:$D,$B11+5)*(IF(P$3=INDEX(Properties!$Q:$Q,$B11+5),INDEX(Properties!$M:$M,$B11+5)+INDEX(Properties!$O:$O,$B11+5),0))</f>
        <v>0</v>
      </c>
      <c r="Q11" s="123" cm="1">
        <f t="array" ref="Q11">INDEX(Properties!$D:$D,$B11+5)*(IF(Q$3=INDEX(Properties!$Q:$Q,$B11+5),INDEX(Properties!$M:$M,$B11+5)+INDEX(Properties!$O:$O,$B11+5),0))</f>
        <v>0</v>
      </c>
      <c r="R11" s="123" cm="1">
        <f t="array" ref="R11">INDEX(Properties!$D:$D,$B11+5)*(IF(R$3=INDEX(Properties!$Q:$Q,$B11+5),INDEX(Properties!$M:$M,$B11+5)+INDEX(Properties!$O:$O,$B11+5),0))</f>
        <v>0</v>
      </c>
      <c r="S11" s="123" cm="1">
        <f t="array" ref="S11">INDEX(Properties!$D:$D,$B11+5)*(IF(S$3=INDEX(Properties!$Q:$Q,$B11+5),INDEX(Properties!$M:$M,$B11+5)+INDEX(Properties!$O:$O,$B11+5),0))</f>
        <v>0</v>
      </c>
      <c r="T11" s="123" cm="1">
        <f t="array" ref="T11">INDEX(Properties!$D:$D,$B11+5)*(IF(T$3=INDEX(Properties!$Q:$Q,$B11+5),INDEX(Properties!$M:$M,$B11+5)+INDEX(Properties!$O:$O,$B11+5),0))</f>
        <v>0</v>
      </c>
      <c r="U11" s="123" cm="1">
        <f t="array" ref="U11">INDEX(Properties!$D:$D,$B11+5)*(IF(U$3=INDEX(Properties!$Q:$Q,$B11+5),INDEX(Properties!$M:$M,$B11+5)+INDEX(Properties!$O:$O,$B11+5),0))</f>
        <v>0</v>
      </c>
      <c r="V11" s="123" cm="1">
        <f t="array" ref="V11">INDEX(Properties!$D:$D,$B11+5)*(IF(V$3=INDEX(Properties!$Q:$Q,$B11+5),INDEX(Properties!$M:$M,$B11+5)+INDEX(Properties!$O:$O,$B11+5),0))</f>
        <v>0</v>
      </c>
      <c r="W11" s="123" cm="1">
        <f t="array" ref="W11">INDEX(Properties!$D:$D,$B11+5)*(IF(W$3=INDEX(Properties!$Q:$Q,$B11+5),INDEX(Properties!$M:$M,$B11+5)+INDEX(Properties!$O:$O,$B11+5),0))</f>
        <v>0</v>
      </c>
      <c r="X11" s="123" cm="1">
        <f t="array" ref="X11">INDEX(Properties!$D:$D,$B11+5)*(IF(X$3=INDEX(Properties!$Q:$Q,$B11+5),INDEX(Properties!$M:$M,$B11+5)+INDEX(Properties!$O:$O,$B11+5),0))</f>
        <v>0</v>
      </c>
      <c r="Y11" s="123" cm="1">
        <f t="array" ref="Y11">INDEX(Properties!$D:$D,$B11+5)*(IF(Y$3=INDEX(Properties!$Q:$Q,$B11+5),INDEX(Properties!$M:$M,$B11+5)+INDEX(Properties!$O:$O,$B11+5),0))</f>
        <v>0</v>
      </c>
      <c r="Z11" s="123" cm="1">
        <f t="array" ref="Z11">INDEX(Properties!$D:$D,$B11+5)*(IF(Z$3=INDEX(Properties!$Q:$Q,$B11+5),INDEX(Properties!$M:$M,$B11+5)+INDEX(Properties!$O:$O,$B11+5),0))</f>
        <v>0</v>
      </c>
      <c r="AA11" s="123" cm="1">
        <f t="array" ref="AA11">INDEX(Properties!$D:$D,$B11+5)*(IF(AA$3=INDEX(Properties!$Q:$Q,$B11+5),INDEX(Properties!$M:$M,$B11+5)+INDEX(Properties!$O:$O,$B11+5),0))</f>
        <v>0</v>
      </c>
      <c r="AB11" s="123" cm="1">
        <f t="array" ref="AB11">INDEX(Properties!$D:$D,$B11+5)*(IF(AB$3=INDEX(Properties!$Q:$Q,$B11+5),INDEX(Properties!$M:$M,$B11+5)+INDEX(Properties!$O:$O,$B11+5),0))</f>
        <v>0</v>
      </c>
      <c r="AC11" s="123" cm="1">
        <f t="array" ref="AC11">INDEX(Properties!$D:$D,$B11+5)*(IF(AC$3=INDEX(Properties!$Q:$Q,$B11+5),INDEX(Properties!$M:$M,$B11+5)+INDEX(Properties!$O:$O,$B11+5),0))</f>
        <v>0</v>
      </c>
      <c r="AD11" s="123" cm="1">
        <f t="array" ref="AD11">INDEX(Properties!$D:$D,$B11+5)*(IF(AD$3=INDEX(Properties!$Q:$Q,$B11+5),INDEX(Properties!$M:$M,$B11+5)+INDEX(Properties!$O:$O,$B11+5),0))</f>
        <v>0</v>
      </c>
      <c r="AE11" s="123" cm="1">
        <f t="array" ref="AE11">INDEX(Properties!$D:$D,$B11+5)*(IF(AE$3=INDEX(Properties!$Q:$Q,$B11+5),INDEX(Properties!$M:$M,$B11+5)+INDEX(Properties!$O:$O,$B11+5),0))</f>
        <v>0</v>
      </c>
      <c r="AF11" s="123" cm="1">
        <f t="array" ref="AF11">INDEX(Properties!$D:$D,$B11+5)*(IF(AF$3=INDEX(Properties!$Q:$Q,$B11+5),INDEX(Properties!$M:$M,$B11+5)+INDEX(Properties!$O:$O,$B11+5),0))</f>
        <v>0</v>
      </c>
      <c r="AG11" s="123" cm="1">
        <f t="array" ref="AG11">INDEX(Properties!$D:$D,$B11+5)*(IF(AG$3=INDEX(Properties!$Q:$Q,$B11+5),INDEX(Properties!$M:$M,$B11+5)+INDEX(Properties!$O:$O,$B11+5),0))</f>
        <v>0</v>
      </c>
      <c r="AH11" s="123" cm="1">
        <f t="array" ref="AH11">INDEX(Properties!$D:$D,$B11+5)*(IF(AH$3=INDEX(Properties!$Q:$Q,$B11+5),INDEX(Properties!$M:$M,$B11+5)+INDEX(Properties!$O:$O,$B11+5),0))</f>
        <v>0</v>
      </c>
      <c r="AI11" s="123" cm="1">
        <f t="array" ref="AI11">INDEX(Properties!$D:$D,$B11+5)*(IF(AI$3=INDEX(Properties!$Q:$Q,$B11+5),INDEX(Properties!$M:$M,$B11+5)+INDEX(Properties!$O:$O,$B11+5),0))</f>
        <v>0</v>
      </c>
      <c r="AJ11" s="123" cm="1">
        <f t="array" ref="AJ11">INDEX(Properties!$D:$D,$B11+5)*(IF(AJ$3=INDEX(Properties!$Q:$Q,$B11+5),INDEX(Properties!$M:$M,$B11+5)+INDEX(Properties!$O:$O,$B11+5),0))</f>
        <v>0</v>
      </c>
      <c r="AK11" s="123" cm="1">
        <f t="array" ref="AK11">INDEX(Properties!$D:$D,$B11+5)*(IF(AK$3=INDEX(Properties!$Q:$Q,$B11+5),INDEX(Properties!$M:$M,$B11+5)+INDEX(Properties!$O:$O,$B11+5),0))</f>
        <v>0</v>
      </c>
      <c r="AL11" s="123" cm="1">
        <f t="array" ref="AL11">INDEX(Properties!$D:$D,$B11+5)*(IF(AL$3=INDEX(Properties!$Q:$Q,$B11+5),INDEX(Properties!$M:$M,$B11+5)+INDEX(Properties!$O:$O,$B11+5),0))</f>
        <v>0</v>
      </c>
      <c r="AM11" s="123" cm="1">
        <f t="array" ref="AM11">INDEX(Properties!$D:$D,$B11+5)*(IF(AM$3=INDEX(Properties!$Q:$Q,$B11+5),INDEX(Properties!$M:$M,$B11+5)+INDEX(Properties!$O:$O,$B11+5),0))</f>
        <v>0</v>
      </c>
      <c r="AN11" s="123" cm="1">
        <f t="array" ref="AN11">INDEX(Properties!$D:$D,$B11+5)*(IF(AN$3=INDEX(Properties!$Q:$Q,$B11+5),INDEX(Properties!$M:$M,$B11+5)+INDEX(Properties!$O:$O,$B11+5),0))</f>
        <v>0</v>
      </c>
      <c r="AO11" s="123" cm="1">
        <f t="array" ref="AO11">INDEX(Properties!$D:$D,$B11+5)*(IF(AO$3=INDEX(Properties!$Q:$Q,$B11+5),INDEX(Properties!$M:$M,$B11+5)+INDEX(Properties!$O:$O,$B11+5),0))</f>
        <v>0</v>
      </c>
      <c r="AP11" s="123" cm="1">
        <f t="array" ref="AP11">INDEX(Properties!$D:$D,$B11+5)*(IF(AP$3=INDEX(Properties!$Q:$Q,$B11+5),INDEX(Properties!$M:$M,$B11+5)+INDEX(Properties!$O:$O,$B11+5),0))</f>
        <v>0</v>
      </c>
      <c r="AQ11" s="123" cm="1">
        <f t="array" ref="AQ11">INDEX(Properties!$D:$D,$B11+5)*(IF(AQ$3=INDEX(Properties!$Q:$Q,$B11+5),INDEX(Properties!$M:$M,$B11+5)+INDEX(Properties!$O:$O,$B11+5),0))</f>
        <v>0</v>
      </c>
      <c r="AR11" s="123" cm="1">
        <f t="array" ref="AR11">INDEX(Properties!$D:$D,$B11+5)*(IF(AR$3=INDEX(Properties!$Q:$Q,$B11+5),INDEX(Properties!$M:$M,$B11+5)+INDEX(Properties!$O:$O,$B11+5),0))</f>
        <v>0</v>
      </c>
      <c r="AS11" s="123" cm="1">
        <f t="array" ref="AS11">INDEX(Properties!$D:$D,$B11+5)*(IF(AS$3=INDEX(Properties!$Q:$Q,$B11+5),INDEX(Properties!$M:$M,$B11+5)+INDEX(Properties!$O:$O,$B11+5),0))</f>
        <v>0</v>
      </c>
      <c r="AT11" s="123" cm="1">
        <f t="array" ref="AT11">INDEX(Properties!$D:$D,$B11+5)*(IF(AT$3=INDEX(Properties!$Q:$Q,$B11+5),INDEX(Properties!$M:$M,$B11+5)+INDEX(Properties!$O:$O,$B11+5),0))</f>
        <v>0</v>
      </c>
      <c r="AU11" s="123" cm="1">
        <f t="array" ref="AU11">INDEX(Properties!$D:$D,$B11+5)*(IF(AU$3=INDEX(Properties!$Q:$Q,$B11+5),INDEX(Properties!$M:$M,$B11+5)+INDEX(Properties!$O:$O,$B11+5),0))</f>
        <v>0</v>
      </c>
      <c r="AV11" s="123" cm="1">
        <f t="array" ref="AV11">INDEX(Properties!$D:$D,$B11+5)*(IF(AV$3=INDEX(Properties!$Q:$Q,$B11+5),INDEX(Properties!$M:$M,$B11+5)+INDEX(Properties!$O:$O,$B11+5),0))</f>
        <v>0</v>
      </c>
      <c r="AW11" s="123" cm="1">
        <f t="array" ref="AW11">INDEX(Properties!$D:$D,$B11+5)*(IF(AW$3=INDEX(Properties!$Q:$Q,$B11+5),INDEX(Properties!$M:$M,$B11+5)+INDEX(Properties!$O:$O,$B11+5),0))</f>
        <v>0</v>
      </c>
      <c r="AX11" s="123" cm="1">
        <f t="array" ref="AX11">INDEX(Properties!$D:$D,$B11+5)*(IF(AX$3=INDEX(Properties!$Q:$Q,$B11+5),INDEX(Properties!$M:$M,$B11+5)+INDEX(Properties!$O:$O,$B11+5),0))</f>
        <v>0</v>
      </c>
      <c r="AY11" s="123" cm="1">
        <f t="array" ref="AY11">INDEX(Properties!$D:$D,$B11+5)*(IF(AY$3=INDEX(Properties!$Q:$Q,$B11+5),INDEX(Properties!$M:$M,$B11+5)+INDEX(Properties!$O:$O,$B11+5),0))</f>
        <v>0</v>
      </c>
      <c r="AZ11" s="123" cm="1">
        <f t="array" ref="AZ11">INDEX(Properties!$D:$D,$B11+5)*(IF(AZ$3=INDEX(Properties!$Q:$Q,$B11+5),INDEX(Properties!$M:$M,$B11+5)+INDEX(Properties!$O:$O,$B11+5),0))</f>
        <v>0</v>
      </c>
      <c r="BA11" s="123" cm="1">
        <f t="array" ref="BA11">INDEX(Properties!$D:$D,$B11+5)*(IF(BA$3=INDEX(Properties!$Q:$Q,$B11+5),INDEX(Properties!$M:$M,$B11+5)+INDEX(Properties!$O:$O,$B11+5),0))</f>
        <v>0</v>
      </c>
      <c r="BB11" s="123" cm="1">
        <f t="array" ref="BB11">INDEX(Properties!$D:$D,$B11+5)*(IF(BB$3=INDEX(Properties!$Q:$Q,$B11+5),INDEX(Properties!$M:$M,$B11+5)+INDEX(Properties!$O:$O,$B11+5),0))</f>
        <v>0</v>
      </c>
      <c r="BC11" s="123" cm="1">
        <f t="array" ref="BC11">INDEX(Properties!$D:$D,$B11+5)*(IF(BC$3=INDEX(Properties!$Q:$Q,$B11+5),INDEX(Properties!$M:$M,$B11+5)+INDEX(Properties!$O:$O,$B11+5),0))</f>
        <v>0</v>
      </c>
      <c r="BD11" s="123" cm="1">
        <f t="array" ref="BD11">INDEX(Properties!$D:$D,$B11+5)*(IF(BD$3=INDEX(Properties!$Q:$Q,$B11+5),INDEX(Properties!$M:$M,$B11+5)+INDEX(Properties!$O:$O,$B11+5),0))</f>
        <v>0</v>
      </c>
      <c r="BE11" s="123" cm="1">
        <f t="array" ref="BE11">INDEX(Properties!$D:$D,$B11+5)*(IF(BE$3=INDEX(Properties!$Q:$Q,$B11+5),INDEX(Properties!$M:$M,$B11+5)+INDEX(Properties!$O:$O,$B11+5),0))</f>
        <v>0</v>
      </c>
      <c r="BF11" s="123" cm="1">
        <f t="array" ref="BF11">INDEX(Properties!$D:$D,$B11+5)*(IF(BF$3=INDEX(Properties!$Q:$Q,$B11+5),INDEX(Properties!$M:$M,$B11+5)+INDEX(Properties!$O:$O,$B11+5),0))</f>
        <v>0</v>
      </c>
      <c r="BG11" s="123" cm="1">
        <f t="array" ref="BG11">INDEX(Properties!$D:$D,$B11+5)*(IF(BG$3=INDEX(Properties!$Q:$Q,$B11+5),INDEX(Properties!$M:$M,$B11+5)+INDEX(Properties!$O:$O,$B11+5),0))</f>
        <v>0</v>
      </c>
      <c r="BH11" s="123" cm="1">
        <f t="array" ref="BH11">INDEX(Properties!$D:$D,$B11+5)*(IF(BH$3=INDEX(Properties!$Q:$Q,$B11+5),INDEX(Properties!$M:$M,$B11+5)+INDEX(Properties!$O:$O,$B11+5),0))</f>
        <v>0</v>
      </c>
      <c r="BI11" s="123" cm="1">
        <f t="array" ref="BI11">INDEX(Properties!$D:$D,$B11+5)*(IF(BI$3=INDEX(Properties!$Q:$Q,$B11+5),INDEX(Properties!$M:$M,$B11+5)+INDEX(Properties!$O:$O,$B11+5),0))</f>
        <v>0</v>
      </c>
      <c r="BJ11" s="123" cm="1">
        <f t="array" ref="BJ11">INDEX(Properties!$D:$D,$B11+5)*(IF(BJ$3=INDEX(Properties!$Q:$Q,$B11+5),INDEX(Properties!$M:$M,$B11+5)+INDEX(Properties!$O:$O,$B11+5),0))</f>
        <v>0</v>
      </c>
      <c r="BK11" s="123" cm="1">
        <f t="array" ref="BK11">INDEX(Properties!$D:$D,$B11+5)*(IF(BK$3=INDEX(Properties!$Q:$Q,$B11+5),INDEX(Properties!$M:$M,$B11+5)+INDEX(Properties!$O:$O,$B11+5),0))</f>
        <v>0</v>
      </c>
      <c r="BL11" s="123" cm="1">
        <f t="array" ref="BL11">INDEX(Properties!$D:$D,$B11+5)*(IF(BL$3=INDEX(Properties!$Q:$Q,$B11+5),INDEX(Properties!$M:$M,$B11+5)+INDEX(Properties!$O:$O,$B11+5),0))</f>
        <v>0</v>
      </c>
      <c r="BM11" s="123" cm="1">
        <f t="array" ref="BM11">INDEX(Properties!$D:$D,$B11+5)*(IF(BM$3=INDEX(Properties!$Q:$Q,$B11+5),INDEX(Properties!$M:$M,$B11+5)+INDEX(Properties!$O:$O,$B11+5),0))</f>
        <v>0</v>
      </c>
      <c r="BN11" s="123" cm="1">
        <f t="array" ref="BN11">INDEX(Properties!$D:$D,$B11+5)*(IF(BN$3=INDEX(Properties!$Q:$Q,$B11+5),INDEX(Properties!$M:$M,$B11+5)+INDEX(Properties!$O:$O,$B11+5),0))</f>
        <v>0</v>
      </c>
      <c r="BO11" s="123" cm="1">
        <f t="array" ref="BO11">INDEX(Properties!$D:$D,$B11+5)*(IF(BO$3=INDEX(Properties!$Q:$Q,$B11+5),INDEX(Properties!$M:$M,$B11+5)+INDEX(Properties!$O:$O,$B11+5),0))</f>
        <v>0</v>
      </c>
      <c r="BP11" s="123" cm="1">
        <f t="array" ref="BP11">INDEX(Properties!$D:$D,$B11+5)*(IF(BP$3=INDEX(Properties!$Q:$Q,$B11+5),INDEX(Properties!$M:$M,$B11+5)+INDEX(Properties!$O:$O,$B11+5),0))</f>
        <v>0</v>
      </c>
      <c r="BQ11" s="123" cm="1">
        <f t="array" ref="BQ11">INDEX(Properties!$D:$D,$B11+5)*(IF(BQ$3=INDEX(Properties!$Q:$Q,$B11+5),INDEX(Properties!$M:$M,$B11+5)+INDEX(Properties!$O:$O,$B11+5),0))</f>
        <v>0</v>
      </c>
      <c r="BR11" s="123" cm="1">
        <f t="array" ref="BR11">INDEX(Properties!$D:$D,$B11+5)*(IF(BR$3=INDEX(Properties!$Q:$Q,$B11+5),INDEX(Properties!$M:$M,$B11+5)+INDEX(Properties!$O:$O,$B11+5),0))</f>
        <v>0</v>
      </c>
      <c r="BS11" s="123" cm="1">
        <f t="array" ref="BS11">INDEX(Properties!$D:$D,$B11+5)*(IF(BS$3=INDEX(Properties!$Q:$Q,$B11+5),INDEX(Properties!$M:$M,$B11+5)+INDEX(Properties!$O:$O,$B11+5),0))</f>
        <v>0</v>
      </c>
      <c r="BT11" s="123" cm="1">
        <f t="array" ref="BT11">INDEX(Properties!$D:$D,$B11+5)*(IF(BT$3=INDEX(Properties!$Q:$Q,$B11+5),INDEX(Properties!$M:$M,$B11+5)+INDEX(Properties!$O:$O,$B11+5),0))</f>
        <v>0</v>
      </c>
      <c r="BU11" s="123" cm="1">
        <f t="array" ref="BU11">INDEX(Properties!$D:$D,$B11+5)*(IF(BU$3=INDEX(Properties!$Q:$Q,$B11+5),INDEX(Properties!$M:$M,$B11+5)+INDEX(Properties!$O:$O,$B11+5),0))</f>
        <v>0</v>
      </c>
      <c r="BV11" s="123" cm="1">
        <f t="array" ref="BV11">INDEX(Properties!$D:$D,$B11+5)*(IF(BV$3=INDEX(Properties!$Q:$Q,$B11+5),INDEX(Properties!$M:$M,$B11+5)+INDEX(Properties!$O:$O,$B11+5),0))</f>
        <v>0</v>
      </c>
      <c r="BW11" s="123" cm="1">
        <f t="array" ref="BW11">INDEX(Properties!$D:$D,$B11+5)*(IF(BW$3=INDEX(Properties!$Q:$Q,$B11+5),INDEX(Properties!$M:$M,$B11+5)+INDEX(Properties!$O:$O,$B11+5),0))</f>
        <v>0</v>
      </c>
      <c r="BX11" s="123" cm="1">
        <f t="array" ref="BX11">INDEX(Properties!$D:$D,$B11+5)*(IF(BX$3=INDEX(Properties!$Q:$Q,$B11+5),INDEX(Properties!$M:$M,$B11+5)+INDEX(Properties!$O:$O,$B11+5),0))</f>
        <v>0</v>
      </c>
      <c r="BY11" s="123" cm="1">
        <f t="array" ref="BY11">INDEX(Properties!$D:$D,$B11+5)*(IF(BY$3=INDEX(Properties!$Q:$Q,$B11+5),INDEX(Properties!$M:$M,$B11+5)+INDEX(Properties!$O:$O,$B11+5),0))</f>
        <v>0</v>
      </c>
      <c r="BZ11" s="123" cm="1">
        <f t="array" ref="BZ11">INDEX(Properties!$D:$D,$B11+5)*(IF(BZ$3=INDEX(Properties!$Q:$Q,$B11+5),INDEX(Properties!$M:$M,$B11+5)+INDEX(Properties!$O:$O,$B11+5),0))</f>
        <v>0</v>
      </c>
      <c r="CA11" s="123" cm="1">
        <f t="array" ref="CA11">INDEX(Properties!$D:$D,$B11+5)*(IF(CA$3=INDEX(Properties!$Q:$Q,$B11+5),INDEX(Properties!$M:$M,$B11+5)+INDEX(Properties!$O:$O,$B11+5),0))</f>
        <v>0</v>
      </c>
      <c r="CB11" s="123" cm="1">
        <f t="array" ref="CB11">INDEX(Properties!$D:$D,$B11+5)*(IF(CB$3=INDEX(Properties!$Q:$Q,$B11+5),INDEX(Properties!$M:$M,$B11+5)+INDEX(Properties!$O:$O,$B11+5),0))</f>
        <v>0</v>
      </c>
      <c r="CC11" s="123" cm="1">
        <f t="array" ref="CC11">INDEX(Properties!$D:$D,$B11+5)*(IF(CC$3=INDEX(Properties!$Q:$Q,$B11+5),INDEX(Properties!$M:$M,$B11+5)+INDEX(Properties!$O:$O,$B11+5),0))</f>
        <v>0</v>
      </c>
      <c r="CD11" s="123" cm="1">
        <f t="array" ref="CD11">INDEX(Properties!$D:$D,$B11+5)*(IF(CD$3=INDEX(Properties!$Q:$Q,$B11+5),INDEX(Properties!$M:$M,$B11+5)+INDEX(Properties!$O:$O,$B11+5),0))</f>
        <v>0</v>
      </c>
      <c r="CE11" s="123" cm="1">
        <f t="array" ref="CE11">INDEX(Properties!$D:$D,$B11+5)*(IF(CE$3=INDEX(Properties!$Q:$Q,$B11+5),INDEX(Properties!$M:$M,$B11+5)+INDEX(Properties!$O:$O,$B11+5),0))</f>
        <v>0</v>
      </c>
      <c r="CF11" s="123" cm="1">
        <f t="array" ref="CF11">INDEX(Properties!$D:$D,$B11+5)*(IF(CF$3=INDEX(Properties!$Q:$Q,$B11+5),INDEX(Properties!$M:$M,$B11+5)+INDEX(Properties!$O:$O,$B11+5),0))</f>
        <v>0</v>
      </c>
      <c r="CG11" s="123" cm="1">
        <f t="array" ref="CG11">INDEX(Properties!$D:$D,$B11+5)*(IF(CG$3=INDEX(Properties!$Q:$Q,$B11+5),INDEX(Properties!$M:$M,$B11+5)+INDEX(Properties!$O:$O,$B11+5),0))</f>
        <v>0</v>
      </c>
      <c r="CH11" s="123" cm="1">
        <f t="array" ref="CH11">INDEX(Properties!$D:$D,$B11+5)*(IF(CH$3=INDEX(Properties!$Q:$Q,$B11+5),INDEX(Properties!$M:$M,$B11+5)+INDEX(Properties!$O:$O,$B11+5),0))</f>
        <v>0</v>
      </c>
      <c r="CI11" s="123" cm="1">
        <f t="array" ref="CI11">INDEX(Properties!$D:$D,$B11+5)*(IF(CI$3=INDEX(Properties!$Q:$Q,$B11+5),INDEX(Properties!$M:$M,$B11+5)+INDEX(Properties!$O:$O,$B11+5),0))</f>
        <v>0</v>
      </c>
      <c r="CJ11" s="123" cm="1">
        <f t="array" ref="CJ11">INDEX(Properties!$D:$D,$B11+5)*(IF(CJ$3=INDEX(Properties!$Q:$Q,$B11+5),INDEX(Properties!$M:$M,$B11+5)+INDEX(Properties!$O:$O,$B11+5),0))</f>
        <v>0</v>
      </c>
      <c r="CK11" s="123" cm="1">
        <f t="array" ref="CK11">INDEX(Properties!$D:$D,$B11+5)*(IF(CK$3=INDEX(Properties!$Q:$Q,$B11+5),INDEX(Properties!$M:$M,$B11+5)+INDEX(Properties!$O:$O,$B11+5),0))</f>
        <v>0</v>
      </c>
      <c r="CL11" s="123" cm="1">
        <f t="array" ref="CL11">INDEX(Properties!$D:$D,$B11+5)*(IF(CL$3=INDEX(Properties!$Q:$Q,$B11+5),INDEX(Properties!$M:$M,$B11+5)+INDEX(Properties!$O:$O,$B11+5),0))</f>
        <v>0</v>
      </c>
      <c r="CM11" s="123" cm="1">
        <f t="array" ref="CM11">INDEX(Properties!$D:$D,$B11+5)*(IF(CM$3=INDEX(Properties!$Q:$Q,$B11+5),INDEX(Properties!$M:$M,$B11+5)+INDEX(Properties!$O:$O,$B11+5),0))</f>
        <v>0</v>
      </c>
      <c r="CN11" s="123" cm="1">
        <f t="array" ref="CN11">INDEX(Properties!$D:$D,$B11+5)*(IF(CN$3=INDEX(Properties!$Q:$Q,$B11+5),INDEX(Properties!$M:$M,$B11+5)+INDEX(Properties!$O:$O,$B11+5),0))</f>
        <v>0</v>
      </c>
      <c r="CO11" s="123" cm="1">
        <f t="array" ref="CO11">INDEX(Properties!$D:$D,$B11+5)*(IF(CO$3=INDEX(Properties!$Q:$Q,$B11+5),INDEX(Properties!$M:$M,$B11+5)+INDEX(Properties!$O:$O,$B11+5),0))</f>
        <v>0</v>
      </c>
      <c r="CP11" s="123" cm="1">
        <f t="array" ref="CP11">INDEX(Properties!$D:$D,$B11+5)*(IF(CP$3=INDEX(Properties!$Q:$Q,$B11+5),INDEX(Properties!$M:$M,$B11+5)+INDEX(Properties!$O:$O,$B11+5),0))</f>
        <v>0</v>
      </c>
      <c r="CQ11" s="123" cm="1">
        <f t="array" ref="CQ11">INDEX(Properties!$D:$D,$B11+5)*(IF(CQ$3=INDEX(Properties!$Q:$Q,$B11+5),INDEX(Properties!$M:$M,$B11+5)+INDEX(Properties!$O:$O,$B11+5),0))</f>
        <v>0</v>
      </c>
      <c r="CR11" s="123" cm="1">
        <f t="array" ref="CR11">INDEX(Properties!$D:$D,$B11+5)*(IF(CR$3=INDEX(Properties!$Q:$Q,$B11+5),INDEX(Properties!$M:$M,$B11+5)+INDEX(Properties!$O:$O,$B11+5),0))</f>
        <v>0</v>
      </c>
      <c r="CS11" s="123" cm="1">
        <f t="array" ref="CS11">INDEX(Properties!$D:$D,$B11+5)*(IF(CS$3=INDEX(Properties!$Q:$Q,$B11+5),INDEX(Properties!$M:$M,$B11+5)+INDEX(Properties!$O:$O,$B11+5),0))</f>
        <v>0</v>
      </c>
      <c r="CT11" s="123" cm="1">
        <f t="array" ref="CT11">INDEX(Properties!$D:$D,$B11+5)*(IF(CT$3=INDEX(Properties!$Q:$Q,$B11+5),INDEX(Properties!$M:$M,$B11+5)+INDEX(Properties!$O:$O,$B11+5),0))</f>
        <v>0</v>
      </c>
      <c r="CU11" s="123" cm="1">
        <f t="array" ref="CU11">INDEX(Properties!$D:$D,$B11+5)*(IF(CU$3=INDEX(Properties!$Q:$Q,$B11+5),INDEX(Properties!$M:$M,$B11+5)+INDEX(Properties!$O:$O,$B11+5),0))</f>
        <v>0</v>
      </c>
      <c r="CV11" s="123" cm="1">
        <f t="array" ref="CV11">INDEX(Properties!$D:$D,$B11+5)*(IF(CV$3=INDEX(Properties!$Q:$Q,$B11+5),INDEX(Properties!$M:$M,$B11+5)+INDEX(Properties!$O:$O,$B11+5),0))</f>
        <v>0</v>
      </c>
      <c r="CW11" s="123" cm="1">
        <f t="array" ref="CW11">INDEX(Properties!$D:$D,$B11+5)*(IF(CW$3=INDEX(Properties!$Q:$Q,$B11+5),INDEX(Properties!$M:$M,$B11+5)+INDEX(Properties!$O:$O,$B11+5),0))</f>
        <v>0</v>
      </c>
      <c r="CX11" s="123" cm="1">
        <f t="array" ref="CX11">INDEX(Properties!$D:$D,$B11+5)*(IF(CX$3=INDEX(Properties!$Q:$Q,$B11+5),INDEX(Properties!$M:$M,$B11+5)+INDEX(Properties!$O:$O,$B11+5),0))</f>
        <v>0</v>
      </c>
      <c r="CY11" s="123" cm="1">
        <f t="array" ref="CY11">INDEX(Properties!$D:$D,$B11+5)*(IF(CY$3=INDEX(Properties!$Q:$Q,$B11+5),INDEX(Properties!$M:$M,$B11+5)+INDEX(Properties!$O:$O,$B11+5),0))</f>
        <v>0</v>
      </c>
      <c r="CZ11" s="123" cm="1">
        <f t="array" ref="CZ11">INDEX(Properties!$D:$D,$B11+5)*(IF(CZ$3=INDEX(Properties!$Q:$Q,$B11+5),INDEX(Properties!$M:$M,$B11+5)+INDEX(Properties!$O:$O,$B11+5),0))</f>
        <v>0</v>
      </c>
      <c r="DA11" s="123" cm="1">
        <f t="array" ref="DA11">INDEX(Properties!$D:$D,$B11+5)*(IF(DA$3=INDEX(Properties!$Q:$Q,$B11+5),INDEX(Properties!$M:$M,$B11+5)+INDEX(Properties!$O:$O,$B11+5),0))</f>
        <v>0</v>
      </c>
      <c r="DB11" s="123" cm="1">
        <f t="array" ref="DB11">INDEX(Properties!$D:$D,$B11+5)*(IF(DB$3=INDEX(Properties!$Q:$Q,$B11+5),INDEX(Properties!$M:$M,$B11+5)+INDEX(Properties!$O:$O,$B11+5),0))</f>
        <v>0</v>
      </c>
      <c r="DC11" s="123" cm="1">
        <f t="array" ref="DC11">INDEX(Properties!$D:$D,$B11+5)*(IF(DC$3=INDEX(Properties!$Q:$Q,$B11+5),INDEX(Properties!$M:$M,$B11+5)+INDEX(Properties!$O:$O,$B11+5),0))</f>
        <v>0</v>
      </c>
      <c r="DD11" s="123" cm="1">
        <f t="array" ref="DD11">INDEX(Properties!$D:$D,$B11+5)*(IF(DD$3=INDEX(Properties!$Q:$Q,$B11+5),INDEX(Properties!$M:$M,$B11+5)+INDEX(Properties!$O:$O,$B11+5),0))</f>
        <v>0</v>
      </c>
      <c r="DE11" s="123" cm="1">
        <f t="array" ref="DE11">INDEX(Properties!$D:$D,$B11+5)*(IF(DE$3=INDEX(Properties!$Q:$Q,$B11+5),INDEX(Properties!$M:$M,$B11+5)+INDEX(Properties!$O:$O,$B11+5),0))</f>
        <v>0</v>
      </c>
      <c r="DF11" s="123" cm="1">
        <f t="array" ref="DF11">INDEX(Properties!$D:$D,$B11+5)*(IF(DF$3=INDEX(Properties!$Q:$Q,$B11+5),INDEX(Properties!$M:$M,$B11+5)+INDEX(Properties!$O:$O,$B11+5),0))</f>
        <v>0</v>
      </c>
      <c r="DG11" s="123" cm="1">
        <f t="array" ref="DG11">INDEX(Properties!$D:$D,$B11+5)*(IF(DG$3=INDEX(Properties!$Q:$Q,$B11+5),INDEX(Properties!$M:$M,$B11+5)+INDEX(Properties!$O:$O,$B11+5),0))</f>
        <v>0</v>
      </c>
      <c r="DH11" s="123" cm="1">
        <f t="array" ref="DH11">INDEX(Properties!$D:$D,$B11+5)*(IF(DH$3=INDEX(Properties!$Q:$Q,$B11+5),INDEX(Properties!$M:$M,$B11+5)+INDEX(Properties!$O:$O,$B11+5),0))</f>
        <v>0</v>
      </c>
      <c r="DI11" s="123" cm="1">
        <f t="array" ref="DI11">INDEX(Properties!$D:$D,$B11+5)*(IF(DI$3=INDEX(Properties!$Q:$Q,$B11+5),INDEX(Properties!$M:$M,$B11+5)+INDEX(Properties!$O:$O,$B11+5),0))</f>
        <v>0</v>
      </c>
      <c r="DJ11" s="123" cm="1">
        <f t="array" ref="DJ11">INDEX(Properties!$D:$D,$B11+5)*(IF(DJ$3=INDEX(Properties!$Q:$Q,$B11+5),INDEX(Properties!$M:$M,$B11+5)+INDEX(Properties!$O:$O,$B11+5),0))</f>
        <v>0</v>
      </c>
      <c r="DK11" s="123" cm="1">
        <f t="array" ref="DK11">INDEX(Properties!$D:$D,$B11+5)*(IF(DK$3=INDEX(Properties!$Q:$Q,$B11+5),INDEX(Properties!$M:$M,$B11+5)+INDEX(Properties!$O:$O,$B11+5),0))</f>
        <v>0</v>
      </c>
      <c r="DL11" s="123" cm="1">
        <f t="array" ref="DL11">INDEX(Properties!$D:$D,$B11+5)*(IF(DL$3=INDEX(Properties!$Q:$Q,$B11+5),INDEX(Properties!$M:$M,$B11+5)+INDEX(Properties!$O:$O,$B11+5),0))</f>
        <v>0</v>
      </c>
      <c r="DM11" s="123" cm="1">
        <f t="array" ref="DM11">INDEX(Properties!$D:$D,$B11+5)*(IF(DM$3=INDEX(Properties!$Q:$Q,$B11+5),INDEX(Properties!$M:$M,$B11+5)+INDEX(Properties!$O:$O,$B11+5),0))</f>
        <v>0</v>
      </c>
      <c r="DN11" s="123" cm="1">
        <f t="array" ref="DN11">INDEX(Properties!$D:$D,$B11+5)*(IF(DN$3=INDEX(Properties!$Q:$Q,$B11+5),INDEX(Properties!$M:$M,$B11+5)+INDEX(Properties!$O:$O,$B11+5),0))</f>
        <v>0</v>
      </c>
      <c r="DO11" s="123" cm="1">
        <f t="array" ref="DO11">INDEX(Properties!$D:$D,$B11+5)*(IF(DO$3=INDEX(Properties!$Q:$Q,$B11+5),INDEX(Properties!$M:$M,$B11+5)+INDEX(Properties!$O:$O,$B11+5),0))</f>
        <v>0</v>
      </c>
      <c r="DP11" s="123" cm="1">
        <f t="array" ref="DP11">INDEX(Properties!$D:$D,$B11+5)*(IF(DP$3=INDEX(Properties!$Q:$Q,$B11+5),INDEX(Properties!$M:$M,$B11+5)+INDEX(Properties!$O:$O,$B11+5),0))</f>
        <v>0</v>
      </c>
      <c r="DQ11" s="123" cm="1">
        <f t="array" ref="DQ11">INDEX(Properties!$D:$D,$B11+5)*(IF(DQ$3=INDEX(Properties!$Q:$Q,$B11+5),INDEX(Properties!$M:$M,$B11+5)+INDEX(Properties!$O:$O,$B11+5),0))</f>
        <v>0</v>
      </c>
      <c r="DR11" s="123" cm="1">
        <f t="array" ref="DR11">INDEX(Properties!$D:$D,$B11+5)*(IF(DR$3=INDEX(Properties!$Q:$Q,$B11+5),INDEX(Properties!$M:$M,$B11+5)+INDEX(Properties!$O:$O,$B11+5),0))</f>
        <v>0</v>
      </c>
    </row>
    <row r="12" spans="1:122" ht="16.05" customHeight="1" x14ac:dyDescent="0.3">
      <c r="A12" s="148" t="str" cm="1">
        <f t="array" ref="A12">INDEX(Properties!$E:$E,$B12+5)</f>
        <v>Casa Monte Sereno</v>
      </c>
      <c r="B12" s="1">
        <v>5</v>
      </c>
      <c r="C12" s="123" cm="1">
        <f t="array" ref="C12">INDEX(Properties!$D:$D,$B12+5)*(IF(C$3=INDEX(Properties!$Q:$Q,$B12+5),INDEX(Properties!$M:$M,$B12+5)+INDEX(Properties!$O:$O,$B12+5),0))</f>
        <v>0</v>
      </c>
      <c r="D12" s="123" cm="1">
        <f t="array" ref="D12">INDEX(Properties!$D:$D,$B12+5)*(IF(D$3=INDEX(Properties!$Q:$Q,$B12+5),INDEX(Properties!$M:$M,$B12+5)+INDEX(Properties!$O:$O,$B12+5),0))</f>
        <v>0</v>
      </c>
      <c r="E12" s="123" cm="1">
        <f t="array" ref="E12">INDEX(Properties!$D:$D,$B12+5)*(IF(E$3=INDEX(Properties!$Q:$Q,$B12+5),INDEX(Properties!$M:$M,$B12+5)+INDEX(Properties!$O:$O,$B12+5),0))</f>
        <v>0</v>
      </c>
      <c r="F12" s="123" cm="1">
        <f t="array" ref="F12">INDEX(Properties!$D:$D,$B12+5)*(IF(F$3=INDEX(Properties!$Q:$Q,$B12+5),INDEX(Properties!$M:$M,$B12+5)+INDEX(Properties!$O:$O,$B12+5),0))</f>
        <v>0</v>
      </c>
      <c r="G12" s="123" cm="1">
        <f t="array" ref="G12">INDEX(Properties!$D:$D,$B12+5)*(IF(G$3=INDEX(Properties!$Q:$Q,$B12+5),INDEX(Properties!$M:$M,$B12+5)+INDEX(Properties!$O:$O,$B12+5),0))</f>
        <v>1326860.8414239481</v>
      </c>
      <c r="H12" s="123" cm="1">
        <f t="array" ref="H12">INDEX(Properties!$D:$D,$B12+5)*(IF(H$3=INDEX(Properties!$Q:$Q,$B12+5),INDEX(Properties!$M:$M,$B12+5)+INDEX(Properties!$O:$O,$B12+5),0))</f>
        <v>0</v>
      </c>
      <c r="I12" s="123" cm="1">
        <f t="array" ref="I12">INDEX(Properties!$D:$D,$B12+5)*(IF(I$3=INDEX(Properties!$Q:$Q,$B12+5),INDEX(Properties!$M:$M,$B12+5)+INDEX(Properties!$O:$O,$B12+5),0))</f>
        <v>0</v>
      </c>
      <c r="J12" s="123" cm="1">
        <f t="array" ref="J12">INDEX(Properties!$D:$D,$B12+5)*(IF(J$3=INDEX(Properties!$Q:$Q,$B12+5),INDEX(Properties!$M:$M,$B12+5)+INDEX(Properties!$O:$O,$B12+5),0))</f>
        <v>0</v>
      </c>
      <c r="K12" s="123" cm="1">
        <f t="array" ref="K12">INDEX(Properties!$D:$D,$B12+5)*(IF(K$3=INDEX(Properties!$Q:$Q,$B12+5),INDEX(Properties!$M:$M,$B12+5)+INDEX(Properties!$O:$O,$B12+5),0))</f>
        <v>0</v>
      </c>
      <c r="L12" s="123" cm="1">
        <f t="array" ref="L12">INDEX(Properties!$D:$D,$B12+5)*(IF(L$3=INDEX(Properties!$Q:$Q,$B12+5),INDEX(Properties!$M:$M,$B12+5)+INDEX(Properties!$O:$O,$B12+5),0))</f>
        <v>0</v>
      </c>
      <c r="M12" s="123" cm="1">
        <f t="array" ref="M12">INDEX(Properties!$D:$D,$B12+5)*(IF(M$3=INDEX(Properties!$Q:$Q,$B12+5),INDEX(Properties!$M:$M,$B12+5)+INDEX(Properties!$O:$O,$B12+5),0))</f>
        <v>0</v>
      </c>
      <c r="N12" s="123" cm="1">
        <f t="array" ref="N12">INDEX(Properties!$D:$D,$B12+5)*(IF(N$3=INDEX(Properties!$Q:$Q,$B12+5),INDEX(Properties!$M:$M,$B12+5)+INDEX(Properties!$O:$O,$B12+5),0))</f>
        <v>0</v>
      </c>
      <c r="O12" s="123" cm="1">
        <f t="array" ref="O12">INDEX(Properties!$D:$D,$B12+5)*(IF(O$3=INDEX(Properties!$Q:$Q,$B12+5),INDEX(Properties!$M:$M,$B12+5)+INDEX(Properties!$O:$O,$B12+5),0))</f>
        <v>0</v>
      </c>
      <c r="P12" s="123" cm="1">
        <f t="array" ref="P12">INDEX(Properties!$D:$D,$B12+5)*(IF(P$3=INDEX(Properties!$Q:$Q,$B12+5),INDEX(Properties!$M:$M,$B12+5)+INDEX(Properties!$O:$O,$B12+5),0))</f>
        <v>0</v>
      </c>
      <c r="Q12" s="123" cm="1">
        <f t="array" ref="Q12">INDEX(Properties!$D:$D,$B12+5)*(IF(Q$3=INDEX(Properties!$Q:$Q,$B12+5),INDEX(Properties!$M:$M,$B12+5)+INDEX(Properties!$O:$O,$B12+5),0))</f>
        <v>0</v>
      </c>
      <c r="R12" s="123" cm="1">
        <f t="array" ref="R12">INDEX(Properties!$D:$D,$B12+5)*(IF(R$3=INDEX(Properties!$Q:$Q,$B12+5),INDEX(Properties!$M:$M,$B12+5)+INDEX(Properties!$O:$O,$B12+5),0))</f>
        <v>0</v>
      </c>
      <c r="S12" s="123" cm="1">
        <f t="array" ref="S12">INDEX(Properties!$D:$D,$B12+5)*(IF(S$3=INDEX(Properties!$Q:$Q,$B12+5),INDEX(Properties!$M:$M,$B12+5)+INDEX(Properties!$O:$O,$B12+5),0))</f>
        <v>0</v>
      </c>
      <c r="T12" s="123" cm="1">
        <f t="array" ref="T12">INDEX(Properties!$D:$D,$B12+5)*(IF(T$3=INDEX(Properties!$Q:$Q,$B12+5),INDEX(Properties!$M:$M,$B12+5)+INDEX(Properties!$O:$O,$B12+5),0))</f>
        <v>0</v>
      </c>
      <c r="U12" s="123" cm="1">
        <f t="array" ref="U12">INDEX(Properties!$D:$D,$B12+5)*(IF(U$3=INDEX(Properties!$Q:$Q,$B12+5),INDEX(Properties!$M:$M,$B12+5)+INDEX(Properties!$O:$O,$B12+5),0))</f>
        <v>0</v>
      </c>
      <c r="V12" s="123" cm="1">
        <f t="array" ref="V12">INDEX(Properties!$D:$D,$B12+5)*(IF(V$3=INDEX(Properties!$Q:$Q,$B12+5),INDEX(Properties!$M:$M,$B12+5)+INDEX(Properties!$O:$O,$B12+5),0))</f>
        <v>0</v>
      </c>
      <c r="W12" s="123" cm="1">
        <f t="array" ref="W12">INDEX(Properties!$D:$D,$B12+5)*(IF(W$3=INDEX(Properties!$Q:$Q,$B12+5),INDEX(Properties!$M:$M,$B12+5)+INDEX(Properties!$O:$O,$B12+5),0))</f>
        <v>0</v>
      </c>
      <c r="X12" s="123" cm="1">
        <f t="array" ref="X12">INDEX(Properties!$D:$D,$B12+5)*(IF(X$3=INDEX(Properties!$Q:$Q,$B12+5),INDEX(Properties!$M:$M,$B12+5)+INDEX(Properties!$O:$O,$B12+5),0))</f>
        <v>0</v>
      </c>
      <c r="Y12" s="123" cm="1">
        <f t="array" ref="Y12">INDEX(Properties!$D:$D,$B12+5)*(IF(Y$3=INDEX(Properties!$Q:$Q,$B12+5),INDEX(Properties!$M:$M,$B12+5)+INDEX(Properties!$O:$O,$B12+5),0))</f>
        <v>0</v>
      </c>
      <c r="Z12" s="123" cm="1">
        <f t="array" ref="Z12">INDEX(Properties!$D:$D,$B12+5)*(IF(Z$3=INDEX(Properties!$Q:$Q,$B12+5),INDEX(Properties!$M:$M,$B12+5)+INDEX(Properties!$O:$O,$B12+5),0))</f>
        <v>0</v>
      </c>
      <c r="AA12" s="123" cm="1">
        <f t="array" ref="AA12">INDEX(Properties!$D:$D,$B12+5)*(IF(AA$3=INDEX(Properties!$Q:$Q,$B12+5),INDEX(Properties!$M:$M,$B12+5)+INDEX(Properties!$O:$O,$B12+5),0))</f>
        <v>0</v>
      </c>
      <c r="AB12" s="123" cm="1">
        <f t="array" ref="AB12">INDEX(Properties!$D:$D,$B12+5)*(IF(AB$3=INDEX(Properties!$Q:$Q,$B12+5),INDEX(Properties!$M:$M,$B12+5)+INDEX(Properties!$O:$O,$B12+5),0))</f>
        <v>0</v>
      </c>
      <c r="AC12" s="123" cm="1">
        <f t="array" ref="AC12">INDEX(Properties!$D:$D,$B12+5)*(IF(AC$3=INDEX(Properties!$Q:$Q,$B12+5),INDEX(Properties!$M:$M,$B12+5)+INDEX(Properties!$O:$O,$B12+5),0))</f>
        <v>0</v>
      </c>
      <c r="AD12" s="123" cm="1">
        <f t="array" ref="AD12">INDEX(Properties!$D:$D,$B12+5)*(IF(AD$3=INDEX(Properties!$Q:$Q,$B12+5),INDEX(Properties!$M:$M,$B12+5)+INDEX(Properties!$O:$O,$B12+5),0))</f>
        <v>0</v>
      </c>
      <c r="AE12" s="123" cm="1">
        <f t="array" ref="AE12">INDEX(Properties!$D:$D,$B12+5)*(IF(AE$3=INDEX(Properties!$Q:$Q,$B12+5),INDEX(Properties!$M:$M,$B12+5)+INDEX(Properties!$O:$O,$B12+5),0))</f>
        <v>0</v>
      </c>
      <c r="AF12" s="123" cm="1">
        <f t="array" ref="AF12">INDEX(Properties!$D:$D,$B12+5)*(IF(AF$3=INDEX(Properties!$Q:$Q,$B12+5),INDEX(Properties!$M:$M,$B12+5)+INDEX(Properties!$O:$O,$B12+5),0))</f>
        <v>0</v>
      </c>
      <c r="AG12" s="123" cm="1">
        <f t="array" ref="AG12">INDEX(Properties!$D:$D,$B12+5)*(IF(AG$3=INDEX(Properties!$Q:$Q,$B12+5),INDEX(Properties!$M:$M,$B12+5)+INDEX(Properties!$O:$O,$B12+5),0))</f>
        <v>0</v>
      </c>
      <c r="AH12" s="123" cm="1">
        <f t="array" ref="AH12">INDEX(Properties!$D:$D,$B12+5)*(IF(AH$3=INDEX(Properties!$Q:$Q,$B12+5),INDEX(Properties!$M:$M,$B12+5)+INDEX(Properties!$O:$O,$B12+5),0))</f>
        <v>0</v>
      </c>
      <c r="AI12" s="123" cm="1">
        <f t="array" ref="AI12">INDEX(Properties!$D:$D,$B12+5)*(IF(AI$3=INDEX(Properties!$Q:$Q,$B12+5),INDEX(Properties!$M:$M,$B12+5)+INDEX(Properties!$O:$O,$B12+5),0))</f>
        <v>0</v>
      </c>
      <c r="AJ12" s="123" cm="1">
        <f t="array" ref="AJ12">INDEX(Properties!$D:$D,$B12+5)*(IF(AJ$3=INDEX(Properties!$Q:$Q,$B12+5),INDEX(Properties!$M:$M,$B12+5)+INDEX(Properties!$O:$O,$B12+5),0))</f>
        <v>0</v>
      </c>
      <c r="AK12" s="123" cm="1">
        <f t="array" ref="AK12">INDEX(Properties!$D:$D,$B12+5)*(IF(AK$3=INDEX(Properties!$Q:$Q,$B12+5),INDEX(Properties!$M:$M,$B12+5)+INDEX(Properties!$O:$O,$B12+5),0))</f>
        <v>0</v>
      </c>
      <c r="AL12" s="123" cm="1">
        <f t="array" ref="AL12">INDEX(Properties!$D:$D,$B12+5)*(IF(AL$3=INDEX(Properties!$Q:$Q,$B12+5),INDEX(Properties!$M:$M,$B12+5)+INDEX(Properties!$O:$O,$B12+5),0))</f>
        <v>0</v>
      </c>
      <c r="AM12" s="123" cm="1">
        <f t="array" ref="AM12">INDEX(Properties!$D:$D,$B12+5)*(IF(AM$3=INDEX(Properties!$Q:$Q,$B12+5),INDEX(Properties!$M:$M,$B12+5)+INDEX(Properties!$O:$O,$B12+5),0))</f>
        <v>0</v>
      </c>
      <c r="AN12" s="123" cm="1">
        <f t="array" ref="AN12">INDEX(Properties!$D:$D,$B12+5)*(IF(AN$3=INDEX(Properties!$Q:$Q,$B12+5),INDEX(Properties!$M:$M,$B12+5)+INDEX(Properties!$O:$O,$B12+5),0))</f>
        <v>0</v>
      </c>
      <c r="AO12" s="123" cm="1">
        <f t="array" ref="AO12">INDEX(Properties!$D:$D,$B12+5)*(IF(AO$3=INDEX(Properties!$Q:$Q,$B12+5),INDEX(Properties!$M:$M,$B12+5)+INDEX(Properties!$O:$O,$B12+5),0))</f>
        <v>0</v>
      </c>
      <c r="AP12" s="123" cm="1">
        <f t="array" ref="AP12">INDEX(Properties!$D:$D,$B12+5)*(IF(AP$3=INDEX(Properties!$Q:$Q,$B12+5),INDEX(Properties!$M:$M,$B12+5)+INDEX(Properties!$O:$O,$B12+5),0))</f>
        <v>0</v>
      </c>
      <c r="AQ12" s="123" cm="1">
        <f t="array" ref="AQ12">INDEX(Properties!$D:$D,$B12+5)*(IF(AQ$3=INDEX(Properties!$Q:$Q,$B12+5),INDEX(Properties!$M:$M,$B12+5)+INDEX(Properties!$O:$O,$B12+5),0))</f>
        <v>0</v>
      </c>
      <c r="AR12" s="123" cm="1">
        <f t="array" ref="AR12">INDEX(Properties!$D:$D,$B12+5)*(IF(AR$3=INDEX(Properties!$Q:$Q,$B12+5),INDEX(Properties!$M:$M,$B12+5)+INDEX(Properties!$O:$O,$B12+5),0))</f>
        <v>0</v>
      </c>
      <c r="AS12" s="123" cm="1">
        <f t="array" ref="AS12">INDEX(Properties!$D:$D,$B12+5)*(IF(AS$3=INDEX(Properties!$Q:$Q,$B12+5),INDEX(Properties!$M:$M,$B12+5)+INDEX(Properties!$O:$O,$B12+5),0))</f>
        <v>0</v>
      </c>
      <c r="AT12" s="123" cm="1">
        <f t="array" ref="AT12">INDEX(Properties!$D:$D,$B12+5)*(IF(AT$3=INDEX(Properties!$Q:$Q,$B12+5),INDEX(Properties!$M:$M,$B12+5)+INDEX(Properties!$O:$O,$B12+5),0))</f>
        <v>0</v>
      </c>
      <c r="AU12" s="123" cm="1">
        <f t="array" ref="AU12">INDEX(Properties!$D:$D,$B12+5)*(IF(AU$3=INDEX(Properties!$Q:$Q,$B12+5),INDEX(Properties!$M:$M,$B12+5)+INDEX(Properties!$O:$O,$B12+5),0))</f>
        <v>0</v>
      </c>
      <c r="AV12" s="123" cm="1">
        <f t="array" ref="AV12">INDEX(Properties!$D:$D,$B12+5)*(IF(AV$3=INDEX(Properties!$Q:$Q,$B12+5),INDEX(Properties!$M:$M,$B12+5)+INDEX(Properties!$O:$O,$B12+5),0))</f>
        <v>0</v>
      </c>
      <c r="AW12" s="123" cm="1">
        <f t="array" ref="AW12">INDEX(Properties!$D:$D,$B12+5)*(IF(AW$3=INDEX(Properties!$Q:$Q,$B12+5),INDEX(Properties!$M:$M,$B12+5)+INDEX(Properties!$O:$O,$B12+5),0))</f>
        <v>0</v>
      </c>
      <c r="AX12" s="123" cm="1">
        <f t="array" ref="AX12">INDEX(Properties!$D:$D,$B12+5)*(IF(AX$3=INDEX(Properties!$Q:$Q,$B12+5),INDEX(Properties!$M:$M,$B12+5)+INDEX(Properties!$O:$O,$B12+5),0))</f>
        <v>0</v>
      </c>
      <c r="AY12" s="123" cm="1">
        <f t="array" ref="AY12">INDEX(Properties!$D:$D,$B12+5)*(IF(AY$3=INDEX(Properties!$Q:$Q,$B12+5),INDEX(Properties!$M:$M,$B12+5)+INDEX(Properties!$O:$O,$B12+5),0))</f>
        <v>0</v>
      </c>
      <c r="AZ12" s="123" cm="1">
        <f t="array" ref="AZ12">INDEX(Properties!$D:$D,$B12+5)*(IF(AZ$3=INDEX(Properties!$Q:$Q,$B12+5),INDEX(Properties!$M:$M,$B12+5)+INDEX(Properties!$O:$O,$B12+5),0))</f>
        <v>0</v>
      </c>
      <c r="BA12" s="123" cm="1">
        <f t="array" ref="BA12">INDEX(Properties!$D:$D,$B12+5)*(IF(BA$3=INDEX(Properties!$Q:$Q,$B12+5),INDEX(Properties!$M:$M,$B12+5)+INDEX(Properties!$O:$O,$B12+5),0))</f>
        <v>0</v>
      </c>
      <c r="BB12" s="123" cm="1">
        <f t="array" ref="BB12">INDEX(Properties!$D:$D,$B12+5)*(IF(BB$3=INDEX(Properties!$Q:$Q,$B12+5),INDEX(Properties!$M:$M,$B12+5)+INDEX(Properties!$O:$O,$B12+5),0))</f>
        <v>0</v>
      </c>
      <c r="BC12" s="123" cm="1">
        <f t="array" ref="BC12">INDEX(Properties!$D:$D,$B12+5)*(IF(BC$3=INDEX(Properties!$Q:$Q,$B12+5),INDEX(Properties!$M:$M,$B12+5)+INDEX(Properties!$O:$O,$B12+5),0))</f>
        <v>0</v>
      </c>
      <c r="BD12" s="123" cm="1">
        <f t="array" ref="BD12">INDEX(Properties!$D:$D,$B12+5)*(IF(BD$3=INDEX(Properties!$Q:$Q,$B12+5),INDEX(Properties!$M:$M,$B12+5)+INDEX(Properties!$O:$O,$B12+5),0))</f>
        <v>0</v>
      </c>
      <c r="BE12" s="123" cm="1">
        <f t="array" ref="BE12">INDEX(Properties!$D:$D,$B12+5)*(IF(BE$3=INDEX(Properties!$Q:$Q,$B12+5),INDEX(Properties!$M:$M,$B12+5)+INDEX(Properties!$O:$O,$B12+5),0))</f>
        <v>0</v>
      </c>
      <c r="BF12" s="123" cm="1">
        <f t="array" ref="BF12">INDEX(Properties!$D:$D,$B12+5)*(IF(BF$3=INDEX(Properties!$Q:$Q,$B12+5),INDEX(Properties!$M:$M,$B12+5)+INDEX(Properties!$O:$O,$B12+5),0))</f>
        <v>0</v>
      </c>
      <c r="BG12" s="123" cm="1">
        <f t="array" ref="BG12">INDEX(Properties!$D:$D,$B12+5)*(IF(BG$3=INDEX(Properties!$Q:$Q,$B12+5),INDEX(Properties!$M:$M,$B12+5)+INDEX(Properties!$O:$O,$B12+5),0))</f>
        <v>0</v>
      </c>
      <c r="BH12" s="123" cm="1">
        <f t="array" ref="BH12">INDEX(Properties!$D:$D,$B12+5)*(IF(BH$3=INDEX(Properties!$Q:$Q,$B12+5),INDEX(Properties!$M:$M,$B12+5)+INDEX(Properties!$O:$O,$B12+5),0))</f>
        <v>0</v>
      </c>
      <c r="BI12" s="123" cm="1">
        <f t="array" ref="BI12">INDEX(Properties!$D:$D,$B12+5)*(IF(BI$3=INDEX(Properties!$Q:$Q,$B12+5),INDEX(Properties!$M:$M,$B12+5)+INDEX(Properties!$O:$O,$B12+5),0))</f>
        <v>0</v>
      </c>
      <c r="BJ12" s="123" cm="1">
        <f t="array" ref="BJ12">INDEX(Properties!$D:$D,$B12+5)*(IF(BJ$3=INDEX(Properties!$Q:$Q,$B12+5),INDEX(Properties!$M:$M,$B12+5)+INDEX(Properties!$O:$O,$B12+5),0))</f>
        <v>0</v>
      </c>
      <c r="BK12" s="123" cm="1">
        <f t="array" ref="BK12">INDEX(Properties!$D:$D,$B12+5)*(IF(BK$3=INDEX(Properties!$Q:$Q,$B12+5),INDEX(Properties!$M:$M,$B12+5)+INDEX(Properties!$O:$O,$B12+5),0))</f>
        <v>0</v>
      </c>
      <c r="BL12" s="123" cm="1">
        <f t="array" ref="BL12">INDEX(Properties!$D:$D,$B12+5)*(IF(BL$3=INDEX(Properties!$Q:$Q,$B12+5),INDEX(Properties!$M:$M,$B12+5)+INDEX(Properties!$O:$O,$B12+5),0))</f>
        <v>0</v>
      </c>
      <c r="BM12" s="123" cm="1">
        <f t="array" ref="BM12">INDEX(Properties!$D:$D,$B12+5)*(IF(BM$3=INDEX(Properties!$Q:$Q,$B12+5),INDEX(Properties!$M:$M,$B12+5)+INDEX(Properties!$O:$O,$B12+5),0))</f>
        <v>0</v>
      </c>
      <c r="BN12" s="123" cm="1">
        <f t="array" ref="BN12">INDEX(Properties!$D:$D,$B12+5)*(IF(BN$3=INDEX(Properties!$Q:$Q,$B12+5),INDEX(Properties!$M:$M,$B12+5)+INDEX(Properties!$O:$O,$B12+5),0))</f>
        <v>0</v>
      </c>
      <c r="BO12" s="123" cm="1">
        <f t="array" ref="BO12">INDEX(Properties!$D:$D,$B12+5)*(IF(BO$3=INDEX(Properties!$Q:$Q,$B12+5),INDEX(Properties!$M:$M,$B12+5)+INDEX(Properties!$O:$O,$B12+5),0))</f>
        <v>0</v>
      </c>
      <c r="BP12" s="123" cm="1">
        <f t="array" ref="BP12">INDEX(Properties!$D:$D,$B12+5)*(IF(BP$3=INDEX(Properties!$Q:$Q,$B12+5),INDEX(Properties!$M:$M,$B12+5)+INDEX(Properties!$O:$O,$B12+5),0))</f>
        <v>0</v>
      </c>
      <c r="BQ12" s="123" cm="1">
        <f t="array" ref="BQ12">INDEX(Properties!$D:$D,$B12+5)*(IF(BQ$3=INDEX(Properties!$Q:$Q,$B12+5),INDEX(Properties!$M:$M,$B12+5)+INDEX(Properties!$O:$O,$B12+5),0))</f>
        <v>0</v>
      </c>
      <c r="BR12" s="123" cm="1">
        <f t="array" ref="BR12">INDEX(Properties!$D:$D,$B12+5)*(IF(BR$3=INDEX(Properties!$Q:$Q,$B12+5),INDEX(Properties!$M:$M,$B12+5)+INDEX(Properties!$O:$O,$B12+5),0))</f>
        <v>0</v>
      </c>
      <c r="BS12" s="123" cm="1">
        <f t="array" ref="BS12">INDEX(Properties!$D:$D,$B12+5)*(IF(BS$3=INDEX(Properties!$Q:$Q,$B12+5),INDEX(Properties!$M:$M,$B12+5)+INDEX(Properties!$O:$O,$B12+5),0))</f>
        <v>0</v>
      </c>
      <c r="BT12" s="123" cm="1">
        <f t="array" ref="BT12">INDEX(Properties!$D:$D,$B12+5)*(IF(BT$3=INDEX(Properties!$Q:$Q,$B12+5),INDEX(Properties!$M:$M,$B12+5)+INDEX(Properties!$O:$O,$B12+5),0))</f>
        <v>0</v>
      </c>
      <c r="BU12" s="123" cm="1">
        <f t="array" ref="BU12">INDEX(Properties!$D:$D,$B12+5)*(IF(BU$3=INDEX(Properties!$Q:$Q,$B12+5),INDEX(Properties!$M:$M,$B12+5)+INDEX(Properties!$O:$O,$B12+5),0))</f>
        <v>0</v>
      </c>
      <c r="BV12" s="123" cm="1">
        <f t="array" ref="BV12">INDEX(Properties!$D:$D,$B12+5)*(IF(BV$3=INDEX(Properties!$Q:$Q,$B12+5),INDEX(Properties!$M:$M,$B12+5)+INDEX(Properties!$O:$O,$B12+5),0))</f>
        <v>0</v>
      </c>
      <c r="BW12" s="123" cm="1">
        <f t="array" ref="BW12">INDEX(Properties!$D:$D,$B12+5)*(IF(BW$3=INDEX(Properties!$Q:$Q,$B12+5),INDEX(Properties!$M:$M,$B12+5)+INDEX(Properties!$O:$O,$B12+5),0))</f>
        <v>0</v>
      </c>
      <c r="BX12" s="123" cm="1">
        <f t="array" ref="BX12">INDEX(Properties!$D:$D,$B12+5)*(IF(BX$3=INDEX(Properties!$Q:$Q,$B12+5),INDEX(Properties!$M:$M,$B12+5)+INDEX(Properties!$O:$O,$B12+5),0))</f>
        <v>0</v>
      </c>
      <c r="BY12" s="123" cm="1">
        <f t="array" ref="BY12">INDEX(Properties!$D:$D,$B12+5)*(IF(BY$3=INDEX(Properties!$Q:$Q,$B12+5),INDEX(Properties!$M:$M,$B12+5)+INDEX(Properties!$O:$O,$B12+5),0))</f>
        <v>0</v>
      </c>
      <c r="BZ12" s="123" cm="1">
        <f t="array" ref="BZ12">INDEX(Properties!$D:$D,$B12+5)*(IF(BZ$3=INDEX(Properties!$Q:$Q,$B12+5),INDEX(Properties!$M:$M,$B12+5)+INDEX(Properties!$O:$O,$B12+5),0))</f>
        <v>0</v>
      </c>
      <c r="CA12" s="123" cm="1">
        <f t="array" ref="CA12">INDEX(Properties!$D:$D,$B12+5)*(IF(CA$3=INDEX(Properties!$Q:$Q,$B12+5),INDEX(Properties!$M:$M,$B12+5)+INDEX(Properties!$O:$O,$B12+5),0))</f>
        <v>0</v>
      </c>
      <c r="CB12" s="123" cm="1">
        <f t="array" ref="CB12">INDEX(Properties!$D:$D,$B12+5)*(IF(CB$3=INDEX(Properties!$Q:$Q,$B12+5),INDEX(Properties!$M:$M,$B12+5)+INDEX(Properties!$O:$O,$B12+5),0))</f>
        <v>0</v>
      </c>
      <c r="CC12" s="123" cm="1">
        <f t="array" ref="CC12">INDEX(Properties!$D:$D,$B12+5)*(IF(CC$3=INDEX(Properties!$Q:$Q,$B12+5),INDEX(Properties!$M:$M,$B12+5)+INDEX(Properties!$O:$O,$B12+5),0))</f>
        <v>0</v>
      </c>
      <c r="CD12" s="123" cm="1">
        <f t="array" ref="CD12">INDEX(Properties!$D:$D,$B12+5)*(IF(CD$3=INDEX(Properties!$Q:$Q,$B12+5),INDEX(Properties!$M:$M,$B12+5)+INDEX(Properties!$O:$O,$B12+5),0))</f>
        <v>0</v>
      </c>
      <c r="CE12" s="123" cm="1">
        <f t="array" ref="CE12">INDEX(Properties!$D:$D,$B12+5)*(IF(CE$3=INDEX(Properties!$Q:$Q,$B12+5),INDEX(Properties!$M:$M,$B12+5)+INDEX(Properties!$O:$O,$B12+5),0))</f>
        <v>0</v>
      </c>
      <c r="CF12" s="123" cm="1">
        <f t="array" ref="CF12">INDEX(Properties!$D:$D,$B12+5)*(IF(CF$3=INDEX(Properties!$Q:$Q,$B12+5),INDEX(Properties!$M:$M,$B12+5)+INDEX(Properties!$O:$O,$B12+5),0))</f>
        <v>0</v>
      </c>
      <c r="CG12" s="123" cm="1">
        <f t="array" ref="CG12">INDEX(Properties!$D:$D,$B12+5)*(IF(CG$3=INDEX(Properties!$Q:$Q,$B12+5),INDEX(Properties!$M:$M,$B12+5)+INDEX(Properties!$O:$O,$B12+5),0))</f>
        <v>0</v>
      </c>
      <c r="CH12" s="123" cm="1">
        <f t="array" ref="CH12">INDEX(Properties!$D:$D,$B12+5)*(IF(CH$3=INDEX(Properties!$Q:$Q,$B12+5),INDEX(Properties!$M:$M,$B12+5)+INDEX(Properties!$O:$O,$B12+5),0))</f>
        <v>0</v>
      </c>
      <c r="CI12" s="123" cm="1">
        <f t="array" ref="CI12">INDEX(Properties!$D:$D,$B12+5)*(IF(CI$3=INDEX(Properties!$Q:$Q,$B12+5),INDEX(Properties!$M:$M,$B12+5)+INDEX(Properties!$O:$O,$B12+5),0))</f>
        <v>0</v>
      </c>
      <c r="CJ12" s="123" cm="1">
        <f t="array" ref="CJ12">INDEX(Properties!$D:$D,$B12+5)*(IF(CJ$3=INDEX(Properties!$Q:$Q,$B12+5),INDEX(Properties!$M:$M,$B12+5)+INDEX(Properties!$O:$O,$B12+5),0))</f>
        <v>0</v>
      </c>
      <c r="CK12" s="123" cm="1">
        <f t="array" ref="CK12">INDEX(Properties!$D:$D,$B12+5)*(IF(CK$3=INDEX(Properties!$Q:$Q,$B12+5),INDEX(Properties!$M:$M,$B12+5)+INDEX(Properties!$O:$O,$B12+5),0))</f>
        <v>0</v>
      </c>
      <c r="CL12" s="123" cm="1">
        <f t="array" ref="CL12">INDEX(Properties!$D:$D,$B12+5)*(IF(CL$3=INDEX(Properties!$Q:$Q,$B12+5),INDEX(Properties!$M:$M,$B12+5)+INDEX(Properties!$O:$O,$B12+5),0))</f>
        <v>0</v>
      </c>
      <c r="CM12" s="123" cm="1">
        <f t="array" ref="CM12">INDEX(Properties!$D:$D,$B12+5)*(IF(CM$3=INDEX(Properties!$Q:$Q,$B12+5),INDEX(Properties!$M:$M,$B12+5)+INDEX(Properties!$O:$O,$B12+5),0))</f>
        <v>0</v>
      </c>
      <c r="CN12" s="123" cm="1">
        <f t="array" ref="CN12">INDEX(Properties!$D:$D,$B12+5)*(IF(CN$3=INDEX(Properties!$Q:$Q,$B12+5),INDEX(Properties!$M:$M,$B12+5)+INDEX(Properties!$O:$O,$B12+5),0))</f>
        <v>0</v>
      </c>
      <c r="CO12" s="123" cm="1">
        <f t="array" ref="CO12">INDEX(Properties!$D:$D,$B12+5)*(IF(CO$3=INDEX(Properties!$Q:$Q,$B12+5),INDEX(Properties!$M:$M,$B12+5)+INDEX(Properties!$O:$O,$B12+5),0))</f>
        <v>0</v>
      </c>
      <c r="CP12" s="123" cm="1">
        <f t="array" ref="CP12">INDEX(Properties!$D:$D,$B12+5)*(IF(CP$3=INDEX(Properties!$Q:$Q,$B12+5),INDEX(Properties!$M:$M,$B12+5)+INDEX(Properties!$O:$O,$B12+5),0))</f>
        <v>0</v>
      </c>
      <c r="CQ12" s="123" cm="1">
        <f t="array" ref="CQ12">INDEX(Properties!$D:$D,$B12+5)*(IF(CQ$3=INDEX(Properties!$Q:$Q,$B12+5),INDEX(Properties!$M:$M,$B12+5)+INDEX(Properties!$O:$O,$B12+5),0))</f>
        <v>0</v>
      </c>
      <c r="CR12" s="123" cm="1">
        <f t="array" ref="CR12">INDEX(Properties!$D:$D,$B12+5)*(IF(CR$3=INDEX(Properties!$Q:$Q,$B12+5),INDEX(Properties!$M:$M,$B12+5)+INDEX(Properties!$O:$O,$B12+5),0))</f>
        <v>0</v>
      </c>
      <c r="CS12" s="123" cm="1">
        <f t="array" ref="CS12">INDEX(Properties!$D:$D,$B12+5)*(IF(CS$3=INDEX(Properties!$Q:$Q,$B12+5),INDEX(Properties!$M:$M,$B12+5)+INDEX(Properties!$O:$O,$B12+5),0))</f>
        <v>0</v>
      </c>
      <c r="CT12" s="123" cm="1">
        <f t="array" ref="CT12">INDEX(Properties!$D:$D,$B12+5)*(IF(CT$3=INDEX(Properties!$Q:$Q,$B12+5),INDEX(Properties!$M:$M,$B12+5)+INDEX(Properties!$O:$O,$B12+5),0))</f>
        <v>0</v>
      </c>
      <c r="CU12" s="123" cm="1">
        <f t="array" ref="CU12">INDEX(Properties!$D:$D,$B12+5)*(IF(CU$3=INDEX(Properties!$Q:$Q,$B12+5),INDEX(Properties!$M:$M,$B12+5)+INDEX(Properties!$O:$O,$B12+5),0))</f>
        <v>0</v>
      </c>
      <c r="CV12" s="123" cm="1">
        <f t="array" ref="CV12">INDEX(Properties!$D:$D,$B12+5)*(IF(CV$3=INDEX(Properties!$Q:$Q,$B12+5),INDEX(Properties!$M:$M,$B12+5)+INDEX(Properties!$O:$O,$B12+5),0))</f>
        <v>0</v>
      </c>
      <c r="CW12" s="123" cm="1">
        <f t="array" ref="CW12">INDEX(Properties!$D:$D,$B12+5)*(IF(CW$3=INDEX(Properties!$Q:$Q,$B12+5),INDEX(Properties!$M:$M,$B12+5)+INDEX(Properties!$O:$O,$B12+5),0))</f>
        <v>0</v>
      </c>
      <c r="CX12" s="123" cm="1">
        <f t="array" ref="CX12">INDEX(Properties!$D:$D,$B12+5)*(IF(CX$3=INDEX(Properties!$Q:$Q,$B12+5),INDEX(Properties!$M:$M,$B12+5)+INDEX(Properties!$O:$O,$B12+5),0))</f>
        <v>0</v>
      </c>
      <c r="CY12" s="123" cm="1">
        <f t="array" ref="CY12">INDEX(Properties!$D:$D,$B12+5)*(IF(CY$3=INDEX(Properties!$Q:$Q,$B12+5),INDEX(Properties!$M:$M,$B12+5)+INDEX(Properties!$O:$O,$B12+5),0))</f>
        <v>0</v>
      </c>
      <c r="CZ12" s="123" cm="1">
        <f t="array" ref="CZ12">INDEX(Properties!$D:$D,$B12+5)*(IF(CZ$3=INDEX(Properties!$Q:$Q,$B12+5),INDEX(Properties!$M:$M,$B12+5)+INDEX(Properties!$O:$O,$B12+5),0))</f>
        <v>0</v>
      </c>
      <c r="DA12" s="123" cm="1">
        <f t="array" ref="DA12">INDEX(Properties!$D:$D,$B12+5)*(IF(DA$3=INDEX(Properties!$Q:$Q,$B12+5),INDEX(Properties!$M:$M,$B12+5)+INDEX(Properties!$O:$O,$B12+5),0))</f>
        <v>0</v>
      </c>
      <c r="DB12" s="123" cm="1">
        <f t="array" ref="DB12">INDEX(Properties!$D:$D,$B12+5)*(IF(DB$3=INDEX(Properties!$Q:$Q,$B12+5),INDEX(Properties!$M:$M,$B12+5)+INDEX(Properties!$O:$O,$B12+5),0))</f>
        <v>0</v>
      </c>
      <c r="DC12" s="123" cm="1">
        <f t="array" ref="DC12">INDEX(Properties!$D:$D,$B12+5)*(IF(DC$3=INDEX(Properties!$Q:$Q,$B12+5),INDEX(Properties!$M:$M,$B12+5)+INDEX(Properties!$O:$O,$B12+5),0))</f>
        <v>0</v>
      </c>
      <c r="DD12" s="123" cm="1">
        <f t="array" ref="DD12">INDEX(Properties!$D:$D,$B12+5)*(IF(DD$3=INDEX(Properties!$Q:$Q,$B12+5),INDEX(Properties!$M:$M,$B12+5)+INDEX(Properties!$O:$O,$B12+5),0))</f>
        <v>0</v>
      </c>
      <c r="DE12" s="123" cm="1">
        <f t="array" ref="DE12">INDEX(Properties!$D:$D,$B12+5)*(IF(DE$3=INDEX(Properties!$Q:$Q,$B12+5),INDEX(Properties!$M:$M,$B12+5)+INDEX(Properties!$O:$O,$B12+5),0))</f>
        <v>0</v>
      </c>
      <c r="DF12" s="123" cm="1">
        <f t="array" ref="DF12">INDEX(Properties!$D:$D,$B12+5)*(IF(DF$3=INDEX(Properties!$Q:$Q,$B12+5),INDEX(Properties!$M:$M,$B12+5)+INDEX(Properties!$O:$O,$B12+5),0))</f>
        <v>0</v>
      </c>
      <c r="DG12" s="123" cm="1">
        <f t="array" ref="DG12">INDEX(Properties!$D:$D,$B12+5)*(IF(DG$3=INDEX(Properties!$Q:$Q,$B12+5),INDEX(Properties!$M:$M,$B12+5)+INDEX(Properties!$O:$O,$B12+5),0))</f>
        <v>0</v>
      </c>
      <c r="DH12" s="123" cm="1">
        <f t="array" ref="DH12">INDEX(Properties!$D:$D,$B12+5)*(IF(DH$3=INDEX(Properties!$Q:$Q,$B12+5),INDEX(Properties!$M:$M,$B12+5)+INDEX(Properties!$O:$O,$B12+5),0))</f>
        <v>0</v>
      </c>
      <c r="DI12" s="123" cm="1">
        <f t="array" ref="DI12">INDEX(Properties!$D:$D,$B12+5)*(IF(DI$3=INDEX(Properties!$Q:$Q,$B12+5),INDEX(Properties!$M:$M,$B12+5)+INDEX(Properties!$O:$O,$B12+5),0))</f>
        <v>0</v>
      </c>
      <c r="DJ12" s="123" cm="1">
        <f t="array" ref="DJ12">INDEX(Properties!$D:$D,$B12+5)*(IF(DJ$3=INDEX(Properties!$Q:$Q,$B12+5),INDEX(Properties!$M:$M,$B12+5)+INDEX(Properties!$O:$O,$B12+5),0))</f>
        <v>0</v>
      </c>
      <c r="DK12" s="123" cm="1">
        <f t="array" ref="DK12">INDEX(Properties!$D:$D,$B12+5)*(IF(DK$3=INDEX(Properties!$Q:$Q,$B12+5),INDEX(Properties!$M:$M,$B12+5)+INDEX(Properties!$O:$O,$B12+5),0))</f>
        <v>0</v>
      </c>
      <c r="DL12" s="123" cm="1">
        <f t="array" ref="DL12">INDEX(Properties!$D:$D,$B12+5)*(IF(DL$3=INDEX(Properties!$Q:$Q,$B12+5),INDEX(Properties!$M:$M,$B12+5)+INDEX(Properties!$O:$O,$B12+5),0))</f>
        <v>0</v>
      </c>
      <c r="DM12" s="123" cm="1">
        <f t="array" ref="DM12">INDEX(Properties!$D:$D,$B12+5)*(IF(DM$3=INDEX(Properties!$Q:$Q,$B12+5),INDEX(Properties!$M:$M,$B12+5)+INDEX(Properties!$O:$O,$B12+5),0))</f>
        <v>0</v>
      </c>
      <c r="DN12" s="123" cm="1">
        <f t="array" ref="DN12">INDEX(Properties!$D:$D,$B12+5)*(IF(DN$3=INDEX(Properties!$Q:$Q,$B12+5),INDEX(Properties!$M:$M,$B12+5)+INDEX(Properties!$O:$O,$B12+5),0))</f>
        <v>0</v>
      </c>
      <c r="DO12" s="123" cm="1">
        <f t="array" ref="DO12">INDEX(Properties!$D:$D,$B12+5)*(IF(DO$3=INDEX(Properties!$Q:$Q,$B12+5),INDEX(Properties!$M:$M,$B12+5)+INDEX(Properties!$O:$O,$B12+5),0))</f>
        <v>0</v>
      </c>
      <c r="DP12" s="123" cm="1">
        <f t="array" ref="DP12">INDEX(Properties!$D:$D,$B12+5)*(IF(DP$3=INDEX(Properties!$Q:$Q,$B12+5),INDEX(Properties!$M:$M,$B12+5)+INDEX(Properties!$O:$O,$B12+5),0))</f>
        <v>0</v>
      </c>
      <c r="DQ12" s="123" cm="1">
        <f t="array" ref="DQ12">INDEX(Properties!$D:$D,$B12+5)*(IF(DQ$3=INDEX(Properties!$Q:$Q,$B12+5),INDEX(Properties!$M:$M,$B12+5)+INDEX(Properties!$O:$O,$B12+5),0))</f>
        <v>0</v>
      </c>
      <c r="DR12" s="123" cm="1">
        <f t="array" ref="DR12">INDEX(Properties!$D:$D,$B12+5)*(IF(DR$3=INDEX(Properties!$Q:$Q,$B12+5),INDEX(Properties!$M:$M,$B12+5)+INDEX(Properties!$O:$O,$B12+5),0))</f>
        <v>0</v>
      </c>
    </row>
    <row r="13" spans="1:122" ht="16.05" customHeight="1" x14ac:dyDescent="0.3">
      <c r="A13" s="148" cm="1">
        <f t="array" ref="A13">INDEX(Properties!$E:$E,$B13+5)</f>
        <v>0</v>
      </c>
      <c r="B13" s="1">
        <v>6</v>
      </c>
      <c r="C13" s="123" cm="1">
        <f t="array" ref="C13">INDEX(Properties!$D:$D,$B13+5)*(IF(C$3=INDEX(Properties!$Q:$Q,$B13+5),INDEX(Properties!$M:$M,$B13+5)+INDEX(Properties!$O:$O,$B13+5),0))</f>
        <v>0</v>
      </c>
      <c r="D13" s="123" cm="1">
        <f t="array" ref="D13">INDEX(Properties!$D:$D,$B13+5)*(IF(D$3=INDEX(Properties!$Q:$Q,$B13+5),INDEX(Properties!$M:$M,$B13+5)+INDEX(Properties!$O:$O,$B13+5),0))</f>
        <v>0</v>
      </c>
      <c r="E13" s="123" cm="1">
        <f t="array" ref="E13">INDEX(Properties!$D:$D,$B13+5)*(IF(E$3=INDEX(Properties!$Q:$Q,$B13+5),INDEX(Properties!$M:$M,$B13+5)+INDEX(Properties!$O:$O,$B13+5),0))</f>
        <v>0</v>
      </c>
      <c r="F13" s="123" cm="1">
        <f t="array" ref="F13">INDEX(Properties!$D:$D,$B13+5)*(IF(F$3=INDEX(Properties!$Q:$Q,$B13+5),INDEX(Properties!$M:$M,$B13+5)+INDEX(Properties!$O:$O,$B13+5),0))</f>
        <v>0</v>
      </c>
      <c r="G13" s="123" cm="1">
        <f t="array" ref="G13">INDEX(Properties!$D:$D,$B13+5)*(IF(G$3=INDEX(Properties!$Q:$Q,$B13+5),INDEX(Properties!$M:$M,$B13+5)+INDEX(Properties!$O:$O,$B13+5),0))</f>
        <v>0</v>
      </c>
      <c r="H13" s="123" cm="1">
        <f t="array" ref="H13">INDEX(Properties!$D:$D,$B13+5)*(IF(H$3=INDEX(Properties!$Q:$Q,$B13+5),INDEX(Properties!$M:$M,$B13+5)+INDEX(Properties!$O:$O,$B13+5),0))</f>
        <v>0</v>
      </c>
      <c r="I13" s="123" cm="1">
        <f t="array" ref="I13">INDEX(Properties!$D:$D,$B13+5)*(IF(I$3=INDEX(Properties!$Q:$Q,$B13+5),INDEX(Properties!$M:$M,$B13+5)+INDEX(Properties!$O:$O,$B13+5),0))</f>
        <v>0</v>
      </c>
      <c r="J13" s="123" cm="1">
        <f t="array" ref="J13">INDEX(Properties!$D:$D,$B13+5)*(IF(J$3=INDEX(Properties!$Q:$Q,$B13+5),INDEX(Properties!$M:$M,$B13+5)+INDEX(Properties!$O:$O,$B13+5),0))</f>
        <v>0</v>
      </c>
      <c r="K13" s="123" cm="1">
        <f t="array" ref="K13">INDEX(Properties!$D:$D,$B13+5)*(IF(K$3=INDEX(Properties!$Q:$Q,$B13+5),INDEX(Properties!$M:$M,$B13+5)+INDEX(Properties!$O:$O,$B13+5),0))</f>
        <v>0</v>
      </c>
      <c r="L13" s="123" cm="1">
        <f t="array" ref="L13">INDEX(Properties!$D:$D,$B13+5)*(IF(L$3=INDEX(Properties!$Q:$Q,$B13+5),INDEX(Properties!$M:$M,$B13+5)+INDEX(Properties!$O:$O,$B13+5),0))</f>
        <v>0</v>
      </c>
      <c r="M13" s="123" cm="1">
        <f t="array" ref="M13">INDEX(Properties!$D:$D,$B13+5)*(IF(M$3=INDEX(Properties!$Q:$Q,$B13+5),INDEX(Properties!$M:$M,$B13+5)+INDEX(Properties!$O:$O,$B13+5),0))</f>
        <v>0</v>
      </c>
      <c r="N13" s="123" cm="1">
        <f t="array" ref="N13">INDEX(Properties!$D:$D,$B13+5)*(IF(N$3=INDEX(Properties!$Q:$Q,$B13+5),INDEX(Properties!$M:$M,$B13+5)+INDEX(Properties!$O:$O,$B13+5),0))</f>
        <v>0</v>
      </c>
      <c r="O13" s="123" cm="1">
        <f t="array" ref="O13">INDEX(Properties!$D:$D,$B13+5)*(IF(O$3=INDEX(Properties!$Q:$Q,$B13+5),INDEX(Properties!$M:$M,$B13+5)+INDEX(Properties!$O:$O,$B13+5),0))</f>
        <v>0</v>
      </c>
      <c r="P13" s="123" cm="1">
        <f t="array" ref="P13">INDEX(Properties!$D:$D,$B13+5)*(IF(P$3=INDEX(Properties!$Q:$Q,$B13+5),INDEX(Properties!$M:$M,$B13+5)+INDEX(Properties!$O:$O,$B13+5),0))</f>
        <v>0</v>
      </c>
      <c r="Q13" s="123" cm="1">
        <f t="array" ref="Q13">INDEX(Properties!$D:$D,$B13+5)*(IF(Q$3=INDEX(Properties!$Q:$Q,$B13+5),INDEX(Properties!$M:$M,$B13+5)+INDEX(Properties!$O:$O,$B13+5),0))</f>
        <v>0</v>
      </c>
      <c r="R13" s="123" cm="1">
        <f t="array" ref="R13">INDEX(Properties!$D:$D,$B13+5)*(IF(R$3=INDEX(Properties!$Q:$Q,$B13+5),INDEX(Properties!$M:$M,$B13+5)+INDEX(Properties!$O:$O,$B13+5),0))</f>
        <v>0</v>
      </c>
      <c r="S13" s="123" cm="1">
        <f t="array" ref="S13">INDEX(Properties!$D:$D,$B13+5)*(IF(S$3=INDEX(Properties!$Q:$Q,$B13+5),INDEX(Properties!$M:$M,$B13+5)+INDEX(Properties!$O:$O,$B13+5),0))</f>
        <v>0</v>
      </c>
      <c r="T13" s="123" cm="1">
        <f t="array" ref="T13">INDEX(Properties!$D:$D,$B13+5)*(IF(T$3=INDEX(Properties!$Q:$Q,$B13+5),INDEX(Properties!$M:$M,$B13+5)+INDEX(Properties!$O:$O,$B13+5),0))</f>
        <v>0</v>
      </c>
      <c r="U13" s="123" cm="1">
        <f t="array" ref="U13">INDEX(Properties!$D:$D,$B13+5)*(IF(U$3=INDEX(Properties!$Q:$Q,$B13+5),INDEX(Properties!$M:$M,$B13+5)+INDEX(Properties!$O:$O,$B13+5),0))</f>
        <v>0</v>
      </c>
      <c r="V13" s="123" cm="1">
        <f t="array" ref="V13">INDEX(Properties!$D:$D,$B13+5)*(IF(V$3=INDEX(Properties!$Q:$Q,$B13+5),INDEX(Properties!$M:$M,$B13+5)+INDEX(Properties!$O:$O,$B13+5),0))</f>
        <v>0</v>
      </c>
      <c r="W13" s="123" cm="1">
        <f t="array" ref="W13">INDEX(Properties!$D:$D,$B13+5)*(IF(W$3=INDEX(Properties!$Q:$Q,$B13+5),INDEX(Properties!$M:$M,$B13+5)+INDEX(Properties!$O:$O,$B13+5),0))</f>
        <v>0</v>
      </c>
      <c r="X13" s="123" cm="1">
        <f t="array" ref="X13">INDEX(Properties!$D:$D,$B13+5)*(IF(X$3=INDEX(Properties!$Q:$Q,$B13+5),INDEX(Properties!$M:$M,$B13+5)+INDEX(Properties!$O:$O,$B13+5),0))</f>
        <v>0</v>
      </c>
      <c r="Y13" s="123" cm="1">
        <f t="array" ref="Y13">INDEX(Properties!$D:$D,$B13+5)*(IF(Y$3=INDEX(Properties!$Q:$Q,$B13+5),INDEX(Properties!$M:$M,$B13+5)+INDEX(Properties!$O:$O,$B13+5),0))</f>
        <v>0</v>
      </c>
      <c r="Z13" s="123" cm="1">
        <f t="array" ref="Z13">INDEX(Properties!$D:$D,$B13+5)*(IF(Z$3=INDEX(Properties!$Q:$Q,$B13+5),INDEX(Properties!$M:$M,$B13+5)+INDEX(Properties!$O:$O,$B13+5),0))</f>
        <v>0</v>
      </c>
      <c r="AA13" s="123" cm="1">
        <f t="array" ref="AA13">INDEX(Properties!$D:$D,$B13+5)*(IF(AA$3=INDEX(Properties!$Q:$Q,$B13+5),INDEX(Properties!$M:$M,$B13+5)+INDEX(Properties!$O:$O,$B13+5),0))</f>
        <v>0</v>
      </c>
      <c r="AB13" s="123" cm="1">
        <f t="array" ref="AB13">INDEX(Properties!$D:$D,$B13+5)*(IF(AB$3=INDEX(Properties!$Q:$Q,$B13+5),INDEX(Properties!$M:$M,$B13+5)+INDEX(Properties!$O:$O,$B13+5),0))</f>
        <v>0</v>
      </c>
      <c r="AC13" s="123" cm="1">
        <f t="array" ref="AC13">INDEX(Properties!$D:$D,$B13+5)*(IF(AC$3=INDEX(Properties!$Q:$Q,$B13+5),INDEX(Properties!$M:$M,$B13+5)+INDEX(Properties!$O:$O,$B13+5),0))</f>
        <v>0</v>
      </c>
      <c r="AD13" s="123" cm="1">
        <f t="array" ref="AD13">INDEX(Properties!$D:$D,$B13+5)*(IF(AD$3=INDEX(Properties!$Q:$Q,$B13+5),INDEX(Properties!$M:$M,$B13+5)+INDEX(Properties!$O:$O,$B13+5),0))</f>
        <v>0</v>
      </c>
      <c r="AE13" s="123" cm="1">
        <f t="array" ref="AE13">INDEX(Properties!$D:$D,$B13+5)*(IF(AE$3=INDEX(Properties!$Q:$Q,$B13+5),INDEX(Properties!$M:$M,$B13+5)+INDEX(Properties!$O:$O,$B13+5),0))</f>
        <v>0</v>
      </c>
      <c r="AF13" s="123" cm="1">
        <f t="array" ref="AF13">INDEX(Properties!$D:$D,$B13+5)*(IF(AF$3=INDEX(Properties!$Q:$Q,$B13+5),INDEX(Properties!$M:$M,$B13+5)+INDEX(Properties!$O:$O,$B13+5),0))</f>
        <v>0</v>
      </c>
      <c r="AG13" s="123" cm="1">
        <f t="array" ref="AG13">INDEX(Properties!$D:$D,$B13+5)*(IF(AG$3=INDEX(Properties!$Q:$Q,$B13+5),INDEX(Properties!$M:$M,$B13+5)+INDEX(Properties!$O:$O,$B13+5),0))</f>
        <v>0</v>
      </c>
      <c r="AH13" s="123" cm="1">
        <f t="array" ref="AH13">INDEX(Properties!$D:$D,$B13+5)*(IF(AH$3=INDEX(Properties!$Q:$Q,$B13+5),INDEX(Properties!$M:$M,$B13+5)+INDEX(Properties!$O:$O,$B13+5),0))</f>
        <v>0</v>
      </c>
      <c r="AI13" s="123" cm="1">
        <f t="array" ref="AI13">INDEX(Properties!$D:$D,$B13+5)*(IF(AI$3=INDEX(Properties!$Q:$Q,$B13+5),INDEX(Properties!$M:$M,$B13+5)+INDEX(Properties!$O:$O,$B13+5),0))</f>
        <v>0</v>
      </c>
      <c r="AJ13" s="123" cm="1">
        <f t="array" ref="AJ13">INDEX(Properties!$D:$D,$B13+5)*(IF(AJ$3=INDEX(Properties!$Q:$Q,$B13+5),INDEX(Properties!$M:$M,$B13+5)+INDEX(Properties!$O:$O,$B13+5),0))</f>
        <v>0</v>
      </c>
      <c r="AK13" s="123" cm="1">
        <f t="array" ref="AK13">INDEX(Properties!$D:$D,$B13+5)*(IF(AK$3=INDEX(Properties!$Q:$Q,$B13+5),INDEX(Properties!$M:$M,$B13+5)+INDEX(Properties!$O:$O,$B13+5),0))</f>
        <v>0</v>
      </c>
      <c r="AL13" s="123" cm="1">
        <f t="array" ref="AL13">INDEX(Properties!$D:$D,$B13+5)*(IF(AL$3=INDEX(Properties!$Q:$Q,$B13+5),INDEX(Properties!$M:$M,$B13+5)+INDEX(Properties!$O:$O,$B13+5),0))</f>
        <v>0</v>
      </c>
      <c r="AM13" s="123" cm="1">
        <f t="array" ref="AM13">INDEX(Properties!$D:$D,$B13+5)*(IF(AM$3=INDEX(Properties!$Q:$Q,$B13+5),INDEX(Properties!$M:$M,$B13+5)+INDEX(Properties!$O:$O,$B13+5),0))</f>
        <v>0</v>
      </c>
      <c r="AN13" s="123" cm="1">
        <f t="array" ref="AN13">INDEX(Properties!$D:$D,$B13+5)*(IF(AN$3=INDEX(Properties!$Q:$Q,$B13+5),INDEX(Properties!$M:$M,$B13+5)+INDEX(Properties!$O:$O,$B13+5),0))</f>
        <v>0</v>
      </c>
      <c r="AO13" s="123" cm="1">
        <f t="array" ref="AO13">INDEX(Properties!$D:$D,$B13+5)*(IF(AO$3=INDEX(Properties!$Q:$Q,$B13+5),INDEX(Properties!$M:$M,$B13+5)+INDEX(Properties!$O:$O,$B13+5),0))</f>
        <v>0</v>
      </c>
      <c r="AP13" s="123" cm="1">
        <f t="array" ref="AP13">INDEX(Properties!$D:$D,$B13+5)*(IF(AP$3=INDEX(Properties!$Q:$Q,$B13+5),INDEX(Properties!$M:$M,$B13+5)+INDEX(Properties!$O:$O,$B13+5),0))</f>
        <v>0</v>
      </c>
      <c r="AQ13" s="123" cm="1">
        <f t="array" ref="AQ13">INDEX(Properties!$D:$D,$B13+5)*(IF(AQ$3=INDEX(Properties!$Q:$Q,$B13+5),INDEX(Properties!$M:$M,$B13+5)+INDEX(Properties!$O:$O,$B13+5),0))</f>
        <v>0</v>
      </c>
      <c r="AR13" s="123" cm="1">
        <f t="array" ref="AR13">INDEX(Properties!$D:$D,$B13+5)*(IF(AR$3=INDEX(Properties!$Q:$Q,$B13+5),INDEX(Properties!$M:$M,$B13+5)+INDEX(Properties!$O:$O,$B13+5),0))</f>
        <v>0</v>
      </c>
      <c r="AS13" s="123" cm="1">
        <f t="array" ref="AS13">INDEX(Properties!$D:$D,$B13+5)*(IF(AS$3=INDEX(Properties!$Q:$Q,$B13+5),INDEX(Properties!$M:$M,$B13+5)+INDEX(Properties!$O:$O,$B13+5),0))</f>
        <v>0</v>
      </c>
      <c r="AT13" s="123" cm="1">
        <f t="array" ref="AT13">INDEX(Properties!$D:$D,$B13+5)*(IF(AT$3=INDEX(Properties!$Q:$Q,$B13+5),INDEX(Properties!$M:$M,$B13+5)+INDEX(Properties!$O:$O,$B13+5),0))</f>
        <v>0</v>
      </c>
      <c r="AU13" s="123" cm="1">
        <f t="array" ref="AU13">INDEX(Properties!$D:$D,$B13+5)*(IF(AU$3=INDEX(Properties!$Q:$Q,$B13+5),INDEX(Properties!$M:$M,$B13+5)+INDEX(Properties!$O:$O,$B13+5),0))</f>
        <v>0</v>
      </c>
      <c r="AV13" s="123" cm="1">
        <f t="array" ref="AV13">INDEX(Properties!$D:$D,$B13+5)*(IF(AV$3=INDEX(Properties!$Q:$Q,$B13+5),INDEX(Properties!$M:$M,$B13+5)+INDEX(Properties!$O:$O,$B13+5),0))</f>
        <v>0</v>
      </c>
      <c r="AW13" s="123" cm="1">
        <f t="array" ref="AW13">INDEX(Properties!$D:$D,$B13+5)*(IF(AW$3=INDEX(Properties!$Q:$Q,$B13+5),INDEX(Properties!$M:$M,$B13+5)+INDEX(Properties!$O:$O,$B13+5),0))</f>
        <v>0</v>
      </c>
      <c r="AX13" s="123" cm="1">
        <f t="array" ref="AX13">INDEX(Properties!$D:$D,$B13+5)*(IF(AX$3=INDEX(Properties!$Q:$Q,$B13+5),INDEX(Properties!$M:$M,$B13+5)+INDEX(Properties!$O:$O,$B13+5),0))</f>
        <v>0</v>
      </c>
      <c r="AY13" s="123" cm="1">
        <f t="array" ref="AY13">INDEX(Properties!$D:$D,$B13+5)*(IF(AY$3=INDEX(Properties!$Q:$Q,$B13+5),INDEX(Properties!$M:$M,$B13+5)+INDEX(Properties!$O:$O,$B13+5),0))</f>
        <v>0</v>
      </c>
      <c r="AZ13" s="123" cm="1">
        <f t="array" ref="AZ13">INDEX(Properties!$D:$D,$B13+5)*(IF(AZ$3=INDEX(Properties!$Q:$Q,$B13+5),INDEX(Properties!$M:$M,$B13+5)+INDEX(Properties!$O:$O,$B13+5),0))</f>
        <v>0</v>
      </c>
      <c r="BA13" s="123" cm="1">
        <f t="array" ref="BA13">INDEX(Properties!$D:$D,$B13+5)*(IF(BA$3=INDEX(Properties!$Q:$Q,$B13+5),INDEX(Properties!$M:$M,$B13+5)+INDEX(Properties!$O:$O,$B13+5),0))</f>
        <v>0</v>
      </c>
      <c r="BB13" s="123" cm="1">
        <f t="array" ref="BB13">INDEX(Properties!$D:$D,$B13+5)*(IF(BB$3=INDEX(Properties!$Q:$Q,$B13+5),INDEX(Properties!$M:$M,$B13+5)+INDEX(Properties!$O:$O,$B13+5),0))</f>
        <v>0</v>
      </c>
      <c r="BC13" s="123" cm="1">
        <f t="array" ref="BC13">INDEX(Properties!$D:$D,$B13+5)*(IF(BC$3=INDEX(Properties!$Q:$Q,$B13+5),INDEX(Properties!$M:$M,$B13+5)+INDEX(Properties!$O:$O,$B13+5),0))</f>
        <v>0</v>
      </c>
      <c r="BD13" s="123" cm="1">
        <f t="array" ref="BD13">INDEX(Properties!$D:$D,$B13+5)*(IF(BD$3=INDEX(Properties!$Q:$Q,$B13+5),INDEX(Properties!$M:$M,$B13+5)+INDEX(Properties!$O:$O,$B13+5),0))</f>
        <v>0</v>
      </c>
      <c r="BE13" s="123" cm="1">
        <f t="array" ref="BE13">INDEX(Properties!$D:$D,$B13+5)*(IF(BE$3=INDEX(Properties!$Q:$Q,$B13+5),INDEX(Properties!$M:$M,$B13+5)+INDEX(Properties!$O:$O,$B13+5),0))</f>
        <v>0</v>
      </c>
      <c r="BF13" s="123" cm="1">
        <f t="array" ref="BF13">INDEX(Properties!$D:$D,$B13+5)*(IF(BF$3=INDEX(Properties!$Q:$Q,$B13+5),INDEX(Properties!$M:$M,$B13+5)+INDEX(Properties!$O:$O,$B13+5),0))</f>
        <v>0</v>
      </c>
      <c r="BG13" s="123" cm="1">
        <f t="array" ref="BG13">INDEX(Properties!$D:$D,$B13+5)*(IF(BG$3=INDEX(Properties!$Q:$Q,$B13+5),INDEX(Properties!$M:$M,$B13+5)+INDEX(Properties!$O:$O,$B13+5),0))</f>
        <v>0</v>
      </c>
      <c r="BH13" s="123" cm="1">
        <f t="array" ref="BH13">INDEX(Properties!$D:$D,$B13+5)*(IF(BH$3=INDEX(Properties!$Q:$Q,$B13+5),INDEX(Properties!$M:$M,$B13+5)+INDEX(Properties!$O:$O,$B13+5),0))</f>
        <v>0</v>
      </c>
      <c r="BI13" s="123" cm="1">
        <f t="array" ref="BI13">INDEX(Properties!$D:$D,$B13+5)*(IF(BI$3=INDEX(Properties!$Q:$Q,$B13+5),INDEX(Properties!$M:$M,$B13+5)+INDEX(Properties!$O:$O,$B13+5),0))</f>
        <v>0</v>
      </c>
      <c r="BJ13" s="123" cm="1">
        <f t="array" ref="BJ13">INDEX(Properties!$D:$D,$B13+5)*(IF(BJ$3=INDEX(Properties!$Q:$Q,$B13+5),INDEX(Properties!$M:$M,$B13+5)+INDEX(Properties!$O:$O,$B13+5),0))</f>
        <v>0</v>
      </c>
      <c r="BK13" s="123" cm="1">
        <f t="array" ref="BK13">INDEX(Properties!$D:$D,$B13+5)*(IF(BK$3=INDEX(Properties!$Q:$Q,$B13+5),INDEX(Properties!$M:$M,$B13+5)+INDEX(Properties!$O:$O,$B13+5),0))</f>
        <v>0</v>
      </c>
      <c r="BL13" s="123" cm="1">
        <f t="array" ref="BL13">INDEX(Properties!$D:$D,$B13+5)*(IF(BL$3=INDEX(Properties!$Q:$Q,$B13+5),INDEX(Properties!$M:$M,$B13+5)+INDEX(Properties!$O:$O,$B13+5),0))</f>
        <v>0</v>
      </c>
      <c r="BM13" s="123" cm="1">
        <f t="array" ref="BM13">INDEX(Properties!$D:$D,$B13+5)*(IF(BM$3=INDEX(Properties!$Q:$Q,$B13+5),INDEX(Properties!$M:$M,$B13+5)+INDEX(Properties!$O:$O,$B13+5),0))</f>
        <v>0</v>
      </c>
      <c r="BN13" s="123" cm="1">
        <f t="array" ref="BN13">INDEX(Properties!$D:$D,$B13+5)*(IF(BN$3=INDEX(Properties!$Q:$Q,$B13+5),INDEX(Properties!$M:$M,$B13+5)+INDEX(Properties!$O:$O,$B13+5),0))</f>
        <v>0</v>
      </c>
      <c r="BO13" s="123" cm="1">
        <f t="array" ref="BO13">INDEX(Properties!$D:$D,$B13+5)*(IF(BO$3=INDEX(Properties!$Q:$Q,$B13+5),INDEX(Properties!$M:$M,$B13+5)+INDEX(Properties!$O:$O,$B13+5),0))</f>
        <v>0</v>
      </c>
      <c r="BP13" s="123" cm="1">
        <f t="array" ref="BP13">INDEX(Properties!$D:$D,$B13+5)*(IF(BP$3=INDEX(Properties!$Q:$Q,$B13+5),INDEX(Properties!$M:$M,$B13+5)+INDEX(Properties!$O:$O,$B13+5),0))</f>
        <v>0</v>
      </c>
      <c r="BQ13" s="123" cm="1">
        <f t="array" ref="BQ13">INDEX(Properties!$D:$D,$B13+5)*(IF(BQ$3=INDEX(Properties!$Q:$Q,$B13+5),INDEX(Properties!$M:$M,$B13+5)+INDEX(Properties!$O:$O,$B13+5),0))</f>
        <v>0</v>
      </c>
      <c r="BR13" s="123" cm="1">
        <f t="array" ref="BR13">INDEX(Properties!$D:$D,$B13+5)*(IF(BR$3=INDEX(Properties!$Q:$Q,$B13+5),INDEX(Properties!$M:$M,$B13+5)+INDEX(Properties!$O:$O,$B13+5),0))</f>
        <v>0</v>
      </c>
      <c r="BS13" s="123" cm="1">
        <f t="array" ref="BS13">INDEX(Properties!$D:$D,$B13+5)*(IF(BS$3=INDEX(Properties!$Q:$Q,$B13+5),INDEX(Properties!$M:$M,$B13+5)+INDEX(Properties!$O:$O,$B13+5),0))</f>
        <v>0</v>
      </c>
      <c r="BT13" s="123" cm="1">
        <f t="array" ref="BT13">INDEX(Properties!$D:$D,$B13+5)*(IF(BT$3=INDEX(Properties!$Q:$Q,$B13+5),INDEX(Properties!$M:$M,$B13+5)+INDEX(Properties!$O:$O,$B13+5),0))</f>
        <v>0</v>
      </c>
      <c r="BU13" s="123" cm="1">
        <f t="array" ref="BU13">INDEX(Properties!$D:$D,$B13+5)*(IF(BU$3=INDEX(Properties!$Q:$Q,$B13+5),INDEX(Properties!$M:$M,$B13+5)+INDEX(Properties!$O:$O,$B13+5),0))</f>
        <v>0</v>
      </c>
      <c r="BV13" s="123" cm="1">
        <f t="array" ref="BV13">INDEX(Properties!$D:$D,$B13+5)*(IF(BV$3=INDEX(Properties!$Q:$Q,$B13+5),INDEX(Properties!$M:$M,$B13+5)+INDEX(Properties!$O:$O,$B13+5),0))</f>
        <v>0</v>
      </c>
      <c r="BW13" s="123" cm="1">
        <f t="array" ref="BW13">INDEX(Properties!$D:$D,$B13+5)*(IF(BW$3=INDEX(Properties!$Q:$Q,$B13+5),INDEX(Properties!$M:$M,$B13+5)+INDEX(Properties!$O:$O,$B13+5),0))</f>
        <v>0</v>
      </c>
      <c r="BX13" s="123" cm="1">
        <f t="array" ref="BX13">INDEX(Properties!$D:$D,$B13+5)*(IF(BX$3=INDEX(Properties!$Q:$Q,$B13+5),INDEX(Properties!$M:$M,$B13+5)+INDEX(Properties!$O:$O,$B13+5),0))</f>
        <v>0</v>
      </c>
      <c r="BY13" s="123" cm="1">
        <f t="array" ref="BY13">INDEX(Properties!$D:$D,$B13+5)*(IF(BY$3=INDEX(Properties!$Q:$Q,$B13+5),INDEX(Properties!$M:$M,$B13+5)+INDEX(Properties!$O:$O,$B13+5),0))</f>
        <v>0</v>
      </c>
      <c r="BZ13" s="123" cm="1">
        <f t="array" ref="BZ13">INDEX(Properties!$D:$D,$B13+5)*(IF(BZ$3=INDEX(Properties!$Q:$Q,$B13+5),INDEX(Properties!$M:$M,$B13+5)+INDEX(Properties!$O:$O,$B13+5),0))</f>
        <v>0</v>
      </c>
      <c r="CA13" s="123" cm="1">
        <f t="array" ref="CA13">INDEX(Properties!$D:$D,$B13+5)*(IF(CA$3=INDEX(Properties!$Q:$Q,$B13+5),INDEX(Properties!$M:$M,$B13+5)+INDEX(Properties!$O:$O,$B13+5),0))</f>
        <v>0</v>
      </c>
      <c r="CB13" s="123" cm="1">
        <f t="array" ref="CB13">INDEX(Properties!$D:$D,$B13+5)*(IF(CB$3=INDEX(Properties!$Q:$Q,$B13+5),INDEX(Properties!$M:$M,$B13+5)+INDEX(Properties!$O:$O,$B13+5),0))</f>
        <v>0</v>
      </c>
      <c r="CC13" s="123" cm="1">
        <f t="array" ref="CC13">INDEX(Properties!$D:$D,$B13+5)*(IF(CC$3=INDEX(Properties!$Q:$Q,$B13+5),INDEX(Properties!$M:$M,$B13+5)+INDEX(Properties!$O:$O,$B13+5),0))</f>
        <v>0</v>
      </c>
      <c r="CD13" s="123" cm="1">
        <f t="array" ref="CD13">INDEX(Properties!$D:$D,$B13+5)*(IF(CD$3=INDEX(Properties!$Q:$Q,$B13+5),INDEX(Properties!$M:$M,$B13+5)+INDEX(Properties!$O:$O,$B13+5),0))</f>
        <v>0</v>
      </c>
      <c r="CE13" s="123" cm="1">
        <f t="array" ref="CE13">INDEX(Properties!$D:$D,$B13+5)*(IF(CE$3=INDEX(Properties!$Q:$Q,$B13+5),INDEX(Properties!$M:$M,$B13+5)+INDEX(Properties!$O:$O,$B13+5),0))</f>
        <v>0</v>
      </c>
      <c r="CF13" s="123" cm="1">
        <f t="array" ref="CF13">INDEX(Properties!$D:$D,$B13+5)*(IF(CF$3=INDEX(Properties!$Q:$Q,$B13+5),INDEX(Properties!$M:$M,$B13+5)+INDEX(Properties!$O:$O,$B13+5),0))</f>
        <v>0</v>
      </c>
      <c r="CG13" s="123" cm="1">
        <f t="array" ref="CG13">INDEX(Properties!$D:$D,$B13+5)*(IF(CG$3=INDEX(Properties!$Q:$Q,$B13+5),INDEX(Properties!$M:$M,$B13+5)+INDEX(Properties!$O:$O,$B13+5),0))</f>
        <v>0</v>
      </c>
      <c r="CH13" s="123" cm="1">
        <f t="array" ref="CH13">INDEX(Properties!$D:$D,$B13+5)*(IF(CH$3=INDEX(Properties!$Q:$Q,$B13+5),INDEX(Properties!$M:$M,$B13+5)+INDEX(Properties!$O:$O,$B13+5),0))</f>
        <v>0</v>
      </c>
      <c r="CI13" s="123" cm="1">
        <f t="array" ref="CI13">INDEX(Properties!$D:$D,$B13+5)*(IF(CI$3=INDEX(Properties!$Q:$Q,$B13+5),INDEX(Properties!$M:$M,$B13+5)+INDEX(Properties!$O:$O,$B13+5),0))</f>
        <v>0</v>
      </c>
      <c r="CJ13" s="123" cm="1">
        <f t="array" ref="CJ13">INDEX(Properties!$D:$D,$B13+5)*(IF(CJ$3=INDEX(Properties!$Q:$Q,$B13+5),INDEX(Properties!$M:$M,$B13+5)+INDEX(Properties!$O:$O,$B13+5),0))</f>
        <v>0</v>
      </c>
      <c r="CK13" s="123" cm="1">
        <f t="array" ref="CK13">INDEX(Properties!$D:$D,$B13+5)*(IF(CK$3=INDEX(Properties!$Q:$Q,$B13+5),INDEX(Properties!$M:$M,$B13+5)+INDEX(Properties!$O:$O,$B13+5),0))</f>
        <v>0</v>
      </c>
      <c r="CL13" s="123" cm="1">
        <f t="array" ref="CL13">INDEX(Properties!$D:$D,$B13+5)*(IF(CL$3=INDEX(Properties!$Q:$Q,$B13+5),INDEX(Properties!$M:$M,$B13+5)+INDEX(Properties!$O:$O,$B13+5),0))</f>
        <v>0</v>
      </c>
      <c r="CM13" s="123" cm="1">
        <f t="array" ref="CM13">INDEX(Properties!$D:$D,$B13+5)*(IF(CM$3=INDEX(Properties!$Q:$Q,$B13+5),INDEX(Properties!$M:$M,$B13+5)+INDEX(Properties!$O:$O,$B13+5),0))</f>
        <v>0</v>
      </c>
      <c r="CN13" s="123" cm="1">
        <f t="array" ref="CN13">INDEX(Properties!$D:$D,$B13+5)*(IF(CN$3=INDEX(Properties!$Q:$Q,$B13+5),INDEX(Properties!$M:$M,$B13+5)+INDEX(Properties!$O:$O,$B13+5),0))</f>
        <v>0</v>
      </c>
      <c r="CO13" s="123" cm="1">
        <f t="array" ref="CO13">INDEX(Properties!$D:$D,$B13+5)*(IF(CO$3=INDEX(Properties!$Q:$Q,$B13+5),INDEX(Properties!$M:$M,$B13+5)+INDEX(Properties!$O:$O,$B13+5),0))</f>
        <v>0</v>
      </c>
      <c r="CP13" s="123" cm="1">
        <f t="array" ref="CP13">INDEX(Properties!$D:$D,$B13+5)*(IF(CP$3=INDEX(Properties!$Q:$Q,$B13+5),INDEX(Properties!$M:$M,$B13+5)+INDEX(Properties!$O:$O,$B13+5),0))</f>
        <v>0</v>
      </c>
      <c r="CQ13" s="123" cm="1">
        <f t="array" ref="CQ13">INDEX(Properties!$D:$D,$B13+5)*(IF(CQ$3=INDEX(Properties!$Q:$Q,$B13+5),INDEX(Properties!$M:$M,$B13+5)+INDEX(Properties!$O:$O,$B13+5),0))</f>
        <v>0</v>
      </c>
      <c r="CR13" s="123" cm="1">
        <f t="array" ref="CR13">INDEX(Properties!$D:$D,$B13+5)*(IF(CR$3=INDEX(Properties!$Q:$Q,$B13+5),INDEX(Properties!$M:$M,$B13+5)+INDEX(Properties!$O:$O,$B13+5),0))</f>
        <v>0</v>
      </c>
      <c r="CS13" s="123" cm="1">
        <f t="array" ref="CS13">INDEX(Properties!$D:$D,$B13+5)*(IF(CS$3=INDEX(Properties!$Q:$Q,$B13+5),INDEX(Properties!$M:$M,$B13+5)+INDEX(Properties!$O:$O,$B13+5),0))</f>
        <v>0</v>
      </c>
      <c r="CT13" s="123" cm="1">
        <f t="array" ref="CT13">INDEX(Properties!$D:$D,$B13+5)*(IF(CT$3=INDEX(Properties!$Q:$Q,$B13+5),INDEX(Properties!$M:$M,$B13+5)+INDEX(Properties!$O:$O,$B13+5),0))</f>
        <v>0</v>
      </c>
      <c r="CU13" s="123" cm="1">
        <f t="array" ref="CU13">INDEX(Properties!$D:$D,$B13+5)*(IF(CU$3=INDEX(Properties!$Q:$Q,$B13+5),INDEX(Properties!$M:$M,$B13+5)+INDEX(Properties!$O:$O,$B13+5),0))</f>
        <v>0</v>
      </c>
      <c r="CV13" s="123" cm="1">
        <f t="array" ref="CV13">INDEX(Properties!$D:$D,$B13+5)*(IF(CV$3=INDEX(Properties!$Q:$Q,$B13+5),INDEX(Properties!$M:$M,$B13+5)+INDEX(Properties!$O:$O,$B13+5),0))</f>
        <v>0</v>
      </c>
      <c r="CW13" s="123" cm="1">
        <f t="array" ref="CW13">INDEX(Properties!$D:$D,$B13+5)*(IF(CW$3=INDEX(Properties!$Q:$Q,$B13+5),INDEX(Properties!$M:$M,$B13+5)+INDEX(Properties!$O:$O,$B13+5),0))</f>
        <v>0</v>
      </c>
      <c r="CX13" s="123" cm="1">
        <f t="array" ref="CX13">INDEX(Properties!$D:$D,$B13+5)*(IF(CX$3=INDEX(Properties!$Q:$Q,$B13+5),INDEX(Properties!$M:$M,$B13+5)+INDEX(Properties!$O:$O,$B13+5),0))</f>
        <v>0</v>
      </c>
      <c r="CY13" s="123" cm="1">
        <f t="array" ref="CY13">INDEX(Properties!$D:$D,$B13+5)*(IF(CY$3=INDEX(Properties!$Q:$Q,$B13+5),INDEX(Properties!$M:$M,$B13+5)+INDEX(Properties!$O:$O,$B13+5),0))</f>
        <v>0</v>
      </c>
      <c r="CZ13" s="123" cm="1">
        <f t="array" ref="CZ13">INDEX(Properties!$D:$D,$B13+5)*(IF(CZ$3=INDEX(Properties!$Q:$Q,$B13+5),INDEX(Properties!$M:$M,$B13+5)+INDEX(Properties!$O:$O,$B13+5),0))</f>
        <v>0</v>
      </c>
      <c r="DA13" s="123" cm="1">
        <f t="array" ref="DA13">INDEX(Properties!$D:$D,$B13+5)*(IF(DA$3=INDEX(Properties!$Q:$Q,$B13+5),INDEX(Properties!$M:$M,$B13+5)+INDEX(Properties!$O:$O,$B13+5),0))</f>
        <v>0</v>
      </c>
      <c r="DB13" s="123" cm="1">
        <f t="array" ref="DB13">INDEX(Properties!$D:$D,$B13+5)*(IF(DB$3=INDEX(Properties!$Q:$Q,$B13+5),INDEX(Properties!$M:$M,$B13+5)+INDEX(Properties!$O:$O,$B13+5),0))</f>
        <v>0</v>
      </c>
      <c r="DC13" s="123" cm="1">
        <f t="array" ref="DC13">INDEX(Properties!$D:$D,$B13+5)*(IF(DC$3=INDEX(Properties!$Q:$Q,$B13+5),INDEX(Properties!$M:$M,$B13+5)+INDEX(Properties!$O:$O,$B13+5),0))</f>
        <v>0</v>
      </c>
      <c r="DD13" s="123" cm="1">
        <f t="array" ref="DD13">INDEX(Properties!$D:$D,$B13+5)*(IF(DD$3=INDEX(Properties!$Q:$Q,$B13+5),INDEX(Properties!$M:$M,$B13+5)+INDEX(Properties!$O:$O,$B13+5),0))</f>
        <v>0</v>
      </c>
      <c r="DE13" s="123" cm="1">
        <f t="array" ref="DE13">INDEX(Properties!$D:$D,$B13+5)*(IF(DE$3=INDEX(Properties!$Q:$Q,$B13+5),INDEX(Properties!$M:$M,$B13+5)+INDEX(Properties!$O:$O,$B13+5),0))</f>
        <v>0</v>
      </c>
      <c r="DF13" s="123" cm="1">
        <f t="array" ref="DF13">INDEX(Properties!$D:$D,$B13+5)*(IF(DF$3=INDEX(Properties!$Q:$Q,$B13+5),INDEX(Properties!$M:$M,$B13+5)+INDEX(Properties!$O:$O,$B13+5),0))</f>
        <v>0</v>
      </c>
      <c r="DG13" s="123" cm="1">
        <f t="array" ref="DG13">INDEX(Properties!$D:$D,$B13+5)*(IF(DG$3=INDEX(Properties!$Q:$Q,$B13+5),INDEX(Properties!$M:$M,$B13+5)+INDEX(Properties!$O:$O,$B13+5),0))</f>
        <v>0</v>
      </c>
      <c r="DH13" s="123" cm="1">
        <f t="array" ref="DH13">INDEX(Properties!$D:$D,$B13+5)*(IF(DH$3=INDEX(Properties!$Q:$Q,$B13+5),INDEX(Properties!$M:$M,$B13+5)+INDEX(Properties!$O:$O,$B13+5),0))</f>
        <v>0</v>
      </c>
      <c r="DI13" s="123" cm="1">
        <f t="array" ref="DI13">INDEX(Properties!$D:$D,$B13+5)*(IF(DI$3=INDEX(Properties!$Q:$Q,$B13+5),INDEX(Properties!$M:$M,$B13+5)+INDEX(Properties!$O:$O,$B13+5),0))</f>
        <v>0</v>
      </c>
      <c r="DJ13" s="123" cm="1">
        <f t="array" ref="DJ13">INDEX(Properties!$D:$D,$B13+5)*(IF(DJ$3=INDEX(Properties!$Q:$Q,$B13+5),INDEX(Properties!$M:$M,$B13+5)+INDEX(Properties!$O:$O,$B13+5),0))</f>
        <v>0</v>
      </c>
      <c r="DK13" s="123" cm="1">
        <f t="array" ref="DK13">INDEX(Properties!$D:$D,$B13+5)*(IF(DK$3=INDEX(Properties!$Q:$Q,$B13+5),INDEX(Properties!$M:$M,$B13+5)+INDEX(Properties!$O:$O,$B13+5),0))</f>
        <v>0</v>
      </c>
      <c r="DL13" s="123" cm="1">
        <f t="array" ref="DL13">INDEX(Properties!$D:$D,$B13+5)*(IF(DL$3=INDEX(Properties!$Q:$Q,$B13+5),INDEX(Properties!$M:$M,$B13+5)+INDEX(Properties!$O:$O,$B13+5),0))</f>
        <v>0</v>
      </c>
      <c r="DM13" s="123" cm="1">
        <f t="array" ref="DM13">INDEX(Properties!$D:$D,$B13+5)*(IF(DM$3=INDEX(Properties!$Q:$Q,$B13+5),INDEX(Properties!$M:$M,$B13+5)+INDEX(Properties!$O:$O,$B13+5),0))</f>
        <v>0</v>
      </c>
      <c r="DN13" s="123" cm="1">
        <f t="array" ref="DN13">INDEX(Properties!$D:$D,$B13+5)*(IF(DN$3=INDEX(Properties!$Q:$Q,$B13+5),INDEX(Properties!$M:$M,$B13+5)+INDEX(Properties!$O:$O,$B13+5),0))</f>
        <v>0</v>
      </c>
      <c r="DO13" s="123" cm="1">
        <f t="array" ref="DO13">INDEX(Properties!$D:$D,$B13+5)*(IF(DO$3=INDEX(Properties!$Q:$Q,$B13+5),INDEX(Properties!$M:$M,$B13+5)+INDEX(Properties!$O:$O,$B13+5),0))</f>
        <v>0</v>
      </c>
      <c r="DP13" s="123" cm="1">
        <f t="array" ref="DP13">INDEX(Properties!$D:$D,$B13+5)*(IF(DP$3=INDEX(Properties!$Q:$Q,$B13+5),INDEX(Properties!$M:$M,$B13+5)+INDEX(Properties!$O:$O,$B13+5),0))</f>
        <v>0</v>
      </c>
      <c r="DQ13" s="123" cm="1">
        <f t="array" ref="DQ13">INDEX(Properties!$D:$D,$B13+5)*(IF(DQ$3=INDEX(Properties!$Q:$Q,$B13+5),INDEX(Properties!$M:$M,$B13+5)+INDEX(Properties!$O:$O,$B13+5),0))</f>
        <v>0</v>
      </c>
      <c r="DR13" s="123" cm="1">
        <f t="array" ref="DR13">INDEX(Properties!$D:$D,$B13+5)*(IF(DR$3=INDEX(Properties!$Q:$Q,$B13+5),INDEX(Properties!$M:$M,$B13+5)+INDEX(Properties!$O:$O,$B13+5),0))</f>
        <v>0</v>
      </c>
    </row>
    <row r="14" spans="1:122" ht="16.05" customHeight="1" x14ac:dyDescent="0.3">
      <c r="A14" s="148" cm="1">
        <f t="array" ref="A14">INDEX(Properties!$E:$E,$B14+5)</f>
        <v>0</v>
      </c>
      <c r="B14" s="1">
        <v>7</v>
      </c>
      <c r="C14" s="123" cm="1">
        <f t="array" ref="C14">INDEX(Properties!$D:$D,$B14+5)*(IF(C$3=INDEX(Properties!$Q:$Q,$B14+5),INDEX(Properties!$M:$M,$B14+5)+INDEX(Properties!$O:$O,$B14+5),0))</f>
        <v>0</v>
      </c>
      <c r="D14" s="123" cm="1">
        <f t="array" ref="D14">INDEX(Properties!$D:$D,$B14+5)*(IF(D$3=INDEX(Properties!$Q:$Q,$B14+5),INDEX(Properties!$M:$M,$B14+5)+INDEX(Properties!$O:$O,$B14+5),0))</f>
        <v>0</v>
      </c>
      <c r="E14" s="123" cm="1">
        <f t="array" ref="E14">INDEX(Properties!$D:$D,$B14+5)*(IF(E$3=INDEX(Properties!$Q:$Q,$B14+5),INDEX(Properties!$M:$M,$B14+5)+INDEX(Properties!$O:$O,$B14+5),0))</f>
        <v>0</v>
      </c>
      <c r="F14" s="123" cm="1">
        <f t="array" ref="F14">INDEX(Properties!$D:$D,$B14+5)*(IF(F$3=INDEX(Properties!$Q:$Q,$B14+5),INDEX(Properties!$M:$M,$B14+5)+INDEX(Properties!$O:$O,$B14+5),0))</f>
        <v>0</v>
      </c>
      <c r="G14" s="123" cm="1">
        <f t="array" ref="G14">INDEX(Properties!$D:$D,$B14+5)*(IF(G$3=INDEX(Properties!$Q:$Q,$B14+5),INDEX(Properties!$M:$M,$B14+5)+INDEX(Properties!$O:$O,$B14+5),0))</f>
        <v>0</v>
      </c>
      <c r="H14" s="123" cm="1">
        <f t="array" ref="H14">INDEX(Properties!$D:$D,$B14+5)*(IF(H$3=INDEX(Properties!$Q:$Q,$B14+5),INDEX(Properties!$M:$M,$B14+5)+INDEX(Properties!$O:$O,$B14+5),0))</f>
        <v>0</v>
      </c>
      <c r="I14" s="123" cm="1">
        <f t="array" ref="I14">INDEX(Properties!$D:$D,$B14+5)*(IF(I$3=INDEX(Properties!$Q:$Q,$B14+5),INDEX(Properties!$M:$M,$B14+5)+INDEX(Properties!$O:$O,$B14+5),0))</f>
        <v>0</v>
      </c>
      <c r="J14" s="123" cm="1">
        <f t="array" ref="J14">INDEX(Properties!$D:$D,$B14+5)*(IF(J$3=INDEX(Properties!$Q:$Q,$B14+5),INDEX(Properties!$M:$M,$B14+5)+INDEX(Properties!$O:$O,$B14+5),0))</f>
        <v>0</v>
      </c>
      <c r="K14" s="123" cm="1">
        <f t="array" ref="K14">INDEX(Properties!$D:$D,$B14+5)*(IF(K$3=INDEX(Properties!$Q:$Q,$B14+5),INDEX(Properties!$M:$M,$B14+5)+INDEX(Properties!$O:$O,$B14+5),0))</f>
        <v>0</v>
      </c>
      <c r="L14" s="123" cm="1">
        <f t="array" ref="L14">INDEX(Properties!$D:$D,$B14+5)*(IF(L$3=INDEX(Properties!$Q:$Q,$B14+5),INDEX(Properties!$M:$M,$B14+5)+INDEX(Properties!$O:$O,$B14+5),0))</f>
        <v>0</v>
      </c>
      <c r="M14" s="123" cm="1">
        <f t="array" ref="M14">INDEX(Properties!$D:$D,$B14+5)*(IF(M$3=INDEX(Properties!$Q:$Q,$B14+5),INDEX(Properties!$M:$M,$B14+5)+INDEX(Properties!$O:$O,$B14+5),0))</f>
        <v>0</v>
      </c>
      <c r="N14" s="123" cm="1">
        <f t="array" ref="N14">INDEX(Properties!$D:$D,$B14+5)*(IF(N$3=INDEX(Properties!$Q:$Q,$B14+5),INDEX(Properties!$M:$M,$B14+5)+INDEX(Properties!$O:$O,$B14+5),0))</f>
        <v>0</v>
      </c>
      <c r="O14" s="123" cm="1">
        <f t="array" ref="O14">INDEX(Properties!$D:$D,$B14+5)*(IF(O$3=INDEX(Properties!$Q:$Q,$B14+5),INDEX(Properties!$M:$M,$B14+5)+INDEX(Properties!$O:$O,$B14+5),0))</f>
        <v>0</v>
      </c>
      <c r="P14" s="123" cm="1">
        <f t="array" ref="P14">INDEX(Properties!$D:$D,$B14+5)*(IF(P$3=INDEX(Properties!$Q:$Q,$B14+5),INDEX(Properties!$M:$M,$B14+5)+INDEX(Properties!$O:$O,$B14+5),0))</f>
        <v>0</v>
      </c>
      <c r="Q14" s="123" cm="1">
        <f t="array" ref="Q14">INDEX(Properties!$D:$D,$B14+5)*(IF(Q$3=INDEX(Properties!$Q:$Q,$B14+5),INDEX(Properties!$M:$M,$B14+5)+INDEX(Properties!$O:$O,$B14+5),0))</f>
        <v>0</v>
      </c>
      <c r="R14" s="123" cm="1">
        <f t="array" ref="R14">INDEX(Properties!$D:$D,$B14+5)*(IF(R$3=INDEX(Properties!$Q:$Q,$B14+5),INDEX(Properties!$M:$M,$B14+5)+INDEX(Properties!$O:$O,$B14+5),0))</f>
        <v>0</v>
      </c>
      <c r="S14" s="123" cm="1">
        <f t="array" ref="S14">INDEX(Properties!$D:$D,$B14+5)*(IF(S$3=INDEX(Properties!$Q:$Q,$B14+5),INDEX(Properties!$M:$M,$B14+5)+INDEX(Properties!$O:$O,$B14+5),0))</f>
        <v>0</v>
      </c>
      <c r="T14" s="123" cm="1">
        <f t="array" ref="T14">INDEX(Properties!$D:$D,$B14+5)*(IF(T$3=INDEX(Properties!$Q:$Q,$B14+5),INDEX(Properties!$M:$M,$B14+5)+INDEX(Properties!$O:$O,$B14+5),0))</f>
        <v>0</v>
      </c>
      <c r="U14" s="123" cm="1">
        <f t="array" ref="U14">INDEX(Properties!$D:$D,$B14+5)*(IF(U$3=INDEX(Properties!$Q:$Q,$B14+5),INDEX(Properties!$M:$M,$B14+5)+INDEX(Properties!$O:$O,$B14+5),0))</f>
        <v>0</v>
      </c>
      <c r="V14" s="123" cm="1">
        <f t="array" ref="V14">INDEX(Properties!$D:$D,$B14+5)*(IF(V$3=INDEX(Properties!$Q:$Q,$B14+5),INDEX(Properties!$M:$M,$B14+5)+INDEX(Properties!$O:$O,$B14+5),0))</f>
        <v>0</v>
      </c>
      <c r="W14" s="123" cm="1">
        <f t="array" ref="W14">INDEX(Properties!$D:$D,$B14+5)*(IF(W$3=INDEX(Properties!$Q:$Q,$B14+5),INDEX(Properties!$M:$M,$B14+5)+INDEX(Properties!$O:$O,$B14+5),0))</f>
        <v>0</v>
      </c>
      <c r="X14" s="123" cm="1">
        <f t="array" ref="X14">INDEX(Properties!$D:$D,$B14+5)*(IF(X$3=INDEX(Properties!$Q:$Q,$B14+5),INDEX(Properties!$M:$M,$B14+5)+INDEX(Properties!$O:$O,$B14+5),0))</f>
        <v>0</v>
      </c>
      <c r="Y14" s="123" cm="1">
        <f t="array" ref="Y14">INDEX(Properties!$D:$D,$B14+5)*(IF(Y$3=INDEX(Properties!$Q:$Q,$B14+5),INDEX(Properties!$M:$M,$B14+5)+INDEX(Properties!$O:$O,$B14+5),0))</f>
        <v>0</v>
      </c>
      <c r="Z14" s="123" cm="1">
        <f t="array" ref="Z14">INDEX(Properties!$D:$D,$B14+5)*(IF(Z$3=INDEX(Properties!$Q:$Q,$B14+5),INDEX(Properties!$M:$M,$B14+5)+INDEX(Properties!$O:$O,$B14+5),0))</f>
        <v>0</v>
      </c>
      <c r="AA14" s="123" cm="1">
        <f t="array" ref="AA14">INDEX(Properties!$D:$D,$B14+5)*(IF(AA$3=INDEX(Properties!$Q:$Q,$B14+5),INDEX(Properties!$M:$M,$B14+5)+INDEX(Properties!$O:$O,$B14+5),0))</f>
        <v>0</v>
      </c>
      <c r="AB14" s="123" cm="1">
        <f t="array" ref="AB14">INDEX(Properties!$D:$D,$B14+5)*(IF(AB$3=INDEX(Properties!$Q:$Q,$B14+5),INDEX(Properties!$M:$M,$B14+5)+INDEX(Properties!$O:$O,$B14+5),0))</f>
        <v>0</v>
      </c>
      <c r="AC14" s="123" cm="1">
        <f t="array" ref="AC14">INDEX(Properties!$D:$D,$B14+5)*(IF(AC$3=INDEX(Properties!$Q:$Q,$B14+5),INDEX(Properties!$M:$M,$B14+5)+INDEX(Properties!$O:$O,$B14+5),0))</f>
        <v>0</v>
      </c>
      <c r="AD14" s="123" cm="1">
        <f t="array" ref="AD14">INDEX(Properties!$D:$D,$B14+5)*(IF(AD$3=INDEX(Properties!$Q:$Q,$B14+5),INDEX(Properties!$M:$M,$B14+5)+INDEX(Properties!$O:$O,$B14+5),0))</f>
        <v>0</v>
      </c>
      <c r="AE14" s="123" cm="1">
        <f t="array" ref="AE14">INDEX(Properties!$D:$D,$B14+5)*(IF(AE$3=INDEX(Properties!$Q:$Q,$B14+5),INDEX(Properties!$M:$M,$B14+5)+INDEX(Properties!$O:$O,$B14+5),0))</f>
        <v>0</v>
      </c>
      <c r="AF14" s="123" cm="1">
        <f t="array" ref="AF14">INDEX(Properties!$D:$D,$B14+5)*(IF(AF$3=INDEX(Properties!$Q:$Q,$B14+5),INDEX(Properties!$M:$M,$B14+5)+INDEX(Properties!$O:$O,$B14+5),0))</f>
        <v>0</v>
      </c>
      <c r="AG14" s="123" cm="1">
        <f t="array" ref="AG14">INDEX(Properties!$D:$D,$B14+5)*(IF(AG$3=INDEX(Properties!$Q:$Q,$B14+5),INDEX(Properties!$M:$M,$B14+5)+INDEX(Properties!$O:$O,$B14+5),0))</f>
        <v>0</v>
      </c>
      <c r="AH14" s="123" cm="1">
        <f t="array" ref="AH14">INDEX(Properties!$D:$D,$B14+5)*(IF(AH$3=INDEX(Properties!$Q:$Q,$B14+5),INDEX(Properties!$M:$M,$B14+5)+INDEX(Properties!$O:$O,$B14+5),0))</f>
        <v>0</v>
      </c>
      <c r="AI14" s="123" cm="1">
        <f t="array" ref="AI14">INDEX(Properties!$D:$D,$B14+5)*(IF(AI$3=INDEX(Properties!$Q:$Q,$B14+5),INDEX(Properties!$M:$M,$B14+5)+INDEX(Properties!$O:$O,$B14+5),0))</f>
        <v>0</v>
      </c>
      <c r="AJ14" s="123" cm="1">
        <f t="array" ref="AJ14">INDEX(Properties!$D:$D,$B14+5)*(IF(AJ$3=INDEX(Properties!$Q:$Q,$B14+5),INDEX(Properties!$M:$M,$B14+5)+INDEX(Properties!$O:$O,$B14+5),0))</f>
        <v>0</v>
      </c>
      <c r="AK14" s="123" cm="1">
        <f t="array" ref="AK14">INDEX(Properties!$D:$D,$B14+5)*(IF(AK$3=INDEX(Properties!$Q:$Q,$B14+5),INDEX(Properties!$M:$M,$B14+5)+INDEX(Properties!$O:$O,$B14+5),0))</f>
        <v>0</v>
      </c>
      <c r="AL14" s="123" cm="1">
        <f t="array" ref="AL14">INDEX(Properties!$D:$D,$B14+5)*(IF(AL$3=INDEX(Properties!$Q:$Q,$B14+5),INDEX(Properties!$M:$M,$B14+5)+INDEX(Properties!$O:$O,$B14+5),0))</f>
        <v>0</v>
      </c>
      <c r="AM14" s="123" cm="1">
        <f t="array" ref="AM14">INDEX(Properties!$D:$D,$B14+5)*(IF(AM$3=INDEX(Properties!$Q:$Q,$B14+5),INDEX(Properties!$M:$M,$B14+5)+INDEX(Properties!$O:$O,$B14+5),0))</f>
        <v>0</v>
      </c>
      <c r="AN14" s="123" cm="1">
        <f t="array" ref="AN14">INDEX(Properties!$D:$D,$B14+5)*(IF(AN$3=INDEX(Properties!$Q:$Q,$B14+5),INDEX(Properties!$M:$M,$B14+5)+INDEX(Properties!$O:$O,$B14+5),0))</f>
        <v>0</v>
      </c>
      <c r="AO14" s="123" cm="1">
        <f t="array" ref="AO14">INDEX(Properties!$D:$D,$B14+5)*(IF(AO$3=INDEX(Properties!$Q:$Q,$B14+5),INDEX(Properties!$M:$M,$B14+5)+INDEX(Properties!$O:$O,$B14+5),0))</f>
        <v>0</v>
      </c>
      <c r="AP14" s="123" cm="1">
        <f t="array" ref="AP14">INDEX(Properties!$D:$D,$B14+5)*(IF(AP$3=INDEX(Properties!$Q:$Q,$B14+5),INDEX(Properties!$M:$M,$B14+5)+INDEX(Properties!$O:$O,$B14+5),0))</f>
        <v>0</v>
      </c>
      <c r="AQ14" s="123" cm="1">
        <f t="array" ref="AQ14">INDEX(Properties!$D:$D,$B14+5)*(IF(AQ$3=INDEX(Properties!$Q:$Q,$B14+5),INDEX(Properties!$M:$M,$B14+5)+INDEX(Properties!$O:$O,$B14+5),0))</f>
        <v>0</v>
      </c>
      <c r="AR14" s="123" cm="1">
        <f t="array" ref="AR14">INDEX(Properties!$D:$D,$B14+5)*(IF(AR$3=INDEX(Properties!$Q:$Q,$B14+5),INDEX(Properties!$M:$M,$B14+5)+INDEX(Properties!$O:$O,$B14+5),0))</f>
        <v>0</v>
      </c>
      <c r="AS14" s="123" cm="1">
        <f t="array" ref="AS14">INDEX(Properties!$D:$D,$B14+5)*(IF(AS$3=INDEX(Properties!$Q:$Q,$B14+5),INDEX(Properties!$M:$M,$B14+5)+INDEX(Properties!$O:$O,$B14+5),0))</f>
        <v>0</v>
      </c>
      <c r="AT14" s="123" cm="1">
        <f t="array" ref="AT14">INDEX(Properties!$D:$D,$B14+5)*(IF(AT$3=INDEX(Properties!$Q:$Q,$B14+5),INDEX(Properties!$M:$M,$B14+5)+INDEX(Properties!$O:$O,$B14+5),0))</f>
        <v>0</v>
      </c>
      <c r="AU14" s="123" cm="1">
        <f t="array" ref="AU14">INDEX(Properties!$D:$D,$B14+5)*(IF(AU$3=INDEX(Properties!$Q:$Q,$B14+5),INDEX(Properties!$M:$M,$B14+5)+INDEX(Properties!$O:$O,$B14+5),0))</f>
        <v>0</v>
      </c>
      <c r="AV14" s="123" cm="1">
        <f t="array" ref="AV14">INDEX(Properties!$D:$D,$B14+5)*(IF(AV$3=INDEX(Properties!$Q:$Q,$B14+5),INDEX(Properties!$M:$M,$B14+5)+INDEX(Properties!$O:$O,$B14+5),0))</f>
        <v>0</v>
      </c>
      <c r="AW14" s="123" cm="1">
        <f t="array" ref="AW14">INDEX(Properties!$D:$D,$B14+5)*(IF(AW$3=INDEX(Properties!$Q:$Q,$B14+5),INDEX(Properties!$M:$M,$B14+5)+INDEX(Properties!$O:$O,$B14+5),0))</f>
        <v>0</v>
      </c>
      <c r="AX14" s="123" cm="1">
        <f t="array" ref="AX14">INDEX(Properties!$D:$D,$B14+5)*(IF(AX$3=INDEX(Properties!$Q:$Q,$B14+5),INDEX(Properties!$M:$M,$B14+5)+INDEX(Properties!$O:$O,$B14+5),0))</f>
        <v>0</v>
      </c>
      <c r="AY14" s="123" cm="1">
        <f t="array" ref="AY14">INDEX(Properties!$D:$D,$B14+5)*(IF(AY$3=INDEX(Properties!$Q:$Q,$B14+5),INDEX(Properties!$M:$M,$B14+5)+INDEX(Properties!$O:$O,$B14+5),0))</f>
        <v>0</v>
      </c>
      <c r="AZ14" s="123" cm="1">
        <f t="array" ref="AZ14">INDEX(Properties!$D:$D,$B14+5)*(IF(AZ$3=INDEX(Properties!$Q:$Q,$B14+5),INDEX(Properties!$M:$M,$B14+5)+INDEX(Properties!$O:$O,$B14+5),0))</f>
        <v>0</v>
      </c>
      <c r="BA14" s="123" cm="1">
        <f t="array" ref="BA14">INDEX(Properties!$D:$D,$B14+5)*(IF(BA$3=INDEX(Properties!$Q:$Q,$B14+5),INDEX(Properties!$M:$M,$B14+5)+INDEX(Properties!$O:$O,$B14+5),0))</f>
        <v>0</v>
      </c>
      <c r="BB14" s="123" cm="1">
        <f t="array" ref="BB14">INDEX(Properties!$D:$D,$B14+5)*(IF(BB$3=INDEX(Properties!$Q:$Q,$B14+5),INDEX(Properties!$M:$M,$B14+5)+INDEX(Properties!$O:$O,$B14+5),0))</f>
        <v>0</v>
      </c>
      <c r="BC14" s="123" cm="1">
        <f t="array" ref="BC14">INDEX(Properties!$D:$D,$B14+5)*(IF(BC$3=INDEX(Properties!$Q:$Q,$B14+5),INDEX(Properties!$M:$M,$B14+5)+INDEX(Properties!$O:$O,$B14+5),0))</f>
        <v>0</v>
      </c>
      <c r="BD14" s="123" cm="1">
        <f t="array" ref="BD14">INDEX(Properties!$D:$D,$B14+5)*(IF(BD$3=INDEX(Properties!$Q:$Q,$B14+5),INDEX(Properties!$M:$M,$B14+5)+INDEX(Properties!$O:$O,$B14+5),0))</f>
        <v>0</v>
      </c>
      <c r="BE14" s="123" cm="1">
        <f t="array" ref="BE14">INDEX(Properties!$D:$D,$B14+5)*(IF(BE$3=INDEX(Properties!$Q:$Q,$B14+5),INDEX(Properties!$M:$M,$B14+5)+INDEX(Properties!$O:$O,$B14+5),0))</f>
        <v>0</v>
      </c>
      <c r="BF14" s="123" cm="1">
        <f t="array" ref="BF14">INDEX(Properties!$D:$D,$B14+5)*(IF(BF$3=INDEX(Properties!$Q:$Q,$B14+5),INDEX(Properties!$M:$M,$B14+5)+INDEX(Properties!$O:$O,$B14+5),0))</f>
        <v>0</v>
      </c>
      <c r="BG14" s="123" cm="1">
        <f t="array" ref="BG14">INDEX(Properties!$D:$D,$B14+5)*(IF(BG$3=INDEX(Properties!$Q:$Q,$B14+5),INDEX(Properties!$M:$M,$B14+5)+INDEX(Properties!$O:$O,$B14+5),0))</f>
        <v>0</v>
      </c>
      <c r="BH14" s="123" cm="1">
        <f t="array" ref="BH14">INDEX(Properties!$D:$D,$B14+5)*(IF(BH$3=INDEX(Properties!$Q:$Q,$B14+5),INDEX(Properties!$M:$M,$B14+5)+INDEX(Properties!$O:$O,$B14+5),0))</f>
        <v>0</v>
      </c>
      <c r="BI14" s="123" cm="1">
        <f t="array" ref="BI14">INDEX(Properties!$D:$D,$B14+5)*(IF(BI$3=INDEX(Properties!$Q:$Q,$B14+5),INDEX(Properties!$M:$M,$B14+5)+INDEX(Properties!$O:$O,$B14+5),0))</f>
        <v>0</v>
      </c>
      <c r="BJ14" s="123" cm="1">
        <f t="array" ref="BJ14">INDEX(Properties!$D:$D,$B14+5)*(IF(BJ$3=INDEX(Properties!$Q:$Q,$B14+5),INDEX(Properties!$M:$M,$B14+5)+INDEX(Properties!$O:$O,$B14+5),0))</f>
        <v>0</v>
      </c>
      <c r="BK14" s="123" cm="1">
        <f t="array" ref="BK14">INDEX(Properties!$D:$D,$B14+5)*(IF(BK$3=INDEX(Properties!$Q:$Q,$B14+5),INDEX(Properties!$M:$M,$B14+5)+INDEX(Properties!$O:$O,$B14+5),0))</f>
        <v>0</v>
      </c>
      <c r="BL14" s="123" cm="1">
        <f t="array" ref="BL14">INDEX(Properties!$D:$D,$B14+5)*(IF(BL$3=INDEX(Properties!$Q:$Q,$B14+5),INDEX(Properties!$M:$M,$B14+5)+INDEX(Properties!$O:$O,$B14+5),0))</f>
        <v>0</v>
      </c>
      <c r="BM14" s="123" cm="1">
        <f t="array" ref="BM14">INDEX(Properties!$D:$D,$B14+5)*(IF(BM$3=INDEX(Properties!$Q:$Q,$B14+5),INDEX(Properties!$M:$M,$B14+5)+INDEX(Properties!$O:$O,$B14+5),0))</f>
        <v>0</v>
      </c>
      <c r="BN14" s="123" cm="1">
        <f t="array" ref="BN14">INDEX(Properties!$D:$D,$B14+5)*(IF(BN$3=INDEX(Properties!$Q:$Q,$B14+5),INDEX(Properties!$M:$M,$B14+5)+INDEX(Properties!$O:$O,$B14+5),0))</f>
        <v>0</v>
      </c>
      <c r="BO14" s="123" cm="1">
        <f t="array" ref="BO14">INDEX(Properties!$D:$D,$B14+5)*(IF(BO$3=INDEX(Properties!$Q:$Q,$B14+5),INDEX(Properties!$M:$M,$B14+5)+INDEX(Properties!$O:$O,$B14+5),0))</f>
        <v>0</v>
      </c>
      <c r="BP14" s="123" cm="1">
        <f t="array" ref="BP14">INDEX(Properties!$D:$D,$B14+5)*(IF(BP$3=INDEX(Properties!$Q:$Q,$B14+5),INDEX(Properties!$M:$M,$B14+5)+INDEX(Properties!$O:$O,$B14+5),0))</f>
        <v>0</v>
      </c>
      <c r="BQ14" s="123" cm="1">
        <f t="array" ref="BQ14">INDEX(Properties!$D:$D,$B14+5)*(IF(BQ$3=INDEX(Properties!$Q:$Q,$B14+5),INDEX(Properties!$M:$M,$B14+5)+INDEX(Properties!$O:$O,$B14+5),0))</f>
        <v>0</v>
      </c>
      <c r="BR14" s="123" cm="1">
        <f t="array" ref="BR14">INDEX(Properties!$D:$D,$B14+5)*(IF(BR$3=INDEX(Properties!$Q:$Q,$B14+5),INDEX(Properties!$M:$M,$B14+5)+INDEX(Properties!$O:$O,$B14+5),0))</f>
        <v>0</v>
      </c>
      <c r="BS14" s="123" cm="1">
        <f t="array" ref="BS14">INDEX(Properties!$D:$D,$B14+5)*(IF(BS$3=INDEX(Properties!$Q:$Q,$B14+5),INDEX(Properties!$M:$M,$B14+5)+INDEX(Properties!$O:$O,$B14+5),0))</f>
        <v>0</v>
      </c>
      <c r="BT14" s="123" cm="1">
        <f t="array" ref="BT14">INDEX(Properties!$D:$D,$B14+5)*(IF(BT$3=INDEX(Properties!$Q:$Q,$B14+5),INDEX(Properties!$M:$M,$B14+5)+INDEX(Properties!$O:$O,$B14+5),0))</f>
        <v>0</v>
      </c>
      <c r="BU14" s="123" cm="1">
        <f t="array" ref="BU14">INDEX(Properties!$D:$D,$B14+5)*(IF(BU$3=INDEX(Properties!$Q:$Q,$B14+5),INDEX(Properties!$M:$M,$B14+5)+INDEX(Properties!$O:$O,$B14+5),0))</f>
        <v>0</v>
      </c>
      <c r="BV14" s="123" cm="1">
        <f t="array" ref="BV14">INDEX(Properties!$D:$D,$B14+5)*(IF(BV$3=INDEX(Properties!$Q:$Q,$B14+5),INDEX(Properties!$M:$M,$B14+5)+INDEX(Properties!$O:$O,$B14+5),0))</f>
        <v>0</v>
      </c>
      <c r="BW14" s="123" cm="1">
        <f t="array" ref="BW14">INDEX(Properties!$D:$D,$B14+5)*(IF(BW$3=INDEX(Properties!$Q:$Q,$B14+5),INDEX(Properties!$M:$M,$B14+5)+INDEX(Properties!$O:$O,$B14+5),0))</f>
        <v>0</v>
      </c>
      <c r="BX14" s="123" cm="1">
        <f t="array" ref="BX14">INDEX(Properties!$D:$D,$B14+5)*(IF(BX$3=INDEX(Properties!$Q:$Q,$B14+5),INDEX(Properties!$M:$M,$B14+5)+INDEX(Properties!$O:$O,$B14+5),0))</f>
        <v>0</v>
      </c>
      <c r="BY14" s="123" cm="1">
        <f t="array" ref="BY14">INDEX(Properties!$D:$D,$B14+5)*(IF(BY$3=INDEX(Properties!$Q:$Q,$B14+5),INDEX(Properties!$M:$M,$B14+5)+INDEX(Properties!$O:$O,$B14+5),0))</f>
        <v>0</v>
      </c>
      <c r="BZ14" s="123" cm="1">
        <f t="array" ref="BZ14">INDEX(Properties!$D:$D,$B14+5)*(IF(BZ$3=INDEX(Properties!$Q:$Q,$B14+5),INDEX(Properties!$M:$M,$B14+5)+INDEX(Properties!$O:$O,$B14+5),0))</f>
        <v>0</v>
      </c>
      <c r="CA14" s="123" cm="1">
        <f t="array" ref="CA14">INDEX(Properties!$D:$D,$B14+5)*(IF(CA$3=INDEX(Properties!$Q:$Q,$B14+5),INDEX(Properties!$M:$M,$B14+5)+INDEX(Properties!$O:$O,$B14+5),0))</f>
        <v>0</v>
      </c>
      <c r="CB14" s="123" cm="1">
        <f t="array" ref="CB14">INDEX(Properties!$D:$D,$B14+5)*(IF(CB$3=INDEX(Properties!$Q:$Q,$B14+5),INDEX(Properties!$M:$M,$B14+5)+INDEX(Properties!$O:$O,$B14+5),0))</f>
        <v>0</v>
      </c>
      <c r="CC14" s="123" cm="1">
        <f t="array" ref="CC14">INDEX(Properties!$D:$D,$B14+5)*(IF(CC$3=INDEX(Properties!$Q:$Q,$B14+5),INDEX(Properties!$M:$M,$B14+5)+INDEX(Properties!$O:$O,$B14+5),0))</f>
        <v>0</v>
      </c>
      <c r="CD14" s="123" cm="1">
        <f t="array" ref="CD14">INDEX(Properties!$D:$D,$B14+5)*(IF(CD$3=INDEX(Properties!$Q:$Q,$B14+5),INDEX(Properties!$M:$M,$B14+5)+INDEX(Properties!$O:$O,$B14+5),0))</f>
        <v>0</v>
      </c>
      <c r="CE14" s="123" cm="1">
        <f t="array" ref="CE14">INDEX(Properties!$D:$D,$B14+5)*(IF(CE$3=INDEX(Properties!$Q:$Q,$B14+5),INDEX(Properties!$M:$M,$B14+5)+INDEX(Properties!$O:$O,$B14+5),0))</f>
        <v>0</v>
      </c>
      <c r="CF14" s="123" cm="1">
        <f t="array" ref="CF14">INDEX(Properties!$D:$D,$B14+5)*(IF(CF$3=INDEX(Properties!$Q:$Q,$B14+5),INDEX(Properties!$M:$M,$B14+5)+INDEX(Properties!$O:$O,$B14+5),0))</f>
        <v>0</v>
      </c>
      <c r="CG14" s="123" cm="1">
        <f t="array" ref="CG14">INDEX(Properties!$D:$D,$B14+5)*(IF(CG$3=INDEX(Properties!$Q:$Q,$B14+5),INDEX(Properties!$M:$M,$B14+5)+INDEX(Properties!$O:$O,$B14+5),0))</f>
        <v>0</v>
      </c>
      <c r="CH14" s="123" cm="1">
        <f t="array" ref="CH14">INDEX(Properties!$D:$D,$B14+5)*(IF(CH$3=INDEX(Properties!$Q:$Q,$B14+5),INDEX(Properties!$M:$M,$B14+5)+INDEX(Properties!$O:$O,$B14+5),0))</f>
        <v>0</v>
      </c>
      <c r="CI14" s="123" cm="1">
        <f t="array" ref="CI14">INDEX(Properties!$D:$D,$B14+5)*(IF(CI$3=INDEX(Properties!$Q:$Q,$B14+5),INDEX(Properties!$M:$M,$B14+5)+INDEX(Properties!$O:$O,$B14+5),0))</f>
        <v>0</v>
      </c>
      <c r="CJ14" s="123" cm="1">
        <f t="array" ref="CJ14">INDEX(Properties!$D:$D,$B14+5)*(IF(CJ$3=INDEX(Properties!$Q:$Q,$B14+5),INDEX(Properties!$M:$M,$B14+5)+INDEX(Properties!$O:$O,$B14+5),0))</f>
        <v>0</v>
      </c>
      <c r="CK14" s="123" cm="1">
        <f t="array" ref="CK14">INDEX(Properties!$D:$D,$B14+5)*(IF(CK$3=INDEX(Properties!$Q:$Q,$B14+5),INDEX(Properties!$M:$M,$B14+5)+INDEX(Properties!$O:$O,$B14+5),0))</f>
        <v>0</v>
      </c>
      <c r="CL14" s="123" cm="1">
        <f t="array" ref="CL14">INDEX(Properties!$D:$D,$B14+5)*(IF(CL$3=INDEX(Properties!$Q:$Q,$B14+5),INDEX(Properties!$M:$M,$B14+5)+INDEX(Properties!$O:$O,$B14+5),0))</f>
        <v>0</v>
      </c>
      <c r="CM14" s="123" cm="1">
        <f t="array" ref="CM14">INDEX(Properties!$D:$D,$B14+5)*(IF(CM$3=INDEX(Properties!$Q:$Q,$B14+5),INDEX(Properties!$M:$M,$B14+5)+INDEX(Properties!$O:$O,$B14+5),0))</f>
        <v>0</v>
      </c>
      <c r="CN14" s="123" cm="1">
        <f t="array" ref="CN14">INDEX(Properties!$D:$D,$B14+5)*(IF(CN$3=INDEX(Properties!$Q:$Q,$B14+5),INDEX(Properties!$M:$M,$B14+5)+INDEX(Properties!$O:$O,$B14+5),0))</f>
        <v>0</v>
      </c>
      <c r="CO14" s="123" cm="1">
        <f t="array" ref="CO14">INDEX(Properties!$D:$D,$B14+5)*(IF(CO$3=INDEX(Properties!$Q:$Q,$B14+5),INDEX(Properties!$M:$M,$B14+5)+INDEX(Properties!$O:$O,$B14+5),0))</f>
        <v>0</v>
      </c>
      <c r="CP14" s="123" cm="1">
        <f t="array" ref="CP14">INDEX(Properties!$D:$D,$B14+5)*(IF(CP$3=INDEX(Properties!$Q:$Q,$B14+5),INDEX(Properties!$M:$M,$B14+5)+INDEX(Properties!$O:$O,$B14+5),0))</f>
        <v>0</v>
      </c>
      <c r="CQ14" s="123" cm="1">
        <f t="array" ref="CQ14">INDEX(Properties!$D:$D,$B14+5)*(IF(CQ$3=INDEX(Properties!$Q:$Q,$B14+5),INDEX(Properties!$M:$M,$B14+5)+INDEX(Properties!$O:$O,$B14+5),0))</f>
        <v>0</v>
      </c>
      <c r="CR14" s="123" cm="1">
        <f t="array" ref="CR14">INDEX(Properties!$D:$D,$B14+5)*(IF(CR$3=INDEX(Properties!$Q:$Q,$B14+5),INDEX(Properties!$M:$M,$B14+5)+INDEX(Properties!$O:$O,$B14+5),0))</f>
        <v>0</v>
      </c>
      <c r="CS14" s="123" cm="1">
        <f t="array" ref="CS14">INDEX(Properties!$D:$D,$B14+5)*(IF(CS$3=INDEX(Properties!$Q:$Q,$B14+5),INDEX(Properties!$M:$M,$B14+5)+INDEX(Properties!$O:$O,$B14+5),0))</f>
        <v>0</v>
      </c>
      <c r="CT14" s="123" cm="1">
        <f t="array" ref="CT14">INDEX(Properties!$D:$D,$B14+5)*(IF(CT$3=INDEX(Properties!$Q:$Q,$B14+5),INDEX(Properties!$M:$M,$B14+5)+INDEX(Properties!$O:$O,$B14+5),0))</f>
        <v>0</v>
      </c>
      <c r="CU14" s="123" cm="1">
        <f t="array" ref="CU14">INDEX(Properties!$D:$D,$B14+5)*(IF(CU$3=INDEX(Properties!$Q:$Q,$B14+5),INDEX(Properties!$M:$M,$B14+5)+INDEX(Properties!$O:$O,$B14+5),0))</f>
        <v>0</v>
      </c>
      <c r="CV14" s="123" cm="1">
        <f t="array" ref="CV14">INDEX(Properties!$D:$D,$B14+5)*(IF(CV$3=INDEX(Properties!$Q:$Q,$B14+5),INDEX(Properties!$M:$M,$B14+5)+INDEX(Properties!$O:$O,$B14+5),0))</f>
        <v>0</v>
      </c>
      <c r="CW14" s="123" cm="1">
        <f t="array" ref="CW14">INDEX(Properties!$D:$D,$B14+5)*(IF(CW$3=INDEX(Properties!$Q:$Q,$B14+5),INDEX(Properties!$M:$M,$B14+5)+INDEX(Properties!$O:$O,$B14+5),0))</f>
        <v>0</v>
      </c>
      <c r="CX14" s="123" cm="1">
        <f t="array" ref="CX14">INDEX(Properties!$D:$D,$B14+5)*(IF(CX$3=INDEX(Properties!$Q:$Q,$B14+5),INDEX(Properties!$M:$M,$B14+5)+INDEX(Properties!$O:$O,$B14+5),0))</f>
        <v>0</v>
      </c>
      <c r="CY14" s="123" cm="1">
        <f t="array" ref="CY14">INDEX(Properties!$D:$D,$B14+5)*(IF(CY$3=INDEX(Properties!$Q:$Q,$B14+5),INDEX(Properties!$M:$M,$B14+5)+INDEX(Properties!$O:$O,$B14+5),0))</f>
        <v>0</v>
      </c>
      <c r="CZ14" s="123" cm="1">
        <f t="array" ref="CZ14">INDEX(Properties!$D:$D,$B14+5)*(IF(CZ$3=INDEX(Properties!$Q:$Q,$B14+5),INDEX(Properties!$M:$M,$B14+5)+INDEX(Properties!$O:$O,$B14+5),0))</f>
        <v>0</v>
      </c>
      <c r="DA14" s="123" cm="1">
        <f t="array" ref="DA14">INDEX(Properties!$D:$D,$B14+5)*(IF(DA$3=INDEX(Properties!$Q:$Q,$B14+5),INDEX(Properties!$M:$M,$B14+5)+INDEX(Properties!$O:$O,$B14+5),0))</f>
        <v>0</v>
      </c>
      <c r="DB14" s="123" cm="1">
        <f t="array" ref="DB14">INDEX(Properties!$D:$D,$B14+5)*(IF(DB$3=INDEX(Properties!$Q:$Q,$B14+5),INDEX(Properties!$M:$M,$B14+5)+INDEX(Properties!$O:$O,$B14+5),0))</f>
        <v>0</v>
      </c>
      <c r="DC14" s="123" cm="1">
        <f t="array" ref="DC14">INDEX(Properties!$D:$D,$B14+5)*(IF(DC$3=INDEX(Properties!$Q:$Q,$B14+5),INDEX(Properties!$M:$M,$B14+5)+INDEX(Properties!$O:$O,$B14+5),0))</f>
        <v>0</v>
      </c>
      <c r="DD14" s="123" cm="1">
        <f t="array" ref="DD14">INDEX(Properties!$D:$D,$B14+5)*(IF(DD$3=INDEX(Properties!$Q:$Q,$B14+5),INDEX(Properties!$M:$M,$B14+5)+INDEX(Properties!$O:$O,$B14+5),0))</f>
        <v>0</v>
      </c>
      <c r="DE14" s="123" cm="1">
        <f t="array" ref="DE14">INDEX(Properties!$D:$D,$B14+5)*(IF(DE$3=INDEX(Properties!$Q:$Q,$B14+5),INDEX(Properties!$M:$M,$B14+5)+INDEX(Properties!$O:$O,$B14+5),0))</f>
        <v>0</v>
      </c>
      <c r="DF14" s="123" cm="1">
        <f t="array" ref="DF14">INDEX(Properties!$D:$D,$B14+5)*(IF(DF$3=INDEX(Properties!$Q:$Q,$B14+5),INDEX(Properties!$M:$M,$B14+5)+INDEX(Properties!$O:$O,$B14+5),0))</f>
        <v>0</v>
      </c>
      <c r="DG14" s="123" cm="1">
        <f t="array" ref="DG14">INDEX(Properties!$D:$D,$B14+5)*(IF(DG$3=INDEX(Properties!$Q:$Q,$B14+5),INDEX(Properties!$M:$M,$B14+5)+INDEX(Properties!$O:$O,$B14+5),0))</f>
        <v>0</v>
      </c>
      <c r="DH14" s="123" cm="1">
        <f t="array" ref="DH14">INDEX(Properties!$D:$D,$B14+5)*(IF(DH$3=INDEX(Properties!$Q:$Q,$B14+5),INDEX(Properties!$M:$M,$B14+5)+INDEX(Properties!$O:$O,$B14+5),0))</f>
        <v>0</v>
      </c>
      <c r="DI14" s="123" cm="1">
        <f t="array" ref="DI14">INDEX(Properties!$D:$D,$B14+5)*(IF(DI$3=INDEX(Properties!$Q:$Q,$B14+5),INDEX(Properties!$M:$M,$B14+5)+INDEX(Properties!$O:$O,$B14+5),0))</f>
        <v>0</v>
      </c>
      <c r="DJ14" s="123" cm="1">
        <f t="array" ref="DJ14">INDEX(Properties!$D:$D,$B14+5)*(IF(DJ$3=INDEX(Properties!$Q:$Q,$B14+5),INDEX(Properties!$M:$M,$B14+5)+INDEX(Properties!$O:$O,$B14+5),0))</f>
        <v>0</v>
      </c>
      <c r="DK14" s="123" cm="1">
        <f t="array" ref="DK14">INDEX(Properties!$D:$D,$B14+5)*(IF(DK$3=INDEX(Properties!$Q:$Q,$B14+5),INDEX(Properties!$M:$M,$B14+5)+INDEX(Properties!$O:$O,$B14+5),0))</f>
        <v>0</v>
      </c>
      <c r="DL14" s="123" cm="1">
        <f t="array" ref="DL14">INDEX(Properties!$D:$D,$B14+5)*(IF(DL$3=INDEX(Properties!$Q:$Q,$B14+5),INDEX(Properties!$M:$M,$B14+5)+INDEX(Properties!$O:$O,$B14+5),0))</f>
        <v>0</v>
      </c>
      <c r="DM14" s="123" cm="1">
        <f t="array" ref="DM14">INDEX(Properties!$D:$D,$B14+5)*(IF(DM$3=INDEX(Properties!$Q:$Q,$B14+5),INDEX(Properties!$M:$M,$B14+5)+INDEX(Properties!$O:$O,$B14+5),0))</f>
        <v>0</v>
      </c>
      <c r="DN14" s="123" cm="1">
        <f t="array" ref="DN14">INDEX(Properties!$D:$D,$B14+5)*(IF(DN$3=INDEX(Properties!$Q:$Q,$B14+5),INDEX(Properties!$M:$M,$B14+5)+INDEX(Properties!$O:$O,$B14+5),0))</f>
        <v>0</v>
      </c>
      <c r="DO14" s="123" cm="1">
        <f t="array" ref="DO14">INDEX(Properties!$D:$D,$B14+5)*(IF(DO$3=INDEX(Properties!$Q:$Q,$B14+5),INDEX(Properties!$M:$M,$B14+5)+INDEX(Properties!$O:$O,$B14+5),0))</f>
        <v>0</v>
      </c>
      <c r="DP14" s="123" cm="1">
        <f t="array" ref="DP14">INDEX(Properties!$D:$D,$B14+5)*(IF(DP$3=INDEX(Properties!$Q:$Q,$B14+5),INDEX(Properties!$M:$M,$B14+5)+INDEX(Properties!$O:$O,$B14+5),0))</f>
        <v>0</v>
      </c>
      <c r="DQ14" s="123" cm="1">
        <f t="array" ref="DQ14">INDEX(Properties!$D:$D,$B14+5)*(IF(DQ$3=INDEX(Properties!$Q:$Q,$B14+5),INDEX(Properties!$M:$M,$B14+5)+INDEX(Properties!$O:$O,$B14+5),0))</f>
        <v>0</v>
      </c>
      <c r="DR14" s="123" cm="1">
        <f t="array" ref="DR14">INDEX(Properties!$D:$D,$B14+5)*(IF(DR$3=INDEX(Properties!$Q:$Q,$B14+5),INDEX(Properties!$M:$M,$B14+5)+INDEX(Properties!$O:$O,$B14+5),0))</f>
        <v>0</v>
      </c>
    </row>
    <row r="15" spans="1:122" ht="16.05" customHeight="1" x14ac:dyDescent="0.3">
      <c r="A15" s="148" cm="1">
        <f t="array" ref="A15">INDEX(Properties!$E:$E,$B15+5)</f>
        <v>0</v>
      </c>
      <c r="B15" s="1">
        <v>9</v>
      </c>
      <c r="C15" s="123" cm="1">
        <f t="array" ref="C15">INDEX(Properties!$D:$D,$B15+5)*(IF(C$3=INDEX(Properties!$Q:$Q,$B15+5),INDEX(Properties!$M:$M,$B15+5)+INDEX(Properties!$O:$O,$B15+5),0))</f>
        <v>0</v>
      </c>
      <c r="D15" s="123" cm="1">
        <f t="array" ref="D15">INDEX(Properties!$D:$D,$B15+5)*(IF(D$3=INDEX(Properties!$Q:$Q,$B15+5),INDEX(Properties!$M:$M,$B15+5)+INDEX(Properties!$O:$O,$B15+5),0))</f>
        <v>0</v>
      </c>
      <c r="E15" s="123" cm="1">
        <f t="array" ref="E15">INDEX(Properties!$D:$D,$B15+5)*(IF(E$3=INDEX(Properties!$Q:$Q,$B15+5),INDEX(Properties!$M:$M,$B15+5)+INDEX(Properties!$O:$O,$B15+5),0))</f>
        <v>0</v>
      </c>
      <c r="F15" s="123" cm="1">
        <f t="array" ref="F15">INDEX(Properties!$D:$D,$B15+5)*(IF(F$3=INDEX(Properties!$Q:$Q,$B15+5),INDEX(Properties!$M:$M,$B15+5)+INDEX(Properties!$O:$O,$B15+5),0))</f>
        <v>0</v>
      </c>
      <c r="G15" s="123" cm="1">
        <f t="array" ref="G15">INDEX(Properties!$D:$D,$B15+5)*(IF(G$3=INDEX(Properties!$Q:$Q,$B15+5),INDEX(Properties!$M:$M,$B15+5)+INDEX(Properties!$O:$O,$B15+5),0))</f>
        <v>0</v>
      </c>
      <c r="H15" s="123" cm="1">
        <f t="array" ref="H15">INDEX(Properties!$D:$D,$B15+5)*(IF(H$3=INDEX(Properties!$Q:$Q,$B15+5),INDEX(Properties!$M:$M,$B15+5)+INDEX(Properties!$O:$O,$B15+5),0))</f>
        <v>0</v>
      </c>
      <c r="I15" s="123" cm="1">
        <f t="array" ref="I15">INDEX(Properties!$D:$D,$B15+5)*(IF(I$3=INDEX(Properties!$Q:$Q,$B15+5),INDEX(Properties!$M:$M,$B15+5)+INDEX(Properties!$O:$O,$B15+5),0))</f>
        <v>0</v>
      </c>
      <c r="J15" s="123" cm="1">
        <f t="array" ref="J15">INDEX(Properties!$D:$D,$B15+5)*(IF(J$3=INDEX(Properties!$Q:$Q,$B15+5),INDEX(Properties!$M:$M,$B15+5)+INDEX(Properties!$O:$O,$B15+5),0))</f>
        <v>0</v>
      </c>
      <c r="K15" s="123" cm="1">
        <f t="array" ref="K15">INDEX(Properties!$D:$D,$B15+5)*(IF(K$3=INDEX(Properties!$Q:$Q,$B15+5),INDEX(Properties!$M:$M,$B15+5)+INDEX(Properties!$O:$O,$B15+5),0))</f>
        <v>0</v>
      </c>
      <c r="L15" s="123" cm="1">
        <f t="array" ref="L15">INDEX(Properties!$D:$D,$B15+5)*(IF(L$3=INDEX(Properties!$Q:$Q,$B15+5),INDEX(Properties!$M:$M,$B15+5)+INDEX(Properties!$O:$O,$B15+5),0))</f>
        <v>0</v>
      </c>
      <c r="M15" s="123" cm="1">
        <f t="array" ref="M15">INDEX(Properties!$D:$D,$B15+5)*(IF(M$3=INDEX(Properties!$Q:$Q,$B15+5),INDEX(Properties!$M:$M,$B15+5)+INDEX(Properties!$O:$O,$B15+5),0))</f>
        <v>0</v>
      </c>
      <c r="N15" s="123" cm="1">
        <f t="array" ref="N15">INDEX(Properties!$D:$D,$B15+5)*(IF(N$3=INDEX(Properties!$Q:$Q,$B15+5),INDEX(Properties!$M:$M,$B15+5)+INDEX(Properties!$O:$O,$B15+5),0))</f>
        <v>0</v>
      </c>
      <c r="O15" s="123" cm="1">
        <f t="array" ref="O15">INDEX(Properties!$D:$D,$B15+5)*(IF(O$3=INDEX(Properties!$Q:$Q,$B15+5),INDEX(Properties!$M:$M,$B15+5)+INDEX(Properties!$O:$O,$B15+5),0))</f>
        <v>0</v>
      </c>
      <c r="P15" s="123" cm="1">
        <f t="array" ref="P15">INDEX(Properties!$D:$D,$B15+5)*(IF(P$3=INDEX(Properties!$Q:$Q,$B15+5),INDEX(Properties!$M:$M,$B15+5)+INDEX(Properties!$O:$O,$B15+5),0))</f>
        <v>0</v>
      </c>
      <c r="Q15" s="123" cm="1">
        <f t="array" ref="Q15">INDEX(Properties!$D:$D,$B15+5)*(IF(Q$3=INDEX(Properties!$Q:$Q,$B15+5),INDEX(Properties!$M:$M,$B15+5)+INDEX(Properties!$O:$O,$B15+5),0))</f>
        <v>0</v>
      </c>
      <c r="R15" s="123" cm="1">
        <f t="array" ref="R15">INDEX(Properties!$D:$D,$B15+5)*(IF(R$3=INDEX(Properties!$Q:$Q,$B15+5),INDEX(Properties!$M:$M,$B15+5)+INDEX(Properties!$O:$O,$B15+5),0))</f>
        <v>0</v>
      </c>
      <c r="S15" s="123" cm="1">
        <f t="array" ref="S15">INDEX(Properties!$D:$D,$B15+5)*(IF(S$3=INDEX(Properties!$Q:$Q,$B15+5),INDEX(Properties!$M:$M,$B15+5)+INDEX(Properties!$O:$O,$B15+5),0))</f>
        <v>0</v>
      </c>
      <c r="T15" s="123" cm="1">
        <f t="array" ref="T15">INDEX(Properties!$D:$D,$B15+5)*(IF(T$3=INDEX(Properties!$Q:$Q,$B15+5),INDEX(Properties!$M:$M,$B15+5)+INDEX(Properties!$O:$O,$B15+5),0))</f>
        <v>0</v>
      </c>
      <c r="U15" s="123" cm="1">
        <f t="array" ref="U15">INDEX(Properties!$D:$D,$B15+5)*(IF(U$3=INDEX(Properties!$Q:$Q,$B15+5),INDEX(Properties!$M:$M,$B15+5)+INDEX(Properties!$O:$O,$B15+5),0))</f>
        <v>0</v>
      </c>
      <c r="V15" s="123" cm="1">
        <f t="array" ref="V15">INDEX(Properties!$D:$D,$B15+5)*(IF(V$3=INDEX(Properties!$Q:$Q,$B15+5),INDEX(Properties!$M:$M,$B15+5)+INDEX(Properties!$O:$O,$B15+5),0))</f>
        <v>0</v>
      </c>
      <c r="W15" s="123" cm="1">
        <f t="array" ref="W15">INDEX(Properties!$D:$D,$B15+5)*(IF(W$3=INDEX(Properties!$Q:$Q,$B15+5),INDEX(Properties!$M:$M,$B15+5)+INDEX(Properties!$O:$O,$B15+5),0))</f>
        <v>0</v>
      </c>
      <c r="X15" s="123" cm="1">
        <f t="array" ref="X15">INDEX(Properties!$D:$D,$B15+5)*(IF(X$3=INDEX(Properties!$Q:$Q,$B15+5),INDEX(Properties!$M:$M,$B15+5)+INDEX(Properties!$O:$O,$B15+5),0))</f>
        <v>0</v>
      </c>
      <c r="Y15" s="123" cm="1">
        <f t="array" ref="Y15">INDEX(Properties!$D:$D,$B15+5)*(IF(Y$3=INDEX(Properties!$Q:$Q,$B15+5),INDEX(Properties!$M:$M,$B15+5)+INDEX(Properties!$O:$O,$B15+5),0))</f>
        <v>0</v>
      </c>
      <c r="Z15" s="123" cm="1">
        <f t="array" ref="Z15">INDEX(Properties!$D:$D,$B15+5)*(IF(Z$3=INDEX(Properties!$Q:$Q,$B15+5),INDEX(Properties!$M:$M,$B15+5)+INDEX(Properties!$O:$O,$B15+5),0))</f>
        <v>0</v>
      </c>
      <c r="AA15" s="123" cm="1">
        <f t="array" ref="AA15">INDEX(Properties!$D:$D,$B15+5)*(IF(AA$3=INDEX(Properties!$Q:$Q,$B15+5),INDEX(Properties!$M:$M,$B15+5)+INDEX(Properties!$O:$O,$B15+5),0))</f>
        <v>0</v>
      </c>
      <c r="AB15" s="123" cm="1">
        <f t="array" ref="AB15">INDEX(Properties!$D:$D,$B15+5)*(IF(AB$3=INDEX(Properties!$Q:$Q,$B15+5),INDEX(Properties!$M:$M,$B15+5)+INDEX(Properties!$O:$O,$B15+5),0))</f>
        <v>0</v>
      </c>
      <c r="AC15" s="123" cm="1">
        <f t="array" ref="AC15">INDEX(Properties!$D:$D,$B15+5)*(IF(AC$3=INDEX(Properties!$Q:$Q,$B15+5),INDEX(Properties!$M:$M,$B15+5)+INDEX(Properties!$O:$O,$B15+5),0))</f>
        <v>0</v>
      </c>
      <c r="AD15" s="123" cm="1">
        <f t="array" ref="AD15">INDEX(Properties!$D:$D,$B15+5)*(IF(AD$3=INDEX(Properties!$Q:$Q,$B15+5),INDEX(Properties!$M:$M,$B15+5)+INDEX(Properties!$O:$O,$B15+5),0))</f>
        <v>0</v>
      </c>
      <c r="AE15" s="123" cm="1">
        <f t="array" ref="AE15">INDEX(Properties!$D:$D,$B15+5)*(IF(AE$3=INDEX(Properties!$Q:$Q,$B15+5),INDEX(Properties!$M:$M,$B15+5)+INDEX(Properties!$O:$O,$B15+5),0))</f>
        <v>0</v>
      </c>
      <c r="AF15" s="123" cm="1">
        <f t="array" ref="AF15">INDEX(Properties!$D:$D,$B15+5)*(IF(AF$3=INDEX(Properties!$Q:$Q,$B15+5),INDEX(Properties!$M:$M,$B15+5)+INDEX(Properties!$O:$O,$B15+5),0))</f>
        <v>0</v>
      </c>
      <c r="AG15" s="123" cm="1">
        <f t="array" ref="AG15">INDEX(Properties!$D:$D,$B15+5)*(IF(AG$3=INDEX(Properties!$Q:$Q,$B15+5),INDEX(Properties!$M:$M,$B15+5)+INDEX(Properties!$O:$O,$B15+5),0))</f>
        <v>0</v>
      </c>
      <c r="AH15" s="123" cm="1">
        <f t="array" ref="AH15">INDEX(Properties!$D:$D,$B15+5)*(IF(AH$3=INDEX(Properties!$Q:$Q,$B15+5),INDEX(Properties!$M:$M,$B15+5)+INDEX(Properties!$O:$O,$B15+5),0))</f>
        <v>0</v>
      </c>
      <c r="AI15" s="123" cm="1">
        <f t="array" ref="AI15">INDEX(Properties!$D:$D,$B15+5)*(IF(AI$3=INDEX(Properties!$Q:$Q,$B15+5),INDEX(Properties!$M:$M,$B15+5)+INDEX(Properties!$O:$O,$B15+5),0))</f>
        <v>0</v>
      </c>
      <c r="AJ15" s="123" cm="1">
        <f t="array" ref="AJ15">INDEX(Properties!$D:$D,$B15+5)*(IF(AJ$3=INDEX(Properties!$Q:$Q,$B15+5),INDEX(Properties!$M:$M,$B15+5)+INDEX(Properties!$O:$O,$B15+5),0))</f>
        <v>0</v>
      </c>
      <c r="AK15" s="123" cm="1">
        <f t="array" ref="AK15">INDEX(Properties!$D:$D,$B15+5)*(IF(AK$3=INDEX(Properties!$Q:$Q,$B15+5),INDEX(Properties!$M:$M,$B15+5)+INDEX(Properties!$O:$O,$B15+5),0))</f>
        <v>0</v>
      </c>
      <c r="AL15" s="123" cm="1">
        <f t="array" ref="AL15">INDEX(Properties!$D:$D,$B15+5)*(IF(AL$3=INDEX(Properties!$Q:$Q,$B15+5),INDEX(Properties!$M:$M,$B15+5)+INDEX(Properties!$O:$O,$B15+5),0))</f>
        <v>0</v>
      </c>
      <c r="AM15" s="123" cm="1">
        <f t="array" ref="AM15">INDEX(Properties!$D:$D,$B15+5)*(IF(AM$3=INDEX(Properties!$Q:$Q,$B15+5),INDEX(Properties!$M:$M,$B15+5)+INDEX(Properties!$O:$O,$B15+5),0))</f>
        <v>0</v>
      </c>
      <c r="AN15" s="123" cm="1">
        <f t="array" ref="AN15">INDEX(Properties!$D:$D,$B15+5)*(IF(AN$3=INDEX(Properties!$Q:$Q,$B15+5),INDEX(Properties!$M:$M,$B15+5)+INDEX(Properties!$O:$O,$B15+5),0))</f>
        <v>0</v>
      </c>
      <c r="AO15" s="123" cm="1">
        <f t="array" ref="AO15">INDEX(Properties!$D:$D,$B15+5)*(IF(AO$3=INDEX(Properties!$Q:$Q,$B15+5),INDEX(Properties!$M:$M,$B15+5)+INDEX(Properties!$O:$O,$B15+5),0))</f>
        <v>0</v>
      </c>
      <c r="AP15" s="123" cm="1">
        <f t="array" ref="AP15">INDEX(Properties!$D:$D,$B15+5)*(IF(AP$3=INDEX(Properties!$Q:$Q,$B15+5),INDEX(Properties!$M:$M,$B15+5)+INDEX(Properties!$O:$O,$B15+5),0))</f>
        <v>0</v>
      </c>
      <c r="AQ15" s="123" cm="1">
        <f t="array" ref="AQ15">INDEX(Properties!$D:$D,$B15+5)*(IF(AQ$3=INDEX(Properties!$Q:$Q,$B15+5),INDEX(Properties!$M:$M,$B15+5)+INDEX(Properties!$O:$O,$B15+5),0))</f>
        <v>0</v>
      </c>
      <c r="AR15" s="123" cm="1">
        <f t="array" ref="AR15">INDEX(Properties!$D:$D,$B15+5)*(IF(AR$3=INDEX(Properties!$Q:$Q,$B15+5),INDEX(Properties!$M:$M,$B15+5)+INDEX(Properties!$O:$O,$B15+5),0))</f>
        <v>0</v>
      </c>
      <c r="AS15" s="123" cm="1">
        <f t="array" ref="AS15">INDEX(Properties!$D:$D,$B15+5)*(IF(AS$3=INDEX(Properties!$Q:$Q,$B15+5),INDEX(Properties!$M:$M,$B15+5)+INDEX(Properties!$O:$O,$B15+5),0))</f>
        <v>0</v>
      </c>
      <c r="AT15" s="123" cm="1">
        <f t="array" ref="AT15">INDEX(Properties!$D:$D,$B15+5)*(IF(AT$3=INDEX(Properties!$Q:$Q,$B15+5),INDEX(Properties!$M:$M,$B15+5)+INDEX(Properties!$O:$O,$B15+5),0))</f>
        <v>0</v>
      </c>
      <c r="AU15" s="123" cm="1">
        <f t="array" ref="AU15">INDEX(Properties!$D:$D,$B15+5)*(IF(AU$3=INDEX(Properties!$Q:$Q,$B15+5),INDEX(Properties!$M:$M,$B15+5)+INDEX(Properties!$O:$O,$B15+5),0))</f>
        <v>0</v>
      </c>
      <c r="AV15" s="123" cm="1">
        <f t="array" ref="AV15">INDEX(Properties!$D:$D,$B15+5)*(IF(AV$3=INDEX(Properties!$Q:$Q,$B15+5),INDEX(Properties!$M:$M,$B15+5)+INDEX(Properties!$O:$O,$B15+5),0))</f>
        <v>0</v>
      </c>
      <c r="AW15" s="123" cm="1">
        <f t="array" ref="AW15">INDEX(Properties!$D:$D,$B15+5)*(IF(AW$3=INDEX(Properties!$Q:$Q,$B15+5),INDEX(Properties!$M:$M,$B15+5)+INDEX(Properties!$O:$O,$B15+5),0))</f>
        <v>0</v>
      </c>
      <c r="AX15" s="123" cm="1">
        <f t="array" ref="AX15">INDEX(Properties!$D:$D,$B15+5)*(IF(AX$3=INDEX(Properties!$Q:$Q,$B15+5),INDEX(Properties!$M:$M,$B15+5)+INDEX(Properties!$O:$O,$B15+5),0))</f>
        <v>0</v>
      </c>
      <c r="AY15" s="123" cm="1">
        <f t="array" ref="AY15">INDEX(Properties!$D:$D,$B15+5)*(IF(AY$3=INDEX(Properties!$Q:$Q,$B15+5),INDEX(Properties!$M:$M,$B15+5)+INDEX(Properties!$O:$O,$B15+5),0))</f>
        <v>0</v>
      </c>
      <c r="AZ15" s="123" cm="1">
        <f t="array" ref="AZ15">INDEX(Properties!$D:$D,$B15+5)*(IF(AZ$3=INDEX(Properties!$Q:$Q,$B15+5),INDEX(Properties!$M:$M,$B15+5)+INDEX(Properties!$O:$O,$B15+5),0))</f>
        <v>0</v>
      </c>
      <c r="BA15" s="123" cm="1">
        <f t="array" ref="BA15">INDEX(Properties!$D:$D,$B15+5)*(IF(BA$3=INDEX(Properties!$Q:$Q,$B15+5),INDEX(Properties!$M:$M,$B15+5)+INDEX(Properties!$O:$O,$B15+5),0))</f>
        <v>0</v>
      </c>
      <c r="BB15" s="123" cm="1">
        <f t="array" ref="BB15">INDEX(Properties!$D:$D,$B15+5)*(IF(BB$3=INDEX(Properties!$Q:$Q,$B15+5),INDEX(Properties!$M:$M,$B15+5)+INDEX(Properties!$O:$O,$B15+5),0))</f>
        <v>0</v>
      </c>
      <c r="BC15" s="123" cm="1">
        <f t="array" ref="BC15">INDEX(Properties!$D:$D,$B15+5)*(IF(BC$3=INDEX(Properties!$Q:$Q,$B15+5),INDEX(Properties!$M:$M,$B15+5)+INDEX(Properties!$O:$O,$B15+5),0))</f>
        <v>0</v>
      </c>
      <c r="BD15" s="123" cm="1">
        <f t="array" ref="BD15">INDEX(Properties!$D:$D,$B15+5)*(IF(BD$3=INDEX(Properties!$Q:$Q,$B15+5),INDEX(Properties!$M:$M,$B15+5)+INDEX(Properties!$O:$O,$B15+5),0))</f>
        <v>0</v>
      </c>
      <c r="BE15" s="123" cm="1">
        <f t="array" ref="BE15">INDEX(Properties!$D:$D,$B15+5)*(IF(BE$3=INDEX(Properties!$Q:$Q,$B15+5),INDEX(Properties!$M:$M,$B15+5)+INDEX(Properties!$O:$O,$B15+5),0))</f>
        <v>0</v>
      </c>
      <c r="BF15" s="123" cm="1">
        <f t="array" ref="BF15">INDEX(Properties!$D:$D,$B15+5)*(IF(BF$3=INDEX(Properties!$Q:$Q,$B15+5),INDEX(Properties!$M:$M,$B15+5)+INDEX(Properties!$O:$O,$B15+5),0))</f>
        <v>0</v>
      </c>
      <c r="BG15" s="123" cm="1">
        <f t="array" ref="BG15">INDEX(Properties!$D:$D,$B15+5)*(IF(BG$3=INDEX(Properties!$Q:$Q,$B15+5),INDEX(Properties!$M:$M,$B15+5)+INDEX(Properties!$O:$O,$B15+5),0))</f>
        <v>0</v>
      </c>
      <c r="BH15" s="123" cm="1">
        <f t="array" ref="BH15">INDEX(Properties!$D:$D,$B15+5)*(IF(BH$3=INDEX(Properties!$Q:$Q,$B15+5),INDEX(Properties!$M:$M,$B15+5)+INDEX(Properties!$O:$O,$B15+5),0))</f>
        <v>0</v>
      </c>
      <c r="BI15" s="123" cm="1">
        <f t="array" ref="BI15">INDEX(Properties!$D:$D,$B15+5)*(IF(BI$3=INDEX(Properties!$Q:$Q,$B15+5),INDEX(Properties!$M:$M,$B15+5)+INDEX(Properties!$O:$O,$B15+5),0))</f>
        <v>0</v>
      </c>
      <c r="BJ15" s="123" cm="1">
        <f t="array" ref="BJ15">INDEX(Properties!$D:$D,$B15+5)*(IF(BJ$3=INDEX(Properties!$Q:$Q,$B15+5),INDEX(Properties!$M:$M,$B15+5)+INDEX(Properties!$O:$O,$B15+5),0))</f>
        <v>0</v>
      </c>
      <c r="BK15" s="123" cm="1">
        <f t="array" ref="BK15">INDEX(Properties!$D:$D,$B15+5)*(IF(BK$3=INDEX(Properties!$Q:$Q,$B15+5),INDEX(Properties!$M:$M,$B15+5)+INDEX(Properties!$O:$O,$B15+5),0))</f>
        <v>0</v>
      </c>
      <c r="BL15" s="123" cm="1">
        <f t="array" ref="BL15">INDEX(Properties!$D:$D,$B15+5)*(IF(BL$3=INDEX(Properties!$Q:$Q,$B15+5),INDEX(Properties!$M:$M,$B15+5)+INDEX(Properties!$O:$O,$B15+5),0))</f>
        <v>0</v>
      </c>
      <c r="BM15" s="123" cm="1">
        <f t="array" ref="BM15">INDEX(Properties!$D:$D,$B15+5)*(IF(BM$3=INDEX(Properties!$Q:$Q,$B15+5),INDEX(Properties!$M:$M,$B15+5)+INDEX(Properties!$O:$O,$B15+5),0))</f>
        <v>0</v>
      </c>
      <c r="BN15" s="123" cm="1">
        <f t="array" ref="BN15">INDEX(Properties!$D:$D,$B15+5)*(IF(BN$3=INDEX(Properties!$Q:$Q,$B15+5),INDEX(Properties!$M:$M,$B15+5)+INDEX(Properties!$O:$O,$B15+5),0))</f>
        <v>0</v>
      </c>
      <c r="BO15" s="123" cm="1">
        <f t="array" ref="BO15">INDEX(Properties!$D:$D,$B15+5)*(IF(BO$3=INDEX(Properties!$Q:$Q,$B15+5),INDEX(Properties!$M:$M,$B15+5)+INDEX(Properties!$O:$O,$B15+5),0))</f>
        <v>0</v>
      </c>
      <c r="BP15" s="123" cm="1">
        <f t="array" ref="BP15">INDEX(Properties!$D:$D,$B15+5)*(IF(BP$3=INDEX(Properties!$Q:$Q,$B15+5),INDEX(Properties!$M:$M,$B15+5)+INDEX(Properties!$O:$O,$B15+5),0))</f>
        <v>0</v>
      </c>
      <c r="BQ15" s="123" cm="1">
        <f t="array" ref="BQ15">INDEX(Properties!$D:$D,$B15+5)*(IF(BQ$3=INDEX(Properties!$Q:$Q,$B15+5),INDEX(Properties!$M:$M,$B15+5)+INDEX(Properties!$O:$O,$B15+5),0))</f>
        <v>0</v>
      </c>
      <c r="BR15" s="123" cm="1">
        <f t="array" ref="BR15">INDEX(Properties!$D:$D,$B15+5)*(IF(BR$3=INDEX(Properties!$Q:$Q,$B15+5),INDEX(Properties!$M:$M,$B15+5)+INDEX(Properties!$O:$O,$B15+5),0))</f>
        <v>0</v>
      </c>
      <c r="BS15" s="123" cm="1">
        <f t="array" ref="BS15">INDEX(Properties!$D:$D,$B15+5)*(IF(BS$3=INDEX(Properties!$Q:$Q,$B15+5),INDEX(Properties!$M:$M,$B15+5)+INDEX(Properties!$O:$O,$B15+5),0))</f>
        <v>0</v>
      </c>
      <c r="BT15" s="123" cm="1">
        <f t="array" ref="BT15">INDEX(Properties!$D:$D,$B15+5)*(IF(BT$3=INDEX(Properties!$Q:$Q,$B15+5),INDEX(Properties!$M:$M,$B15+5)+INDEX(Properties!$O:$O,$B15+5),0))</f>
        <v>0</v>
      </c>
      <c r="BU15" s="123" cm="1">
        <f t="array" ref="BU15">INDEX(Properties!$D:$D,$B15+5)*(IF(BU$3=INDEX(Properties!$Q:$Q,$B15+5),INDEX(Properties!$M:$M,$B15+5)+INDEX(Properties!$O:$O,$B15+5),0))</f>
        <v>0</v>
      </c>
      <c r="BV15" s="123" cm="1">
        <f t="array" ref="BV15">INDEX(Properties!$D:$D,$B15+5)*(IF(BV$3=INDEX(Properties!$Q:$Q,$B15+5),INDEX(Properties!$M:$M,$B15+5)+INDEX(Properties!$O:$O,$B15+5),0))</f>
        <v>0</v>
      </c>
      <c r="BW15" s="123" cm="1">
        <f t="array" ref="BW15">INDEX(Properties!$D:$D,$B15+5)*(IF(BW$3=INDEX(Properties!$Q:$Q,$B15+5),INDEX(Properties!$M:$M,$B15+5)+INDEX(Properties!$O:$O,$B15+5),0))</f>
        <v>0</v>
      </c>
      <c r="BX15" s="123" cm="1">
        <f t="array" ref="BX15">INDEX(Properties!$D:$D,$B15+5)*(IF(BX$3=INDEX(Properties!$Q:$Q,$B15+5),INDEX(Properties!$M:$M,$B15+5)+INDEX(Properties!$O:$O,$B15+5),0))</f>
        <v>0</v>
      </c>
      <c r="BY15" s="123" cm="1">
        <f t="array" ref="BY15">INDEX(Properties!$D:$D,$B15+5)*(IF(BY$3=INDEX(Properties!$Q:$Q,$B15+5),INDEX(Properties!$M:$M,$B15+5)+INDEX(Properties!$O:$O,$B15+5),0))</f>
        <v>0</v>
      </c>
      <c r="BZ15" s="123" cm="1">
        <f t="array" ref="BZ15">INDEX(Properties!$D:$D,$B15+5)*(IF(BZ$3=INDEX(Properties!$Q:$Q,$B15+5),INDEX(Properties!$M:$M,$B15+5)+INDEX(Properties!$O:$O,$B15+5),0))</f>
        <v>0</v>
      </c>
      <c r="CA15" s="123" cm="1">
        <f t="array" ref="CA15">INDEX(Properties!$D:$D,$B15+5)*(IF(CA$3=INDEX(Properties!$Q:$Q,$B15+5),INDEX(Properties!$M:$M,$B15+5)+INDEX(Properties!$O:$O,$B15+5),0))</f>
        <v>0</v>
      </c>
      <c r="CB15" s="123" cm="1">
        <f t="array" ref="CB15">INDEX(Properties!$D:$D,$B15+5)*(IF(CB$3=INDEX(Properties!$Q:$Q,$B15+5),INDEX(Properties!$M:$M,$B15+5)+INDEX(Properties!$O:$O,$B15+5),0))</f>
        <v>0</v>
      </c>
      <c r="CC15" s="123" cm="1">
        <f t="array" ref="CC15">INDEX(Properties!$D:$D,$B15+5)*(IF(CC$3=INDEX(Properties!$Q:$Q,$B15+5),INDEX(Properties!$M:$M,$B15+5)+INDEX(Properties!$O:$O,$B15+5),0))</f>
        <v>0</v>
      </c>
      <c r="CD15" s="123" cm="1">
        <f t="array" ref="CD15">INDEX(Properties!$D:$D,$B15+5)*(IF(CD$3=INDEX(Properties!$Q:$Q,$B15+5),INDEX(Properties!$M:$M,$B15+5)+INDEX(Properties!$O:$O,$B15+5),0))</f>
        <v>0</v>
      </c>
      <c r="CE15" s="123" cm="1">
        <f t="array" ref="CE15">INDEX(Properties!$D:$D,$B15+5)*(IF(CE$3=INDEX(Properties!$Q:$Q,$B15+5),INDEX(Properties!$M:$M,$B15+5)+INDEX(Properties!$O:$O,$B15+5),0))</f>
        <v>0</v>
      </c>
      <c r="CF15" s="123" cm="1">
        <f t="array" ref="CF15">INDEX(Properties!$D:$D,$B15+5)*(IF(CF$3=INDEX(Properties!$Q:$Q,$B15+5),INDEX(Properties!$M:$M,$B15+5)+INDEX(Properties!$O:$O,$B15+5),0))</f>
        <v>0</v>
      </c>
      <c r="CG15" s="123" cm="1">
        <f t="array" ref="CG15">INDEX(Properties!$D:$D,$B15+5)*(IF(CG$3=INDEX(Properties!$Q:$Q,$B15+5),INDEX(Properties!$M:$M,$B15+5)+INDEX(Properties!$O:$O,$B15+5),0))</f>
        <v>0</v>
      </c>
      <c r="CH15" s="123" cm="1">
        <f t="array" ref="CH15">INDEX(Properties!$D:$D,$B15+5)*(IF(CH$3=INDEX(Properties!$Q:$Q,$B15+5),INDEX(Properties!$M:$M,$B15+5)+INDEX(Properties!$O:$O,$B15+5),0))</f>
        <v>0</v>
      </c>
      <c r="CI15" s="123" cm="1">
        <f t="array" ref="CI15">INDEX(Properties!$D:$D,$B15+5)*(IF(CI$3=INDEX(Properties!$Q:$Q,$B15+5),INDEX(Properties!$M:$M,$B15+5)+INDEX(Properties!$O:$O,$B15+5),0))</f>
        <v>0</v>
      </c>
      <c r="CJ15" s="123" cm="1">
        <f t="array" ref="CJ15">INDEX(Properties!$D:$D,$B15+5)*(IF(CJ$3=INDEX(Properties!$Q:$Q,$B15+5),INDEX(Properties!$M:$M,$B15+5)+INDEX(Properties!$O:$O,$B15+5),0))</f>
        <v>0</v>
      </c>
      <c r="CK15" s="123" cm="1">
        <f t="array" ref="CK15">INDEX(Properties!$D:$D,$B15+5)*(IF(CK$3=INDEX(Properties!$Q:$Q,$B15+5),INDEX(Properties!$M:$M,$B15+5)+INDEX(Properties!$O:$O,$B15+5),0))</f>
        <v>0</v>
      </c>
      <c r="CL15" s="123" cm="1">
        <f t="array" ref="CL15">INDEX(Properties!$D:$D,$B15+5)*(IF(CL$3=INDEX(Properties!$Q:$Q,$B15+5),INDEX(Properties!$M:$M,$B15+5)+INDEX(Properties!$O:$O,$B15+5),0))</f>
        <v>0</v>
      </c>
      <c r="CM15" s="123" cm="1">
        <f t="array" ref="CM15">INDEX(Properties!$D:$D,$B15+5)*(IF(CM$3=INDEX(Properties!$Q:$Q,$B15+5),INDEX(Properties!$M:$M,$B15+5)+INDEX(Properties!$O:$O,$B15+5),0))</f>
        <v>0</v>
      </c>
      <c r="CN15" s="123" cm="1">
        <f t="array" ref="CN15">INDEX(Properties!$D:$D,$B15+5)*(IF(CN$3=INDEX(Properties!$Q:$Q,$B15+5),INDEX(Properties!$M:$M,$B15+5)+INDEX(Properties!$O:$O,$B15+5),0))</f>
        <v>0</v>
      </c>
      <c r="CO15" s="123" cm="1">
        <f t="array" ref="CO15">INDEX(Properties!$D:$D,$B15+5)*(IF(CO$3=INDEX(Properties!$Q:$Q,$B15+5),INDEX(Properties!$M:$M,$B15+5)+INDEX(Properties!$O:$O,$B15+5),0))</f>
        <v>0</v>
      </c>
      <c r="CP15" s="123" cm="1">
        <f t="array" ref="CP15">INDEX(Properties!$D:$D,$B15+5)*(IF(CP$3=INDEX(Properties!$Q:$Q,$B15+5),INDEX(Properties!$M:$M,$B15+5)+INDEX(Properties!$O:$O,$B15+5),0))</f>
        <v>0</v>
      </c>
      <c r="CQ15" s="123" cm="1">
        <f t="array" ref="CQ15">INDEX(Properties!$D:$D,$B15+5)*(IF(CQ$3=INDEX(Properties!$Q:$Q,$B15+5),INDEX(Properties!$M:$M,$B15+5)+INDEX(Properties!$O:$O,$B15+5),0))</f>
        <v>0</v>
      </c>
      <c r="CR15" s="123" cm="1">
        <f t="array" ref="CR15">INDEX(Properties!$D:$D,$B15+5)*(IF(CR$3=INDEX(Properties!$Q:$Q,$B15+5),INDEX(Properties!$M:$M,$B15+5)+INDEX(Properties!$O:$O,$B15+5),0))</f>
        <v>0</v>
      </c>
      <c r="CS15" s="123" cm="1">
        <f t="array" ref="CS15">INDEX(Properties!$D:$D,$B15+5)*(IF(CS$3=INDEX(Properties!$Q:$Q,$B15+5),INDEX(Properties!$M:$M,$B15+5)+INDEX(Properties!$O:$O,$B15+5),0))</f>
        <v>0</v>
      </c>
      <c r="CT15" s="123" cm="1">
        <f t="array" ref="CT15">INDEX(Properties!$D:$D,$B15+5)*(IF(CT$3=INDEX(Properties!$Q:$Q,$B15+5),INDEX(Properties!$M:$M,$B15+5)+INDEX(Properties!$O:$O,$B15+5),0))</f>
        <v>0</v>
      </c>
      <c r="CU15" s="123" cm="1">
        <f t="array" ref="CU15">INDEX(Properties!$D:$D,$B15+5)*(IF(CU$3=INDEX(Properties!$Q:$Q,$B15+5),INDEX(Properties!$M:$M,$B15+5)+INDEX(Properties!$O:$O,$B15+5),0))</f>
        <v>0</v>
      </c>
      <c r="CV15" s="123" cm="1">
        <f t="array" ref="CV15">INDEX(Properties!$D:$D,$B15+5)*(IF(CV$3=INDEX(Properties!$Q:$Q,$B15+5),INDEX(Properties!$M:$M,$B15+5)+INDEX(Properties!$O:$O,$B15+5),0))</f>
        <v>0</v>
      </c>
      <c r="CW15" s="123" cm="1">
        <f t="array" ref="CW15">INDEX(Properties!$D:$D,$B15+5)*(IF(CW$3=INDEX(Properties!$Q:$Q,$B15+5),INDEX(Properties!$M:$M,$B15+5)+INDEX(Properties!$O:$O,$B15+5),0))</f>
        <v>0</v>
      </c>
      <c r="CX15" s="123" cm="1">
        <f t="array" ref="CX15">INDEX(Properties!$D:$D,$B15+5)*(IF(CX$3=INDEX(Properties!$Q:$Q,$B15+5),INDEX(Properties!$M:$M,$B15+5)+INDEX(Properties!$O:$O,$B15+5),0))</f>
        <v>0</v>
      </c>
      <c r="CY15" s="123" cm="1">
        <f t="array" ref="CY15">INDEX(Properties!$D:$D,$B15+5)*(IF(CY$3=INDEX(Properties!$Q:$Q,$B15+5),INDEX(Properties!$M:$M,$B15+5)+INDEX(Properties!$O:$O,$B15+5),0))</f>
        <v>0</v>
      </c>
      <c r="CZ15" s="123" cm="1">
        <f t="array" ref="CZ15">INDEX(Properties!$D:$D,$B15+5)*(IF(CZ$3=INDEX(Properties!$Q:$Q,$B15+5),INDEX(Properties!$M:$M,$B15+5)+INDEX(Properties!$O:$O,$B15+5),0))</f>
        <v>0</v>
      </c>
      <c r="DA15" s="123" cm="1">
        <f t="array" ref="DA15">INDEX(Properties!$D:$D,$B15+5)*(IF(DA$3=INDEX(Properties!$Q:$Q,$B15+5),INDEX(Properties!$M:$M,$B15+5)+INDEX(Properties!$O:$O,$B15+5),0))</f>
        <v>0</v>
      </c>
      <c r="DB15" s="123" cm="1">
        <f t="array" ref="DB15">INDEX(Properties!$D:$D,$B15+5)*(IF(DB$3=INDEX(Properties!$Q:$Q,$B15+5),INDEX(Properties!$M:$M,$B15+5)+INDEX(Properties!$O:$O,$B15+5),0))</f>
        <v>0</v>
      </c>
      <c r="DC15" s="123" cm="1">
        <f t="array" ref="DC15">INDEX(Properties!$D:$D,$B15+5)*(IF(DC$3=INDEX(Properties!$Q:$Q,$B15+5),INDEX(Properties!$M:$M,$B15+5)+INDEX(Properties!$O:$O,$B15+5),0))</f>
        <v>0</v>
      </c>
      <c r="DD15" s="123" cm="1">
        <f t="array" ref="DD15">INDEX(Properties!$D:$D,$B15+5)*(IF(DD$3=INDEX(Properties!$Q:$Q,$B15+5),INDEX(Properties!$M:$M,$B15+5)+INDEX(Properties!$O:$O,$B15+5),0))</f>
        <v>0</v>
      </c>
      <c r="DE15" s="123" cm="1">
        <f t="array" ref="DE15">INDEX(Properties!$D:$D,$B15+5)*(IF(DE$3=INDEX(Properties!$Q:$Q,$B15+5),INDEX(Properties!$M:$M,$B15+5)+INDEX(Properties!$O:$O,$B15+5),0))</f>
        <v>0</v>
      </c>
      <c r="DF15" s="123" cm="1">
        <f t="array" ref="DF15">INDEX(Properties!$D:$D,$B15+5)*(IF(DF$3=INDEX(Properties!$Q:$Q,$B15+5),INDEX(Properties!$M:$M,$B15+5)+INDEX(Properties!$O:$O,$B15+5),0))</f>
        <v>0</v>
      </c>
      <c r="DG15" s="123" cm="1">
        <f t="array" ref="DG15">INDEX(Properties!$D:$D,$B15+5)*(IF(DG$3=INDEX(Properties!$Q:$Q,$B15+5),INDEX(Properties!$M:$M,$B15+5)+INDEX(Properties!$O:$O,$B15+5),0))</f>
        <v>0</v>
      </c>
      <c r="DH15" s="123" cm="1">
        <f t="array" ref="DH15">INDEX(Properties!$D:$D,$B15+5)*(IF(DH$3=INDEX(Properties!$Q:$Q,$B15+5),INDEX(Properties!$M:$M,$B15+5)+INDEX(Properties!$O:$O,$B15+5),0))</f>
        <v>0</v>
      </c>
      <c r="DI15" s="123" cm="1">
        <f t="array" ref="DI15">INDEX(Properties!$D:$D,$B15+5)*(IF(DI$3=INDEX(Properties!$Q:$Q,$B15+5),INDEX(Properties!$M:$M,$B15+5)+INDEX(Properties!$O:$O,$B15+5),0))</f>
        <v>0</v>
      </c>
      <c r="DJ15" s="123" cm="1">
        <f t="array" ref="DJ15">INDEX(Properties!$D:$D,$B15+5)*(IF(DJ$3=INDEX(Properties!$Q:$Q,$B15+5),INDEX(Properties!$M:$M,$B15+5)+INDEX(Properties!$O:$O,$B15+5),0))</f>
        <v>0</v>
      </c>
      <c r="DK15" s="123" cm="1">
        <f t="array" ref="DK15">INDEX(Properties!$D:$D,$B15+5)*(IF(DK$3=INDEX(Properties!$Q:$Q,$B15+5),INDEX(Properties!$M:$M,$B15+5)+INDEX(Properties!$O:$O,$B15+5),0))</f>
        <v>0</v>
      </c>
      <c r="DL15" s="123" cm="1">
        <f t="array" ref="DL15">INDEX(Properties!$D:$D,$B15+5)*(IF(DL$3=INDEX(Properties!$Q:$Q,$B15+5),INDEX(Properties!$M:$M,$B15+5)+INDEX(Properties!$O:$O,$B15+5),0))</f>
        <v>0</v>
      </c>
      <c r="DM15" s="123" cm="1">
        <f t="array" ref="DM15">INDEX(Properties!$D:$D,$B15+5)*(IF(DM$3=INDEX(Properties!$Q:$Q,$B15+5),INDEX(Properties!$M:$M,$B15+5)+INDEX(Properties!$O:$O,$B15+5),0))</f>
        <v>0</v>
      </c>
      <c r="DN15" s="123" cm="1">
        <f t="array" ref="DN15">INDEX(Properties!$D:$D,$B15+5)*(IF(DN$3=INDEX(Properties!$Q:$Q,$B15+5),INDEX(Properties!$M:$M,$B15+5)+INDEX(Properties!$O:$O,$B15+5),0))</f>
        <v>0</v>
      </c>
      <c r="DO15" s="123" cm="1">
        <f t="array" ref="DO15">INDEX(Properties!$D:$D,$B15+5)*(IF(DO$3=INDEX(Properties!$Q:$Q,$B15+5),INDEX(Properties!$M:$M,$B15+5)+INDEX(Properties!$O:$O,$B15+5),0))</f>
        <v>0</v>
      </c>
      <c r="DP15" s="123" cm="1">
        <f t="array" ref="DP15">INDEX(Properties!$D:$D,$B15+5)*(IF(DP$3=INDEX(Properties!$Q:$Q,$B15+5),INDEX(Properties!$M:$M,$B15+5)+INDEX(Properties!$O:$O,$B15+5),0))</f>
        <v>0</v>
      </c>
      <c r="DQ15" s="123" cm="1">
        <f t="array" ref="DQ15">INDEX(Properties!$D:$D,$B15+5)*(IF(DQ$3=INDEX(Properties!$Q:$Q,$B15+5),INDEX(Properties!$M:$M,$B15+5)+INDEX(Properties!$O:$O,$B15+5),0))</f>
        <v>0</v>
      </c>
      <c r="DR15" s="123" cm="1">
        <f t="array" ref="DR15">INDEX(Properties!$D:$D,$B15+5)*(IF(DR$3=INDEX(Properties!$Q:$Q,$B15+5),INDEX(Properties!$M:$M,$B15+5)+INDEX(Properties!$O:$O,$B15+5),0))</f>
        <v>0</v>
      </c>
    </row>
    <row r="16" spans="1:122" ht="16.05" customHeight="1" x14ac:dyDescent="0.3">
      <c r="A16" s="148" cm="1">
        <f t="array" ref="A16">INDEX(Properties!$E:$E,$B16+5)</f>
        <v>0</v>
      </c>
      <c r="B16" s="1">
        <v>10</v>
      </c>
      <c r="C16" s="123" cm="1">
        <f t="array" ref="C16">INDEX(Properties!$D:$D,$B16+5)*(IF(C$3=INDEX(Properties!$Q:$Q,$B16+5),INDEX(Properties!$M:$M,$B16+5)+INDEX(Properties!$O:$O,$B16+5),0))</f>
        <v>0</v>
      </c>
      <c r="D16" s="123" cm="1">
        <f t="array" ref="D16">INDEX(Properties!$D:$D,$B16+5)*(IF(D$3=INDEX(Properties!$Q:$Q,$B16+5),INDEX(Properties!$M:$M,$B16+5)+INDEX(Properties!$O:$O,$B16+5),0))</f>
        <v>0</v>
      </c>
      <c r="E16" s="123" cm="1">
        <f t="array" ref="E16">INDEX(Properties!$D:$D,$B16+5)*(IF(E$3=INDEX(Properties!$Q:$Q,$B16+5),INDEX(Properties!$M:$M,$B16+5)+INDEX(Properties!$O:$O,$B16+5),0))</f>
        <v>0</v>
      </c>
      <c r="F16" s="123" cm="1">
        <f t="array" ref="F16">INDEX(Properties!$D:$D,$B16+5)*(IF(F$3=INDEX(Properties!$Q:$Q,$B16+5),INDEX(Properties!$M:$M,$B16+5)+INDEX(Properties!$O:$O,$B16+5),0))</f>
        <v>0</v>
      </c>
      <c r="G16" s="123" cm="1">
        <f t="array" ref="G16">INDEX(Properties!$D:$D,$B16+5)*(IF(G$3=INDEX(Properties!$Q:$Q,$B16+5),INDEX(Properties!$M:$M,$B16+5)+INDEX(Properties!$O:$O,$B16+5),0))</f>
        <v>0</v>
      </c>
      <c r="H16" s="123" cm="1">
        <f t="array" ref="H16">INDEX(Properties!$D:$D,$B16+5)*(IF(H$3=INDEX(Properties!$Q:$Q,$B16+5),INDEX(Properties!$M:$M,$B16+5)+INDEX(Properties!$O:$O,$B16+5),0))</f>
        <v>0</v>
      </c>
      <c r="I16" s="123" cm="1">
        <f t="array" ref="I16">INDEX(Properties!$D:$D,$B16+5)*(IF(I$3=INDEX(Properties!$Q:$Q,$B16+5),INDEX(Properties!$M:$M,$B16+5)+INDEX(Properties!$O:$O,$B16+5),0))</f>
        <v>0</v>
      </c>
      <c r="J16" s="123" cm="1">
        <f t="array" ref="J16">INDEX(Properties!$D:$D,$B16+5)*(IF(J$3=INDEX(Properties!$Q:$Q,$B16+5),INDEX(Properties!$M:$M,$B16+5)+INDEX(Properties!$O:$O,$B16+5),0))</f>
        <v>0</v>
      </c>
      <c r="K16" s="123" cm="1">
        <f t="array" ref="K16">INDEX(Properties!$D:$D,$B16+5)*(IF(K$3=INDEX(Properties!$Q:$Q,$B16+5),INDEX(Properties!$M:$M,$B16+5)+INDEX(Properties!$O:$O,$B16+5),0))</f>
        <v>0</v>
      </c>
      <c r="L16" s="123" cm="1">
        <f t="array" ref="L16">INDEX(Properties!$D:$D,$B16+5)*(IF(L$3=INDEX(Properties!$Q:$Q,$B16+5),INDEX(Properties!$M:$M,$B16+5)+INDEX(Properties!$O:$O,$B16+5),0))</f>
        <v>0</v>
      </c>
      <c r="M16" s="123" cm="1">
        <f t="array" ref="M16">INDEX(Properties!$D:$D,$B16+5)*(IF(M$3=INDEX(Properties!$Q:$Q,$B16+5),INDEX(Properties!$M:$M,$B16+5)+INDEX(Properties!$O:$O,$B16+5),0))</f>
        <v>0</v>
      </c>
      <c r="N16" s="123" cm="1">
        <f t="array" ref="N16">INDEX(Properties!$D:$D,$B16+5)*(IF(N$3=INDEX(Properties!$Q:$Q,$B16+5),INDEX(Properties!$M:$M,$B16+5)+INDEX(Properties!$O:$O,$B16+5),0))</f>
        <v>0</v>
      </c>
      <c r="O16" s="123" cm="1">
        <f t="array" ref="O16">INDEX(Properties!$D:$D,$B16+5)*(IF(O$3=INDEX(Properties!$Q:$Q,$B16+5),INDEX(Properties!$M:$M,$B16+5)+INDEX(Properties!$O:$O,$B16+5),0))</f>
        <v>0</v>
      </c>
      <c r="P16" s="123" cm="1">
        <f t="array" ref="P16">INDEX(Properties!$D:$D,$B16+5)*(IF(P$3=INDEX(Properties!$Q:$Q,$B16+5),INDEX(Properties!$M:$M,$B16+5)+INDEX(Properties!$O:$O,$B16+5),0))</f>
        <v>0</v>
      </c>
      <c r="Q16" s="123" cm="1">
        <f t="array" ref="Q16">INDEX(Properties!$D:$D,$B16+5)*(IF(Q$3=INDEX(Properties!$Q:$Q,$B16+5),INDEX(Properties!$M:$M,$B16+5)+INDEX(Properties!$O:$O,$B16+5),0))</f>
        <v>0</v>
      </c>
      <c r="R16" s="123" cm="1">
        <f t="array" ref="R16">INDEX(Properties!$D:$D,$B16+5)*(IF(R$3=INDEX(Properties!$Q:$Q,$B16+5),INDEX(Properties!$M:$M,$B16+5)+INDEX(Properties!$O:$O,$B16+5),0))</f>
        <v>0</v>
      </c>
      <c r="S16" s="123" cm="1">
        <f t="array" ref="S16">INDEX(Properties!$D:$D,$B16+5)*(IF(S$3=INDEX(Properties!$Q:$Q,$B16+5),INDEX(Properties!$M:$M,$B16+5)+INDEX(Properties!$O:$O,$B16+5),0))</f>
        <v>0</v>
      </c>
      <c r="T16" s="123" cm="1">
        <f t="array" ref="T16">INDEX(Properties!$D:$D,$B16+5)*(IF(T$3=INDEX(Properties!$Q:$Q,$B16+5),INDEX(Properties!$M:$M,$B16+5)+INDEX(Properties!$O:$O,$B16+5),0))</f>
        <v>0</v>
      </c>
      <c r="U16" s="123" cm="1">
        <f t="array" ref="U16">INDEX(Properties!$D:$D,$B16+5)*(IF(U$3=INDEX(Properties!$Q:$Q,$B16+5),INDEX(Properties!$M:$M,$B16+5)+INDEX(Properties!$O:$O,$B16+5),0))</f>
        <v>0</v>
      </c>
      <c r="V16" s="123" cm="1">
        <f t="array" ref="V16">INDEX(Properties!$D:$D,$B16+5)*(IF(V$3=INDEX(Properties!$Q:$Q,$B16+5),INDEX(Properties!$M:$M,$B16+5)+INDEX(Properties!$O:$O,$B16+5),0))</f>
        <v>0</v>
      </c>
      <c r="W16" s="123" cm="1">
        <f t="array" ref="W16">INDEX(Properties!$D:$D,$B16+5)*(IF(W$3=INDEX(Properties!$Q:$Q,$B16+5),INDEX(Properties!$M:$M,$B16+5)+INDEX(Properties!$O:$O,$B16+5),0))</f>
        <v>0</v>
      </c>
      <c r="X16" s="123" cm="1">
        <f t="array" ref="X16">INDEX(Properties!$D:$D,$B16+5)*(IF(X$3=INDEX(Properties!$Q:$Q,$B16+5),INDEX(Properties!$M:$M,$B16+5)+INDEX(Properties!$O:$O,$B16+5),0))</f>
        <v>0</v>
      </c>
      <c r="Y16" s="123" cm="1">
        <f t="array" ref="Y16">INDEX(Properties!$D:$D,$B16+5)*(IF(Y$3=INDEX(Properties!$Q:$Q,$B16+5),INDEX(Properties!$M:$M,$B16+5)+INDEX(Properties!$O:$O,$B16+5),0))</f>
        <v>0</v>
      </c>
      <c r="Z16" s="123" cm="1">
        <f t="array" ref="Z16">INDEX(Properties!$D:$D,$B16+5)*(IF(Z$3=INDEX(Properties!$Q:$Q,$B16+5),INDEX(Properties!$M:$M,$B16+5)+INDEX(Properties!$O:$O,$B16+5),0))</f>
        <v>0</v>
      </c>
      <c r="AA16" s="123" cm="1">
        <f t="array" ref="AA16">INDEX(Properties!$D:$D,$B16+5)*(IF(AA$3=INDEX(Properties!$Q:$Q,$B16+5),INDEX(Properties!$M:$M,$B16+5)+INDEX(Properties!$O:$O,$B16+5),0))</f>
        <v>0</v>
      </c>
      <c r="AB16" s="123" cm="1">
        <f t="array" ref="AB16">INDEX(Properties!$D:$D,$B16+5)*(IF(AB$3=INDEX(Properties!$Q:$Q,$B16+5),INDEX(Properties!$M:$M,$B16+5)+INDEX(Properties!$O:$O,$B16+5),0))</f>
        <v>0</v>
      </c>
      <c r="AC16" s="123" cm="1">
        <f t="array" ref="AC16">INDEX(Properties!$D:$D,$B16+5)*(IF(AC$3=INDEX(Properties!$Q:$Q,$B16+5),INDEX(Properties!$M:$M,$B16+5)+INDEX(Properties!$O:$O,$B16+5),0))</f>
        <v>0</v>
      </c>
      <c r="AD16" s="123" cm="1">
        <f t="array" ref="AD16">INDEX(Properties!$D:$D,$B16+5)*(IF(AD$3=INDEX(Properties!$Q:$Q,$B16+5),INDEX(Properties!$M:$M,$B16+5)+INDEX(Properties!$O:$O,$B16+5),0))</f>
        <v>0</v>
      </c>
      <c r="AE16" s="123" cm="1">
        <f t="array" ref="AE16">INDEX(Properties!$D:$D,$B16+5)*(IF(AE$3=INDEX(Properties!$Q:$Q,$B16+5),INDEX(Properties!$M:$M,$B16+5)+INDEX(Properties!$O:$O,$B16+5),0))</f>
        <v>0</v>
      </c>
      <c r="AF16" s="123" cm="1">
        <f t="array" ref="AF16">INDEX(Properties!$D:$D,$B16+5)*(IF(AF$3=INDEX(Properties!$Q:$Q,$B16+5),INDEX(Properties!$M:$M,$B16+5)+INDEX(Properties!$O:$O,$B16+5),0))</f>
        <v>0</v>
      </c>
      <c r="AG16" s="123" cm="1">
        <f t="array" ref="AG16">INDEX(Properties!$D:$D,$B16+5)*(IF(AG$3=INDEX(Properties!$Q:$Q,$B16+5),INDEX(Properties!$M:$M,$B16+5)+INDEX(Properties!$O:$O,$B16+5),0))</f>
        <v>0</v>
      </c>
      <c r="AH16" s="123" cm="1">
        <f t="array" ref="AH16">INDEX(Properties!$D:$D,$B16+5)*(IF(AH$3=INDEX(Properties!$Q:$Q,$B16+5),INDEX(Properties!$M:$M,$B16+5)+INDEX(Properties!$O:$O,$B16+5),0))</f>
        <v>0</v>
      </c>
      <c r="AI16" s="123" cm="1">
        <f t="array" ref="AI16">INDEX(Properties!$D:$D,$B16+5)*(IF(AI$3=INDEX(Properties!$Q:$Q,$B16+5),INDEX(Properties!$M:$M,$B16+5)+INDEX(Properties!$O:$O,$B16+5),0))</f>
        <v>0</v>
      </c>
      <c r="AJ16" s="123" cm="1">
        <f t="array" ref="AJ16">INDEX(Properties!$D:$D,$B16+5)*(IF(AJ$3=INDEX(Properties!$Q:$Q,$B16+5),INDEX(Properties!$M:$M,$B16+5)+INDEX(Properties!$O:$O,$B16+5),0))</f>
        <v>0</v>
      </c>
      <c r="AK16" s="123" cm="1">
        <f t="array" ref="AK16">INDEX(Properties!$D:$D,$B16+5)*(IF(AK$3=INDEX(Properties!$Q:$Q,$B16+5),INDEX(Properties!$M:$M,$B16+5)+INDEX(Properties!$O:$O,$B16+5),0))</f>
        <v>0</v>
      </c>
      <c r="AL16" s="123" cm="1">
        <f t="array" ref="AL16">INDEX(Properties!$D:$D,$B16+5)*(IF(AL$3=INDEX(Properties!$Q:$Q,$B16+5),INDEX(Properties!$M:$M,$B16+5)+INDEX(Properties!$O:$O,$B16+5),0))</f>
        <v>0</v>
      </c>
      <c r="AM16" s="123" cm="1">
        <f t="array" ref="AM16">INDEX(Properties!$D:$D,$B16+5)*(IF(AM$3=INDEX(Properties!$Q:$Q,$B16+5),INDEX(Properties!$M:$M,$B16+5)+INDEX(Properties!$O:$O,$B16+5),0))</f>
        <v>0</v>
      </c>
      <c r="AN16" s="123" cm="1">
        <f t="array" ref="AN16">INDEX(Properties!$D:$D,$B16+5)*(IF(AN$3=INDEX(Properties!$Q:$Q,$B16+5),INDEX(Properties!$M:$M,$B16+5)+INDEX(Properties!$O:$O,$B16+5),0))</f>
        <v>0</v>
      </c>
      <c r="AO16" s="123" cm="1">
        <f t="array" ref="AO16">INDEX(Properties!$D:$D,$B16+5)*(IF(AO$3=INDEX(Properties!$Q:$Q,$B16+5),INDEX(Properties!$M:$M,$B16+5)+INDEX(Properties!$O:$O,$B16+5),0))</f>
        <v>0</v>
      </c>
      <c r="AP16" s="123" cm="1">
        <f t="array" ref="AP16">INDEX(Properties!$D:$D,$B16+5)*(IF(AP$3=INDEX(Properties!$Q:$Q,$B16+5),INDEX(Properties!$M:$M,$B16+5)+INDEX(Properties!$O:$O,$B16+5),0))</f>
        <v>0</v>
      </c>
      <c r="AQ16" s="123" cm="1">
        <f t="array" ref="AQ16">INDEX(Properties!$D:$D,$B16+5)*(IF(AQ$3=INDEX(Properties!$Q:$Q,$B16+5),INDEX(Properties!$M:$M,$B16+5)+INDEX(Properties!$O:$O,$B16+5),0))</f>
        <v>0</v>
      </c>
      <c r="AR16" s="123" cm="1">
        <f t="array" ref="AR16">INDEX(Properties!$D:$D,$B16+5)*(IF(AR$3=INDEX(Properties!$Q:$Q,$B16+5),INDEX(Properties!$M:$M,$B16+5)+INDEX(Properties!$O:$O,$B16+5),0))</f>
        <v>0</v>
      </c>
      <c r="AS16" s="123" cm="1">
        <f t="array" ref="AS16">INDEX(Properties!$D:$D,$B16+5)*(IF(AS$3=INDEX(Properties!$Q:$Q,$B16+5),INDEX(Properties!$M:$M,$B16+5)+INDEX(Properties!$O:$O,$B16+5),0))</f>
        <v>0</v>
      </c>
      <c r="AT16" s="123" cm="1">
        <f t="array" ref="AT16">INDEX(Properties!$D:$D,$B16+5)*(IF(AT$3=INDEX(Properties!$Q:$Q,$B16+5),INDEX(Properties!$M:$M,$B16+5)+INDEX(Properties!$O:$O,$B16+5),0))</f>
        <v>0</v>
      </c>
      <c r="AU16" s="123" cm="1">
        <f t="array" ref="AU16">INDEX(Properties!$D:$D,$B16+5)*(IF(AU$3=INDEX(Properties!$Q:$Q,$B16+5),INDEX(Properties!$M:$M,$B16+5)+INDEX(Properties!$O:$O,$B16+5),0))</f>
        <v>0</v>
      </c>
      <c r="AV16" s="123" cm="1">
        <f t="array" ref="AV16">INDEX(Properties!$D:$D,$B16+5)*(IF(AV$3=INDEX(Properties!$Q:$Q,$B16+5),INDEX(Properties!$M:$M,$B16+5)+INDEX(Properties!$O:$O,$B16+5),0))</f>
        <v>0</v>
      </c>
      <c r="AW16" s="123" cm="1">
        <f t="array" ref="AW16">INDEX(Properties!$D:$D,$B16+5)*(IF(AW$3=INDEX(Properties!$Q:$Q,$B16+5),INDEX(Properties!$M:$M,$B16+5)+INDEX(Properties!$O:$O,$B16+5),0))</f>
        <v>0</v>
      </c>
      <c r="AX16" s="123" cm="1">
        <f t="array" ref="AX16">INDEX(Properties!$D:$D,$B16+5)*(IF(AX$3=INDEX(Properties!$Q:$Q,$B16+5),INDEX(Properties!$M:$M,$B16+5)+INDEX(Properties!$O:$O,$B16+5),0))</f>
        <v>0</v>
      </c>
      <c r="AY16" s="123" cm="1">
        <f t="array" ref="AY16">INDEX(Properties!$D:$D,$B16+5)*(IF(AY$3=INDEX(Properties!$Q:$Q,$B16+5),INDEX(Properties!$M:$M,$B16+5)+INDEX(Properties!$O:$O,$B16+5),0))</f>
        <v>0</v>
      </c>
      <c r="AZ16" s="123" cm="1">
        <f t="array" ref="AZ16">INDEX(Properties!$D:$D,$B16+5)*(IF(AZ$3=INDEX(Properties!$Q:$Q,$B16+5),INDEX(Properties!$M:$M,$B16+5)+INDEX(Properties!$O:$O,$B16+5),0))</f>
        <v>0</v>
      </c>
      <c r="BA16" s="123" cm="1">
        <f t="array" ref="BA16">INDEX(Properties!$D:$D,$B16+5)*(IF(BA$3=INDEX(Properties!$Q:$Q,$B16+5),INDEX(Properties!$M:$M,$B16+5)+INDEX(Properties!$O:$O,$B16+5),0))</f>
        <v>0</v>
      </c>
      <c r="BB16" s="123" cm="1">
        <f t="array" ref="BB16">INDEX(Properties!$D:$D,$B16+5)*(IF(BB$3=INDEX(Properties!$Q:$Q,$B16+5),INDEX(Properties!$M:$M,$B16+5)+INDEX(Properties!$O:$O,$B16+5),0))</f>
        <v>0</v>
      </c>
      <c r="BC16" s="123" cm="1">
        <f t="array" ref="BC16">INDEX(Properties!$D:$D,$B16+5)*(IF(BC$3=INDEX(Properties!$Q:$Q,$B16+5),INDEX(Properties!$M:$M,$B16+5)+INDEX(Properties!$O:$O,$B16+5),0))</f>
        <v>0</v>
      </c>
      <c r="BD16" s="123" cm="1">
        <f t="array" ref="BD16">INDEX(Properties!$D:$D,$B16+5)*(IF(BD$3=INDEX(Properties!$Q:$Q,$B16+5),INDEX(Properties!$M:$M,$B16+5)+INDEX(Properties!$O:$O,$B16+5),0))</f>
        <v>0</v>
      </c>
      <c r="BE16" s="123" cm="1">
        <f t="array" ref="BE16">INDEX(Properties!$D:$D,$B16+5)*(IF(BE$3=INDEX(Properties!$Q:$Q,$B16+5),INDEX(Properties!$M:$M,$B16+5)+INDEX(Properties!$O:$O,$B16+5),0))</f>
        <v>0</v>
      </c>
      <c r="BF16" s="123" cm="1">
        <f t="array" ref="BF16">INDEX(Properties!$D:$D,$B16+5)*(IF(BF$3=INDEX(Properties!$Q:$Q,$B16+5),INDEX(Properties!$M:$M,$B16+5)+INDEX(Properties!$O:$O,$B16+5),0))</f>
        <v>0</v>
      </c>
      <c r="BG16" s="123" cm="1">
        <f t="array" ref="BG16">INDEX(Properties!$D:$D,$B16+5)*(IF(BG$3=INDEX(Properties!$Q:$Q,$B16+5),INDEX(Properties!$M:$M,$B16+5)+INDEX(Properties!$O:$O,$B16+5),0))</f>
        <v>0</v>
      </c>
      <c r="BH16" s="123" cm="1">
        <f t="array" ref="BH16">INDEX(Properties!$D:$D,$B16+5)*(IF(BH$3=INDEX(Properties!$Q:$Q,$B16+5),INDEX(Properties!$M:$M,$B16+5)+INDEX(Properties!$O:$O,$B16+5),0))</f>
        <v>0</v>
      </c>
      <c r="BI16" s="123" cm="1">
        <f t="array" ref="BI16">INDEX(Properties!$D:$D,$B16+5)*(IF(BI$3=INDEX(Properties!$Q:$Q,$B16+5),INDEX(Properties!$M:$M,$B16+5)+INDEX(Properties!$O:$O,$B16+5),0))</f>
        <v>0</v>
      </c>
      <c r="BJ16" s="123" cm="1">
        <f t="array" ref="BJ16">INDEX(Properties!$D:$D,$B16+5)*(IF(BJ$3=INDEX(Properties!$Q:$Q,$B16+5),INDEX(Properties!$M:$M,$B16+5)+INDEX(Properties!$O:$O,$B16+5),0))</f>
        <v>0</v>
      </c>
      <c r="BK16" s="123" cm="1">
        <f t="array" ref="BK16">INDEX(Properties!$D:$D,$B16+5)*(IF(BK$3=INDEX(Properties!$Q:$Q,$B16+5),INDEX(Properties!$M:$M,$B16+5)+INDEX(Properties!$O:$O,$B16+5),0))</f>
        <v>0</v>
      </c>
      <c r="BL16" s="123" cm="1">
        <f t="array" ref="BL16">INDEX(Properties!$D:$D,$B16+5)*(IF(BL$3=INDEX(Properties!$Q:$Q,$B16+5),INDEX(Properties!$M:$M,$B16+5)+INDEX(Properties!$O:$O,$B16+5),0))</f>
        <v>0</v>
      </c>
      <c r="BM16" s="123" cm="1">
        <f t="array" ref="BM16">INDEX(Properties!$D:$D,$B16+5)*(IF(BM$3=INDEX(Properties!$Q:$Q,$B16+5),INDEX(Properties!$M:$M,$B16+5)+INDEX(Properties!$O:$O,$B16+5),0))</f>
        <v>0</v>
      </c>
      <c r="BN16" s="123" cm="1">
        <f t="array" ref="BN16">INDEX(Properties!$D:$D,$B16+5)*(IF(BN$3=INDEX(Properties!$Q:$Q,$B16+5),INDEX(Properties!$M:$M,$B16+5)+INDEX(Properties!$O:$O,$B16+5),0))</f>
        <v>0</v>
      </c>
      <c r="BO16" s="123" cm="1">
        <f t="array" ref="BO16">INDEX(Properties!$D:$D,$B16+5)*(IF(BO$3=INDEX(Properties!$Q:$Q,$B16+5),INDEX(Properties!$M:$M,$B16+5)+INDEX(Properties!$O:$O,$B16+5),0))</f>
        <v>0</v>
      </c>
      <c r="BP16" s="123" cm="1">
        <f t="array" ref="BP16">INDEX(Properties!$D:$D,$B16+5)*(IF(BP$3=INDEX(Properties!$Q:$Q,$B16+5),INDEX(Properties!$M:$M,$B16+5)+INDEX(Properties!$O:$O,$B16+5),0))</f>
        <v>0</v>
      </c>
      <c r="BQ16" s="123" cm="1">
        <f t="array" ref="BQ16">INDEX(Properties!$D:$D,$B16+5)*(IF(BQ$3=INDEX(Properties!$Q:$Q,$B16+5),INDEX(Properties!$M:$M,$B16+5)+INDEX(Properties!$O:$O,$B16+5),0))</f>
        <v>0</v>
      </c>
      <c r="BR16" s="123" cm="1">
        <f t="array" ref="BR16">INDEX(Properties!$D:$D,$B16+5)*(IF(BR$3=INDEX(Properties!$Q:$Q,$B16+5),INDEX(Properties!$M:$M,$B16+5)+INDEX(Properties!$O:$O,$B16+5),0))</f>
        <v>0</v>
      </c>
      <c r="BS16" s="123" cm="1">
        <f t="array" ref="BS16">INDEX(Properties!$D:$D,$B16+5)*(IF(BS$3=INDEX(Properties!$Q:$Q,$B16+5),INDEX(Properties!$M:$M,$B16+5)+INDEX(Properties!$O:$O,$B16+5),0))</f>
        <v>0</v>
      </c>
      <c r="BT16" s="123" cm="1">
        <f t="array" ref="BT16">INDEX(Properties!$D:$D,$B16+5)*(IF(BT$3=INDEX(Properties!$Q:$Q,$B16+5),INDEX(Properties!$M:$M,$B16+5)+INDEX(Properties!$O:$O,$B16+5),0))</f>
        <v>0</v>
      </c>
      <c r="BU16" s="123" cm="1">
        <f t="array" ref="BU16">INDEX(Properties!$D:$D,$B16+5)*(IF(BU$3=INDEX(Properties!$Q:$Q,$B16+5),INDEX(Properties!$M:$M,$B16+5)+INDEX(Properties!$O:$O,$B16+5),0))</f>
        <v>0</v>
      </c>
      <c r="BV16" s="123" cm="1">
        <f t="array" ref="BV16">INDEX(Properties!$D:$D,$B16+5)*(IF(BV$3=INDEX(Properties!$Q:$Q,$B16+5),INDEX(Properties!$M:$M,$B16+5)+INDEX(Properties!$O:$O,$B16+5),0))</f>
        <v>0</v>
      </c>
      <c r="BW16" s="123" cm="1">
        <f t="array" ref="BW16">INDEX(Properties!$D:$D,$B16+5)*(IF(BW$3=INDEX(Properties!$Q:$Q,$B16+5),INDEX(Properties!$M:$M,$B16+5)+INDEX(Properties!$O:$O,$B16+5),0))</f>
        <v>0</v>
      </c>
      <c r="BX16" s="123" cm="1">
        <f t="array" ref="BX16">INDEX(Properties!$D:$D,$B16+5)*(IF(BX$3=INDEX(Properties!$Q:$Q,$B16+5),INDEX(Properties!$M:$M,$B16+5)+INDEX(Properties!$O:$O,$B16+5),0))</f>
        <v>0</v>
      </c>
      <c r="BY16" s="123" cm="1">
        <f t="array" ref="BY16">INDEX(Properties!$D:$D,$B16+5)*(IF(BY$3=INDEX(Properties!$Q:$Q,$B16+5),INDEX(Properties!$M:$M,$B16+5)+INDEX(Properties!$O:$O,$B16+5),0))</f>
        <v>0</v>
      </c>
      <c r="BZ16" s="123" cm="1">
        <f t="array" ref="BZ16">INDEX(Properties!$D:$D,$B16+5)*(IF(BZ$3=INDEX(Properties!$Q:$Q,$B16+5),INDEX(Properties!$M:$M,$B16+5)+INDEX(Properties!$O:$O,$B16+5),0))</f>
        <v>0</v>
      </c>
      <c r="CA16" s="123" cm="1">
        <f t="array" ref="CA16">INDEX(Properties!$D:$D,$B16+5)*(IF(CA$3=INDEX(Properties!$Q:$Q,$B16+5),INDEX(Properties!$M:$M,$B16+5)+INDEX(Properties!$O:$O,$B16+5),0))</f>
        <v>0</v>
      </c>
      <c r="CB16" s="123" cm="1">
        <f t="array" ref="CB16">INDEX(Properties!$D:$D,$B16+5)*(IF(CB$3=INDEX(Properties!$Q:$Q,$B16+5),INDEX(Properties!$M:$M,$B16+5)+INDEX(Properties!$O:$O,$B16+5),0))</f>
        <v>0</v>
      </c>
      <c r="CC16" s="123" cm="1">
        <f t="array" ref="CC16">INDEX(Properties!$D:$D,$B16+5)*(IF(CC$3=INDEX(Properties!$Q:$Q,$B16+5),INDEX(Properties!$M:$M,$B16+5)+INDEX(Properties!$O:$O,$B16+5),0))</f>
        <v>0</v>
      </c>
      <c r="CD16" s="123" cm="1">
        <f t="array" ref="CD16">INDEX(Properties!$D:$D,$B16+5)*(IF(CD$3=INDEX(Properties!$Q:$Q,$B16+5),INDEX(Properties!$M:$M,$B16+5)+INDEX(Properties!$O:$O,$B16+5),0))</f>
        <v>0</v>
      </c>
      <c r="CE16" s="123" cm="1">
        <f t="array" ref="CE16">INDEX(Properties!$D:$D,$B16+5)*(IF(CE$3=INDEX(Properties!$Q:$Q,$B16+5),INDEX(Properties!$M:$M,$B16+5)+INDEX(Properties!$O:$O,$B16+5),0))</f>
        <v>0</v>
      </c>
      <c r="CF16" s="123" cm="1">
        <f t="array" ref="CF16">INDEX(Properties!$D:$D,$B16+5)*(IF(CF$3=INDEX(Properties!$Q:$Q,$B16+5),INDEX(Properties!$M:$M,$B16+5)+INDEX(Properties!$O:$O,$B16+5),0))</f>
        <v>0</v>
      </c>
      <c r="CG16" s="123" cm="1">
        <f t="array" ref="CG16">INDEX(Properties!$D:$D,$B16+5)*(IF(CG$3=INDEX(Properties!$Q:$Q,$B16+5),INDEX(Properties!$M:$M,$B16+5)+INDEX(Properties!$O:$O,$B16+5),0))</f>
        <v>0</v>
      </c>
      <c r="CH16" s="123" cm="1">
        <f t="array" ref="CH16">INDEX(Properties!$D:$D,$B16+5)*(IF(CH$3=INDEX(Properties!$Q:$Q,$B16+5),INDEX(Properties!$M:$M,$B16+5)+INDEX(Properties!$O:$O,$B16+5),0))</f>
        <v>0</v>
      </c>
      <c r="CI16" s="123" cm="1">
        <f t="array" ref="CI16">INDEX(Properties!$D:$D,$B16+5)*(IF(CI$3=INDEX(Properties!$Q:$Q,$B16+5),INDEX(Properties!$M:$M,$B16+5)+INDEX(Properties!$O:$O,$B16+5),0))</f>
        <v>0</v>
      </c>
      <c r="CJ16" s="123" cm="1">
        <f t="array" ref="CJ16">INDEX(Properties!$D:$D,$B16+5)*(IF(CJ$3=INDEX(Properties!$Q:$Q,$B16+5),INDEX(Properties!$M:$M,$B16+5)+INDEX(Properties!$O:$O,$B16+5),0))</f>
        <v>0</v>
      </c>
      <c r="CK16" s="123" cm="1">
        <f t="array" ref="CK16">INDEX(Properties!$D:$D,$B16+5)*(IF(CK$3=INDEX(Properties!$Q:$Q,$B16+5),INDEX(Properties!$M:$M,$B16+5)+INDEX(Properties!$O:$O,$B16+5),0))</f>
        <v>0</v>
      </c>
      <c r="CL16" s="123" cm="1">
        <f t="array" ref="CL16">INDEX(Properties!$D:$D,$B16+5)*(IF(CL$3=INDEX(Properties!$Q:$Q,$B16+5),INDEX(Properties!$M:$M,$B16+5)+INDEX(Properties!$O:$O,$B16+5),0))</f>
        <v>0</v>
      </c>
      <c r="CM16" s="123" cm="1">
        <f t="array" ref="CM16">INDEX(Properties!$D:$D,$B16+5)*(IF(CM$3=INDEX(Properties!$Q:$Q,$B16+5),INDEX(Properties!$M:$M,$B16+5)+INDEX(Properties!$O:$O,$B16+5),0))</f>
        <v>0</v>
      </c>
      <c r="CN16" s="123" cm="1">
        <f t="array" ref="CN16">INDEX(Properties!$D:$D,$B16+5)*(IF(CN$3=INDEX(Properties!$Q:$Q,$B16+5),INDEX(Properties!$M:$M,$B16+5)+INDEX(Properties!$O:$O,$B16+5),0))</f>
        <v>0</v>
      </c>
      <c r="CO16" s="123" cm="1">
        <f t="array" ref="CO16">INDEX(Properties!$D:$D,$B16+5)*(IF(CO$3=INDEX(Properties!$Q:$Q,$B16+5),INDEX(Properties!$M:$M,$B16+5)+INDEX(Properties!$O:$O,$B16+5),0))</f>
        <v>0</v>
      </c>
      <c r="CP16" s="123" cm="1">
        <f t="array" ref="CP16">INDEX(Properties!$D:$D,$B16+5)*(IF(CP$3=INDEX(Properties!$Q:$Q,$B16+5),INDEX(Properties!$M:$M,$B16+5)+INDEX(Properties!$O:$O,$B16+5),0))</f>
        <v>0</v>
      </c>
      <c r="CQ16" s="123" cm="1">
        <f t="array" ref="CQ16">INDEX(Properties!$D:$D,$B16+5)*(IF(CQ$3=INDEX(Properties!$Q:$Q,$B16+5),INDEX(Properties!$M:$M,$B16+5)+INDEX(Properties!$O:$O,$B16+5),0))</f>
        <v>0</v>
      </c>
      <c r="CR16" s="123" cm="1">
        <f t="array" ref="CR16">INDEX(Properties!$D:$D,$B16+5)*(IF(CR$3=INDEX(Properties!$Q:$Q,$B16+5),INDEX(Properties!$M:$M,$B16+5)+INDEX(Properties!$O:$O,$B16+5),0))</f>
        <v>0</v>
      </c>
      <c r="CS16" s="123" cm="1">
        <f t="array" ref="CS16">INDEX(Properties!$D:$D,$B16+5)*(IF(CS$3=INDEX(Properties!$Q:$Q,$B16+5),INDEX(Properties!$M:$M,$B16+5)+INDEX(Properties!$O:$O,$B16+5),0))</f>
        <v>0</v>
      </c>
      <c r="CT16" s="123" cm="1">
        <f t="array" ref="CT16">INDEX(Properties!$D:$D,$B16+5)*(IF(CT$3=INDEX(Properties!$Q:$Q,$B16+5),INDEX(Properties!$M:$M,$B16+5)+INDEX(Properties!$O:$O,$B16+5),0))</f>
        <v>0</v>
      </c>
      <c r="CU16" s="123" cm="1">
        <f t="array" ref="CU16">INDEX(Properties!$D:$D,$B16+5)*(IF(CU$3=INDEX(Properties!$Q:$Q,$B16+5),INDEX(Properties!$M:$M,$B16+5)+INDEX(Properties!$O:$O,$B16+5),0))</f>
        <v>0</v>
      </c>
      <c r="CV16" s="123" cm="1">
        <f t="array" ref="CV16">INDEX(Properties!$D:$D,$B16+5)*(IF(CV$3=INDEX(Properties!$Q:$Q,$B16+5),INDEX(Properties!$M:$M,$B16+5)+INDEX(Properties!$O:$O,$B16+5),0))</f>
        <v>0</v>
      </c>
      <c r="CW16" s="123" cm="1">
        <f t="array" ref="CW16">INDEX(Properties!$D:$D,$B16+5)*(IF(CW$3=INDEX(Properties!$Q:$Q,$B16+5),INDEX(Properties!$M:$M,$B16+5)+INDEX(Properties!$O:$O,$B16+5),0))</f>
        <v>0</v>
      </c>
      <c r="CX16" s="123" cm="1">
        <f t="array" ref="CX16">INDEX(Properties!$D:$D,$B16+5)*(IF(CX$3=INDEX(Properties!$Q:$Q,$B16+5),INDEX(Properties!$M:$M,$B16+5)+INDEX(Properties!$O:$O,$B16+5),0))</f>
        <v>0</v>
      </c>
      <c r="CY16" s="123" cm="1">
        <f t="array" ref="CY16">INDEX(Properties!$D:$D,$B16+5)*(IF(CY$3=INDEX(Properties!$Q:$Q,$B16+5),INDEX(Properties!$M:$M,$B16+5)+INDEX(Properties!$O:$O,$B16+5),0))</f>
        <v>0</v>
      </c>
      <c r="CZ16" s="123" cm="1">
        <f t="array" ref="CZ16">INDEX(Properties!$D:$D,$B16+5)*(IF(CZ$3=INDEX(Properties!$Q:$Q,$B16+5),INDEX(Properties!$M:$M,$B16+5)+INDEX(Properties!$O:$O,$B16+5),0))</f>
        <v>0</v>
      </c>
      <c r="DA16" s="123" cm="1">
        <f t="array" ref="DA16">INDEX(Properties!$D:$D,$B16+5)*(IF(DA$3=INDEX(Properties!$Q:$Q,$B16+5),INDEX(Properties!$M:$M,$B16+5)+INDEX(Properties!$O:$O,$B16+5),0))</f>
        <v>0</v>
      </c>
      <c r="DB16" s="123" cm="1">
        <f t="array" ref="DB16">INDEX(Properties!$D:$D,$B16+5)*(IF(DB$3=INDEX(Properties!$Q:$Q,$B16+5),INDEX(Properties!$M:$M,$B16+5)+INDEX(Properties!$O:$O,$B16+5),0))</f>
        <v>0</v>
      </c>
      <c r="DC16" s="123" cm="1">
        <f t="array" ref="DC16">INDEX(Properties!$D:$D,$B16+5)*(IF(DC$3=INDEX(Properties!$Q:$Q,$B16+5),INDEX(Properties!$M:$M,$B16+5)+INDEX(Properties!$O:$O,$B16+5),0))</f>
        <v>0</v>
      </c>
      <c r="DD16" s="123" cm="1">
        <f t="array" ref="DD16">INDEX(Properties!$D:$D,$B16+5)*(IF(DD$3=INDEX(Properties!$Q:$Q,$B16+5),INDEX(Properties!$M:$M,$B16+5)+INDEX(Properties!$O:$O,$B16+5),0))</f>
        <v>0</v>
      </c>
      <c r="DE16" s="123" cm="1">
        <f t="array" ref="DE16">INDEX(Properties!$D:$D,$B16+5)*(IF(DE$3=INDEX(Properties!$Q:$Q,$B16+5),INDEX(Properties!$M:$M,$B16+5)+INDEX(Properties!$O:$O,$B16+5),0))</f>
        <v>0</v>
      </c>
      <c r="DF16" s="123" cm="1">
        <f t="array" ref="DF16">INDEX(Properties!$D:$D,$B16+5)*(IF(DF$3=INDEX(Properties!$Q:$Q,$B16+5),INDEX(Properties!$M:$M,$B16+5)+INDEX(Properties!$O:$O,$B16+5),0))</f>
        <v>0</v>
      </c>
      <c r="DG16" s="123" cm="1">
        <f t="array" ref="DG16">INDEX(Properties!$D:$D,$B16+5)*(IF(DG$3=INDEX(Properties!$Q:$Q,$B16+5),INDEX(Properties!$M:$M,$B16+5)+INDEX(Properties!$O:$O,$B16+5),0))</f>
        <v>0</v>
      </c>
      <c r="DH16" s="123" cm="1">
        <f t="array" ref="DH16">INDEX(Properties!$D:$D,$B16+5)*(IF(DH$3=INDEX(Properties!$Q:$Q,$B16+5),INDEX(Properties!$M:$M,$B16+5)+INDEX(Properties!$O:$O,$B16+5),0))</f>
        <v>0</v>
      </c>
      <c r="DI16" s="123" cm="1">
        <f t="array" ref="DI16">INDEX(Properties!$D:$D,$B16+5)*(IF(DI$3=INDEX(Properties!$Q:$Q,$B16+5),INDEX(Properties!$M:$M,$B16+5)+INDEX(Properties!$O:$O,$B16+5),0))</f>
        <v>0</v>
      </c>
      <c r="DJ16" s="123" cm="1">
        <f t="array" ref="DJ16">INDEX(Properties!$D:$D,$B16+5)*(IF(DJ$3=INDEX(Properties!$Q:$Q,$B16+5),INDEX(Properties!$M:$M,$B16+5)+INDEX(Properties!$O:$O,$B16+5),0))</f>
        <v>0</v>
      </c>
      <c r="DK16" s="123" cm="1">
        <f t="array" ref="DK16">INDEX(Properties!$D:$D,$B16+5)*(IF(DK$3=INDEX(Properties!$Q:$Q,$B16+5),INDEX(Properties!$M:$M,$B16+5)+INDEX(Properties!$O:$O,$B16+5),0))</f>
        <v>0</v>
      </c>
      <c r="DL16" s="123" cm="1">
        <f t="array" ref="DL16">INDEX(Properties!$D:$D,$B16+5)*(IF(DL$3=INDEX(Properties!$Q:$Q,$B16+5),INDEX(Properties!$M:$M,$B16+5)+INDEX(Properties!$O:$O,$B16+5),0))</f>
        <v>0</v>
      </c>
      <c r="DM16" s="123" cm="1">
        <f t="array" ref="DM16">INDEX(Properties!$D:$D,$B16+5)*(IF(DM$3=INDEX(Properties!$Q:$Q,$B16+5),INDEX(Properties!$M:$M,$B16+5)+INDEX(Properties!$O:$O,$B16+5),0))</f>
        <v>0</v>
      </c>
      <c r="DN16" s="123" cm="1">
        <f t="array" ref="DN16">INDEX(Properties!$D:$D,$B16+5)*(IF(DN$3=INDEX(Properties!$Q:$Q,$B16+5),INDEX(Properties!$M:$M,$B16+5)+INDEX(Properties!$O:$O,$B16+5),0))</f>
        <v>0</v>
      </c>
      <c r="DO16" s="123" cm="1">
        <f t="array" ref="DO16">INDEX(Properties!$D:$D,$B16+5)*(IF(DO$3=INDEX(Properties!$Q:$Q,$B16+5),INDEX(Properties!$M:$M,$B16+5)+INDEX(Properties!$O:$O,$B16+5),0))</f>
        <v>0</v>
      </c>
      <c r="DP16" s="123" cm="1">
        <f t="array" ref="DP16">INDEX(Properties!$D:$D,$B16+5)*(IF(DP$3=INDEX(Properties!$Q:$Q,$B16+5),INDEX(Properties!$M:$M,$B16+5)+INDEX(Properties!$O:$O,$B16+5),0))</f>
        <v>0</v>
      </c>
      <c r="DQ16" s="123" cm="1">
        <f t="array" ref="DQ16">INDEX(Properties!$D:$D,$B16+5)*(IF(DQ$3=INDEX(Properties!$Q:$Q,$B16+5),INDEX(Properties!$M:$M,$B16+5)+INDEX(Properties!$O:$O,$B16+5),0))</f>
        <v>0</v>
      </c>
      <c r="DR16" s="123" cm="1">
        <f t="array" ref="DR16">INDEX(Properties!$D:$D,$B16+5)*(IF(DR$3=INDEX(Properties!$Q:$Q,$B16+5),INDEX(Properties!$M:$M,$B16+5)+INDEX(Properties!$O:$O,$B16+5),0))</f>
        <v>0</v>
      </c>
    </row>
    <row r="17" spans="1:122" ht="16.05" customHeight="1" x14ac:dyDescent="0.3">
      <c r="A17" s="148" cm="1">
        <f t="array" ref="A17">INDEX(Properties!$E:$E,$B17+5)</f>
        <v>0</v>
      </c>
      <c r="B17" s="1">
        <v>8</v>
      </c>
      <c r="C17" s="123" cm="1">
        <f t="array" ref="C17">INDEX(Properties!$D:$D,$B17+5)*(IF(C$3=INDEX(Properties!$Q:$Q,$B17+5),INDEX(Properties!$M:$M,$B17+5)+INDEX(Properties!$O:$O,$B17+5),0))</f>
        <v>0</v>
      </c>
      <c r="D17" s="123" cm="1">
        <f t="array" ref="D17">INDEX(Properties!$D:$D,$B17+5)*(IF(D$3=INDEX(Properties!$Q:$Q,$B17+5),INDEX(Properties!$M:$M,$B17+5)+INDEX(Properties!$O:$O,$B17+5),0))</f>
        <v>0</v>
      </c>
      <c r="E17" s="123" cm="1">
        <f t="array" ref="E17">INDEX(Properties!$D:$D,$B17+5)*(IF(E$3=INDEX(Properties!$Q:$Q,$B17+5),INDEX(Properties!$M:$M,$B17+5)+INDEX(Properties!$O:$O,$B17+5),0))</f>
        <v>0</v>
      </c>
      <c r="F17" s="123" cm="1">
        <f t="array" ref="F17">INDEX(Properties!$D:$D,$B17+5)*(IF(F$3=INDEX(Properties!$Q:$Q,$B17+5),INDEX(Properties!$M:$M,$B17+5)+INDEX(Properties!$O:$O,$B17+5),0))</f>
        <v>0</v>
      </c>
      <c r="G17" s="123" cm="1">
        <f t="array" ref="G17">INDEX(Properties!$D:$D,$B17+5)*(IF(G$3=INDEX(Properties!$Q:$Q,$B17+5),INDEX(Properties!$M:$M,$B17+5)+INDEX(Properties!$O:$O,$B17+5),0))</f>
        <v>0</v>
      </c>
      <c r="H17" s="123" cm="1">
        <f t="array" ref="H17">INDEX(Properties!$D:$D,$B17+5)*(IF(H$3=INDEX(Properties!$Q:$Q,$B17+5),INDEX(Properties!$M:$M,$B17+5)+INDEX(Properties!$O:$O,$B17+5),0))</f>
        <v>0</v>
      </c>
      <c r="I17" s="123" cm="1">
        <f t="array" ref="I17">INDEX(Properties!$D:$D,$B17+5)*(IF(I$3=INDEX(Properties!$Q:$Q,$B17+5),INDEX(Properties!$M:$M,$B17+5)+INDEX(Properties!$O:$O,$B17+5),0))</f>
        <v>0</v>
      </c>
      <c r="J17" s="123" cm="1">
        <f t="array" ref="J17">INDEX(Properties!$D:$D,$B17+5)*(IF(J$3=INDEX(Properties!$Q:$Q,$B17+5),INDEX(Properties!$M:$M,$B17+5)+INDEX(Properties!$O:$O,$B17+5),0))</f>
        <v>0</v>
      </c>
      <c r="K17" s="123" cm="1">
        <f t="array" ref="K17">INDEX(Properties!$D:$D,$B17+5)*(IF(K$3=INDEX(Properties!$Q:$Q,$B17+5),INDEX(Properties!$M:$M,$B17+5)+INDEX(Properties!$O:$O,$B17+5),0))</f>
        <v>0</v>
      </c>
      <c r="L17" s="123" cm="1">
        <f t="array" ref="L17">INDEX(Properties!$D:$D,$B17+5)*(IF(L$3=INDEX(Properties!$Q:$Q,$B17+5),INDEX(Properties!$M:$M,$B17+5)+INDEX(Properties!$O:$O,$B17+5),0))</f>
        <v>0</v>
      </c>
      <c r="M17" s="123" cm="1">
        <f t="array" ref="M17">INDEX(Properties!$D:$D,$B17+5)*(IF(M$3=INDEX(Properties!$Q:$Q,$B17+5),INDEX(Properties!$M:$M,$B17+5)+INDEX(Properties!$O:$O,$B17+5),0))</f>
        <v>0</v>
      </c>
      <c r="N17" s="123" cm="1">
        <f t="array" ref="N17">INDEX(Properties!$D:$D,$B17+5)*(IF(N$3=INDEX(Properties!$Q:$Q,$B17+5),INDEX(Properties!$M:$M,$B17+5)+INDEX(Properties!$O:$O,$B17+5),0))</f>
        <v>0</v>
      </c>
      <c r="O17" s="123" cm="1">
        <f t="array" ref="O17">INDEX(Properties!$D:$D,$B17+5)*(IF(O$3=INDEX(Properties!$Q:$Q,$B17+5),INDEX(Properties!$M:$M,$B17+5)+INDEX(Properties!$O:$O,$B17+5),0))</f>
        <v>0</v>
      </c>
      <c r="P17" s="123" cm="1">
        <f t="array" ref="P17">INDEX(Properties!$D:$D,$B17+5)*(IF(P$3=INDEX(Properties!$Q:$Q,$B17+5),INDEX(Properties!$M:$M,$B17+5)+INDEX(Properties!$O:$O,$B17+5),0))</f>
        <v>0</v>
      </c>
      <c r="Q17" s="123" cm="1">
        <f t="array" ref="Q17">INDEX(Properties!$D:$D,$B17+5)*(IF(Q$3=INDEX(Properties!$Q:$Q,$B17+5),INDEX(Properties!$M:$M,$B17+5)+INDEX(Properties!$O:$O,$B17+5),0))</f>
        <v>0</v>
      </c>
      <c r="R17" s="123" cm="1">
        <f t="array" ref="R17">INDEX(Properties!$D:$D,$B17+5)*(IF(R$3=INDEX(Properties!$Q:$Q,$B17+5),INDEX(Properties!$M:$M,$B17+5)+INDEX(Properties!$O:$O,$B17+5),0))</f>
        <v>0</v>
      </c>
      <c r="S17" s="123" cm="1">
        <f t="array" ref="S17">INDEX(Properties!$D:$D,$B17+5)*(IF(S$3=INDEX(Properties!$Q:$Q,$B17+5),INDEX(Properties!$M:$M,$B17+5)+INDEX(Properties!$O:$O,$B17+5),0))</f>
        <v>0</v>
      </c>
      <c r="T17" s="123" cm="1">
        <f t="array" ref="T17">INDEX(Properties!$D:$D,$B17+5)*(IF(T$3=INDEX(Properties!$Q:$Q,$B17+5),INDEX(Properties!$M:$M,$B17+5)+INDEX(Properties!$O:$O,$B17+5),0))</f>
        <v>0</v>
      </c>
      <c r="U17" s="123" cm="1">
        <f t="array" ref="U17">INDEX(Properties!$D:$D,$B17+5)*(IF(U$3=INDEX(Properties!$Q:$Q,$B17+5),INDEX(Properties!$M:$M,$B17+5)+INDEX(Properties!$O:$O,$B17+5),0))</f>
        <v>0</v>
      </c>
      <c r="V17" s="123" cm="1">
        <f t="array" ref="V17">INDEX(Properties!$D:$D,$B17+5)*(IF(V$3=INDEX(Properties!$Q:$Q,$B17+5),INDEX(Properties!$M:$M,$B17+5)+INDEX(Properties!$O:$O,$B17+5),0))</f>
        <v>0</v>
      </c>
      <c r="W17" s="123" cm="1">
        <f t="array" ref="W17">INDEX(Properties!$D:$D,$B17+5)*(IF(W$3=INDEX(Properties!$Q:$Q,$B17+5),INDEX(Properties!$M:$M,$B17+5)+INDEX(Properties!$O:$O,$B17+5),0))</f>
        <v>0</v>
      </c>
      <c r="X17" s="123" cm="1">
        <f t="array" ref="X17">INDEX(Properties!$D:$D,$B17+5)*(IF(X$3=INDEX(Properties!$Q:$Q,$B17+5),INDEX(Properties!$M:$M,$B17+5)+INDEX(Properties!$O:$O,$B17+5),0))</f>
        <v>0</v>
      </c>
      <c r="Y17" s="123" cm="1">
        <f t="array" ref="Y17">INDEX(Properties!$D:$D,$B17+5)*(IF(Y$3=INDEX(Properties!$Q:$Q,$B17+5),INDEX(Properties!$M:$M,$B17+5)+INDEX(Properties!$O:$O,$B17+5),0))</f>
        <v>0</v>
      </c>
      <c r="Z17" s="123" cm="1">
        <f t="array" ref="Z17">INDEX(Properties!$D:$D,$B17+5)*(IF(Z$3=INDEX(Properties!$Q:$Q,$B17+5),INDEX(Properties!$M:$M,$B17+5)+INDEX(Properties!$O:$O,$B17+5),0))</f>
        <v>0</v>
      </c>
      <c r="AA17" s="123" cm="1">
        <f t="array" ref="AA17">INDEX(Properties!$D:$D,$B17+5)*(IF(AA$3=INDEX(Properties!$Q:$Q,$B17+5),INDEX(Properties!$M:$M,$B17+5)+INDEX(Properties!$O:$O,$B17+5),0))</f>
        <v>0</v>
      </c>
      <c r="AB17" s="123" cm="1">
        <f t="array" ref="AB17">INDEX(Properties!$D:$D,$B17+5)*(IF(AB$3=INDEX(Properties!$Q:$Q,$B17+5),INDEX(Properties!$M:$M,$B17+5)+INDEX(Properties!$O:$O,$B17+5),0))</f>
        <v>0</v>
      </c>
      <c r="AC17" s="123" cm="1">
        <f t="array" ref="AC17">INDEX(Properties!$D:$D,$B17+5)*(IF(AC$3=INDEX(Properties!$Q:$Q,$B17+5),INDEX(Properties!$M:$M,$B17+5)+INDEX(Properties!$O:$O,$B17+5),0))</f>
        <v>0</v>
      </c>
      <c r="AD17" s="123" cm="1">
        <f t="array" ref="AD17">INDEX(Properties!$D:$D,$B17+5)*(IF(AD$3=INDEX(Properties!$Q:$Q,$B17+5),INDEX(Properties!$M:$M,$B17+5)+INDEX(Properties!$O:$O,$B17+5),0))</f>
        <v>0</v>
      </c>
      <c r="AE17" s="123" cm="1">
        <f t="array" ref="AE17">INDEX(Properties!$D:$D,$B17+5)*(IF(AE$3=INDEX(Properties!$Q:$Q,$B17+5),INDEX(Properties!$M:$M,$B17+5)+INDEX(Properties!$O:$O,$B17+5),0))</f>
        <v>0</v>
      </c>
      <c r="AF17" s="123" cm="1">
        <f t="array" ref="AF17">INDEX(Properties!$D:$D,$B17+5)*(IF(AF$3=INDEX(Properties!$Q:$Q,$B17+5),INDEX(Properties!$M:$M,$B17+5)+INDEX(Properties!$O:$O,$B17+5),0))</f>
        <v>0</v>
      </c>
      <c r="AG17" s="123" cm="1">
        <f t="array" ref="AG17">INDEX(Properties!$D:$D,$B17+5)*(IF(AG$3=INDEX(Properties!$Q:$Q,$B17+5),INDEX(Properties!$M:$M,$B17+5)+INDEX(Properties!$O:$O,$B17+5),0))</f>
        <v>0</v>
      </c>
      <c r="AH17" s="123" cm="1">
        <f t="array" ref="AH17">INDEX(Properties!$D:$D,$B17+5)*(IF(AH$3=INDEX(Properties!$Q:$Q,$B17+5),INDEX(Properties!$M:$M,$B17+5)+INDEX(Properties!$O:$O,$B17+5),0))</f>
        <v>0</v>
      </c>
      <c r="AI17" s="123" cm="1">
        <f t="array" ref="AI17">INDEX(Properties!$D:$D,$B17+5)*(IF(AI$3=INDEX(Properties!$Q:$Q,$B17+5),INDEX(Properties!$M:$M,$B17+5)+INDEX(Properties!$O:$O,$B17+5),0))</f>
        <v>0</v>
      </c>
      <c r="AJ17" s="123" cm="1">
        <f t="array" ref="AJ17">INDEX(Properties!$D:$D,$B17+5)*(IF(AJ$3=INDEX(Properties!$Q:$Q,$B17+5),INDEX(Properties!$M:$M,$B17+5)+INDEX(Properties!$O:$O,$B17+5),0))</f>
        <v>0</v>
      </c>
      <c r="AK17" s="123" cm="1">
        <f t="array" ref="AK17">INDEX(Properties!$D:$D,$B17+5)*(IF(AK$3=INDEX(Properties!$Q:$Q,$B17+5),INDEX(Properties!$M:$M,$B17+5)+INDEX(Properties!$O:$O,$B17+5),0))</f>
        <v>0</v>
      </c>
      <c r="AL17" s="123" cm="1">
        <f t="array" ref="AL17">INDEX(Properties!$D:$D,$B17+5)*(IF(AL$3=INDEX(Properties!$Q:$Q,$B17+5),INDEX(Properties!$M:$M,$B17+5)+INDEX(Properties!$O:$O,$B17+5),0))</f>
        <v>0</v>
      </c>
      <c r="AM17" s="123" cm="1">
        <f t="array" ref="AM17">INDEX(Properties!$D:$D,$B17+5)*(IF(AM$3=INDEX(Properties!$Q:$Q,$B17+5),INDEX(Properties!$M:$M,$B17+5)+INDEX(Properties!$O:$O,$B17+5),0))</f>
        <v>0</v>
      </c>
      <c r="AN17" s="123" cm="1">
        <f t="array" ref="AN17">INDEX(Properties!$D:$D,$B17+5)*(IF(AN$3=INDEX(Properties!$Q:$Q,$B17+5),INDEX(Properties!$M:$M,$B17+5)+INDEX(Properties!$O:$O,$B17+5),0))</f>
        <v>0</v>
      </c>
      <c r="AO17" s="123" cm="1">
        <f t="array" ref="AO17">INDEX(Properties!$D:$D,$B17+5)*(IF(AO$3=INDEX(Properties!$Q:$Q,$B17+5),INDEX(Properties!$M:$M,$B17+5)+INDEX(Properties!$O:$O,$B17+5),0))</f>
        <v>0</v>
      </c>
      <c r="AP17" s="123" cm="1">
        <f t="array" ref="AP17">INDEX(Properties!$D:$D,$B17+5)*(IF(AP$3=INDEX(Properties!$Q:$Q,$B17+5),INDEX(Properties!$M:$M,$B17+5)+INDEX(Properties!$O:$O,$B17+5),0))</f>
        <v>0</v>
      </c>
      <c r="AQ17" s="123" cm="1">
        <f t="array" ref="AQ17">INDEX(Properties!$D:$D,$B17+5)*(IF(AQ$3=INDEX(Properties!$Q:$Q,$B17+5),INDEX(Properties!$M:$M,$B17+5)+INDEX(Properties!$O:$O,$B17+5),0))</f>
        <v>0</v>
      </c>
      <c r="AR17" s="123" cm="1">
        <f t="array" ref="AR17">INDEX(Properties!$D:$D,$B17+5)*(IF(AR$3=INDEX(Properties!$Q:$Q,$B17+5),INDEX(Properties!$M:$M,$B17+5)+INDEX(Properties!$O:$O,$B17+5),0))</f>
        <v>0</v>
      </c>
      <c r="AS17" s="123" cm="1">
        <f t="array" ref="AS17">INDEX(Properties!$D:$D,$B17+5)*(IF(AS$3=INDEX(Properties!$Q:$Q,$B17+5),INDEX(Properties!$M:$M,$B17+5)+INDEX(Properties!$O:$O,$B17+5),0))</f>
        <v>0</v>
      </c>
      <c r="AT17" s="123" cm="1">
        <f t="array" ref="AT17">INDEX(Properties!$D:$D,$B17+5)*(IF(AT$3=INDEX(Properties!$Q:$Q,$B17+5),INDEX(Properties!$M:$M,$B17+5)+INDEX(Properties!$O:$O,$B17+5),0))</f>
        <v>0</v>
      </c>
      <c r="AU17" s="123" cm="1">
        <f t="array" ref="AU17">INDEX(Properties!$D:$D,$B17+5)*(IF(AU$3=INDEX(Properties!$Q:$Q,$B17+5),INDEX(Properties!$M:$M,$B17+5)+INDEX(Properties!$O:$O,$B17+5),0))</f>
        <v>0</v>
      </c>
      <c r="AV17" s="123" cm="1">
        <f t="array" ref="AV17">INDEX(Properties!$D:$D,$B17+5)*(IF(AV$3=INDEX(Properties!$Q:$Q,$B17+5),INDEX(Properties!$M:$M,$B17+5)+INDEX(Properties!$O:$O,$B17+5),0))</f>
        <v>0</v>
      </c>
      <c r="AW17" s="123" cm="1">
        <f t="array" ref="AW17">INDEX(Properties!$D:$D,$B17+5)*(IF(AW$3=INDEX(Properties!$Q:$Q,$B17+5),INDEX(Properties!$M:$M,$B17+5)+INDEX(Properties!$O:$O,$B17+5),0))</f>
        <v>0</v>
      </c>
      <c r="AX17" s="123" cm="1">
        <f t="array" ref="AX17">INDEX(Properties!$D:$D,$B17+5)*(IF(AX$3=INDEX(Properties!$Q:$Q,$B17+5),INDEX(Properties!$M:$M,$B17+5)+INDEX(Properties!$O:$O,$B17+5),0))</f>
        <v>0</v>
      </c>
      <c r="AY17" s="123" cm="1">
        <f t="array" ref="AY17">INDEX(Properties!$D:$D,$B17+5)*(IF(AY$3=INDEX(Properties!$Q:$Q,$B17+5),INDEX(Properties!$M:$M,$B17+5)+INDEX(Properties!$O:$O,$B17+5),0))</f>
        <v>0</v>
      </c>
      <c r="AZ17" s="123" cm="1">
        <f t="array" ref="AZ17">INDEX(Properties!$D:$D,$B17+5)*(IF(AZ$3=INDEX(Properties!$Q:$Q,$B17+5),INDEX(Properties!$M:$M,$B17+5)+INDEX(Properties!$O:$O,$B17+5),0))</f>
        <v>0</v>
      </c>
      <c r="BA17" s="123" cm="1">
        <f t="array" ref="BA17">INDEX(Properties!$D:$D,$B17+5)*(IF(BA$3=INDEX(Properties!$Q:$Q,$B17+5),INDEX(Properties!$M:$M,$B17+5)+INDEX(Properties!$O:$O,$B17+5),0))</f>
        <v>0</v>
      </c>
      <c r="BB17" s="123" cm="1">
        <f t="array" ref="BB17">INDEX(Properties!$D:$D,$B17+5)*(IF(BB$3=INDEX(Properties!$Q:$Q,$B17+5),INDEX(Properties!$M:$M,$B17+5)+INDEX(Properties!$O:$O,$B17+5),0))</f>
        <v>0</v>
      </c>
      <c r="BC17" s="123" cm="1">
        <f t="array" ref="BC17">INDEX(Properties!$D:$D,$B17+5)*(IF(BC$3=INDEX(Properties!$Q:$Q,$B17+5),INDEX(Properties!$M:$M,$B17+5)+INDEX(Properties!$O:$O,$B17+5),0))</f>
        <v>0</v>
      </c>
      <c r="BD17" s="123" cm="1">
        <f t="array" ref="BD17">INDEX(Properties!$D:$D,$B17+5)*(IF(BD$3=INDEX(Properties!$Q:$Q,$B17+5),INDEX(Properties!$M:$M,$B17+5)+INDEX(Properties!$O:$O,$B17+5),0))</f>
        <v>0</v>
      </c>
      <c r="BE17" s="123" cm="1">
        <f t="array" ref="BE17">INDEX(Properties!$D:$D,$B17+5)*(IF(BE$3=INDEX(Properties!$Q:$Q,$B17+5),INDEX(Properties!$M:$M,$B17+5)+INDEX(Properties!$O:$O,$B17+5),0))</f>
        <v>0</v>
      </c>
      <c r="BF17" s="123" cm="1">
        <f t="array" ref="BF17">INDEX(Properties!$D:$D,$B17+5)*(IF(BF$3=INDEX(Properties!$Q:$Q,$B17+5),INDEX(Properties!$M:$M,$B17+5)+INDEX(Properties!$O:$O,$B17+5),0))</f>
        <v>0</v>
      </c>
      <c r="BG17" s="123" cm="1">
        <f t="array" ref="BG17">INDEX(Properties!$D:$D,$B17+5)*(IF(BG$3=INDEX(Properties!$Q:$Q,$B17+5),INDEX(Properties!$M:$M,$B17+5)+INDEX(Properties!$O:$O,$B17+5),0))</f>
        <v>0</v>
      </c>
      <c r="BH17" s="123" cm="1">
        <f t="array" ref="BH17">INDEX(Properties!$D:$D,$B17+5)*(IF(BH$3=INDEX(Properties!$Q:$Q,$B17+5),INDEX(Properties!$M:$M,$B17+5)+INDEX(Properties!$O:$O,$B17+5),0))</f>
        <v>0</v>
      </c>
      <c r="BI17" s="123" cm="1">
        <f t="array" ref="BI17">INDEX(Properties!$D:$D,$B17+5)*(IF(BI$3=INDEX(Properties!$Q:$Q,$B17+5),INDEX(Properties!$M:$M,$B17+5)+INDEX(Properties!$O:$O,$B17+5),0))</f>
        <v>0</v>
      </c>
      <c r="BJ17" s="123" cm="1">
        <f t="array" ref="BJ17">INDEX(Properties!$D:$D,$B17+5)*(IF(BJ$3=INDEX(Properties!$Q:$Q,$B17+5),INDEX(Properties!$M:$M,$B17+5)+INDEX(Properties!$O:$O,$B17+5),0))</f>
        <v>0</v>
      </c>
      <c r="BK17" s="123" cm="1">
        <f t="array" ref="BK17">INDEX(Properties!$D:$D,$B17+5)*(IF(BK$3=INDEX(Properties!$Q:$Q,$B17+5),INDEX(Properties!$M:$M,$B17+5)+INDEX(Properties!$O:$O,$B17+5),0))</f>
        <v>0</v>
      </c>
      <c r="BL17" s="123" cm="1">
        <f t="array" ref="BL17">INDEX(Properties!$D:$D,$B17+5)*(IF(BL$3=INDEX(Properties!$Q:$Q,$B17+5),INDEX(Properties!$M:$M,$B17+5)+INDEX(Properties!$O:$O,$B17+5),0))</f>
        <v>0</v>
      </c>
      <c r="BM17" s="123" cm="1">
        <f t="array" ref="BM17">INDEX(Properties!$D:$D,$B17+5)*(IF(BM$3=INDEX(Properties!$Q:$Q,$B17+5),INDEX(Properties!$M:$M,$B17+5)+INDEX(Properties!$O:$O,$B17+5),0))</f>
        <v>0</v>
      </c>
      <c r="BN17" s="123" cm="1">
        <f t="array" ref="BN17">INDEX(Properties!$D:$D,$B17+5)*(IF(BN$3=INDEX(Properties!$Q:$Q,$B17+5),INDEX(Properties!$M:$M,$B17+5)+INDEX(Properties!$O:$O,$B17+5),0))</f>
        <v>0</v>
      </c>
      <c r="BO17" s="123" cm="1">
        <f t="array" ref="BO17">INDEX(Properties!$D:$D,$B17+5)*(IF(BO$3=INDEX(Properties!$Q:$Q,$B17+5),INDEX(Properties!$M:$M,$B17+5)+INDEX(Properties!$O:$O,$B17+5),0))</f>
        <v>0</v>
      </c>
      <c r="BP17" s="123" cm="1">
        <f t="array" ref="BP17">INDEX(Properties!$D:$D,$B17+5)*(IF(BP$3=INDEX(Properties!$Q:$Q,$B17+5),INDEX(Properties!$M:$M,$B17+5)+INDEX(Properties!$O:$O,$B17+5),0))</f>
        <v>0</v>
      </c>
      <c r="BQ17" s="123" cm="1">
        <f t="array" ref="BQ17">INDEX(Properties!$D:$D,$B17+5)*(IF(BQ$3=INDEX(Properties!$Q:$Q,$B17+5),INDEX(Properties!$M:$M,$B17+5)+INDEX(Properties!$O:$O,$B17+5),0))</f>
        <v>0</v>
      </c>
      <c r="BR17" s="123" cm="1">
        <f t="array" ref="BR17">INDEX(Properties!$D:$D,$B17+5)*(IF(BR$3=INDEX(Properties!$Q:$Q,$B17+5),INDEX(Properties!$M:$M,$B17+5)+INDEX(Properties!$O:$O,$B17+5),0))</f>
        <v>0</v>
      </c>
      <c r="BS17" s="123" cm="1">
        <f t="array" ref="BS17">INDEX(Properties!$D:$D,$B17+5)*(IF(BS$3=INDEX(Properties!$Q:$Q,$B17+5),INDEX(Properties!$M:$M,$B17+5)+INDEX(Properties!$O:$O,$B17+5),0))</f>
        <v>0</v>
      </c>
      <c r="BT17" s="123" cm="1">
        <f t="array" ref="BT17">INDEX(Properties!$D:$D,$B17+5)*(IF(BT$3=INDEX(Properties!$Q:$Q,$B17+5),INDEX(Properties!$M:$M,$B17+5)+INDEX(Properties!$O:$O,$B17+5),0))</f>
        <v>0</v>
      </c>
      <c r="BU17" s="123" cm="1">
        <f t="array" ref="BU17">INDEX(Properties!$D:$D,$B17+5)*(IF(BU$3=INDEX(Properties!$Q:$Q,$B17+5),INDEX(Properties!$M:$M,$B17+5)+INDEX(Properties!$O:$O,$B17+5),0))</f>
        <v>0</v>
      </c>
      <c r="BV17" s="123" cm="1">
        <f t="array" ref="BV17">INDEX(Properties!$D:$D,$B17+5)*(IF(BV$3=INDEX(Properties!$Q:$Q,$B17+5),INDEX(Properties!$M:$M,$B17+5)+INDEX(Properties!$O:$O,$B17+5),0))</f>
        <v>0</v>
      </c>
      <c r="BW17" s="123" cm="1">
        <f t="array" ref="BW17">INDEX(Properties!$D:$D,$B17+5)*(IF(BW$3=INDEX(Properties!$Q:$Q,$B17+5),INDEX(Properties!$M:$M,$B17+5)+INDEX(Properties!$O:$O,$B17+5),0))</f>
        <v>0</v>
      </c>
      <c r="BX17" s="123" cm="1">
        <f t="array" ref="BX17">INDEX(Properties!$D:$D,$B17+5)*(IF(BX$3=INDEX(Properties!$Q:$Q,$B17+5),INDEX(Properties!$M:$M,$B17+5)+INDEX(Properties!$O:$O,$B17+5),0))</f>
        <v>0</v>
      </c>
      <c r="BY17" s="123" cm="1">
        <f t="array" ref="BY17">INDEX(Properties!$D:$D,$B17+5)*(IF(BY$3=INDEX(Properties!$Q:$Q,$B17+5),INDEX(Properties!$M:$M,$B17+5)+INDEX(Properties!$O:$O,$B17+5),0))</f>
        <v>0</v>
      </c>
      <c r="BZ17" s="123" cm="1">
        <f t="array" ref="BZ17">INDEX(Properties!$D:$D,$B17+5)*(IF(BZ$3=INDEX(Properties!$Q:$Q,$B17+5),INDEX(Properties!$M:$M,$B17+5)+INDEX(Properties!$O:$O,$B17+5),0))</f>
        <v>0</v>
      </c>
      <c r="CA17" s="123" cm="1">
        <f t="array" ref="CA17">INDEX(Properties!$D:$D,$B17+5)*(IF(CA$3=INDEX(Properties!$Q:$Q,$B17+5),INDEX(Properties!$M:$M,$B17+5)+INDEX(Properties!$O:$O,$B17+5),0))</f>
        <v>0</v>
      </c>
      <c r="CB17" s="123" cm="1">
        <f t="array" ref="CB17">INDEX(Properties!$D:$D,$B17+5)*(IF(CB$3=INDEX(Properties!$Q:$Q,$B17+5),INDEX(Properties!$M:$M,$B17+5)+INDEX(Properties!$O:$O,$B17+5),0))</f>
        <v>0</v>
      </c>
      <c r="CC17" s="123" cm="1">
        <f t="array" ref="CC17">INDEX(Properties!$D:$D,$B17+5)*(IF(CC$3=INDEX(Properties!$Q:$Q,$B17+5),INDEX(Properties!$M:$M,$B17+5)+INDEX(Properties!$O:$O,$B17+5),0))</f>
        <v>0</v>
      </c>
      <c r="CD17" s="123" cm="1">
        <f t="array" ref="CD17">INDEX(Properties!$D:$D,$B17+5)*(IF(CD$3=INDEX(Properties!$Q:$Q,$B17+5),INDEX(Properties!$M:$M,$B17+5)+INDEX(Properties!$O:$O,$B17+5),0))</f>
        <v>0</v>
      </c>
      <c r="CE17" s="123" cm="1">
        <f t="array" ref="CE17">INDEX(Properties!$D:$D,$B17+5)*(IF(CE$3=INDEX(Properties!$Q:$Q,$B17+5),INDEX(Properties!$M:$M,$B17+5)+INDEX(Properties!$O:$O,$B17+5),0))</f>
        <v>0</v>
      </c>
      <c r="CF17" s="123" cm="1">
        <f t="array" ref="CF17">INDEX(Properties!$D:$D,$B17+5)*(IF(CF$3=INDEX(Properties!$Q:$Q,$B17+5),INDEX(Properties!$M:$M,$B17+5)+INDEX(Properties!$O:$O,$B17+5),0))</f>
        <v>0</v>
      </c>
      <c r="CG17" s="123" cm="1">
        <f t="array" ref="CG17">INDEX(Properties!$D:$D,$B17+5)*(IF(CG$3=INDEX(Properties!$Q:$Q,$B17+5),INDEX(Properties!$M:$M,$B17+5)+INDEX(Properties!$O:$O,$B17+5),0))</f>
        <v>0</v>
      </c>
      <c r="CH17" s="123" cm="1">
        <f t="array" ref="CH17">INDEX(Properties!$D:$D,$B17+5)*(IF(CH$3=INDEX(Properties!$Q:$Q,$B17+5),INDEX(Properties!$M:$M,$B17+5)+INDEX(Properties!$O:$O,$B17+5),0))</f>
        <v>0</v>
      </c>
      <c r="CI17" s="123" cm="1">
        <f t="array" ref="CI17">INDEX(Properties!$D:$D,$B17+5)*(IF(CI$3=INDEX(Properties!$Q:$Q,$B17+5),INDEX(Properties!$M:$M,$B17+5)+INDEX(Properties!$O:$O,$B17+5),0))</f>
        <v>0</v>
      </c>
      <c r="CJ17" s="123" cm="1">
        <f t="array" ref="CJ17">INDEX(Properties!$D:$D,$B17+5)*(IF(CJ$3=INDEX(Properties!$Q:$Q,$B17+5),INDEX(Properties!$M:$M,$B17+5)+INDEX(Properties!$O:$O,$B17+5),0))</f>
        <v>0</v>
      </c>
      <c r="CK17" s="123" cm="1">
        <f t="array" ref="CK17">INDEX(Properties!$D:$D,$B17+5)*(IF(CK$3=INDEX(Properties!$Q:$Q,$B17+5),INDEX(Properties!$M:$M,$B17+5)+INDEX(Properties!$O:$O,$B17+5),0))</f>
        <v>0</v>
      </c>
      <c r="CL17" s="123" cm="1">
        <f t="array" ref="CL17">INDEX(Properties!$D:$D,$B17+5)*(IF(CL$3=INDEX(Properties!$Q:$Q,$B17+5),INDEX(Properties!$M:$M,$B17+5)+INDEX(Properties!$O:$O,$B17+5),0))</f>
        <v>0</v>
      </c>
      <c r="CM17" s="123" cm="1">
        <f t="array" ref="CM17">INDEX(Properties!$D:$D,$B17+5)*(IF(CM$3=INDEX(Properties!$Q:$Q,$B17+5),INDEX(Properties!$M:$M,$B17+5)+INDEX(Properties!$O:$O,$B17+5),0))</f>
        <v>0</v>
      </c>
      <c r="CN17" s="123" cm="1">
        <f t="array" ref="CN17">INDEX(Properties!$D:$D,$B17+5)*(IF(CN$3=INDEX(Properties!$Q:$Q,$B17+5),INDEX(Properties!$M:$M,$B17+5)+INDEX(Properties!$O:$O,$B17+5),0))</f>
        <v>0</v>
      </c>
      <c r="CO17" s="123" cm="1">
        <f t="array" ref="CO17">INDEX(Properties!$D:$D,$B17+5)*(IF(CO$3=INDEX(Properties!$Q:$Q,$B17+5),INDEX(Properties!$M:$M,$B17+5)+INDEX(Properties!$O:$O,$B17+5),0))</f>
        <v>0</v>
      </c>
      <c r="CP17" s="123" cm="1">
        <f t="array" ref="CP17">INDEX(Properties!$D:$D,$B17+5)*(IF(CP$3=INDEX(Properties!$Q:$Q,$B17+5),INDEX(Properties!$M:$M,$B17+5)+INDEX(Properties!$O:$O,$B17+5),0))</f>
        <v>0</v>
      </c>
      <c r="CQ17" s="123" cm="1">
        <f t="array" ref="CQ17">INDEX(Properties!$D:$D,$B17+5)*(IF(CQ$3=INDEX(Properties!$Q:$Q,$B17+5),INDEX(Properties!$M:$M,$B17+5)+INDEX(Properties!$O:$O,$B17+5),0))</f>
        <v>0</v>
      </c>
      <c r="CR17" s="123" cm="1">
        <f t="array" ref="CR17">INDEX(Properties!$D:$D,$B17+5)*(IF(CR$3=INDEX(Properties!$Q:$Q,$B17+5),INDEX(Properties!$M:$M,$B17+5)+INDEX(Properties!$O:$O,$B17+5),0))</f>
        <v>0</v>
      </c>
      <c r="CS17" s="123" cm="1">
        <f t="array" ref="CS17">INDEX(Properties!$D:$D,$B17+5)*(IF(CS$3=INDEX(Properties!$Q:$Q,$B17+5),INDEX(Properties!$M:$M,$B17+5)+INDEX(Properties!$O:$O,$B17+5),0))</f>
        <v>0</v>
      </c>
      <c r="CT17" s="123" cm="1">
        <f t="array" ref="CT17">INDEX(Properties!$D:$D,$B17+5)*(IF(CT$3=INDEX(Properties!$Q:$Q,$B17+5),INDEX(Properties!$M:$M,$B17+5)+INDEX(Properties!$O:$O,$B17+5),0))</f>
        <v>0</v>
      </c>
      <c r="CU17" s="123" cm="1">
        <f t="array" ref="CU17">INDEX(Properties!$D:$D,$B17+5)*(IF(CU$3=INDEX(Properties!$Q:$Q,$B17+5),INDEX(Properties!$M:$M,$B17+5)+INDEX(Properties!$O:$O,$B17+5),0))</f>
        <v>0</v>
      </c>
      <c r="CV17" s="123" cm="1">
        <f t="array" ref="CV17">INDEX(Properties!$D:$D,$B17+5)*(IF(CV$3=INDEX(Properties!$Q:$Q,$B17+5),INDEX(Properties!$M:$M,$B17+5)+INDEX(Properties!$O:$O,$B17+5),0))</f>
        <v>0</v>
      </c>
      <c r="CW17" s="123" cm="1">
        <f t="array" ref="CW17">INDEX(Properties!$D:$D,$B17+5)*(IF(CW$3=INDEX(Properties!$Q:$Q,$B17+5),INDEX(Properties!$M:$M,$B17+5)+INDEX(Properties!$O:$O,$B17+5),0))</f>
        <v>0</v>
      </c>
      <c r="CX17" s="123" cm="1">
        <f t="array" ref="CX17">INDEX(Properties!$D:$D,$B17+5)*(IF(CX$3=INDEX(Properties!$Q:$Q,$B17+5),INDEX(Properties!$M:$M,$B17+5)+INDEX(Properties!$O:$O,$B17+5),0))</f>
        <v>0</v>
      </c>
      <c r="CY17" s="123" cm="1">
        <f t="array" ref="CY17">INDEX(Properties!$D:$D,$B17+5)*(IF(CY$3=INDEX(Properties!$Q:$Q,$B17+5),INDEX(Properties!$M:$M,$B17+5)+INDEX(Properties!$O:$O,$B17+5),0))</f>
        <v>0</v>
      </c>
      <c r="CZ17" s="123" cm="1">
        <f t="array" ref="CZ17">INDEX(Properties!$D:$D,$B17+5)*(IF(CZ$3=INDEX(Properties!$Q:$Q,$B17+5),INDEX(Properties!$M:$M,$B17+5)+INDEX(Properties!$O:$O,$B17+5),0))</f>
        <v>0</v>
      </c>
      <c r="DA17" s="123" cm="1">
        <f t="array" ref="DA17">INDEX(Properties!$D:$D,$B17+5)*(IF(DA$3=INDEX(Properties!$Q:$Q,$B17+5),INDEX(Properties!$M:$M,$B17+5)+INDEX(Properties!$O:$O,$B17+5),0))</f>
        <v>0</v>
      </c>
      <c r="DB17" s="123" cm="1">
        <f t="array" ref="DB17">INDEX(Properties!$D:$D,$B17+5)*(IF(DB$3=INDEX(Properties!$Q:$Q,$B17+5),INDEX(Properties!$M:$M,$B17+5)+INDEX(Properties!$O:$O,$B17+5),0))</f>
        <v>0</v>
      </c>
      <c r="DC17" s="123" cm="1">
        <f t="array" ref="DC17">INDEX(Properties!$D:$D,$B17+5)*(IF(DC$3=INDEX(Properties!$Q:$Q,$B17+5),INDEX(Properties!$M:$M,$B17+5)+INDEX(Properties!$O:$O,$B17+5),0))</f>
        <v>0</v>
      </c>
      <c r="DD17" s="123" cm="1">
        <f t="array" ref="DD17">INDEX(Properties!$D:$D,$B17+5)*(IF(DD$3=INDEX(Properties!$Q:$Q,$B17+5),INDEX(Properties!$M:$M,$B17+5)+INDEX(Properties!$O:$O,$B17+5),0))</f>
        <v>0</v>
      </c>
      <c r="DE17" s="123" cm="1">
        <f t="array" ref="DE17">INDEX(Properties!$D:$D,$B17+5)*(IF(DE$3=INDEX(Properties!$Q:$Q,$B17+5),INDEX(Properties!$M:$M,$B17+5)+INDEX(Properties!$O:$O,$B17+5),0))</f>
        <v>0</v>
      </c>
      <c r="DF17" s="123" cm="1">
        <f t="array" ref="DF17">INDEX(Properties!$D:$D,$B17+5)*(IF(DF$3=INDEX(Properties!$Q:$Q,$B17+5),INDEX(Properties!$M:$M,$B17+5)+INDEX(Properties!$O:$O,$B17+5),0))</f>
        <v>0</v>
      </c>
      <c r="DG17" s="123" cm="1">
        <f t="array" ref="DG17">INDEX(Properties!$D:$D,$B17+5)*(IF(DG$3=INDEX(Properties!$Q:$Q,$B17+5),INDEX(Properties!$M:$M,$B17+5)+INDEX(Properties!$O:$O,$B17+5),0))</f>
        <v>0</v>
      </c>
      <c r="DH17" s="123" cm="1">
        <f t="array" ref="DH17">INDEX(Properties!$D:$D,$B17+5)*(IF(DH$3=INDEX(Properties!$Q:$Q,$B17+5),INDEX(Properties!$M:$M,$B17+5)+INDEX(Properties!$O:$O,$B17+5),0))</f>
        <v>0</v>
      </c>
      <c r="DI17" s="123" cm="1">
        <f t="array" ref="DI17">INDEX(Properties!$D:$D,$B17+5)*(IF(DI$3=INDEX(Properties!$Q:$Q,$B17+5),INDEX(Properties!$M:$M,$B17+5)+INDEX(Properties!$O:$O,$B17+5),0))</f>
        <v>0</v>
      </c>
      <c r="DJ17" s="123" cm="1">
        <f t="array" ref="DJ17">INDEX(Properties!$D:$D,$B17+5)*(IF(DJ$3=INDEX(Properties!$Q:$Q,$B17+5),INDEX(Properties!$M:$M,$B17+5)+INDEX(Properties!$O:$O,$B17+5),0))</f>
        <v>0</v>
      </c>
      <c r="DK17" s="123" cm="1">
        <f t="array" ref="DK17">INDEX(Properties!$D:$D,$B17+5)*(IF(DK$3=INDEX(Properties!$Q:$Q,$B17+5),INDEX(Properties!$M:$M,$B17+5)+INDEX(Properties!$O:$O,$B17+5),0))</f>
        <v>0</v>
      </c>
      <c r="DL17" s="123" cm="1">
        <f t="array" ref="DL17">INDEX(Properties!$D:$D,$B17+5)*(IF(DL$3=INDEX(Properties!$Q:$Q,$B17+5),INDEX(Properties!$M:$M,$B17+5)+INDEX(Properties!$O:$O,$B17+5),0))</f>
        <v>0</v>
      </c>
      <c r="DM17" s="123" cm="1">
        <f t="array" ref="DM17">INDEX(Properties!$D:$D,$B17+5)*(IF(DM$3=INDEX(Properties!$Q:$Q,$B17+5),INDEX(Properties!$M:$M,$B17+5)+INDEX(Properties!$O:$O,$B17+5),0))</f>
        <v>0</v>
      </c>
      <c r="DN17" s="123" cm="1">
        <f t="array" ref="DN17">INDEX(Properties!$D:$D,$B17+5)*(IF(DN$3=INDEX(Properties!$Q:$Q,$B17+5),INDEX(Properties!$M:$M,$B17+5)+INDEX(Properties!$O:$O,$B17+5),0))</f>
        <v>0</v>
      </c>
      <c r="DO17" s="123" cm="1">
        <f t="array" ref="DO17">INDEX(Properties!$D:$D,$B17+5)*(IF(DO$3=INDEX(Properties!$Q:$Q,$B17+5),INDEX(Properties!$M:$M,$B17+5)+INDEX(Properties!$O:$O,$B17+5),0))</f>
        <v>0</v>
      </c>
      <c r="DP17" s="123" cm="1">
        <f t="array" ref="DP17">INDEX(Properties!$D:$D,$B17+5)*(IF(DP$3=INDEX(Properties!$Q:$Q,$B17+5),INDEX(Properties!$M:$M,$B17+5)+INDEX(Properties!$O:$O,$B17+5),0))</f>
        <v>0</v>
      </c>
      <c r="DQ17" s="123" cm="1">
        <f t="array" ref="DQ17">INDEX(Properties!$D:$D,$B17+5)*(IF(DQ$3=INDEX(Properties!$Q:$Q,$B17+5),INDEX(Properties!$M:$M,$B17+5)+INDEX(Properties!$O:$O,$B17+5),0))</f>
        <v>0</v>
      </c>
      <c r="DR17" s="123" cm="1">
        <f t="array" ref="DR17">INDEX(Properties!$D:$D,$B17+5)*(IF(DR$3=INDEX(Properties!$Q:$Q,$B17+5),INDEX(Properties!$M:$M,$B17+5)+INDEX(Properties!$O:$O,$B17+5),0))</f>
        <v>0</v>
      </c>
    </row>
    <row r="18" spans="1:122" ht="16.05" customHeight="1" x14ac:dyDescent="0.3">
      <c r="A18" s="5" t="s">
        <v>54</v>
      </c>
      <c r="B18" s="1"/>
      <c r="C18" s="243">
        <f t="shared" ref="C18:AH18" si="4">SUM(C8:C17)</f>
        <v>1044902.9126213592</v>
      </c>
      <c r="D18" s="243">
        <f t="shared" si="4"/>
        <v>683333.33333333326</v>
      </c>
      <c r="E18" s="243">
        <f t="shared" si="4"/>
        <v>456108.4142394822</v>
      </c>
      <c r="F18" s="243">
        <f t="shared" si="4"/>
        <v>0</v>
      </c>
      <c r="G18" s="243">
        <f t="shared" si="4"/>
        <v>1326860.8414239481</v>
      </c>
      <c r="H18" s="243">
        <f t="shared" si="4"/>
        <v>0</v>
      </c>
      <c r="I18" s="243">
        <f t="shared" si="4"/>
        <v>0</v>
      </c>
      <c r="J18" s="243">
        <f t="shared" si="4"/>
        <v>1164320.3883495147</v>
      </c>
      <c r="K18" s="243">
        <f t="shared" si="4"/>
        <v>0</v>
      </c>
      <c r="L18" s="243">
        <f t="shared" si="4"/>
        <v>0</v>
      </c>
      <c r="M18" s="243">
        <f t="shared" si="4"/>
        <v>0</v>
      </c>
      <c r="N18" s="243">
        <f t="shared" si="4"/>
        <v>0</v>
      </c>
      <c r="O18" s="243">
        <f t="shared" si="4"/>
        <v>0</v>
      </c>
      <c r="P18" s="243">
        <f t="shared" si="4"/>
        <v>0</v>
      </c>
      <c r="Q18" s="243">
        <f t="shared" si="4"/>
        <v>0</v>
      </c>
      <c r="R18" s="243">
        <f t="shared" si="4"/>
        <v>0</v>
      </c>
      <c r="S18" s="243">
        <f t="shared" si="4"/>
        <v>0</v>
      </c>
      <c r="T18" s="243">
        <f t="shared" si="4"/>
        <v>0</v>
      </c>
      <c r="U18" s="243">
        <f t="shared" si="4"/>
        <v>0</v>
      </c>
      <c r="V18" s="243">
        <f t="shared" si="4"/>
        <v>0</v>
      </c>
      <c r="W18" s="243">
        <f t="shared" si="4"/>
        <v>0</v>
      </c>
      <c r="X18" s="243">
        <f t="shared" si="4"/>
        <v>0</v>
      </c>
      <c r="Y18" s="243">
        <f t="shared" si="4"/>
        <v>0</v>
      </c>
      <c r="Z18" s="243">
        <f t="shared" si="4"/>
        <v>0</v>
      </c>
      <c r="AA18" s="243">
        <f t="shared" si="4"/>
        <v>0</v>
      </c>
      <c r="AB18" s="243">
        <f t="shared" si="4"/>
        <v>0</v>
      </c>
      <c r="AC18" s="243">
        <f t="shared" si="4"/>
        <v>0</v>
      </c>
      <c r="AD18" s="243">
        <f t="shared" si="4"/>
        <v>0</v>
      </c>
      <c r="AE18" s="243">
        <f t="shared" si="4"/>
        <v>0</v>
      </c>
      <c r="AF18" s="243">
        <f t="shared" si="4"/>
        <v>0</v>
      </c>
      <c r="AG18" s="243">
        <f t="shared" si="4"/>
        <v>0</v>
      </c>
      <c r="AH18" s="243">
        <f t="shared" si="4"/>
        <v>0</v>
      </c>
      <c r="AI18" s="243">
        <f t="shared" ref="AI18:BN18" si="5">SUM(AI8:AI17)</f>
        <v>0</v>
      </c>
      <c r="AJ18" s="243">
        <f t="shared" si="5"/>
        <v>0</v>
      </c>
      <c r="AK18" s="243">
        <f t="shared" si="5"/>
        <v>0</v>
      </c>
      <c r="AL18" s="243">
        <f t="shared" si="5"/>
        <v>0</v>
      </c>
      <c r="AM18" s="243">
        <f t="shared" si="5"/>
        <v>0</v>
      </c>
      <c r="AN18" s="243">
        <f t="shared" si="5"/>
        <v>0</v>
      </c>
      <c r="AO18" s="243">
        <f t="shared" si="5"/>
        <v>0</v>
      </c>
      <c r="AP18" s="243">
        <f t="shared" si="5"/>
        <v>0</v>
      </c>
      <c r="AQ18" s="243">
        <f t="shared" si="5"/>
        <v>0</v>
      </c>
      <c r="AR18" s="243">
        <f t="shared" si="5"/>
        <v>0</v>
      </c>
      <c r="AS18" s="243">
        <f t="shared" si="5"/>
        <v>0</v>
      </c>
      <c r="AT18" s="243">
        <f t="shared" si="5"/>
        <v>0</v>
      </c>
      <c r="AU18" s="243">
        <f t="shared" si="5"/>
        <v>0</v>
      </c>
      <c r="AV18" s="243">
        <f t="shared" si="5"/>
        <v>0</v>
      </c>
      <c r="AW18" s="243">
        <f t="shared" si="5"/>
        <v>0</v>
      </c>
      <c r="AX18" s="243">
        <f t="shared" si="5"/>
        <v>0</v>
      </c>
      <c r="AY18" s="243">
        <f t="shared" si="5"/>
        <v>0</v>
      </c>
      <c r="AZ18" s="243">
        <f t="shared" si="5"/>
        <v>0</v>
      </c>
      <c r="BA18" s="243">
        <f t="shared" si="5"/>
        <v>0</v>
      </c>
      <c r="BB18" s="243">
        <f t="shared" si="5"/>
        <v>0</v>
      </c>
      <c r="BC18" s="243">
        <f t="shared" si="5"/>
        <v>0</v>
      </c>
      <c r="BD18" s="243">
        <f t="shared" si="5"/>
        <v>0</v>
      </c>
      <c r="BE18" s="243">
        <f t="shared" si="5"/>
        <v>0</v>
      </c>
      <c r="BF18" s="243">
        <f t="shared" si="5"/>
        <v>0</v>
      </c>
      <c r="BG18" s="243">
        <f t="shared" si="5"/>
        <v>0</v>
      </c>
      <c r="BH18" s="243">
        <f t="shared" si="5"/>
        <v>0</v>
      </c>
      <c r="BI18" s="243">
        <f t="shared" si="5"/>
        <v>0</v>
      </c>
      <c r="BJ18" s="243">
        <f t="shared" si="5"/>
        <v>0</v>
      </c>
      <c r="BK18" s="243">
        <f t="shared" si="5"/>
        <v>0</v>
      </c>
      <c r="BL18" s="243">
        <f t="shared" si="5"/>
        <v>0</v>
      </c>
      <c r="BM18" s="243">
        <f t="shared" si="5"/>
        <v>0</v>
      </c>
      <c r="BN18" s="243">
        <f t="shared" si="5"/>
        <v>0</v>
      </c>
      <c r="BO18" s="243">
        <f t="shared" ref="BO18:CT18" si="6">SUM(BO8:BO17)</f>
        <v>0</v>
      </c>
      <c r="BP18" s="243">
        <f t="shared" si="6"/>
        <v>0</v>
      </c>
      <c r="BQ18" s="243">
        <f t="shared" si="6"/>
        <v>0</v>
      </c>
      <c r="BR18" s="243">
        <f t="shared" si="6"/>
        <v>0</v>
      </c>
      <c r="BS18" s="243">
        <f t="shared" si="6"/>
        <v>0</v>
      </c>
      <c r="BT18" s="243">
        <f t="shared" si="6"/>
        <v>0</v>
      </c>
      <c r="BU18" s="243">
        <f t="shared" si="6"/>
        <v>0</v>
      </c>
      <c r="BV18" s="243">
        <f t="shared" si="6"/>
        <v>0</v>
      </c>
      <c r="BW18" s="243">
        <f t="shared" si="6"/>
        <v>0</v>
      </c>
      <c r="BX18" s="243">
        <f t="shared" si="6"/>
        <v>0</v>
      </c>
      <c r="BY18" s="243">
        <f t="shared" si="6"/>
        <v>0</v>
      </c>
      <c r="BZ18" s="243">
        <f t="shared" si="6"/>
        <v>0</v>
      </c>
      <c r="CA18" s="243">
        <f t="shared" si="6"/>
        <v>0</v>
      </c>
      <c r="CB18" s="243">
        <f t="shared" si="6"/>
        <v>0</v>
      </c>
      <c r="CC18" s="243">
        <f t="shared" si="6"/>
        <v>0</v>
      </c>
      <c r="CD18" s="243">
        <f t="shared" si="6"/>
        <v>0</v>
      </c>
      <c r="CE18" s="243">
        <f t="shared" si="6"/>
        <v>0</v>
      </c>
      <c r="CF18" s="243">
        <f t="shared" si="6"/>
        <v>0</v>
      </c>
      <c r="CG18" s="243">
        <f t="shared" si="6"/>
        <v>0</v>
      </c>
      <c r="CH18" s="243">
        <f t="shared" si="6"/>
        <v>0</v>
      </c>
      <c r="CI18" s="243">
        <f t="shared" si="6"/>
        <v>0</v>
      </c>
      <c r="CJ18" s="243">
        <f t="shared" si="6"/>
        <v>0</v>
      </c>
      <c r="CK18" s="243">
        <f t="shared" si="6"/>
        <v>0</v>
      </c>
      <c r="CL18" s="243">
        <f t="shared" si="6"/>
        <v>0</v>
      </c>
      <c r="CM18" s="243">
        <f t="shared" si="6"/>
        <v>0</v>
      </c>
      <c r="CN18" s="243">
        <f t="shared" si="6"/>
        <v>0</v>
      </c>
      <c r="CO18" s="243">
        <f t="shared" si="6"/>
        <v>0</v>
      </c>
      <c r="CP18" s="243">
        <f t="shared" si="6"/>
        <v>0</v>
      </c>
      <c r="CQ18" s="243">
        <f t="shared" si="6"/>
        <v>0</v>
      </c>
      <c r="CR18" s="243">
        <f t="shared" si="6"/>
        <v>0</v>
      </c>
      <c r="CS18" s="243">
        <f t="shared" si="6"/>
        <v>0</v>
      </c>
      <c r="CT18" s="243">
        <f t="shared" si="6"/>
        <v>0</v>
      </c>
      <c r="CU18" s="243">
        <f t="shared" ref="CU18:DR18" si="7">SUM(CU8:CU17)</f>
        <v>0</v>
      </c>
      <c r="CV18" s="243">
        <f t="shared" si="7"/>
        <v>0</v>
      </c>
      <c r="CW18" s="243">
        <f t="shared" si="7"/>
        <v>0</v>
      </c>
      <c r="CX18" s="243">
        <f t="shared" si="7"/>
        <v>0</v>
      </c>
      <c r="CY18" s="243">
        <f t="shared" si="7"/>
        <v>0</v>
      </c>
      <c r="CZ18" s="243">
        <f t="shared" si="7"/>
        <v>0</v>
      </c>
      <c r="DA18" s="243">
        <f t="shared" si="7"/>
        <v>0</v>
      </c>
      <c r="DB18" s="243">
        <f t="shared" si="7"/>
        <v>0</v>
      </c>
      <c r="DC18" s="243">
        <f t="shared" si="7"/>
        <v>0</v>
      </c>
      <c r="DD18" s="243">
        <f t="shared" si="7"/>
        <v>0</v>
      </c>
      <c r="DE18" s="243">
        <f t="shared" si="7"/>
        <v>0</v>
      </c>
      <c r="DF18" s="243">
        <f t="shared" si="7"/>
        <v>0</v>
      </c>
      <c r="DG18" s="243">
        <f t="shared" si="7"/>
        <v>0</v>
      </c>
      <c r="DH18" s="243">
        <f t="shared" si="7"/>
        <v>0</v>
      </c>
      <c r="DI18" s="243">
        <f t="shared" si="7"/>
        <v>0</v>
      </c>
      <c r="DJ18" s="243">
        <f t="shared" si="7"/>
        <v>0</v>
      </c>
      <c r="DK18" s="243">
        <f t="shared" si="7"/>
        <v>0</v>
      </c>
      <c r="DL18" s="243">
        <f t="shared" si="7"/>
        <v>0</v>
      </c>
      <c r="DM18" s="243">
        <f t="shared" si="7"/>
        <v>0</v>
      </c>
      <c r="DN18" s="243">
        <f t="shared" si="7"/>
        <v>0</v>
      </c>
      <c r="DO18" s="243">
        <f t="shared" si="7"/>
        <v>0</v>
      </c>
      <c r="DP18" s="243">
        <f t="shared" si="7"/>
        <v>0</v>
      </c>
      <c r="DQ18" s="243">
        <f t="shared" si="7"/>
        <v>0</v>
      </c>
      <c r="DR18" s="243">
        <f t="shared" si="7"/>
        <v>0</v>
      </c>
    </row>
    <row r="19" spans="1:122" ht="16.05" customHeight="1" x14ac:dyDescent="0.3">
      <c r="A19" s="1"/>
      <c r="B19" s="1"/>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row>
    <row r="20" spans="1:122" ht="19.95" customHeight="1" x14ac:dyDescent="0.3">
      <c r="A20" s="3" t="s">
        <v>55</v>
      </c>
      <c r="B20" s="3"/>
      <c r="C20" s="244"/>
      <c r="D20" s="244"/>
      <c r="E20" s="244"/>
      <c r="F20" s="244"/>
      <c r="G20" s="244"/>
      <c r="H20" s="244"/>
      <c r="I20" s="244"/>
      <c r="J20" s="244"/>
      <c r="K20" s="244"/>
      <c r="L20" s="244"/>
      <c r="M20" s="244"/>
      <c r="N20" s="244"/>
      <c r="O20" s="244"/>
      <c r="P20" s="244"/>
      <c r="Q20" s="244"/>
      <c r="R20" s="244"/>
      <c r="S20" s="244"/>
      <c r="T20" s="244"/>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c r="CN20" s="244"/>
      <c r="CO20" s="244"/>
      <c r="CP20" s="244"/>
      <c r="CQ20" s="244"/>
      <c r="CR20" s="244"/>
      <c r="CS20" s="244"/>
      <c r="CT20" s="244"/>
      <c r="CU20" s="244"/>
      <c r="CV20" s="244"/>
      <c r="CW20" s="244"/>
      <c r="CX20" s="244"/>
      <c r="CY20" s="244"/>
      <c r="CZ20" s="244"/>
      <c r="DA20" s="244"/>
      <c r="DB20" s="244"/>
      <c r="DC20" s="244"/>
      <c r="DD20" s="244"/>
      <c r="DE20" s="244"/>
      <c r="DF20" s="244"/>
      <c r="DG20" s="244"/>
      <c r="DH20" s="244"/>
      <c r="DI20" s="244"/>
      <c r="DJ20" s="244"/>
      <c r="DK20" s="244"/>
      <c r="DL20" s="244"/>
      <c r="DM20" s="244"/>
      <c r="DN20" s="244"/>
      <c r="DO20" s="244"/>
      <c r="DP20" s="244"/>
      <c r="DQ20" s="244"/>
      <c r="DR20" s="244"/>
    </row>
    <row r="21" spans="1:122" ht="16.05" customHeight="1" x14ac:dyDescent="0.3">
      <c r="A21" s="148" t="str" cm="1">
        <f t="array" ref="A21">INDEX(Properties!$E:$E,$B21+5)</f>
        <v>Aires de Campestre Apto 801 (Penthouse)</v>
      </c>
      <c r="B21" s="1">
        <v>1</v>
      </c>
      <c r="C21" s="123" cm="1">
        <f t="array" ref="C21">INDEX(Properties!$D:$D,$B21+5)*(IF(AND(C$3&gt;=INDEX(Properties!$Q:$Q,$B21+5),C$3&lt;INDEX(Properties!$T:$T,$B21+5)),INDEX(Properties!$N:$N,$B21+5)/INDEX(Properties!$R:$R,$B21+5),0))</f>
        <v>0</v>
      </c>
      <c r="D21" s="123" cm="1">
        <f t="array" ref="D21">INDEX(Properties!$D:$D,$B21+5)*(IF(AND(D$3&gt;=INDEX(Properties!$Q:$Q,$B21+5),D$3&lt;INDEX(Properties!$T:$T,$B21+5)),INDEX(Properties!$N:$N,$B21+5)/INDEX(Properties!$R:$R,$B21+5),0))</f>
        <v>80906.14886731391</v>
      </c>
      <c r="E21" s="123" cm="1">
        <f t="array" ref="E21">INDEX(Properties!$D:$D,$B21+5)*(IF(AND(E$3&gt;=INDEX(Properties!$Q:$Q,$B21+5),E$3&lt;INDEX(Properties!$T:$T,$B21+5)),INDEX(Properties!$N:$N,$B21+5)/INDEX(Properties!$R:$R,$B21+5),0))</f>
        <v>80906.14886731391</v>
      </c>
      <c r="F21" s="123" cm="1">
        <f t="array" ref="F21">INDEX(Properties!$D:$D,$B21+5)*(IF(AND(F$3&gt;=INDEX(Properties!$Q:$Q,$B21+5),F$3&lt;INDEX(Properties!$T:$T,$B21+5)),INDEX(Properties!$N:$N,$B21+5)/INDEX(Properties!$R:$R,$B21+5),0))</f>
        <v>80906.14886731391</v>
      </c>
      <c r="G21" s="123" cm="1">
        <f t="array" ref="G21">INDEX(Properties!$D:$D,$B21+5)*(IF(AND(G$3&gt;=INDEX(Properties!$Q:$Q,$B21+5),G$3&lt;INDEX(Properties!$T:$T,$B21+5)),INDEX(Properties!$N:$N,$B21+5)/INDEX(Properties!$R:$R,$B21+5),0))</f>
        <v>80906.14886731391</v>
      </c>
      <c r="H21" s="123" cm="1">
        <f t="array" ref="H21">INDEX(Properties!$D:$D,$B21+5)*(IF(AND(H$3&gt;=INDEX(Properties!$Q:$Q,$B21+5),H$3&lt;INDEX(Properties!$T:$T,$B21+5)),INDEX(Properties!$N:$N,$B21+5)/INDEX(Properties!$R:$R,$B21+5),0))</f>
        <v>80906.14886731391</v>
      </c>
      <c r="I21" s="123" cm="1">
        <f t="array" ref="I21">INDEX(Properties!$D:$D,$B21+5)*(IF(AND(I$3&gt;=INDEX(Properties!$Q:$Q,$B21+5),I$3&lt;INDEX(Properties!$T:$T,$B21+5)),INDEX(Properties!$N:$N,$B21+5)/INDEX(Properties!$R:$R,$B21+5),0))</f>
        <v>80906.14886731391</v>
      </c>
      <c r="J21" s="123" cm="1">
        <f t="array" ref="J21">INDEX(Properties!$D:$D,$B21+5)*(IF(AND(J$3&gt;=INDEX(Properties!$Q:$Q,$B21+5),J$3&lt;INDEX(Properties!$T:$T,$B21+5)),INDEX(Properties!$N:$N,$B21+5)/INDEX(Properties!$R:$R,$B21+5),0))</f>
        <v>0</v>
      </c>
      <c r="K21" s="123" cm="1">
        <f t="array" ref="K21">INDEX(Properties!$D:$D,$B21+5)*(IF(AND(K$3&gt;=INDEX(Properties!$Q:$Q,$B21+5),K$3&lt;INDEX(Properties!$T:$T,$B21+5)),INDEX(Properties!$N:$N,$B21+5)/INDEX(Properties!$R:$R,$B21+5),0))</f>
        <v>0</v>
      </c>
      <c r="L21" s="123" cm="1">
        <f t="array" ref="L21">INDEX(Properties!$D:$D,$B21+5)*(IF(AND(L$3&gt;=INDEX(Properties!$Q:$Q,$B21+5),L$3&lt;INDEX(Properties!$T:$T,$B21+5)),INDEX(Properties!$N:$N,$B21+5)/INDEX(Properties!$R:$R,$B21+5),0))</f>
        <v>0</v>
      </c>
      <c r="M21" s="123" cm="1">
        <f t="array" ref="M21">INDEX(Properties!$D:$D,$B21+5)*(IF(AND(M$3&gt;=INDEX(Properties!$Q:$Q,$B21+5),M$3&lt;INDEX(Properties!$T:$T,$B21+5)),INDEX(Properties!$N:$N,$B21+5)/INDEX(Properties!$R:$R,$B21+5),0))</f>
        <v>0</v>
      </c>
      <c r="N21" s="123" cm="1">
        <f t="array" ref="N21">INDEX(Properties!$D:$D,$B21+5)*(IF(AND(N$3&gt;=INDEX(Properties!$Q:$Q,$B21+5),N$3&lt;INDEX(Properties!$T:$T,$B21+5)),INDEX(Properties!$N:$N,$B21+5)/INDEX(Properties!$R:$R,$B21+5),0))</f>
        <v>0</v>
      </c>
      <c r="O21" s="123" cm="1">
        <f t="array" ref="O21">INDEX(Properties!$D:$D,$B21+5)*(IF(AND(O$3&gt;=INDEX(Properties!$Q:$Q,$B21+5),O$3&lt;INDEX(Properties!$T:$T,$B21+5)),INDEX(Properties!$N:$N,$B21+5)/INDEX(Properties!$R:$R,$B21+5),0))</f>
        <v>0</v>
      </c>
      <c r="P21" s="123" cm="1">
        <f t="array" ref="P21">INDEX(Properties!$D:$D,$B21+5)*(IF(AND(P$3&gt;=INDEX(Properties!$Q:$Q,$B21+5),P$3&lt;INDEX(Properties!$T:$T,$B21+5)),INDEX(Properties!$N:$N,$B21+5)/INDEX(Properties!$R:$R,$B21+5),0))</f>
        <v>0</v>
      </c>
      <c r="Q21" s="123" cm="1">
        <f t="array" ref="Q21">INDEX(Properties!$D:$D,$B21+5)*(IF(AND(Q$3&gt;=INDEX(Properties!$Q:$Q,$B21+5),Q$3&lt;INDEX(Properties!$T:$T,$B21+5)),INDEX(Properties!$N:$N,$B21+5)/INDEX(Properties!$R:$R,$B21+5),0))</f>
        <v>0</v>
      </c>
      <c r="R21" s="123" cm="1">
        <f t="array" ref="R21">INDEX(Properties!$D:$D,$B21+5)*(IF(AND(R$3&gt;=INDEX(Properties!$Q:$Q,$B21+5),R$3&lt;INDEX(Properties!$T:$T,$B21+5)),INDEX(Properties!$N:$N,$B21+5)/INDEX(Properties!$R:$R,$B21+5),0))</f>
        <v>0</v>
      </c>
      <c r="S21" s="123" cm="1">
        <f t="array" ref="S21">INDEX(Properties!$D:$D,$B21+5)*(IF(AND(S$3&gt;=INDEX(Properties!$Q:$Q,$B21+5),S$3&lt;INDEX(Properties!$T:$T,$B21+5)),INDEX(Properties!$N:$N,$B21+5)/INDEX(Properties!$R:$R,$B21+5),0))</f>
        <v>0</v>
      </c>
      <c r="T21" s="123" cm="1">
        <f t="array" ref="T21">INDEX(Properties!$D:$D,$B21+5)*(IF(AND(T$3&gt;=INDEX(Properties!$Q:$Q,$B21+5),T$3&lt;INDEX(Properties!$T:$T,$B21+5)),INDEX(Properties!$N:$N,$B21+5)/INDEX(Properties!$R:$R,$B21+5),0))</f>
        <v>0</v>
      </c>
      <c r="U21" s="123" cm="1">
        <f t="array" ref="U21">INDEX(Properties!$D:$D,$B21+5)*(IF(AND(U$3&gt;=INDEX(Properties!$Q:$Q,$B21+5),U$3&lt;INDEX(Properties!$T:$T,$B21+5)),INDEX(Properties!$N:$N,$B21+5)/INDEX(Properties!$R:$R,$B21+5),0))</f>
        <v>0</v>
      </c>
      <c r="V21" s="123" cm="1">
        <f t="array" ref="V21">INDEX(Properties!$D:$D,$B21+5)*(IF(AND(V$3&gt;=INDEX(Properties!$Q:$Q,$B21+5),V$3&lt;INDEX(Properties!$T:$T,$B21+5)),INDEX(Properties!$N:$N,$B21+5)/INDEX(Properties!$R:$R,$B21+5),0))</f>
        <v>0</v>
      </c>
      <c r="W21" s="123" cm="1">
        <f t="array" ref="W21">INDEX(Properties!$D:$D,$B21+5)*(IF(AND(W$3&gt;=INDEX(Properties!$Q:$Q,$B21+5),W$3&lt;INDEX(Properties!$T:$T,$B21+5)),INDEX(Properties!$N:$N,$B21+5)/INDEX(Properties!$R:$R,$B21+5),0))</f>
        <v>0</v>
      </c>
      <c r="X21" s="123" cm="1">
        <f t="array" ref="X21">INDEX(Properties!$D:$D,$B21+5)*(IF(AND(X$3&gt;=INDEX(Properties!$Q:$Q,$B21+5),X$3&lt;INDEX(Properties!$T:$T,$B21+5)),INDEX(Properties!$N:$N,$B21+5)/INDEX(Properties!$R:$R,$B21+5),0))</f>
        <v>0</v>
      </c>
      <c r="Y21" s="123" cm="1">
        <f t="array" ref="Y21">INDEX(Properties!$D:$D,$B21+5)*(IF(AND(Y$3&gt;=INDEX(Properties!$Q:$Q,$B21+5),Y$3&lt;INDEX(Properties!$T:$T,$B21+5)),INDEX(Properties!$N:$N,$B21+5)/INDEX(Properties!$R:$R,$B21+5),0))</f>
        <v>0</v>
      </c>
      <c r="Z21" s="123" cm="1">
        <f t="array" ref="Z21">INDEX(Properties!$D:$D,$B21+5)*(IF(AND(Z$3&gt;=INDEX(Properties!$Q:$Q,$B21+5),Z$3&lt;INDEX(Properties!$T:$T,$B21+5)),INDEX(Properties!$N:$N,$B21+5)/INDEX(Properties!$R:$R,$B21+5),0))</f>
        <v>0</v>
      </c>
      <c r="AA21" s="123" cm="1">
        <f t="array" ref="AA21">INDEX(Properties!$D:$D,$B21+5)*(IF(AND(AA$3&gt;=INDEX(Properties!$Q:$Q,$B21+5),AA$3&lt;INDEX(Properties!$T:$T,$B21+5)),INDEX(Properties!$N:$N,$B21+5)/INDEX(Properties!$R:$R,$B21+5),0))</f>
        <v>0</v>
      </c>
      <c r="AB21" s="123" cm="1">
        <f t="array" ref="AB21">INDEX(Properties!$D:$D,$B21+5)*(IF(AND(AB$3&gt;=INDEX(Properties!$Q:$Q,$B21+5),AB$3&lt;INDEX(Properties!$T:$T,$B21+5)),INDEX(Properties!$N:$N,$B21+5)/INDEX(Properties!$R:$R,$B21+5),0))</f>
        <v>0</v>
      </c>
      <c r="AC21" s="123" cm="1">
        <f t="array" ref="AC21">INDEX(Properties!$D:$D,$B21+5)*(IF(AND(AC$3&gt;=INDEX(Properties!$Q:$Q,$B21+5),AC$3&lt;INDEX(Properties!$T:$T,$B21+5)),INDEX(Properties!$N:$N,$B21+5)/INDEX(Properties!$R:$R,$B21+5),0))</f>
        <v>0</v>
      </c>
      <c r="AD21" s="123" cm="1">
        <f t="array" ref="AD21">INDEX(Properties!$D:$D,$B21+5)*(IF(AND(AD$3&gt;=INDEX(Properties!$Q:$Q,$B21+5),AD$3&lt;INDEX(Properties!$T:$T,$B21+5)),INDEX(Properties!$N:$N,$B21+5)/INDEX(Properties!$R:$R,$B21+5),0))</f>
        <v>0</v>
      </c>
      <c r="AE21" s="123" cm="1">
        <f t="array" ref="AE21">INDEX(Properties!$D:$D,$B21+5)*(IF(AND(AE$3&gt;=INDEX(Properties!$Q:$Q,$B21+5),AE$3&lt;INDEX(Properties!$T:$T,$B21+5)),INDEX(Properties!$N:$N,$B21+5)/INDEX(Properties!$R:$R,$B21+5),0))</f>
        <v>0</v>
      </c>
      <c r="AF21" s="123" cm="1">
        <f t="array" ref="AF21">INDEX(Properties!$D:$D,$B21+5)*(IF(AND(AF$3&gt;=INDEX(Properties!$Q:$Q,$B21+5),AF$3&lt;INDEX(Properties!$T:$T,$B21+5)),INDEX(Properties!$N:$N,$B21+5)/INDEX(Properties!$R:$R,$B21+5),0))</f>
        <v>0</v>
      </c>
      <c r="AG21" s="123" cm="1">
        <f t="array" ref="AG21">INDEX(Properties!$D:$D,$B21+5)*(IF(AND(AG$3&gt;=INDEX(Properties!$Q:$Q,$B21+5),AG$3&lt;INDEX(Properties!$T:$T,$B21+5)),INDEX(Properties!$N:$N,$B21+5)/INDEX(Properties!$R:$R,$B21+5),0))</f>
        <v>0</v>
      </c>
      <c r="AH21" s="123" cm="1">
        <f t="array" ref="AH21">INDEX(Properties!$D:$D,$B21+5)*(IF(AND(AH$3&gt;=INDEX(Properties!$Q:$Q,$B21+5),AH$3&lt;INDEX(Properties!$T:$T,$B21+5)),INDEX(Properties!$N:$N,$B21+5)/INDEX(Properties!$R:$R,$B21+5),0))</f>
        <v>0</v>
      </c>
      <c r="AI21" s="123" cm="1">
        <f t="array" ref="AI21">INDEX(Properties!$D:$D,$B21+5)*(IF(AND(AI$3&gt;=INDEX(Properties!$Q:$Q,$B21+5),AI$3&lt;INDEX(Properties!$T:$T,$B21+5)),INDEX(Properties!$N:$N,$B21+5)/INDEX(Properties!$R:$R,$B21+5),0))</f>
        <v>0</v>
      </c>
      <c r="AJ21" s="123" cm="1">
        <f t="array" ref="AJ21">INDEX(Properties!$D:$D,$B21+5)*(IF(AND(AJ$3&gt;=INDEX(Properties!$Q:$Q,$B21+5),AJ$3&lt;INDEX(Properties!$T:$T,$B21+5)),INDEX(Properties!$N:$N,$B21+5)/INDEX(Properties!$R:$R,$B21+5),0))</f>
        <v>0</v>
      </c>
      <c r="AK21" s="123" cm="1">
        <f t="array" ref="AK21">INDEX(Properties!$D:$D,$B21+5)*(IF(AND(AK$3&gt;=INDEX(Properties!$Q:$Q,$B21+5),AK$3&lt;INDEX(Properties!$T:$T,$B21+5)),INDEX(Properties!$N:$N,$B21+5)/INDEX(Properties!$R:$R,$B21+5),0))</f>
        <v>0</v>
      </c>
      <c r="AL21" s="123" cm="1">
        <f t="array" ref="AL21">INDEX(Properties!$D:$D,$B21+5)*(IF(AND(AL$3&gt;=INDEX(Properties!$Q:$Q,$B21+5),AL$3&lt;INDEX(Properties!$T:$T,$B21+5)),INDEX(Properties!$N:$N,$B21+5)/INDEX(Properties!$R:$R,$B21+5),0))</f>
        <v>0</v>
      </c>
      <c r="AM21" s="123" cm="1">
        <f t="array" ref="AM21">INDEX(Properties!$D:$D,$B21+5)*(IF(AND(AM$3&gt;=INDEX(Properties!$Q:$Q,$B21+5),AM$3&lt;INDEX(Properties!$T:$T,$B21+5)),INDEX(Properties!$N:$N,$B21+5)/INDEX(Properties!$R:$R,$B21+5),0))</f>
        <v>0</v>
      </c>
      <c r="AN21" s="123" cm="1">
        <f t="array" ref="AN21">INDEX(Properties!$D:$D,$B21+5)*(IF(AND(AN$3&gt;=INDEX(Properties!$Q:$Q,$B21+5),AN$3&lt;INDEX(Properties!$T:$T,$B21+5)),INDEX(Properties!$N:$N,$B21+5)/INDEX(Properties!$R:$R,$B21+5),0))</f>
        <v>0</v>
      </c>
      <c r="AO21" s="123" cm="1">
        <f t="array" ref="AO21">INDEX(Properties!$D:$D,$B21+5)*(IF(AND(AO$3&gt;=INDEX(Properties!$Q:$Q,$B21+5),AO$3&lt;INDEX(Properties!$T:$T,$B21+5)),INDEX(Properties!$N:$N,$B21+5)/INDEX(Properties!$R:$R,$B21+5),0))</f>
        <v>0</v>
      </c>
      <c r="AP21" s="123" cm="1">
        <f t="array" ref="AP21">INDEX(Properties!$D:$D,$B21+5)*(IF(AND(AP$3&gt;=INDEX(Properties!$Q:$Q,$B21+5),AP$3&lt;INDEX(Properties!$T:$T,$B21+5)),INDEX(Properties!$N:$N,$B21+5)/INDEX(Properties!$R:$R,$B21+5),0))</f>
        <v>0</v>
      </c>
      <c r="AQ21" s="123" cm="1">
        <f t="array" ref="AQ21">INDEX(Properties!$D:$D,$B21+5)*(IF(AND(AQ$3&gt;=INDEX(Properties!$Q:$Q,$B21+5),AQ$3&lt;INDEX(Properties!$T:$T,$B21+5)),INDEX(Properties!$N:$N,$B21+5)/INDEX(Properties!$R:$R,$B21+5),0))</f>
        <v>0</v>
      </c>
      <c r="AR21" s="123" cm="1">
        <f t="array" ref="AR21">INDEX(Properties!$D:$D,$B21+5)*(IF(AND(AR$3&gt;=INDEX(Properties!$Q:$Q,$B21+5),AR$3&lt;INDEX(Properties!$T:$T,$B21+5)),INDEX(Properties!$N:$N,$B21+5)/INDEX(Properties!$R:$R,$B21+5),0))</f>
        <v>0</v>
      </c>
      <c r="AS21" s="123" cm="1">
        <f t="array" ref="AS21">INDEX(Properties!$D:$D,$B21+5)*(IF(AND(AS$3&gt;=INDEX(Properties!$Q:$Q,$B21+5),AS$3&lt;INDEX(Properties!$T:$T,$B21+5)),INDEX(Properties!$N:$N,$B21+5)/INDEX(Properties!$R:$R,$B21+5),0))</f>
        <v>0</v>
      </c>
      <c r="AT21" s="123" cm="1">
        <f t="array" ref="AT21">INDEX(Properties!$D:$D,$B21+5)*(IF(AND(AT$3&gt;=INDEX(Properties!$Q:$Q,$B21+5),AT$3&lt;INDEX(Properties!$T:$T,$B21+5)),INDEX(Properties!$N:$N,$B21+5)/INDEX(Properties!$R:$R,$B21+5),0))</f>
        <v>0</v>
      </c>
      <c r="AU21" s="123" cm="1">
        <f t="array" ref="AU21">INDEX(Properties!$D:$D,$B21+5)*(IF(AND(AU$3&gt;=INDEX(Properties!$Q:$Q,$B21+5),AU$3&lt;INDEX(Properties!$T:$T,$B21+5)),INDEX(Properties!$N:$N,$B21+5)/INDEX(Properties!$R:$R,$B21+5),0))</f>
        <v>0</v>
      </c>
      <c r="AV21" s="123" cm="1">
        <f t="array" ref="AV21">INDEX(Properties!$D:$D,$B21+5)*(IF(AND(AV$3&gt;=INDEX(Properties!$Q:$Q,$B21+5),AV$3&lt;INDEX(Properties!$T:$T,$B21+5)),INDEX(Properties!$N:$N,$B21+5)/INDEX(Properties!$R:$R,$B21+5),0))</f>
        <v>0</v>
      </c>
      <c r="AW21" s="123" cm="1">
        <f t="array" ref="AW21">INDEX(Properties!$D:$D,$B21+5)*(IF(AND(AW$3&gt;=INDEX(Properties!$Q:$Q,$B21+5),AW$3&lt;INDEX(Properties!$T:$T,$B21+5)),INDEX(Properties!$N:$N,$B21+5)/INDEX(Properties!$R:$R,$B21+5),0))</f>
        <v>0</v>
      </c>
      <c r="AX21" s="123" cm="1">
        <f t="array" ref="AX21">INDEX(Properties!$D:$D,$B21+5)*(IF(AND(AX$3&gt;=INDEX(Properties!$Q:$Q,$B21+5),AX$3&lt;INDEX(Properties!$T:$T,$B21+5)),INDEX(Properties!$N:$N,$B21+5)/INDEX(Properties!$R:$R,$B21+5),0))</f>
        <v>0</v>
      </c>
      <c r="AY21" s="123" cm="1">
        <f t="array" ref="AY21">INDEX(Properties!$D:$D,$B21+5)*(IF(AND(AY$3&gt;=INDEX(Properties!$Q:$Q,$B21+5),AY$3&lt;INDEX(Properties!$T:$T,$B21+5)),INDEX(Properties!$N:$N,$B21+5)/INDEX(Properties!$R:$R,$B21+5),0))</f>
        <v>0</v>
      </c>
      <c r="AZ21" s="123" cm="1">
        <f t="array" ref="AZ21">INDEX(Properties!$D:$D,$B21+5)*(IF(AND(AZ$3&gt;=INDEX(Properties!$Q:$Q,$B21+5),AZ$3&lt;INDEX(Properties!$T:$T,$B21+5)),INDEX(Properties!$N:$N,$B21+5)/INDEX(Properties!$R:$R,$B21+5),0))</f>
        <v>0</v>
      </c>
      <c r="BA21" s="123" cm="1">
        <f t="array" ref="BA21">INDEX(Properties!$D:$D,$B21+5)*(IF(AND(BA$3&gt;=INDEX(Properties!$Q:$Q,$B21+5),BA$3&lt;INDEX(Properties!$T:$T,$B21+5)),INDEX(Properties!$N:$N,$B21+5)/INDEX(Properties!$R:$R,$B21+5),0))</f>
        <v>0</v>
      </c>
      <c r="BB21" s="123" cm="1">
        <f t="array" ref="BB21">INDEX(Properties!$D:$D,$B21+5)*(IF(AND(BB$3&gt;=INDEX(Properties!$Q:$Q,$B21+5),BB$3&lt;INDEX(Properties!$T:$T,$B21+5)),INDEX(Properties!$N:$N,$B21+5)/INDEX(Properties!$R:$R,$B21+5),0))</f>
        <v>0</v>
      </c>
      <c r="BC21" s="123" cm="1">
        <f t="array" ref="BC21">INDEX(Properties!$D:$D,$B21+5)*(IF(AND(BC$3&gt;=INDEX(Properties!$Q:$Q,$B21+5),BC$3&lt;INDEX(Properties!$T:$T,$B21+5)),INDEX(Properties!$N:$N,$B21+5)/INDEX(Properties!$R:$R,$B21+5),0))</f>
        <v>0</v>
      </c>
      <c r="BD21" s="123" cm="1">
        <f t="array" ref="BD21">INDEX(Properties!$D:$D,$B21+5)*(IF(AND(BD$3&gt;=INDEX(Properties!$Q:$Q,$B21+5),BD$3&lt;INDEX(Properties!$T:$T,$B21+5)),INDEX(Properties!$N:$N,$B21+5)/INDEX(Properties!$R:$R,$B21+5),0))</f>
        <v>0</v>
      </c>
      <c r="BE21" s="123" cm="1">
        <f t="array" ref="BE21">INDEX(Properties!$D:$D,$B21+5)*(IF(AND(BE$3&gt;=INDEX(Properties!$Q:$Q,$B21+5),BE$3&lt;INDEX(Properties!$T:$T,$B21+5)),INDEX(Properties!$N:$N,$B21+5)/INDEX(Properties!$R:$R,$B21+5),0))</f>
        <v>0</v>
      </c>
      <c r="BF21" s="123" cm="1">
        <f t="array" ref="BF21">INDEX(Properties!$D:$D,$B21+5)*(IF(AND(BF$3&gt;=INDEX(Properties!$Q:$Q,$B21+5),BF$3&lt;INDEX(Properties!$T:$T,$B21+5)),INDEX(Properties!$N:$N,$B21+5)/INDEX(Properties!$R:$R,$B21+5),0))</f>
        <v>0</v>
      </c>
      <c r="BG21" s="123" cm="1">
        <f t="array" ref="BG21">INDEX(Properties!$D:$D,$B21+5)*(IF(AND(BG$3&gt;=INDEX(Properties!$Q:$Q,$B21+5),BG$3&lt;INDEX(Properties!$T:$T,$B21+5)),INDEX(Properties!$N:$N,$B21+5)/INDEX(Properties!$R:$R,$B21+5),0))</f>
        <v>0</v>
      </c>
      <c r="BH21" s="123" cm="1">
        <f t="array" ref="BH21">INDEX(Properties!$D:$D,$B21+5)*(IF(AND(BH$3&gt;=INDEX(Properties!$Q:$Q,$B21+5),BH$3&lt;INDEX(Properties!$T:$T,$B21+5)),INDEX(Properties!$N:$N,$B21+5)/INDEX(Properties!$R:$R,$B21+5),0))</f>
        <v>0</v>
      </c>
      <c r="BI21" s="123" cm="1">
        <f t="array" ref="BI21">INDEX(Properties!$D:$D,$B21+5)*(IF(AND(BI$3&gt;=INDEX(Properties!$Q:$Q,$B21+5),BI$3&lt;INDEX(Properties!$T:$T,$B21+5)),INDEX(Properties!$N:$N,$B21+5)/INDEX(Properties!$R:$R,$B21+5),0))</f>
        <v>0</v>
      </c>
      <c r="BJ21" s="123" cm="1">
        <f t="array" ref="BJ21">INDEX(Properties!$D:$D,$B21+5)*(IF(AND(BJ$3&gt;=INDEX(Properties!$Q:$Q,$B21+5),BJ$3&lt;INDEX(Properties!$T:$T,$B21+5)),INDEX(Properties!$N:$N,$B21+5)/INDEX(Properties!$R:$R,$B21+5),0))</f>
        <v>0</v>
      </c>
      <c r="BK21" s="123" cm="1">
        <f t="array" ref="BK21">INDEX(Properties!$D:$D,$B21+5)*(IF(AND(BK$3&gt;=INDEX(Properties!$Q:$Q,$B21+5),BK$3&lt;INDEX(Properties!$T:$T,$B21+5)),INDEX(Properties!$N:$N,$B21+5)/INDEX(Properties!$R:$R,$B21+5),0))</f>
        <v>0</v>
      </c>
      <c r="BL21" s="123" cm="1">
        <f t="array" ref="BL21">INDEX(Properties!$D:$D,$B21+5)*(IF(AND(BL$3&gt;=INDEX(Properties!$Q:$Q,$B21+5),BL$3&lt;INDEX(Properties!$T:$T,$B21+5)),INDEX(Properties!$N:$N,$B21+5)/INDEX(Properties!$R:$R,$B21+5),0))</f>
        <v>0</v>
      </c>
      <c r="BM21" s="123" cm="1">
        <f t="array" ref="BM21">INDEX(Properties!$D:$D,$B21+5)*(IF(AND(BM$3&gt;=INDEX(Properties!$Q:$Q,$B21+5),BM$3&lt;INDEX(Properties!$T:$T,$B21+5)),INDEX(Properties!$N:$N,$B21+5)/INDEX(Properties!$R:$R,$B21+5),0))</f>
        <v>0</v>
      </c>
      <c r="BN21" s="123" cm="1">
        <f t="array" ref="BN21">INDEX(Properties!$D:$D,$B21+5)*(IF(AND(BN$3&gt;=INDEX(Properties!$Q:$Q,$B21+5),BN$3&lt;INDEX(Properties!$T:$T,$B21+5)),INDEX(Properties!$N:$N,$B21+5)/INDEX(Properties!$R:$R,$B21+5),0))</f>
        <v>0</v>
      </c>
      <c r="BO21" s="123" cm="1">
        <f t="array" ref="BO21">INDEX(Properties!$D:$D,$B21+5)*(IF(AND(BO$3&gt;=INDEX(Properties!$Q:$Q,$B21+5),BO$3&lt;INDEX(Properties!$T:$T,$B21+5)),INDEX(Properties!$N:$N,$B21+5)/INDEX(Properties!$R:$R,$B21+5),0))</f>
        <v>0</v>
      </c>
      <c r="BP21" s="123" cm="1">
        <f t="array" ref="BP21">INDEX(Properties!$D:$D,$B21+5)*(IF(AND(BP$3&gt;=INDEX(Properties!$Q:$Q,$B21+5),BP$3&lt;INDEX(Properties!$T:$T,$B21+5)),INDEX(Properties!$N:$N,$B21+5)/INDEX(Properties!$R:$R,$B21+5),0))</f>
        <v>0</v>
      </c>
      <c r="BQ21" s="123" cm="1">
        <f t="array" ref="BQ21">INDEX(Properties!$D:$D,$B21+5)*(IF(AND(BQ$3&gt;=INDEX(Properties!$Q:$Q,$B21+5),BQ$3&lt;INDEX(Properties!$T:$T,$B21+5)),INDEX(Properties!$N:$N,$B21+5)/INDEX(Properties!$R:$R,$B21+5),0))</f>
        <v>0</v>
      </c>
      <c r="BR21" s="123" cm="1">
        <f t="array" ref="BR21">INDEX(Properties!$D:$D,$B21+5)*(IF(AND(BR$3&gt;=INDEX(Properties!$Q:$Q,$B21+5),BR$3&lt;INDEX(Properties!$T:$T,$B21+5)),INDEX(Properties!$N:$N,$B21+5)/INDEX(Properties!$R:$R,$B21+5),0))</f>
        <v>0</v>
      </c>
      <c r="BS21" s="123" cm="1">
        <f t="array" ref="BS21">INDEX(Properties!$D:$D,$B21+5)*(IF(AND(BS$3&gt;=INDEX(Properties!$Q:$Q,$B21+5),BS$3&lt;INDEX(Properties!$T:$T,$B21+5)),INDEX(Properties!$N:$N,$B21+5)/INDEX(Properties!$R:$R,$B21+5),0))</f>
        <v>0</v>
      </c>
      <c r="BT21" s="123" cm="1">
        <f t="array" ref="BT21">INDEX(Properties!$D:$D,$B21+5)*(IF(AND(BT$3&gt;=INDEX(Properties!$Q:$Q,$B21+5),BT$3&lt;INDEX(Properties!$T:$T,$B21+5)),INDEX(Properties!$N:$N,$B21+5)/INDEX(Properties!$R:$R,$B21+5),0))</f>
        <v>0</v>
      </c>
      <c r="BU21" s="123" cm="1">
        <f t="array" ref="BU21">INDEX(Properties!$D:$D,$B21+5)*(IF(AND(BU$3&gt;=INDEX(Properties!$Q:$Q,$B21+5),BU$3&lt;INDEX(Properties!$T:$T,$B21+5)),INDEX(Properties!$N:$N,$B21+5)/INDEX(Properties!$R:$R,$B21+5),0))</f>
        <v>0</v>
      </c>
      <c r="BV21" s="123" cm="1">
        <f t="array" ref="BV21">INDEX(Properties!$D:$D,$B21+5)*(IF(AND(BV$3&gt;=INDEX(Properties!$Q:$Q,$B21+5),BV$3&lt;INDEX(Properties!$T:$T,$B21+5)),INDEX(Properties!$N:$N,$B21+5)/INDEX(Properties!$R:$R,$B21+5),0))</f>
        <v>0</v>
      </c>
      <c r="BW21" s="123" cm="1">
        <f t="array" ref="BW21">INDEX(Properties!$D:$D,$B21+5)*(IF(AND(BW$3&gt;=INDEX(Properties!$Q:$Q,$B21+5),BW$3&lt;INDEX(Properties!$T:$T,$B21+5)),INDEX(Properties!$N:$N,$B21+5)/INDEX(Properties!$R:$R,$B21+5),0))</f>
        <v>0</v>
      </c>
      <c r="BX21" s="123" cm="1">
        <f t="array" ref="BX21">INDEX(Properties!$D:$D,$B21+5)*(IF(AND(BX$3&gt;=INDEX(Properties!$Q:$Q,$B21+5),BX$3&lt;INDEX(Properties!$T:$T,$B21+5)),INDEX(Properties!$N:$N,$B21+5)/INDEX(Properties!$R:$R,$B21+5),0))</f>
        <v>0</v>
      </c>
      <c r="BY21" s="123" cm="1">
        <f t="array" ref="BY21">INDEX(Properties!$D:$D,$B21+5)*(IF(AND(BY$3&gt;=INDEX(Properties!$Q:$Q,$B21+5),BY$3&lt;INDEX(Properties!$T:$T,$B21+5)),INDEX(Properties!$N:$N,$B21+5)/INDEX(Properties!$R:$R,$B21+5),0))</f>
        <v>0</v>
      </c>
      <c r="BZ21" s="123" cm="1">
        <f t="array" ref="BZ21">INDEX(Properties!$D:$D,$B21+5)*(IF(AND(BZ$3&gt;=INDEX(Properties!$Q:$Q,$B21+5),BZ$3&lt;INDEX(Properties!$T:$T,$B21+5)),INDEX(Properties!$N:$N,$B21+5)/INDEX(Properties!$R:$R,$B21+5),0))</f>
        <v>0</v>
      </c>
      <c r="CA21" s="123" cm="1">
        <f t="array" ref="CA21">INDEX(Properties!$D:$D,$B21+5)*(IF(AND(CA$3&gt;=INDEX(Properties!$Q:$Q,$B21+5),CA$3&lt;INDEX(Properties!$T:$T,$B21+5)),INDEX(Properties!$N:$N,$B21+5)/INDEX(Properties!$R:$R,$B21+5),0))</f>
        <v>0</v>
      </c>
      <c r="CB21" s="123" cm="1">
        <f t="array" ref="CB21">INDEX(Properties!$D:$D,$B21+5)*(IF(AND(CB$3&gt;=INDEX(Properties!$Q:$Q,$B21+5),CB$3&lt;INDEX(Properties!$T:$T,$B21+5)),INDEX(Properties!$N:$N,$B21+5)/INDEX(Properties!$R:$R,$B21+5),0))</f>
        <v>0</v>
      </c>
      <c r="CC21" s="123" cm="1">
        <f t="array" ref="CC21">INDEX(Properties!$D:$D,$B21+5)*(IF(AND(CC$3&gt;=INDEX(Properties!$Q:$Q,$B21+5),CC$3&lt;INDEX(Properties!$T:$T,$B21+5)),INDEX(Properties!$N:$N,$B21+5)/INDEX(Properties!$R:$R,$B21+5),0))</f>
        <v>0</v>
      </c>
      <c r="CD21" s="123" cm="1">
        <f t="array" ref="CD21">INDEX(Properties!$D:$D,$B21+5)*(IF(AND(CD$3&gt;=INDEX(Properties!$Q:$Q,$B21+5),CD$3&lt;INDEX(Properties!$T:$T,$B21+5)),INDEX(Properties!$N:$N,$B21+5)/INDEX(Properties!$R:$R,$B21+5),0))</f>
        <v>0</v>
      </c>
      <c r="CE21" s="123" cm="1">
        <f t="array" ref="CE21">INDEX(Properties!$D:$D,$B21+5)*(IF(AND(CE$3&gt;=INDEX(Properties!$Q:$Q,$B21+5),CE$3&lt;INDEX(Properties!$T:$T,$B21+5)),INDEX(Properties!$N:$N,$B21+5)/INDEX(Properties!$R:$R,$B21+5),0))</f>
        <v>0</v>
      </c>
      <c r="CF21" s="123" cm="1">
        <f t="array" ref="CF21">INDEX(Properties!$D:$D,$B21+5)*(IF(AND(CF$3&gt;=INDEX(Properties!$Q:$Q,$B21+5),CF$3&lt;INDEX(Properties!$T:$T,$B21+5)),INDEX(Properties!$N:$N,$B21+5)/INDEX(Properties!$R:$R,$B21+5),0))</f>
        <v>0</v>
      </c>
      <c r="CG21" s="123" cm="1">
        <f t="array" ref="CG21">INDEX(Properties!$D:$D,$B21+5)*(IF(AND(CG$3&gt;=INDEX(Properties!$Q:$Q,$B21+5),CG$3&lt;INDEX(Properties!$T:$T,$B21+5)),INDEX(Properties!$N:$N,$B21+5)/INDEX(Properties!$R:$R,$B21+5),0))</f>
        <v>0</v>
      </c>
      <c r="CH21" s="123" cm="1">
        <f t="array" ref="CH21">INDEX(Properties!$D:$D,$B21+5)*(IF(AND(CH$3&gt;=INDEX(Properties!$Q:$Q,$B21+5),CH$3&lt;INDEX(Properties!$T:$T,$B21+5)),INDEX(Properties!$N:$N,$B21+5)/INDEX(Properties!$R:$R,$B21+5),0))</f>
        <v>0</v>
      </c>
      <c r="CI21" s="123" cm="1">
        <f t="array" ref="CI21">INDEX(Properties!$D:$D,$B21+5)*(IF(AND(CI$3&gt;=INDEX(Properties!$Q:$Q,$B21+5),CI$3&lt;INDEX(Properties!$T:$T,$B21+5)),INDEX(Properties!$N:$N,$B21+5)/INDEX(Properties!$R:$R,$B21+5),0))</f>
        <v>0</v>
      </c>
      <c r="CJ21" s="123" cm="1">
        <f t="array" ref="CJ21">INDEX(Properties!$D:$D,$B21+5)*(IF(AND(CJ$3&gt;=INDEX(Properties!$Q:$Q,$B21+5),CJ$3&lt;INDEX(Properties!$T:$T,$B21+5)),INDEX(Properties!$N:$N,$B21+5)/INDEX(Properties!$R:$R,$B21+5),0))</f>
        <v>0</v>
      </c>
      <c r="CK21" s="123" cm="1">
        <f t="array" ref="CK21">INDEX(Properties!$D:$D,$B21+5)*(IF(AND(CK$3&gt;=INDEX(Properties!$Q:$Q,$B21+5),CK$3&lt;INDEX(Properties!$T:$T,$B21+5)),INDEX(Properties!$N:$N,$B21+5)/INDEX(Properties!$R:$R,$B21+5),0))</f>
        <v>0</v>
      </c>
      <c r="CL21" s="123" cm="1">
        <f t="array" ref="CL21">INDEX(Properties!$D:$D,$B21+5)*(IF(AND(CL$3&gt;=INDEX(Properties!$Q:$Q,$B21+5),CL$3&lt;INDEX(Properties!$T:$T,$B21+5)),INDEX(Properties!$N:$N,$B21+5)/INDEX(Properties!$R:$R,$B21+5),0))</f>
        <v>0</v>
      </c>
      <c r="CM21" s="123" cm="1">
        <f t="array" ref="CM21">INDEX(Properties!$D:$D,$B21+5)*(IF(AND(CM$3&gt;=INDEX(Properties!$Q:$Q,$B21+5),CM$3&lt;INDEX(Properties!$T:$T,$B21+5)),INDEX(Properties!$N:$N,$B21+5)/INDEX(Properties!$R:$R,$B21+5),0))</f>
        <v>0</v>
      </c>
      <c r="CN21" s="123" cm="1">
        <f t="array" ref="CN21">INDEX(Properties!$D:$D,$B21+5)*(IF(AND(CN$3&gt;=INDEX(Properties!$Q:$Q,$B21+5),CN$3&lt;INDEX(Properties!$T:$T,$B21+5)),INDEX(Properties!$N:$N,$B21+5)/INDEX(Properties!$R:$R,$B21+5),0))</f>
        <v>0</v>
      </c>
      <c r="CO21" s="123" cm="1">
        <f t="array" ref="CO21">INDEX(Properties!$D:$D,$B21+5)*(IF(AND(CO$3&gt;=INDEX(Properties!$Q:$Q,$B21+5),CO$3&lt;INDEX(Properties!$T:$T,$B21+5)),INDEX(Properties!$N:$N,$B21+5)/INDEX(Properties!$R:$R,$B21+5),0))</f>
        <v>0</v>
      </c>
      <c r="CP21" s="123" cm="1">
        <f t="array" ref="CP21">INDEX(Properties!$D:$D,$B21+5)*(IF(AND(CP$3&gt;=INDEX(Properties!$Q:$Q,$B21+5),CP$3&lt;INDEX(Properties!$T:$T,$B21+5)),INDEX(Properties!$N:$N,$B21+5)/INDEX(Properties!$R:$R,$B21+5),0))</f>
        <v>0</v>
      </c>
      <c r="CQ21" s="123" cm="1">
        <f t="array" ref="CQ21">INDEX(Properties!$D:$D,$B21+5)*(IF(AND(CQ$3&gt;=INDEX(Properties!$Q:$Q,$B21+5),CQ$3&lt;INDEX(Properties!$T:$T,$B21+5)),INDEX(Properties!$N:$N,$B21+5)/INDEX(Properties!$R:$R,$B21+5),0))</f>
        <v>0</v>
      </c>
      <c r="CR21" s="123" cm="1">
        <f t="array" ref="CR21">INDEX(Properties!$D:$D,$B21+5)*(IF(AND(CR$3&gt;=INDEX(Properties!$Q:$Q,$B21+5),CR$3&lt;INDEX(Properties!$T:$T,$B21+5)),INDEX(Properties!$N:$N,$B21+5)/INDEX(Properties!$R:$R,$B21+5),0))</f>
        <v>0</v>
      </c>
      <c r="CS21" s="123" cm="1">
        <f t="array" ref="CS21">INDEX(Properties!$D:$D,$B21+5)*(IF(AND(CS$3&gt;=INDEX(Properties!$Q:$Q,$B21+5),CS$3&lt;INDEX(Properties!$T:$T,$B21+5)),INDEX(Properties!$N:$N,$B21+5)/INDEX(Properties!$R:$R,$B21+5),0))</f>
        <v>0</v>
      </c>
      <c r="CT21" s="123" cm="1">
        <f t="array" ref="CT21">INDEX(Properties!$D:$D,$B21+5)*(IF(AND(CT$3&gt;=INDEX(Properties!$Q:$Q,$B21+5),CT$3&lt;INDEX(Properties!$T:$T,$B21+5)),INDEX(Properties!$N:$N,$B21+5)/INDEX(Properties!$R:$R,$B21+5),0))</f>
        <v>0</v>
      </c>
      <c r="CU21" s="123" cm="1">
        <f t="array" ref="CU21">INDEX(Properties!$D:$D,$B21+5)*(IF(AND(CU$3&gt;=INDEX(Properties!$Q:$Q,$B21+5),CU$3&lt;INDEX(Properties!$T:$T,$B21+5)),INDEX(Properties!$N:$N,$B21+5)/INDEX(Properties!$R:$R,$B21+5),0))</f>
        <v>0</v>
      </c>
      <c r="CV21" s="123" cm="1">
        <f t="array" ref="CV21">INDEX(Properties!$D:$D,$B21+5)*(IF(AND(CV$3&gt;=INDEX(Properties!$Q:$Q,$B21+5),CV$3&lt;INDEX(Properties!$T:$T,$B21+5)),INDEX(Properties!$N:$N,$B21+5)/INDEX(Properties!$R:$R,$B21+5),0))</f>
        <v>0</v>
      </c>
      <c r="CW21" s="123" cm="1">
        <f t="array" ref="CW21">INDEX(Properties!$D:$D,$B21+5)*(IF(AND(CW$3&gt;=INDEX(Properties!$Q:$Q,$B21+5),CW$3&lt;INDEX(Properties!$T:$T,$B21+5)),INDEX(Properties!$N:$N,$B21+5)/INDEX(Properties!$R:$R,$B21+5),0))</f>
        <v>0</v>
      </c>
      <c r="CX21" s="123" cm="1">
        <f t="array" ref="CX21">INDEX(Properties!$D:$D,$B21+5)*(IF(AND(CX$3&gt;=INDEX(Properties!$Q:$Q,$B21+5),CX$3&lt;INDEX(Properties!$T:$T,$B21+5)),INDEX(Properties!$N:$N,$B21+5)/INDEX(Properties!$R:$R,$B21+5),0))</f>
        <v>0</v>
      </c>
      <c r="CY21" s="123" cm="1">
        <f t="array" ref="CY21">INDEX(Properties!$D:$D,$B21+5)*(IF(AND(CY$3&gt;=INDEX(Properties!$Q:$Q,$B21+5),CY$3&lt;INDEX(Properties!$T:$T,$B21+5)),INDEX(Properties!$N:$N,$B21+5)/INDEX(Properties!$R:$R,$B21+5),0))</f>
        <v>0</v>
      </c>
      <c r="CZ21" s="123" cm="1">
        <f t="array" ref="CZ21">INDEX(Properties!$D:$D,$B21+5)*(IF(AND(CZ$3&gt;=INDEX(Properties!$Q:$Q,$B21+5),CZ$3&lt;INDEX(Properties!$T:$T,$B21+5)),INDEX(Properties!$N:$N,$B21+5)/INDEX(Properties!$R:$R,$B21+5),0))</f>
        <v>0</v>
      </c>
      <c r="DA21" s="123" cm="1">
        <f t="array" ref="DA21">INDEX(Properties!$D:$D,$B21+5)*(IF(AND(DA$3&gt;=INDEX(Properties!$Q:$Q,$B21+5),DA$3&lt;INDEX(Properties!$T:$T,$B21+5)),INDEX(Properties!$N:$N,$B21+5)/INDEX(Properties!$R:$R,$B21+5),0))</f>
        <v>0</v>
      </c>
      <c r="DB21" s="123" cm="1">
        <f t="array" ref="DB21">INDEX(Properties!$D:$D,$B21+5)*(IF(AND(DB$3&gt;=INDEX(Properties!$Q:$Q,$B21+5),DB$3&lt;INDEX(Properties!$T:$T,$B21+5)),INDEX(Properties!$N:$N,$B21+5)/INDEX(Properties!$R:$R,$B21+5),0))</f>
        <v>0</v>
      </c>
      <c r="DC21" s="123" cm="1">
        <f t="array" ref="DC21">INDEX(Properties!$D:$D,$B21+5)*(IF(AND(DC$3&gt;=INDEX(Properties!$Q:$Q,$B21+5),DC$3&lt;INDEX(Properties!$T:$T,$B21+5)),INDEX(Properties!$N:$N,$B21+5)/INDEX(Properties!$R:$R,$B21+5),0))</f>
        <v>0</v>
      </c>
      <c r="DD21" s="123" cm="1">
        <f t="array" ref="DD21">INDEX(Properties!$D:$D,$B21+5)*(IF(AND(DD$3&gt;=INDEX(Properties!$Q:$Q,$B21+5),DD$3&lt;INDEX(Properties!$T:$T,$B21+5)),INDEX(Properties!$N:$N,$B21+5)/INDEX(Properties!$R:$R,$B21+5),0))</f>
        <v>0</v>
      </c>
      <c r="DE21" s="123" cm="1">
        <f t="array" ref="DE21">INDEX(Properties!$D:$D,$B21+5)*(IF(AND(DE$3&gt;=INDEX(Properties!$Q:$Q,$B21+5),DE$3&lt;INDEX(Properties!$T:$T,$B21+5)),INDEX(Properties!$N:$N,$B21+5)/INDEX(Properties!$R:$R,$B21+5),0))</f>
        <v>0</v>
      </c>
      <c r="DF21" s="123" cm="1">
        <f t="array" ref="DF21">INDEX(Properties!$D:$D,$B21+5)*(IF(AND(DF$3&gt;=INDEX(Properties!$Q:$Q,$B21+5),DF$3&lt;INDEX(Properties!$T:$T,$B21+5)),INDEX(Properties!$N:$N,$B21+5)/INDEX(Properties!$R:$R,$B21+5),0))</f>
        <v>0</v>
      </c>
      <c r="DG21" s="123" cm="1">
        <f t="array" ref="DG21">INDEX(Properties!$D:$D,$B21+5)*(IF(AND(DG$3&gt;=INDEX(Properties!$Q:$Q,$B21+5),DG$3&lt;INDEX(Properties!$T:$T,$B21+5)),INDEX(Properties!$N:$N,$B21+5)/INDEX(Properties!$R:$R,$B21+5),0))</f>
        <v>0</v>
      </c>
      <c r="DH21" s="123" cm="1">
        <f t="array" ref="DH21">INDEX(Properties!$D:$D,$B21+5)*(IF(AND(DH$3&gt;=INDEX(Properties!$Q:$Q,$B21+5),DH$3&lt;INDEX(Properties!$T:$T,$B21+5)),INDEX(Properties!$N:$N,$B21+5)/INDEX(Properties!$R:$R,$B21+5),0))</f>
        <v>0</v>
      </c>
      <c r="DI21" s="123" cm="1">
        <f t="array" ref="DI21">INDEX(Properties!$D:$D,$B21+5)*(IF(AND(DI$3&gt;=INDEX(Properties!$Q:$Q,$B21+5),DI$3&lt;INDEX(Properties!$T:$T,$B21+5)),INDEX(Properties!$N:$N,$B21+5)/INDEX(Properties!$R:$R,$B21+5),0))</f>
        <v>0</v>
      </c>
      <c r="DJ21" s="123" cm="1">
        <f t="array" ref="DJ21">INDEX(Properties!$D:$D,$B21+5)*(IF(AND(DJ$3&gt;=INDEX(Properties!$Q:$Q,$B21+5),DJ$3&lt;INDEX(Properties!$T:$T,$B21+5)),INDEX(Properties!$N:$N,$B21+5)/INDEX(Properties!$R:$R,$B21+5),0))</f>
        <v>0</v>
      </c>
      <c r="DK21" s="123" cm="1">
        <f t="array" ref="DK21">INDEX(Properties!$D:$D,$B21+5)*(IF(AND(DK$3&gt;=INDEX(Properties!$Q:$Q,$B21+5),DK$3&lt;INDEX(Properties!$T:$T,$B21+5)),INDEX(Properties!$N:$N,$B21+5)/INDEX(Properties!$R:$R,$B21+5),0))</f>
        <v>0</v>
      </c>
      <c r="DL21" s="123" cm="1">
        <f t="array" ref="DL21">INDEX(Properties!$D:$D,$B21+5)*(IF(AND(DL$3&gt;=INDEX(Properties!$Q:$Q,$B21+5),DL$3&lt;INDEX(Properties!$T:$T,$B21+5)),INDEX(Properties!$N:$N,$B21+5)/INDEX(Properties!$R:$R,$B21+5),0))</f>
        <v>0</v>
      </c>
      <c r="DM21" s="123" cm="1">
        <f t="array" ref="DM21">INDEX(Properties!$D:$D,$B21+5)*(IF(AND(DM$3&gt;=INDEX(Properties!$Q:$Q,$B21+5),DM$3&lt;INDEX(Properties!$T:$T,$B21+5)),INDEX(Properties!$N:$N,$B21+5)/INDEX(Properties!$R:$R,$B21+5),0))</f>
        <v>0</v>
      </c>
      <c r="DN21" s="123" cm="1">
        <f t="array" ref="DN21">INDEX(Properties!$D:$D,$B21+5)*(IF(AND(DN$3&gt;=INDEX(Properties!$Q:$Q,$B21+5),DN$3&lt;INDEX(Properties!$T:$T,$B21+5)),INDEX(Properties!$N:$N,$B21+5)/INDEX(Properties!$R:$R,$B21+5),0))</f>
        <v>0</v>
      </c>
      <c r="DO21" s="123" cm="1">
        <f t="array" ref="DO21">INDEX(Properties!$D:$D,$B21+5)*(IF(AND(DO$3&gt;=INDEX(Properties!$Q:$Q,$B21+5),DO$3&lt;INDEX(Properties!$T:$T,$B21+5)),INDEX(Properties!$N:$N,$B21+5)/INDEX(Properties!$R:$R,$B21+5),0))</f>
        <v>0</v>
      </c>
      <c r="DP21" s="123" cm="1">
        <f t="array" ref="DP21">INDEX(Properties!$D:$D,$B21+5)*(IF(AND(DP$3&gt;=INDEX(Properties!$Q:$Q,$B21+5),DP$3&lt;INDEX(Properties!$T:$T,$B21+5)),INDEX(Properties!$N:$N,$B21+5)/INDEX(Properties!$R:$R,$B21+5),0))</f>
        <v>0</v>
      </c>
      <c r="DQ21" s="123" cm="1">
        <f t="array" ref="DQ21">INDEX(Properties!$D:$D,$B21+5)*(IF(AND(DQ$3&gt;=INDEX(Properties!$Q:$Q,$B21+5),DQ$3&lt;INDEX(Properties!$T:$T,$B21+5)),INDEX(Properties!$N:$N,$B21+5)/INDEX(Properties!$R:$R,$B21+5),0))</f>
        <v>0</v>
      </c>
      <c r="DR21" s="123" cm="1">
        <f t="array" ref="DR21">INDEX(Properties!$D:$D,$B21+5)*(IF(AND(DR$3&gt;=INDEX(Properties!$Q:$Q,$B21+5),DR$3&lt;INDEX(Properties!$T:$T,$B21+5)),INDEX(Properties!$N:$N,$B21+5)/INDEX(Properties!$R:$R,$B21+5),0))</f>
        <v>0</v>
      </c>
    </row>
    <row r="22" spans="1:122" ht="16.05" customHeight="1" x14ac:dyDescent="0.3">
      <c r="A22" s="148" t="str" cm="1">
        <f t="array" ref="A22">INDEX(Properties!$E:$E,$B22+5)</f>
        <v>Fontanar Apto 201 (Penthouse)</v>
      </c>
      <c r="B22" s="1">
        <v>2</v>
      </c>
      <c r="C22" s="123" cm="1">
        <f t="array" ref="C22">INDEX(Properties!$D:$D,$B22+5)*(IF(AND(C$3&gt;=INDEX(Properties!$Q:$Q,$B22+5),C$3&lt;INDEX(Properties!$T:$T,$B22+5)),INDEX(Properties!$N:$N,$B22+5)/INDEX(Properties!$R:$R,$B22+5),0))</f>
        <v>40992.448759439052</v>
      </c>
      <c r="D22" s="123" cm="1">
        <f t="array" ref="D22">INDEX(Properties!$D:$D,$B22+5)*(IF(AND(D$3&gt;=INDEX(Properties!$Q:$Q,$B22+5),D$3&lt;INDEX(Properties!$T:$T,$B22+5)),INDEX(Properties!$N:$N,$B22+5)/INDEX(Properties!$R:$R,$B22+5),0))</f>
        <v>40992.448759439052</v>
      </c>
      <c r="E22" s="123" cm="1">
        <f t="array" ref="E22">INDEX(Properties!$D:$D,$B22+5)*(IF(AND(E$3&gt;=INDEX(Properties!$Q:$Q,$B22+5),E$3&lt;INDEX(Properties!$T:$T,$B22+5)),INDEX(Properties!$N:$N,$B22+5)/INDEX(Properties!$R:$R,$B22+5),0))</f>
        <v>40992.448759439052</v>
      </c>
      <c r="F22" s="123" cm="1">
        <f t="array" ref="F22">INDEX(Properties!$D:$D,$B22+5)*(IF(AND(F$3&gt;=INDEX(Properties!$Q:$Q,$B22+5),F$3&lt;INDEX(Properties!$T:$T,$B22+5)),INDEX(Properties!$N:$N,$B22+5)/INDEX(Properties!$R:$R,$B22+5),0))</f>
        <v>40992.448759439052</v>
      </c>
      <c r="G22" s="123" cm="1">
        <f t="array" ref="G22">INDEX(Properties!$D:$D,$B22+5)*(IF(AND(G$3&gt;=INDEX(Properties!$Q:$Q,$B22+5),G$3&lt;INDEX(Properties!$T:$T,$B22+5)),INDEX(Properties!$N:$N,$B22+5)/INDEX(Properties!$R:$R,$B22+5),0))</f>
        <v>40992.448759439052</v>
      </c>
      <c r="H22" s="123" cm="1">
        <f t="array" ref="H22">INDEX(Properties!$D:$D,$B22+5)*(IF(AND(H$3&gt;=INDEX(Properties!$Q:$Q,$B22+5),H$3&lt;INDEX(Properties!$T:$T,$B22+5)),INDEX(Properties!$N:$N,$B22+5)/INDEX(Properties!$R:$R,$B22+5),0))</f>
        <v>40992.448759439052</v>
      </c>
      <c r="I22" s="123" cm="1">
        <f t="array" ref="I22">INDEX(Properties!$D:$D,$B22+5)*(IF(AND(I$3&gt;=INDEX(Properties!$Q:$Q,$B22+5),I$3&lt;INDEX(Properties!$T:$T,$B22+5)),INDEX(Properties!$N:$N,$B22+5)/INDEX(Properties!$R:$R,$B22+5),0))</f>
        <v>0</v>
      </c>
      <c r="J22" s="123" cm="1">
        <f t="array" ref="J22">INDEX(Properties!$D:$D,$B22+5)*(IF(AND(J$3&gt;=INDEX(Properties!$Q:$Q,$B22+5),J$3&lt;INDEX(Properties!$T:$T,$B22+5)),INDEX(Properties!$N:$N,$B22+5)/INDEX(Properties!$R:$R,$B22+5),0))</f>
        <v>0</v>
      </c>
      <c r="K22" s="123" cm="1">
        <f t="array" ref="K22">INDEX(Properties!$D:$D,$B22+5)*(IF(AND(K$3&gt;=INDEX(Properties!$Q:$Q,$B22+5),K$3&lt;INDEX(Properties!$T:$T,$B22+5)),INDEX(Properties!$N:$N,$B22+5)/INDEX(Properties!$R:$R,$B22+5),0))</f>
        <v>0</v>
      </c>
      <c r="L22" s="123" cm="1">
        <f t="array" ref="L22">INDEX(Properties!$D:$D,$B22+5)*(IF(AND(L$3&gt;=INDEX(Properties!$Q:$Q,$B22+5),L$3&lt;INDEX(Properties!$T:$T,$B22+5)),INDEX(Properties!$N:$N,$B22+5)/INDEX(Properties!$R:$R,$B22+5),0))</f>
        <v>0</v>
      </c>
      <c r="M22" s="123" cm="1">
        <f t="array" ref="M22">INDEX(Properties!$D:$D,$B22+5)*(IF(AND(M$3&gt;=INDEX(Properties!$Q:$Q,$B22+5),M$3&lt;INDEX(Properties!$T:$T,$B22+5)),INDEX(Properties!$N:$N,$B22+5)/INDEX(Properties!$R:$R,$B22+5),0))</f>
        <v>0</v>
      </c>
      <c r="N22" s="123" cm="1">
        <f t="array" ref="N22">INDEX(Properties!$D:$D,$B22+5)*(IF(AND(N$3&gt;=INDEX(Properties!$Q:$Q,$B22+5),N$3&lt;INDEX(Properties!$T:$T,$B22+5)),INDEX(Properties!$N:$N,$B22+5)/INDEX(Properties!$R:$R,$B22+5),0))</f>
        <v>0</v>
      </c>
      <c r="O22" s="123" cm="1">
        <f t="array" ref="O22">INDEX(Properties!$D:$D,$B22+5)*(IF(AND(O$3&gt;=INDEX(Properties!$Q:$Q,$B22+5),O$3&lt;INDEX(Properties!$T:$T,$B22+5)),INDEX(Properties!$N:$N,$B22+5)/INDEX(Properties!$R:$R,$B22+5),0))</f>
        <v>0</v>
      </c>
      <c r="P22" s="123" cm="1">
        <f t="array" ref="P22">INDEX(Properties!$D:$D,$B22+5)*(IF(AND(P$3&gt;=INDEX(Properties!$Q:$Q,$B22+5),P$3&lt;INDEX(Properties!$T:$T,$B22+5)),INDEX(Properties!$N:$N,$B22+5)/INDEX(Properties!$R:$R,$B22+5),0))</f>
        <v>0</v>
      </c>
      <c r="Q22" s="123" cm="1">
        <f t="array" ref="Q22">INDEX(Properties!$D:$D,$B22+5)*(IF(AND(Q$3&gt;=INDEX(Properties!$Q:$Q,$B22+5),Q$3&lt;INDEX(Properties!$T:$T,$B22+5)),INDEX(Properties!$N:$N,$B22+5)/INDEX(Properties!$R:$R,$B22+5),0))</f>
        <v>0</v>
      </c>
      <c r="R22" s="123" cm="1">
        <f t="array" ref="R22">INDEX(Properties!$D:$D,$B22+5)*(IF(AND(R$3&gt;=INDEX(Properties!$Q:$Q,$B22+5),R$3&lt;INDEX(Properties!$T:$T,$B22+5)),INDEX(Properties!$N:$N,$B22+5)/INDEX(Properties!$R:$R,$B22+5),0))</f>
        <v>0</v>
      </c>
      <c r="S22" s="123" cm="1">
        <f t="array" ref="S22">INDEX(Properties!$D:$D,$B22+5)*(IF(AND(S$3&gt;=INDEX(Properties!$Q:$Q,$B22+5),S$3&lt;INDEX(Properties!$T:$T,$B22+5)),INDEX(Properties!$N:$N,$B22+5)/INDEX(Properties!$R:$R,$B22+5),0))</f>
        <v>0</v>
      </c>
      <c r="T22" s="123" cm="1">
        <f t="array" ref="T22">INDEX(Properties!$D:$D,$B22+5)*(IF(AND(T$3&gt;=INDEX(Properties!$Q:$Q,$B22+5),T$3&lt;INDEX(Properties!$T:$T,$B22+5)),INDEX(Properties!$N:$N,$B22+5)/INDEX(Properties!$R:$R,$B22+5),0))</f>
        <v>0</v>
      </c>
      <c r="U22" s="123" cm="1">
        <f t="array" ref="U22">INDEX(Properties!$D:$D,$B22+5)*(IF(AND(U$3&gt;=INDEX(Properties!$Q:$Q,$B22+5),U$3&lt;INDEX(Properties!$T:$T,$B22+5)),INDEX(Properties!$N:$N,$B22+5)/INDEX(Properties!$R:$R,$B22+5),0))</f>
        <v>0</v>
      </c>
      <c r="V22" s="123" cm="1">
        <f t="array" ref="V22">INDEX(Properties!$D:$D,$B22+5)*(IF(AND(V$3&gt;=INDEX(Properties!$Q:$Q,$B22+5),V$3&lt;INDEX(Properties!$T:$T,$B22+5)),INDEX(Properties!$N:$N,$B22+5)/INDEX(Properties!$R:$R,$B22+5),0))</f>
        <v>0</v>
      </c>
      <c r="W22" s="123" cm="1">
        <f t="array" ref="W22">INDEX(Properties!$D:$D,$B22+5)*(IF(AND(W$3&gt;=INDEX(Properties!$Q:$Q,$B22+5),W$3&lt;INDEX(Properties!$T:$T,$B22+5)),INDEX(Properties!$N:$N,$B22+5)/INDEX(Properties!$R:$R,$B22+5),0))</f>
        <v>0</v>
      </c>
      <c r="X22" s="123" cm="1">
        <f t="array" ref="X22">INDEX(Properties!$D:$D,$B22+5)*(IF(AND(X$3&gt;=INDEX(Properties!$Q:$Q,$B22+5),X$3&lt;INDEX(Properties!$T:$T,$B22+5)),INDEX(Properties!$N:$N,$B22+5)/INDEX(Properties!$R:$R,$B22+5),0))</f>
        <v>0</v>
      </c>
      <c r="Y22" s="123" cm="1">
        <f t="array" ref="Y22">INDEX(Properties!$D:$D,$B22+5)*(IF(AND(Y$3&gt;=INDEX(Properties!$Q:$Q,$B22+5),Y$3&lt;INDEX(Properties!$T:$T,$B22+5)),INDEX(Properties!$N:$N,$B22+5)/INDEX(Properties!$R:$R,$B22+5),0))</f>
        <v>0</v>
      </c>
      <c r="Z22" s="123" cm="1">
        <f t="array" ref="Z22">INDEX(Properties!$D:$D,$B22+5)*(IF(AND(Z$3&gt;=INDEX(Properties!$Q:$Q,$B22+5),Z$3&lt;INDEX(Properties!$T:$T,$B22+5)),INDEX(Properties!$N:$N,$B22+5)/INDEX(Properties!$R:$R,$B22+5),0))</f>
        <v>0</v>
      </c>
      <c r="AA22" s="123" cm="1">
        <f t="array" ref="AA22">INDEX(Properties!$D:$D,$B22+5)*(IF(AND(AA$3&gt;=INDEX(Properties!$Q:$Q,$B22+5),AA$3&lt;INDEX(Properties!$T:$T,$B22+5)),INDEX(Properties!$N:$N,$B22+5)/INDEX(Properties!$R:$R,$B22+5),0))</f>
        <v>0</v>
      </c>
      <c r="AB22" s="123" cm="1">
        <f t="array" ref="AB22">INDEX(Properties!$D:$D,$B22+5)*(IF(AND(AB$3&gt;=INDEX(Properties!$Q:$Q,$B22+5),AB$3&lt;INDEX(Properties!$T:$T,$B22+5)),INDEX(Properties!$N:$N,$B22+5)/INDEX(Properties!$R:$R,$B22+5),0))</f>
        <v>0</v>
      </c>
      <c r="AC22" s="123" cm="1">
        <f t="array" ref="AC22">INDEX(Properties!$D:$D,$B22+5)*(IF(AND(AC$3&gt;=INDEX(Properties!$Q:$Q,$B22+5),AC$3&lt;INDEX(Properties!$T:$T,$B22+5)),INDEX(Properties!$N:$N,$B22+5)/INDEX(Properties!$R:$R,$B22+5),0))</f>
        <v>0</v>
      </c>
      <c r="AD22" s="123" cm="1">
        <f t="array" ref="AD22">INDEX(Properties!$D:$D,$B22+5)*(IF(AND(AD$3&gt;=INDEX(Properties!$Q:$Q,$B22+5),AD$3&lt;INDEX(Properties!$T:$T,$B22+5)),INDEX(Properties!$N:$N,$B22+5)/INDEX(Properties!$R:$R,$B22+5),0))</f>
        <v>0</v>
      </c>
      <c r="AE22" s="123" cm="1">
        <f t="array" ref="AE22">INDEX(Properties!$D:$D,$B22+5)*(IF(AND(AE$3&gt;=INDEX(Properties!$Q:$Q,$B22+5),AE$3&lt;INDEX(Properties!$T:$T,$B22+5)),INDEX(Properties!$N:$N,$B22+5)/INDEX(Properties!$R:$R,$B22+5),0))</f>
        <v>0</v>
      </c>
      <c r="AF22" s="123" cm="1">
        <f t="array" ref="AF22">INDEX(Properties!$D:$D,$B22+5)*(IF(AND(AF$3&gt;=INDEX(Properties!$Q:$Q,$B22+5),AF$3&lt;INDEX(Properties!$T:$T,$B22+5)),INDEX(Properties!$N:$N,$B22+5)/INDEX(Properties!$R:$R,$B22+5),0))</f>
        <v>0</v>
      </c>
      <c r="AG22" s="123" cm="1">
        <f t="array" ref="AG22">INDEX(Properties!$D:$D,$B22+5)*(IF(AND(AG$3&gt;=INDEX(Properties!$Q:$Q,$B22+5),AG$3&lt;INDEX(Properties!$T:$T,$B22+5)),INDEX(Properties!$N:$N,$B22+5)/INDEX(Properties!$R:$R,$B22+5),0))</f>
        <v>0</v>
      </c>
      <c r="AH22" s="123" cm="1">
        <f t="array" ref="AH22">INDEX(Properties!$D:$D,$B22+5)*(IF(AND(AH$3&gt;=INDEX(Properties!$Q:$Q,$B22+5),AH$3&lt;INDEX(Properties!$T:$T,$B22+5)),INDEX(Properties!$N:$N,$B22+5)/INDEX(Properties!$R:$R,$B22+5),0))</f>
        <v>0</v>
      </c>
      <c r="AI22" s="123" cm="1">
        <f t="array" ref="AI22">INDEX(Properties!$D:$D,$B22+5)*(IF(AND(AI$3&gt;=INDEX(Properties!$Q:$Q,$B22+5),AI$3&lt;INDEX(Properties!$T:$T,$B22+5)),INDEX(Properties!$N:$N,$B22+5)/INDEX(Properties!$R:$R,$B22+5),0))</f>
        <v>0</v>
      </c>
      <c r="AJ22" s="123" cm="1">
        <f t="array" ref="AJ22">INDEX(Properties!$D:$D,$B22+5)*(IF(AND(AJ$3&gt;=INDEX(Properties!$Q:$Q,$B22+5),AJ$3&lt;INDEX(Properties!$T:$T,$B22+5)),INDEX(Properties!$N:$N,$B22+5)/INDEX(Properties!$R:$R,$B22+5),0))</f>
        <v>0</v>
      </c>
      <c r="AK22" s="123" cm="1">
        <f t="array" ref="AK22">INDEX(Properties!$D:$D,$B22+5)*(IF(AND(AK$3&gt;=INDEX(Properties!$Q:$Q,$B22+5),AK$3&lt;INDEX(Properties!$T:$T,$B22+5)),INDEX(Properties!$N:$N,$B22+5)/INDEX(Properties!$R:$R,$B22+5),0))</f>
        <v>0</v>
      </c>
      <c r="AL22" s="123" cm="1">
        <f t="array" ref="AL22">INDEX(Properties!$D:$D,$B22+5)*(IF(AND(AL$3&gt;=INDEX(Properties!$Q:$Q,$B22+5),AL$3&lt;INDEX(Properties!$T:$T,$B22+5)),INDEX(Properties!$N:$N,$B22+5)/INDEX(Properties!$R:$R,$B22+5),0))</f>
        <v>0</v>
      </c>
      <c r="AM22" s="123" cm="1">
        <f t="array" ref="AM22">INDEX(Properties!$D:$D,$B22+5)*(IF(AND(AM$3&gt;=INDEX(Properties!$Q:$Q,$B22+5),AM$3&lt;INDEX(Properties!$T:$T,$B22+5)),INDEX(Properties!$N:$N,$B22+5)/INDEX(Properties!$R:$R,$B22+5),0))</f>
        <v>0</v>
      </c>
      <c r="AN22" s="123" cm="1">
        <f t="array" ref="AN22">INDEX(Properties!$D:$D,$B22+5)*(IF(AND(AN$3&gt;=INDEX(Properties!$Q:$Q,$B22+5),AN$3&lt;INDEX(Properties!$T:$T,$B22+5)),INDEX(Properties!$N:$N,$B22+5)/INDEX(Properties!$R:$R,$B22+5),0))</f>
        <v>0</v>
      </c>
      <c r="AO22" s="123" cm="1">
        <f t="array" ref="AO22">INDEX(Properties!$D:$D,$B22+5)*(IF(AND(AO$3&gt;=INDEX(Properties!$Q:$Q,$B22+5),AO$3&lt;INDEX(Properties!$T:$T,$B22+5)),INDEX(Properties!$N:$N,$B22+5)/INDEX(Properties!$R:$R,$B22+5),0))</f>
        <v>0</v>
      </c>
      <c r="AP22" s="123" cm="1">
        <f t="array" ref="AP22">INDEX(Properties!$D:$D,$B22+5)*(IF(AND(AP$3&gt;=INDEX(Properties!$Q:$Q,$B22+5),AP$3&lt;INDEX(Properties!$T:$T,$B22+5)),INDEX(Properties!$N:$N,$B22+5)/INDEX(Properties!$R:$R,$B22+5),0))</f>
        <v>0</v>
      </c>
      <c r="AQ22" s="123" cm="1">
        <f t="array" ref="AQ22">INDEX(Properties!$D:$D,$B22+5)*(IF(AND(AQ$3&gt;=INDEX(Properties!$Q:$Q,$B22+5),AQ$3&lt;INDEX(Properties!$T:$T,$B22+5)),INDEX(Properties!$N:$N,$B22+5)/INDEX(Properties!$R:$R,$B22+5),0))</f>
        <v>0</v>
      </c>
      <c r="AR22" s="123" cm="1">
        <f t="array" ref="AR22">INDEX(Properties!$D:$D,$B22+5)*(IF(AND(AR$3&gt;=INDEX(Properties!$Q:$Q,$B22+5),AR$3&lt;INDEX(Properties!$T:$T,$B22+5)),INDEX(Properties!$N:$N,$B22+5)/INDEX(Properties!$R:$R,$B22+5),0))</f>
        <v>0</v>
      </c>
      <c r="AS22" s="123" cm="1">
        <f t="array" ref="AS22">INDEX(Properties!$D:$D,$B22+5)*(IF(AND(AS$3&gt;=INDEX(Properties!$Q:$Q,$B22+5),AS$3&lt;INDEX(Properties!$T:$T,$B22+5)),INDEX(Properties!$N:$N,$B22+5)/INDEX(Properties!$R:$R,$B22+5),0))</f>
        <v>0</v>
      </c>
      <c r="AT22" s="123" cm="1">
        <f t="array" ref="AT22">INDEX(Properties!$D:$D,$B22+5)*(IF(AND(AT$3&gt;=INDEX(Properties!$Q:$Q,$B22+5),AT$3&lt;INDEX(Properties!$T:$T,$B22+5)),INDEX(Properties!$N:$N,$B22+5)/INDEX(Properties!$R:$R,$B22+5),0))</f>
        <v>0</v>
      </c>
      <c r="AU22" s="123" cm="1">
        <f t="array" ref="AU22">INDEX(Properties!$D:$D,$B22+5)*(IF(AND(AU$3&gt;=INDEX(Properties!$Q:$Q,$B22+5),AU$3&lt;INDEX(Properties!$T:$T,$B22+5)),INDEX(Properties!$N:$N,$B22+5)/INDEX(Properties!$R:$R,$B22+5),0))</f>
        <v>0</v>
      </c>
      <c r="AV22" s="123" cm="1">
        <f t="array" ref="AV22">INDEX(Properties!$D:$D,$B22+5)*(IF(AND(AV$3&gt;=INDEX(Properties!$Q:$Q,$B22+5),AV$3&lt;INDEX(Properties!$T:$T,$B22+5)),INDEX(Properties!$N:$N,$B22+5)/INDEX(Properties!$R:$R,$B22+5),0))</f>
        <v>0</v>
      </c>
      <c r="AW22" s="123" cm="1">
        <f t="array" ref="AW22">INDEX(Properties!$D:$D,$B22+5)*(IF(AND(AW$3&gt;=INDEX(Properties!$Q:$Q,$B22+5),AW$3&lt;INDEX(Properties!$T:$T,$B22+5)),INDEX(Properties!$N:$N,$B22+5)/INDEX(Properties!$R:$R,$B22+5),0))</f>
        <v>0</v>
      </c>
      <c r="AX22" s="123" cm="1">
        <f t="array" ref="AX22">INDEX(Properties!$D:$D,$B22+5)*(IF(AND(AX$3&gt;=INDEX(Properties!$Q:$Q,$B22+5),AX$3&lt;INDEX(Properties!$T:$T,$B22+5)),INDEX(Properties!$N:$N,$B22+5)/INDEX(Properties!$R:$R,$B22+5),0))</f>
        <v>0</v>
      </c>
      <c r="AY22" s="123" cm="1">
        <f t="array" ref="AY22">INDEX(Properties!$D:$D,$B22+5)*(IF(AND(AY$3&gt;=INDEX(Properties!$Q:$Q,$B22+5),AY$3&lt;INDEX(Properties!$T:$T,$B22+5)),INDEX(Properties!$N:$N,$B22+5)/INDEX(Properties!$R:$R,$B22+5),0))</f>
        <v>0</v>
      </c>
      <c r="AZ22" s="123" cm="1">
        <f t="array" ref="AZ22">INDEX(Properties!$D:$D,$B22+5)*(IF(AND(AZ$3&gt;=INDEX(Properties!$Q:$Q,$B22+5),AZ$3&lt;INDEX(Properties!$T:$T,$B22+5)),INDEX(Properties!$N:$N,$B22+5)/INDEX(Properties!$R:$R,$B22+5),0))</f>
        <v>0</v>
      </c>
      <c r="BA22" s="123" cm="1">
        <f t="array" ref="BA22">INDEX(Properties!$D:$D,$B22+5)*(IF(AND(BA$3&gt;=INDEX(Properties!$Q:$Q,$B22+5),BA$3&lt;INDEX(Properties!$T:$T,$B22+5)),INDEX(Properties!$N:$N,$B22+5)/INDEX(Properties!$R:$R,$B22+5),0))</f>
        <v>0</v>
      </c>
      <c r="BB22" s="123" cm="1">
        <f t="array" ref="BB22">INDEX(Properties!$D:$D,$B22+5)*(IF(AND(BB$3&gt;=INDEX(Properties!$Q:$Q,$B22+5),BB$3&lt;INDEX(Properties!$T:$T,$B22+5)),INDEX(Properties!$N:$N,$B22+5)/INDEX(Properties!$R:$R,$B22+5),0))</f>
        <v>0</v>
      </c>
      <c r="BC22" s="123" cm="1">
        <f t="array" ref="BC22">INDEX(Properties!$D:$D,$B22+5)*(IF(AND(BC$3&gt;=INDEX(Properties!$Q:$Q,$B22+5),BC$3&lt;INDEX(Properties!$T:$T,$B22+5)),INDEX(Properties!$N:$N,$B22+5)/INDEX(Properties!$R:$R,$B22+5),0))</f>
        <v>0</v>
      </c>
      <c r="BD22" s="123" cm="1">
        <f t="array" ref="BD22">INDEX(Properties!$D:$D,$B22+5)*(IF(AND(BD$3&gt;=INDEX(Properties!$Q:$Q,$B22+5),BD$3&lt;INDEX(Properties!$T:$T,$B22+5)),INDEX(Properties!$N:$N,$B22+5)/INDEX(Properties!$R:$R,$B22+5),0))</f>
        <v>0</v>
      </c>
      <c r="BE22" s="123" cm="1">
        <f t="array" ref="BE22">INDEX(Properties!$D:$D,$B22+5)*(IF(AND(BE$3&gt;=INDEX(Properties!$Q:$Q,$B22+5),BE$3&lt;INDEX(Properties!$T:$T,$B22+5)),INDEX(Properties!$N:$N,$B22+5)/INDEX(Properties!$R:$R,$B22+5),0))</f>
        <v>0</v>
      </c>
      <c r="BF22" s="123" cm="1">
        <f t="array" ref="BF22">INDEX(Properties!$D:$D,$B22+5)*(IF(AND(BF$3&gt;=INDEX(Properties!$Q:$Q,$B22+5),BF$3&lt;INDEX(Properties!$T:$T,$B22+5)),INDEX(Properties!$N:$N,$B22+5)/INDEX(Properties!$R:$R,$B22+5),0))</f>
        <v>0</v>
      </c>
      <c r="BG22" s="123" cm="1">
        <f t="array" ref="BG22">INDEX(Properties!$D:$D,$B22+5)*(IF(AND(BG$3&gt;=INDEX(Properties!$Q:$Q,$B22+5),BG$3&lt;INDEX(Properties!$T:$T,$B22+5)),INDEX(Properties!$N:$N,$B22+5)/INDEX(Properties!$R:$R,$B22+5),0))</f>
        <v>0</v>
      </c>
      <c r="BH22" s="123" cm="1">
        <f t="array" ref="BH22">INDEX(Properties!$D:$D,$B22+5)*(IF(AND(BH$3&gt;=INDEX(Properties!$Q:$Q,$B22+5),BH$3&lt;INDEX(Properties!$T:$T,$B22+5)),INDEX(Properties!$N:$N,$B22+5)/INDEX(Properties!$R:$R,$B22+5),0))</f>
        <v>0</v>
      </c>
      <c r="BI22" s="123" cm="1">
        <f t="array" ref="BI22">INDEX(Properties!$D:$D,$B22+5)*(IF(AND(BI$3&gt;=INDEX(Properties!$Q:$Q,$B22+5),BI$3&lt;INDEX(Properties!$T:$T,$B22+5)),INDEX(Properties!$N:$N,$B22+5)/INDEX(Properties!$R:$R,$B22+5),0))</f>
        <v>0</v>
      </c>
      <c r="BJ22" s="123" cm="1">
        <f t="array" ref="BJ22">INDEX(Properties!$D:$D,$B22+5)*(IF(AND(BJ$3&gt;=INDEX(Properties!$Q:$Q,$B22+5),BJ$3&lt;INDEX(Properties!$T:$T,$B22+5)),INDEX(Properties!$N:$N,$B22+5)/INDEX(Properties!$R:$R,$B22+5),0))</f>
        <v>0</v>
      </c>
      <c r="BK22" s="123" cm="1">
        <f t="array" ref="BK22">INDEX(Properties!$D:$D,$B22+5)*(IF(AND(BK$3&gt;=INDEX(Properties!$Q:$Q,$B22+5),BK$3&lt;INDEX(Properties!$T:$T,$B22+5)),INDEX(Properties!$N:$N,$B22+5)/INDEX(Properties!$R:$R,$B22+5),0))</f>
        <v>0</v>
      </c>
      <c r="BL22" s="123" cm="1">
        <f t="array" ref="BL22">INDEX(Properties!$D:$D,$B22+5)*(IF(AND(BL$3&gt;=INDEX(Properties!$Q:$Q,$B22+5),BL$3&lt;INDEX(Properties!$T:$T,$B22+5)),INDEX(Properties!$N:$N,$B22+5)/INDEX(Properties!$R:$R,$B22+5),0))</f>
        <v>0</v>
      </c>
      <c r="BM22" s="123" cm="1">
        <f t="array" ref="BM22">INDEX(Properties!$D:$D,$B22+5)*(IF(AND(BM$3&gt;=INDEX(Properties!$Q:$Q,$B22+5),BM$3&lt;INDEX(Properties!$T:$T,$B22+5)),INDEX(Properties!$N:$N,$B22+5)/INDEX(Properties!$R:$R,$B22+5),0))</f>
        <v>0</v>
      </c>
      <c r="BN22" s="123" cm="1">
        <f t="array" ref="BN22">INDEX(Properties!$D:$D,$B22+5)*(IF(AND(BN$3&gt;=INDEX(Properties!$Q:$Q,$B22+5),BN$3&lt;INDEX(Properties!$T:$T,$B22+5)),INDEX(Properties!$N:$N,$B22+5)/INDEX(Properties!$R:$R,$B22+5),0))</f>
        <v>0</v>
      </c>
      <c r="BO22" s="123" cm="1">
        <f t="array" ref="BO22">INDEX(Properties!$D:$D,$B22+5)*(IF(AND(BO$3&gt;=INDEX(Properties!$Q:$Q,$B22+5),BO$3&lt;INDEX(Properties!$T:$T,$B22+5)),INDEX(Properties!$N:$N,$B22+5)/INDEX(Properties!$R:$R,$B22+5),0))</f>
        <v>0</v>
      </c>
      <c r="BP22" s="123" cm="1">
        <f t="array" ref="BP22">INDEX(Properties!$D:$D,$B22+5)*(IF(AND(BP$3&gt;=INDEX(Properties!$Q:$Q,$B22+5),BP$3&lt;INDEX(Properties!$T:$T,$B22+5)),INDEX(Properties!$N:$N,$B22+5)/INDEX(Properties!$R:$R,$B22+5),0))</f>
        <v>0</v>
      </c>
      <c r="BQ22" s="123" cm="1">
        <f t="array" ref="BQ22">INDEX(Properties!$D:$D,$B22+5)*(IF(AND(BQ$3&gt;=INDEX(Properties!$Q:$Q,$B22+5),BQ$3&lt;INDEX(Properties!$T:$T,$B22+5)),INDEX(Properties!$N:$N,$B22+5)/INDEX(Properties!$R:$R,$B22+5),0))</f>
        <v>0</v>
      </c>
      <c r="BR22" s="123" cm="1">
        <f t="array" ref="BR22">INDEX(Properties!$D:$D,$B22+5)*(IF(AND(BR$3&gt;=INDEX(Properties!$Q:$Q,$B22+5),BR$3&lt;INDEX(Properties!$T:$T,$B22+5)),INDEX(Properties!$N:$N,$B22+5)/INDEX(Properties!$R:$R,$B22+5),0))</f>
        <v>0</v>
      </c>
      <c r="BS22" s="123" cm="1">
        <f t="array" ref="BS22">INDEX(Properties!$D:$D,$B22+5)*(IF(AND(BS$3&gt;=INDEX(Properties!$Q:$Q,$B22+5),BS$3&lt;INDEX(Properties!$T:$T,$B22+5)),INDEX(Properties!$N:$N,$B22+5)/INDEX(Properties!$R:$R,$B22+5),0))</f>
        <v>0</v>
      </c>
      <c r="BT22" s="123" cm="1">
        <f t="array" ref="BT22">INDEX(Properties!$D:$D,$B22+5)*(IF(AND(BT$3&gt;=INDEX(Properties!$Q:$Q,$B22+5),BT$3&lt;INDEX(Properties!$T:$T,$B22+5)),INDEX(Properties!$N:$N,$B22+5)/INDEX(Properties!$R:$R,$B22+5),0))</f>
        <v>0</v>
      </c>
      <c r="BU22" s="123" cm="1">
        <f t="array" ref="BU22">INDEX(Properties!$D:$D,$B22+5)*(IF(AND(BU$3&gt;=INDEX(Properties!$Q:$Q,$B22+5),BU$3&lt;INDEX(Properties!$T:$T,$B22+5)),INDEX(Properties!$N:$N,$B22+5)/INDEX(Properties!$R:$R,$B22+5),0))</f>
        <v>0</v>
      </c>
      <c r="BV22" s="123" cm="1">
        <f t="array" ref="BV22">INDEX(Properties!$D:$D,$B22+5)*(IF(AND(BV$3&gt;=INDEX(Properties!$Q:$Q,$B22+5),BV$3&lt;INDEX(Properties!$T:$T,$B22+5)),INDEX(Properties!$N:$N,$B22+5)/INDEX(Properties!$R:$R,$B22+5),0))</f>
        <v>0</v>
      </c>
      <c r="BW22" s="123" cm="1">
        <f t="array" ref="BW22">INDEX(Properties!$D:$D,$B22+5)*(IF(AND(BW$3&gt;=INDEX(Properties!$Q:$Q,$B22+5),BW$3&lt;INDEX(Properties!$T:$T,$B22+5)),INDEX(Properties!$N:$N,$B22+5)/INDEX(Properties!$R:$R,$B22+5),0))</f>
        <v>0</v>
      </c>
      <c r="BX22" s="123" cm="1">
        <f t="array" ref="BX22">INDEX(Properties!$D:$D,$B22+5)*(IF(AND(BX$3&gt;=INDEX(Properties!$Q:$Q,$B22+5),BX$3&lt;INDEX(Properties!$T:$T,$B22+5)),INDEX(Properties!$N:$N,$B22+5)/INDEX(Properties!$R:$R,$B22+5),0))</f>
        <v>0</v>
      </c>
      <c r="BY22" s="123" cm="1">
        <f t="array" ref="BY22">INDEX(Properties!$D:$D,$B22+5)*(IF(AND(BY$3&gt;=INDEX(Properties!$Q:$Q,$B22+5),BY$3&lt;INDEX(Properties!$T:$T,$B22+5)),INDEX(Properties!$N:$N,$B22+5)/INDEX(Properties!$R:$R,$B22+5),0))</f>
        <v>0</v>
      </c>
      <c r="BZ22" s="123" cm="1">
        <f t="array" ref="BZ22">INDEX(Properties!$D:$D,$B22+5)*(IF(AND(BZ$3&gt;=INDEX(Properties!$Q:$Q,$B22+5),BZ$3&lt;INDEX(Properties!$T:$T,$B22+5)),INDEX(Properties!$N:$N,$B22+5)/INDEX(Properties!$R:$R,$B22+5),0))</f>
        <v>0</v>
      </c>
      <c r="CA22" s="123" cm="1">
        <f t="array" ref="CA22">INDEX(Properties!$D:$D,$B22+5)*(IF(AND(CA$3&gt;=INDEX(Properties!$Q:$Q,$B22+5),CA$3&lt;INDEX(Properties!$T:$T,$B22+5)),INDEX(Properties!$N:$N,$B22+5)/INDEX(Properties!$R:$R,$B22+5),0))</f>
        <v>0</v>
      </c>
      <c r="CB22" s="123" cm="1">
        <f t="array" ref="CB22">INDEX(Properties!$D:$D,$B22+5)*(IF(AND(CB$3&gt;=INDEX(Properties!$Q:$Q,$B22+5),CB$3&lt;INDEX(Properties!$T:$T,$B22+5)),INDEX(Properties!$N:$N,$B22+5)/INDEX(Properties!$R:$R,$B22+5),0))</f>
        <v>0</v>
      </c>
      <c r="CC22" s="123" cm="1">
        <f t="array" ref="CC22">INDEX(Properties!$D:$D,$B22+5)*(IF(AND(CC$3&gt;=INDEX(Properties!$Q:$Q,$B22+5),CC$3&lt;INDEX(Properties!$T:$T,$B22+5)),INDEX(Properties!$N:$N,$B22+5)/INDEX(Properties!$R:$R,$B22+5),0))</f>
        <v>0</v>
      </c>
      <c r="CD22" s="123" cm="1">
        <f t="array" ref="CD22">INDEX(Properties!$D:$D,$B22+5)*(IF(AND(CD$3&gt;=INDEX(Properties!$Q:$Q,$B22+5),CD$3&lt;INDEX(Properties!$T:$T,$B22+5)),INDEX(Properties!$N:$N,$B22+5)/INDEX(Properties!$R:$R,$B22+5),0))</f>
        <v>0</v>
      </c>
      <c r="CE22" s="123" cm="1">
        <f t="array" ref="CE22">INDEX(Properties!$D:$D,$B22+5)*(IF(AND(CE$3&gt;=INDEX(Properties!$Q:$Q,$B22+5),CE$3&lt;INDEX(Properties!$T:$T,$B22+5)),INDEX(Properties!$N:$N,$B22+5)/INDEX(Properties!$R:$R,$B22+5),0))</f>
        <v>0</v>
      </c>
      <c r="CF22" s="123" cm="1">
        <f t="array" ref="CF22">INDEX(Properties!$D:$D,$B22+5)*(IF(AND(CF$3&gt;=INDEX(Properties!$Q:$Q,$B22+5),CF$3&lt;INDEX(Properties!$T:$T,$B22+5)),INDEX(Properties!$N:$N,$B22+5)/INDEX(Properties!$R:$R,$B22+5),0))</f>
        <v>0</v>
      </c>
      <c r="CG22" s="123" cm="1">
        <f t="array" ref="CG22">INDEX(Properties!$D:$D,$B22+5)*(IF(AND(CG$3&gt;=INDEX(Properties!$Q:$Q,$B22+5),CG$3&lt;INDEX(Properties!$T:$T,$B22+5)),INDEX(Properties!$N:$N,$B22+5)/INDEX(Properties!$R:$R,$B22+5),0))</f>
        <v>0</v>
      </c>
      <c r="CH22" s="123" cm="1">
        <f t="array" ref="CH22">INDEX(Properties!$D:$D,$B22+5)*(IF(AND(CH$3&gt;=INDEX(Properties!$Q:$Q,$B22+5),CH$3&lt;INDEX(Properties!$T:$T,$B22+5)),INDEX(Properties!$N:$N,$B22+5)/INDEX(Properties!$R:$R,$B22+5),0))</f>
        <v>0</v>
      </c>
      <c r="CI22" s="123" cm="1">
        <f t="array" ref="CI22">INDEX(Properties!$D:$D,$B22+5)*(IF(AND(CI$3&gt;=INDEX(Properties!$Q:$Q,$B22+5),CI$3&lt;INDEX(Properties!$T:$T,$B22+5)),INDEX(Properties!$N:$N,$B22+5)/INDEX(Properties!$R:$R,$B22+5),0))</f>
        <v>0</v>
      </c>
      <c r="CJ22" s="123" cm="1">
        <f t="array" ref="CJ22">INDEX(Properties!$D:$D,$B22+5)*(IF(AND(CJ$3&gt;=INDEX(Properties!$Q:$Q,$B22+5),CJ$3&lt;INDEX(Properties!$T:$T,$B22+5)),INDEX(Properties!$N:$N,$B22+5)/INDEX(Properties!$R:$R,$B22+5),0))</f>
        <v>0</v>
      </c>
      <c r="CK22" s="123" cm="1">
        <f t="array" ref="CK22">INDEX(Properties!$D:$D,$B22+5)*(IF(AND(CK$3&gt;=INDEX(Properties!$Q:$Q,$B22+5),CK$3&lt;INDEX(Properties!$T:$T,$B22+5)),INDEX(Properties!$N:$N,$B22+5)/INDEX(Properties!$R:$R,$B22+5),0))</f>
        <v>0</v>
      </c>
      <c r="CL22" s="123" cm="1">
        <f t="array" ref="CL22">INDEX(Properties!$D:$D,$B22+5)*(IF(AND(CL$3&gt;=INDEX(Properties!$Q:$Q,$B22+5),CL$3&lt;INDEX(Properties!$T:$T,$B22+5)),INDEX(Properties!$N:$N,$B22+5)/INDEX(Properties!$R:$R,$B22+5),0))</f>
        <v>0</v>
      </c>
      <c r="CM22" s="123" cm="1">
        <f t="array" ref="CM22">INDEX(Properties!$D:$D,$B22+5)*(IF(AND(CM$3&gt;=INDEX(Properties!$Q:$Q,$B22+5),CM$3&lt;INDEX(Properties!$T:$T,$B22+5)),INDEX(Properties!$N:$N,$B22+5)/INDEX(Properties!$R:$R,$B22+5),0))</f>
        <v>0</v>
      </c>
      <c r="CN22" s="123" cm="1">
        <f t="array" ref="CN22">INDEX(Properties!$D:$D,$B22+5)*(IF(AND(CN$3&gt;=INDEX(Properties!$Q:$Q,$B22+5),CN$3&lt;INDEX(Properties!$T:$T,$B22+5)),INDEX(Properties!$N:$N,$B22+5)/INDEX(Properties!$R:$R,$B22+5),0))</f>
        <v>0</v>
      </c>
      <c r="CO22" s="123" cm="1">
        <f t="array" ref="CO22">INDEX(Properties!$D:$D,$B22+5)*(IF(AND(CO$3&gt;=INDEX(Properties!$Q:$Q,$B22+5),CO$3&lt;INDEX(Properties!$T:$T,$B22+5)),INDEX(Properties!$N:$N,$B22+5)/INDEX(Properties!$R:$R,$B22+5),0))</f>
        <v>0</v>
      </c>
      <c r="CP22" s="123" cm="1">
        <f t="array" ref="CP22">INDEX(Properties!$D:$D,$B22+5)*(IF(AND(CP$3&gt;=INDEX(Properties!$Q:$Q,$B22+5),CP$3&lt;INDEX(Properties!$T:$T,$B22+5)),INDEX(Properties!$N:$N,$B22+5)/INDEX(Properties!$R:$R,$B22+5),0))</f>
        <v>0</v>
      </c>
      <c r="CQ22" s="123" cm="1">
        <f t="array" ref="CQ22">INDEX(Properties!$D:$D,$B22+5)*(IF(AND(CQ$3&gt;=INDEX(Properties!$Q:$Q,$B22+5),CQ$3&lt;INDEX(Properties!$T:$T,$B22+5)),INDEX(Properties!$N:$N,$B22+5)/INDEX(Properties!$R:$R,$B22+5),0))</f>
        <v>0</v>
      </c>
      <c r="CR22" s="123" cm="1">
        <f t="array" ref="CR22">INDEX(Properties!$D:$D,$B22+5)*(IF(AND(CR$3&gt;=INDEX(Properties!$Q:$Q,$B22+5),CR$3&lt;INDEX(Properties!$T:$T,$B22+5)),INDEX(Properties!$N:$N,$B22+5)/INDEX(Properties!$R:$R,$B22+5),0))</f>
        <v>0</v>
      </c>
      <c r="CS22" s="123" cm="1">
        <f t="array" ref="CS22">INDEX(Properties!$D:$D,$B22+5)*(IF(AND(CS$3&gt;=INDEX(Properties!$Q:$Q,$B22+5),CS$3&lt;INDEX(Properties!$T:$T,$B22+5)),INDEX(Properties!$N:$N,$B22+5)/INDEX(Properties!$R:$R,$B22+5),0))</f>
        <v>0</v>
      </c>
      <c r="CT22" s="123" cm="1">
        <f t="array" ref="CT22">INDEX(Properties!$D:$D,$B22+5)*(IF(AND(CT$3&gt;=INDEX(Properties!$Q:$Q,$B22+5),CT$3&lt;INDEX(Properties!$T:$T,$B22+5)),INDEX(Properties!$N:$N,$B22+5)/INDEX(Properties!$R:$R,$B22+5),0))</f>
        <v>0</v>
      </c>
      <c r="CU22" s="123" cm="1">
        <f t="array" ref="CU22">INDEX(Properties!$D:$D,$B22+5)*(IF(AND(CU$3&gt;=INDEX(Properties!$Q:$Q,$B22+5),CU$3&lt;INDEX(Properties!$T:$T,$B22+5)),INDEX(Properties!$N:$N,$B22+5)/INDEX(Properties!$R:$R,$B22+5),0))</f>
        <v>0</v>
      </c>
      <c r="CV22" s="123" cm="1">
        <f t="array" ref="CV22">INDEX(Properties!$D:$D,$B22+5)*(IF(AND(CV$3&gt;=INDEX(Properties!$Q:$Q,$B22+5),CV$3&lt;INDEX(Properties!$T:$T,$B22+5)),INDEX(Properties!$N:$N,$B22+5)/INDEX(Properties!$R:$R,$B22+5),0))</f>
        <v>0</v>
      </c>
      <c r="CW22" s="123" cm="1">
        <f t="array" ref="CW22">INDEX(Properties!$D:$D,$B22+5)*(IF(AND(CW$3&gt;=INDEX(Properties!$Q:$Q,$B22+5),CW$3&lt;INDEX(Properties!$T:$T,$B22+5)),INDEX(Properties!$N:$N,$B22+5)/INDEX(Properties!$R:$R,$B22+5),0))</f>
        <v>0</v>
      </c>
      <c r="CX22" s="123" cm="1">
        <f t="array" ref="CX22">INDEX(Properties!$D:$D,$B22+5)*(IF(AND(CX$3&gt;=INDEX(Properties!$Q:$Q,$B22+5),CX$3&lt;INDEX(Properties!$T:$T,$B22+5)),INDEX(Properties!$N:$N,$B22+5)/INDEX(Properties!$R:$R,$B22+5),0))</f>
        <v>0</v>
      </c>
      <c r="CY22" s="123" cm="1">
        <f t="array" ref="CY22">INDEX(Properties!$D:$D,$B22+5)*(IF(AND(CY$3&gt;=INDEX(Properties!$Q:$Q,$B22+5),CY$3&lt;INDEX(Properties!$T:$T,$B22+5)),INDEX(Properties!$N:$N,$B22+5)/INDEX(Properties!$R:$R,$B22+5),0))</f>
        <v>0</v>
      </c>
      <c r="CZ22" s="123" cm="1">
        <f t="array" ref="CZ22">INDEX(Properties!$D:$D,$B22+5)*(IF(AND(CZ$3&gt;=INDEX(Properties!$Q:$Q,$B22+5),CZ$3&lt;INDEX(Properties!$T:$T,$B22+5)),INDEX(Properties!$N:$N,$B22+5)/INDEX(Properties!$R:$R,$B22+5),0))</f>
        <v>0</v>
      </c>
      <c r="DA22" s="123" cm="1">
        <f t="array" ref="DA22">INDEX(Properties!$D:$D,$B22+5)*(IF(AND(DA$3&gt;=INDEX(Properties!$Q:$Q,$B22+5),DA$3&lt;INDEX(Properties!$T:$T,$B22+5)),INDEX(Properties!$N:$N,$B22+5)/INDEX(Properties!$R:$R,$B22+5),0))</f>
        <v>0</v>
      </c>
      <c r="DB22" s="123" cm="1">
        <f t="array" ref="DB22">INDEX(Properties!$D:$D,$B22+5)*(IF(AND(DB$3&gt;=INDEX(Properties!$Q:$Q,$B22+5),DB$3&lt;INDEX(Properties!$T:$T,$B22+5)),INDEX(Properties!$N:$N,$B22+5)/INDEX(Properties!$R:$R,$B22+5),0))</f>
        <v>0</v>
      </c>
      <c r="DC22" s="123" cm="1">
        <f t="array" ref="DC22">INDEX(Properties!$D:$D,$B22+5)*(IF(AND(DC$3&gt;=INDEX(Properties!$Q:$Q,$B22+5),DC$3&lt;INDEX(Properties!$T:$T,$B22+5)),INDEX(Properties!$N:$N,$B22+5)/INDEX(Properties!$R:$R,$B22+5),0))</f>
        <v>0</v>
      </c>
      <c r="DD22" s="123" cm="1">
        <f t="array" ref="DD22">INDEX(Properties!$D:$D,$B22+5)*(IF(AND(DD$3&gt;=INDEX(Properties!$Q:$Q,$B22+5),DD$3&lt;INDEX(Properties!$T:$T,$B22+5)),INDEX(Properties!$N:$N,$B22+5)/INDEX(Properties!$R:$R,$B22+5),0))</f>
        <v>0</v>
      </c>
      <c r="DE22" s="123" cm="1">
        <f t="array" ref="DE22">INDEX(Properties!$D:$D,$B22+5)*(IF(AND(DE$3&gt;=INDEX(Properties!$Q:$Q,$B22+5),DE$3&lt;INDEX(Properties!$T:$T,$B22+5)),INDEX(Properties!$N:$N,$B22+5)/INDEX(Properties!$R:$R,$B22+5),0))</f>
        <v>0</v>
      </c>
      <c r="DF22" s="123" cm="1">
        <f t="array" ref="DF22">INDEX(Properties!$D:$D,$B22+5)*(IF(AND(DF$3&gt;=INDEX(Properties!$Q:$Q,$B22+5),DF$3&lt;INDEX(Properties!$T:$T,$B22+5)),INDEX(Properties!$N:$N,$B22+5)/INDEX(Properties!$R:$R,$B22+5),0))</f>
        <v>0</v>
      </c>
      <c r="DG22" s="123" cm="1">
        <f t="array" ref="DG22">INDEX(Properties!$D:$D,$B22+5)*(IF(AND(DG$3&gt;=INDEX(Properties!$Q:$Q,$B22+5),DG$3&lt;INDEX(Properties!$T:$T,$B22+5)),INDEX(Properties!$N:$N,$B22+5)/INDEX(Properties!$R:$R,$B22+5),0))</f>
        <v>0</v>
      </c>
      <c r="DH22" s="123" cm="1">
        <f t="array" ref="DH22">INDEX(Properties!$D:$D,$B22+5)*(IF(AND(DH$3&gt;=INDEX(Properties!$Q:$Q,$B22+5),DH$3&lt;INDEX(Properties!$T:$T,$B22+5)),INDEX(Properties!$N:$N,$B22+5)/INDEX(Properties!$R:$R,$B22+5),0))</f>
        <v>0</v>
      </c>
      <c r="DI22" s="123" cm="1">
        <f t="array" ref="DI22">INDEX(Properties!$D:$D,$B22+5)*(IF(AND(DI$3&gt;=INDEX(Properties!$Q:$Q,$B22+5),DI$3&lt;INDEX(Properties!$T:$T,$B22+5)),INDEX(Properties!$N:$N,$B22+5)/INDEX(Properties!$R:$R,$B22+5),0))</f>
        <v>0</v>
      </c>
      <c r="DJ22" s="123" cm="1">
        <f t="array" ref="DJ22">INDEX(Properties!$D:$D,$B22+5)*(IF(AND(DJ$3&gt;=INDEX(Properties!$Q:$Q,$B22+5),DJ$3&lt;INDEX(Properties!$T:$T,$B22+5)),INDEX(Properties!$N:$N,$B22+5)/INDEX(Properties!$R:$R,$B22+5),0))</f>
        <v>0</v>
      </c>
      <c r="DK22" s="123" cm="1">
        <f t="array" ref="DK22">INDEX(Properties!$D:$D,$B22+5)*(IF(AND(DK$3&gt;=INDEX(Properties!$Q:$Q,$B22+5),DK$3&lt;INDEX(Properties!$T:$T,$B22+5)),INDEX(Properties!$N:$N,$B22+5)/INDEX(Properties!$R:$R,$B22+5),0))</f>
        <v>0</v>
      </c>
      <c r="DL22" s="123" cm="1">
        <f t="array" ref="DL22">INDEX(Properties!$D:$D,$B22+5)*(IF(AND(DL$3&gt;=INDEX(Properties!$Q:$Q,$B22+5),DL$3&lt;INDEX(Properties!$T:$T,$B22+5)),INDEX(Properties!$N:$N,$B22+5)/INDEX(Properties!$R:$R,$B22+5),0))</f>
        <v>0</v>
      </c>
      <c r="DM22" s="123" cm="1">
        <f t="array" ref="DM22">INDEX(Properties!$D:$D,$B22+5)*(IF(AND(DM$3&gt;=INDEX(Properties!$Q:$Q,$B22+5),DM$3&lt;INDEX(Properties!$T:$T,$B22+5)),INDEX(Properties!$N:$N,$B22+5)/INDEX(Properties!$R:$R,$B22+5),0))</f>
        <v>0</v>
      </c>
      <c r="DN22" s="123" cm="1">
        <f t="array" ref="DN22">INDEX(Properties!$D:$D,$B22+5)*(IF(AND(DN$3&gt;=INDEX(Properties!$Q:$Q,$B22+5),DN$3&lt;INDEX(Properties!$T:$T,$B22+5)),INDEX(Properties!$N:$N,$B22+5)/INDEX(Properties!$R:$R,$B22+5),0))</f>
        <v>0</v>
      </c>
      <c r="DO22" s="123" cm="1">
        <f t="array" ref="DO22">INDEX(Properties!$D:$D,$B22+5)*(IF(AND(DO$3&gt;=INDEX(Properties!$Q:$Q,$B22+5),DO$3&lt;INDEX(Properties!$T:$T,$B22+5)),INDEX(Properties!$N:$N,$B22+5)/INDEX(Properties!$R:$R,$B22+5),0))</f>
        <v>0</v>
      </c>
      <c r="DP22" s="123" cm="1">
        <f t="array" ref="DP22">INDEX(Properties!$D:$D,$B22+5)*(IF(AND(DP$3&gt;=INDEX(Properties!$Q:$Q,$B22+5),DP$3&lt;INDEX(Properties!$T:$T,$B22+5)),INDEX(Properties!$N:$N,$B22+5)/INDEX(Properties!$R:$R,$B22+5),0))</f>
        <v>0</v>
      </c>
      <c r="DQ22" s="123" cm="1">
        <f t="array" ref="DQ22">INDEX(Properties!$D:$D,$B22+5)*(IF(AND(DQ$3&gt;=INDEX(Properties!$Q:$Q,$B22+5),DQ$3&lt;INDEX(Properties!$T:$T,$B22+5)),INDEX(Properties!$N:$N,$B22+5)/INDEX(Properties!$R:$R,$B22+5),0))</f>
        <v>0</v>
      </c>
      <c r="DR22" s="123" cm="1">
        <f t="array" ref="DR22">INDEX(Properties!$D:$D,$B22+5)*(IF(AND(DR$3&gt;=INDEX(Properties!$Q:$Q,$B22+5),DR$3&lt;INDEX(Properties!$T:$T,$B22+5)),INDEX(Properties!$N:$N,$B22+5)/INDEX(Properties!$R:$R,$B22+5),0))</f>
        <v>0</v>
      </c>
    </row>
    <row r="23" spans="1:122" ht="16.05" customHeight="1" x14ac:dyDescent="0.3">
      <c r="A23" s="148" t="str" cm="1">
        <f t="array" ref="A23">INDEX(Properties!$E:$E,$B23+5)</f>
        <v>San Lucas Apto 101</v>
      </c>
      <c r="B23" s="1">
        <v>3</v>
      </c>
      <c r="C23" s="123" cm="1">
        <f t="array" ref="C23">INDEX(Properties!$D:$D,$B23+5)*(IF(AND(C$3&gt;=INDEX(Properties!$Q:$Q,$B23+5),C$3&lt;INDEX(Properties!$T:$T,$B23+5)),INDEX(Properties!$N:$N,$B23+5)/INDEX(Properties!$R:$R,$B23+5),0))</f>
        <v>0</v>
      </c>
      <c r="D23" s="123" cm="1">
        <f t="array" ref="D23">INDEX(Properties!$D:$D,$B23+5)*(IF(AND(D$3&gt;=INDEX(Properties!$Q:$Q,$B23+5),D$3&lt;INDEX(Properties!$T:$T,$B23+5)),INDEX(Properties!$N:$N,$B23+5)/INDEX(Properties!$R:$R,$B23+5),0))</f>
        <v>0</v>
      </c>
      <c r="E23" s="123" cm="1">
        <f t="array" ref="E23">INDEX(Properties!$D:$D,$B23+5)*(IF(AND(E$3&gt;=INDEX(Properties!$Q:$Q,$B23+5),E$3&lt;INDEX(Properties!$T:$T,$B23+5)),INDEX(Properties!$N:$N,$B23+5)/INDEX(Properties!$R:$R,$B23+5),0))</f>
        <v>48543.689320388345</v>
      </c>
      <c r="F23" s="123" cm="1">
        <f t="array" ref="F23">INDEX(Properties!$D:$D,$B23+5)*(IF(AND(F$3&gt;=INDEX(Properties!$Q:$Q,$B23+5),F$3&lt;INDEX(Properties!$T:$T,$B23+5)),INDEX(Properties!$N:$N,$B23+5)/INDEX(Properties!$R:$R,$B23+5),0))</f>
        <v>48543.689320388345</v>
      </c>
      <c r="G23" s="123" cm="1">
        <f t="array" ref="G23">INDEX(Properties!$D:$D,$B23+5)*(IF(AND(G$3&gt;=INDEX(Properties!$Q:$Q,$B23+5),G$3&lt;INDEX(Properties!$T:$T,$B23+5)),INDEX(Properties!$N:$N,$B23+5)/INDEX(Properties!$R:$R,$B23+5),0))</f>
        <v>48543.689320388345</v>
      </c>
      <c r="H23" s="123" cm="1">
        <f t="array" ref="H23">INDEX(Properties!$D:$D,$B23+5)*(IF(AND(H$3&gt;=INDEX(Properties!$Q:$Q,$B23+5),H$3&lt;INDEX(Properties!$T:$T,$B23+5)),INDEX(Properties!$N:$N,$B23+5)/INDEX(Properties!$R:$R,$B23+5),0))</f>
        <v>48543.689320388345</v>
      </c>
      <c r="I23" s="123" cm="1">
        <f t="array" ref="I23">INDEX(Properties!$D:$D,$B23+5)*(IF(AND(I$3&gt;=INDEX(Properties!$Q:$Q,$B23+5),I$3&lt;INDEX(Properties!$T:$T,$B23+5)),INDEX(Properties!$N:$N,$B23+5)/INDEX(Properties!$R:$R,$B23+5),0))</f>
        <v>48543.689320388345</v>
      </c>
      <c r="J23" s="123" cm="1">
        <f t="array" ref="J23">INDEX(Properties!$D:$D,$B23+5)*(IF(AND(J$3&gt;=INDEX(Properties!$Q:$Q,$B23+5),J$3&lt;INDEX(Properties!$T:$T,$B23+5)),INDEX(Properties!$N:$N,$B23+5)/INDEX(Properties!$R:$R,$B23+5),0))</f>
        <v>48543.689320388345</v>
      </c>
      <c r="K23" s="123" cm="1">
        <f t="array" ref="K23">INDEX(Properties!$D:$D,$B23+5)*(IF(AND(K$3&gt;=INDEX(Properties!$Q:$Q,$B23+5),K$3&lt;INDEX(Properties!$T:$T,$B23+5)),INDEX(Properties!$N:$N,$B23+5)/INDEX(Properties!$R:$R,$B23+5),0))</f>
        <v>0</v>
      </c>
      <c r="L23" s="123" cm="1">
        <f t="array" ref="L23">INDEX(Properties!$D:$D,$B23+5)*(IF(AND(L$3&gt;=INDEX(Properties!$Q:$Q,$B23+5),L$3&lt;INDEX(Properties!$T:$T,$B23+5)),INDEX(Properties!$N:$N,$B23+5)/INDEX(Properties!$R:$R,$B23+5),0))</f>
        <v>0</v>
      </c>
      <c r="M23" s="123" cm="1">
        <f t="array" ref="M23">INDEX(Properties!$D:$D,$B23+5)*(IF(AND(M$3&gt;=INDEX(Properties!$Q:$Q,$B23+5),M$3&lt;INDEX(Properties!$T:$T,$B23+5)),INDEX(Properties!$N:$N,$B23+5)/INDEX(Properties!$R:$R,$B23+5),0))</f>
        <v>0</v>
      </c>
      <c r="N23" s="123" cm="1">
        <f t="array" ref="N23">INDEX(Properties!$D:$D,$B23+5)*(IF(AND(N$3&gt;=INDEX(Properties!$Q:$Q,$B23+5),N$3&lt;INDEX(Properties!$T:$T,$B23+5)),INDEX(Properties!$N:$N,$B23+5)/INDEX(Properties!$R:$R,$B23+5),0))</f>
        <v>0</v>
      </c>
      <c r="O23" s="123" cm="1">
        <f t="array" ref="O23">INDEX(Properties!$D:$D,$B23+5)*(IF(AND(O$3&gt;=INDEX(Properties!$Q:$Q,$B23+5),O$3&lt;INDEX(Properties!$T:$T,$B23+5)),INDEX(Properties!$N:$N,$B23+5)/INDEX(Properties!$R:$R,$B23+5),0))</f>
        <v>0</v>
      </c>
      <c r="P23" s="123" cm="1">
        <f t="array" ref="P23">INDEX(Properties!$D:$D,$B23+5)*(IF(AND(P$3&gt;=INDEX(Properties!$Q:$Q,$B23+5),P$3&lt;INDEX(Properties!$T:$T,$B23+5)),INDEX(Properties!$N:$N,$B23+5)/INDEX(Properties!$R:$R,$B23+5),0))</f>
        <v>0</v>
      </c>
      <c r="Q23" s="123" cm="1">
        <f t="array" ref="Q23">INDEX(Properties!$D:$D,$B23+5)*(IF(AND(Q$3&gt;=INDEX(Properties!$Q:$Q,$B23+5),Q$3&lt;INDEX(Properties!$T:$T,$B23+5)),INDEX(Properties!$N:$N,$B23+5)/INDEX(Properties!$R:$R,$B23+5),0))</f>
        <v>0</v>
      </c>
      <c r="R23" s="123" cm="1">
        <f t="array" ref="R23">INDEX(Properties!$D:$D,$B23+5)*(IF(AND(R$3&gt;=INDEX(Properties!$Q:$Q,$B23+5),R$3&lt;INDEX(Properties!$T:$T,$B23+5)),INDEX(Properties!$N:$N,$B23+5)/INDEX(Properties!$R:$R,$B23+5),0))</f>
        <v>0</v>
      </c>
      <c r="S23" s="123" cm="1">
        <f t="array" ref="S23">INDEX(Properties!$D:$D,$B23+5)*(IF(AND(S$3&gt;=INDEX(Properties!$Q:$Q,$B23+5),S$3&lt;INDEX(Properties!$T:$T,$B23+5)),INDEX(Properties!$N:$N,$B23+5)/INDEX(Properties!$R:$R,$B23+5),0))</f>
        <v>0</v>
      </c>
      <c r="T23" s="123" cm="1">
        <f t="array" ref="T23">INDEX(Properties!$D:$D,$B23+5)*(IF(AND(T$3&gt;=INDEX(Properties!$Q:$Q,$B23+5),T$3&lt;INDEX(Properties!$T:$T,$B23+5)),INDEX(Properties!$N:$N,$B23+5)/INDEX(Properties!$R:$R,$B23+5),0))</f>
        <v>0</v>
      </c>
      <c r="U23" s="123" cm="1">
        <f t="array" ref="U23">INDEX(Properties!$D:$D,$B23+5)*(IF(AND(U$3&gt;=INDEX(Properties!$Q:$Q,$B23+5),U$3&lt;INDEX(Properties!$T:$T,$B23+5)),INDEX(Properties!$N:$N,$B23+5)/INDEX(Properties!$R:$R,$B23+5),0))</f>
        <v>0</v>
      </c>
      <c r="V23" s="123" cm="1">
        <f t="array" ref="V23">INDEX(Properties!$D:$D,$B23+5)*(IF(AND(V$3&gt;=INDEX(Properties!$Q:$Q,$B23+5),V$3&lt;INDEX(Properties!$T:$T,$B23+5)),INDEX(Properties!$N:$N,$B23+5)/INDEX(Properties!$R:$R,$B23+5),0))</f>
        <v>0</v>
      </c>
      <c r="W23" s="123" cm="1">
        <f t="array" ref="W23">INDEX(Properties!$D:$D,$B23+5)*(IF(AND(W$3&gt;=INDEX(Properties!$Q:$Q,$B23+5),W$3&lt;INDEX(Properties!$T:$T,$B23+5)),INDEX(Properties!$N:$N,$B23+5)/INDEX(Properties!$R:$R,$B23+5),0))</f>
        <v>0</v>
      </c>
      <c r="X23" s="123" cm="1">
        <f t="array" ref="X23">INDEX(Properties!$D:$D,$B23+5)*(IF(AND(X$3&gt;=INDEX(Properties!$Q:$Q,$B23+5),X$3&lt;INDEX(Properties!$T:$T,$B23+5)),INDEX(Properties!$N:$N,$B23+5)/INDEX(Properties!$R:$R,$B23+5),0))</f>
        <v>0</v>
      </c>
      <c r="Y23" s="123" cm="1">
        <f t="array" ref="Y23">INDEX(Properties!$D:$D,$B23+5)*(IF(AND(Y$3&gt;=INDEX(Properties!$Q:$Q,$B23+5),Y$3&lt;INDEX(Properties!$T:$T,$B23+5)),INDEX(Properties!$N:$N,$B23+5)/INDEX(Properties!$R:$R,$B23+5),0))</f>
        <v>0</v>
      </c>
      <c r="Z23" s="123" cm="1">
        <f t="array" ref="Z23">INDEX(Properties!$D:$D,$B23+5)*(IF(AND(Z$3&gt;=INDEX(Properties!$Q:$Q,$B23+5),Z$3&lt;INDEX(Properties!$T:$T,$B23+5)),INDEX(Properties!$N:$N,$B23+5)/INDEX(Properties!$R:$R,$B23+5),0))</f>
        <v>0</v>
      </c>
      <c r="AA23" s="123" cm="1">
        <f t="array" ref="AA23">INDEX(Properties!$D:$D,$B23+5)*(IF(AND(AA$3&gt;=INDEX(Properties!$Q:$Q,$B23+5),AA$3&lt;INDEX(Properties!$T:$T,$B23+5)),INDEX(Properties!$N:$N,$B23+5)/INDEX(Properties!$R:$R,$B23+5),0))</f>
        <v>0</v>
      </c>
      <c r="AB23" s="123" cm="1">
        <f t="array" ref="AB23">INDEX(Properties!$D:$D,$B23+5)*(IF(AND(AB$3&gt;=INDEX(Properties!$Q:$Q,$B23+5),AB$3&lt;INDEX(Properties!$T:$T,$B23+5)),INDEX(Properties!$N:$N,$B23+5)/INDEX(Properties!$R:$R,$B23+5),0))</f>
        <v>0</v>
      </c>
      <c r="AC23" s="123" cm="1">
        <f t="array" ref="AC23">INDEX(Properties!$D:$D,$B23+5)*(IF(AND(AC$3&gt;=INDEX(Properties!$Q:$Q,$B23+5),AC$3&lt;INDEX(Properties!$T:$T,$B23+5)),INDEX(Properties!$N:$N,$B23+5)/INDEX(Properties!$R:$R,$B23+5),0))</f>
        <v>0</v>
      </c>
      <c r="AD23" s="123" cm="1">
        <f t="array" ref="AD23">INDEX(Properties!$D:$D,$B23+5)*(IF(AND(AD$3&gt;=INDEX(Properties!$Q:$Q,$B23+5),AD$3&lt;INDEX(Properties!$T:$T,$B23+5)),INDEX(Properties!$N:$N,$B23+5)/INDEX(Properties!$R:$R,$B23+5),0))</f>
        <v>0</v>
      </c>
      <c r="AE23" s="123" cm="1">
        <f t="array" ref="AE23">INDEX(Properties!$D:$D,$B23+5)*(IF(AND(AE$3&gt;=INDEX(Properties!$Q:$Q,$B23+5),AE$3&lt;INDEX(Properties!$T:$T,$B23+5)),INDEX(Properties!$N:$N,$B23+5)/INDEX(Properties!$R:$R,$B23+5),0))</f>
        <v>0</v>
      </c>
      <c r="AF23" s="123" cm="1">
        <f t="array" ref="AF23">INDEX(Properties!$D:$D,$B23+5)*(IF(AND(AF$3&gt;=INDEX(Properties!$Q:$Q,$B23+5),AF$3&lt;INDEX(Properties!$T:$T,$B23+5)),INDEX(Properties!$N:$N,$B23+5)/INDEX(Properties!$R:$R,$B23+5),0))</f>
        <v>0</v>
      </c>
      <c r="AG23" s="123" cm="1">
        <f t="array" ref="AG23">INDEX(Properties!$D:$D,$B23+5)*(IF(AND(AG$3&gt;=INDEX(Properties!$Q:$Q,$B23+5),AG$3&lt;INDEX(Properties!$T:$T,$B23+5)),INDEX(Properties!$N:$N,$B23+5)/INDEX(Properties!$R:$R,$B23+5),0))</f>
        <v>0</v>
      </c>
      <c r="AH23" s="123" cm="1">
        <f t="array" ref="AH23">INDEX(Properties!$D:$D,$B23+5)*(IF(AND(AH$3&gt;=INDEX(Properties!$Q:$Q,$B23+5),AH$3&lt;INDEX(Properties!$T:$T,$B23+5)),INDEX(Properties!$N:$N,$B23+5)/INDEX(Properties!$R:$R,$B23+5),0))</f>
        <v>0</v>
      </c>
      <c r="AI23" s="123" cm="1">
        <f t="array" ref="AI23">INDEX(Properties!$D:$D,$B23+5)*(IF(AND(AI$3&gt;=INDEX(Properties!$Q:$Q,$B23+5),AI$3&lt;INDEX(Properties!$T:$T,$B23+5)),INDEX(Properties!$N:$N,$B23+5)/INDEX(Properties!$R:$R,$B23+5),0))</f>
        <v>0</v>
      </c>
      <c r="AJ23" s="123" cm="1">
        <f t="array" ref="AJ23">INDEX(Properties!$D:$D,$B23+5)*(IF(AND(AJ$3&gt;=INDEX(Properties!$Q:$Q,$B23+5),AJ$3&lt;INDEX(Properties!$T:$T,$B23+5)),INDEX(Properties!$N:$N,$B23+5)/INDEX(Properties!$R:$R,$B23+5),0))</f>
        <v>0</v>
      </c>
      <c r="AK23" s="123" cm="1">
        <f t="array" ref="AK23">INDEX(Properties!$D:$D,$B23+5)*(IF(AND(AK$3&gt;=INDEX(Properties!$Q:$Q,$B23+5),AK$3&lt;INDEX(Properties!$T:$T,$B23+5)),INDEX(Properties!$N:$N,$B23+5)/INDEX(Properties!$R:$R,$B23+5),0))</f>
        <v>0</v>
      </c>
      <c r="AL23" s="123" cm="1">
        <f t="array" ref="AL23">INDEX(Properties!$D:$D,$B23+5)*(IF(AND(AL$3&gt;=INDEX(Properties!$Q:$Q,$B23+5),AL$3&lt;INDEX(Properties!$T:$T,$B23+5)),INDEX(Properties!$N:$N,$B23+5)/INDEX(Properties!$R:$R,$B23+5),0))</f>
        <v>0</v>
      </c>
      <c r="AM23" s="123" cm="1">
        <f t="array" ref="AM23">INDEX(Properties!$D:$D,$B23+5)*(IF(AND(AM$3&gt;=INDEX(Properties!$Q:$Q,$B23+5),AM$3&lt;INDEX(Properties!$T:$T,$B23+5)),INDEX(Properties!$N:$N,$B23+5)/INDEX(Properties!$R:$R,$B23+5),0))</f>
        <v>0</v>
      </c>
      <c r="AN23" s="123" cm="1">
        <f t="array" ref="AN23">INDEX(Properties!$D:$D,$B23+5)*(IF(AND(AN$3&gt;=INDEX(Properties!$Q:$Q,$B23+5),AN$3&lt;INDEX(Properties!$T:$T,$B23+5)),INDEX(Properties!$N:$N,$B23+5)/INDEX(Properties!$R:$R,$B23+5),0))</f>
        <v>0</v>
      </c>
      <c r="AO23" s="123" cm="1">
        <f t="array" ref="AO23">INDEX(Properties!$D:$D,$B23+5)*(IF(AND(AO$3&gt;=INDEX(Properties!$Q:$Q,$B23+5),AO$3&lt;INDEX(Properties!$T:$T,$B23+5)),INDEX(Properties!$N:$N,$B23+5)/INDEX(Properties!$R:$R,$B23+5),0))</f>
        <v>0</v>
      </c>
      <c r="AP23" s="123" cm="1">
        <f t="array" ref="AP23">INDEX(Properties!$D:$D,$B23+5)*(IF(AND(AP$3&gt;=INDEX(Properties!$Q:$Q,$B23+5),AP$3&lt;INDEX(Properties!$T:$T,$B23+5)),INDEX(Properties!$N:$N,$B23+5)/INDEX(Properties!$R:$R,$B23+5),0))</f>
        <v>0</v>
      </c>
      <c r="AQ23" s="123" cm="1">
        <f t="array" ref="AQ23">INDEX(Properties!$D:$D,$B23+5)*(IF(AND(AQ$3&gt;=INDEX(Properties!$Q:$Q,$B23+5),AQ$3&lt;INDEX(Properties!$T:$T,$B23+5)),INDEX(Properties!$N:$N,$B23+5)/INDEX(Properties!$R:$R,$B23+5),0))</f>
        <v>0</v>
      </c>
      <c r="AR23" s="123" cm="1">
        <f t="array" ref="AR23">INDEX(Properties!$D:$D,$B23+5)*(IF(AND(AR$3&gt;=INDEX(Properties!$Q:$Q,$B23+5),AR$3&lt;INDEX(Properties!$T:$T,$B23+5)),INDEX(Properties!$N:$N,$B23+5)/INDEX(Properties!$R:$R,$B23+5),0))</f>
        <v>0</v>
      </c>
      <c r="AS23" s="123" cm="1">
        <f t="array" ref="AS23">INDEX(Properties!$D:$D,$B23+5)*(IF(AND(AS$3&gt;=INDEX(Properties!$Q:$Q,$B23+5),AS$3&lt;INDEX(Properties!$T:$T,$B23+5)),INDEX(Properties!$N:$N,$B23+5)/INDEX(Properties!$R:$R,$B23+5),0))</f>
        <v>0</v>
      </c>
      <c r="AT23" s="123" cm="1">
        <f t="array" ref="AT23">INDEX(Properties!$D:$D,$B23+5)*(IF(AND(AT$3&gt;=INDEX(Properties!$Q:$Q,$B23+5),AT$3&lt;INDEX(Properties!$T:$T,$B23+5)),INDEX(Properties!$N:$N,$B23+5)/INDEX(Properties!$R:$R,$B23+5),0))</f>
        <v>0</v>
      </c>
      <c r="AU23" s="123" cm="1">
        <f t="array" ref="AU23">INDEX(Properties!$D:$D,$B23+5)*(IF(AND(AU$3&gt;=INDEX(Properties!$Q:$Q,$B23+5),AU$3&lt;INDEX(Properties!$T:$T,$B23+5)),INDEX(Properties!$N:$N,$B23+5)/INDEX(Properties!$R:$R,$B23+5),0))</f>
        <v>0</v>
      </c>
      <c r="AV23" s="123" cm="1">
        <f t="array" ref="AV23">INDEX(Properties!$D:$D,$B23+5)*(IF(AND(AV$3&gt;=INDEX(Properties!$Q:$Q,$B23+5),AV$3&lt;INDEX(Properties!$T:$T,$B23+5)),INDEX(Properties!$N:$N,$B23+5)/INDEX(Properties!$R:$R,$B23+5),0))</f>
        <v>0</v>
      </c>
      <c r="AW23" s="123" cm="1">
        <f t="array" ref="AW23">INDEX(Properties!$D:$D,$B23+5)*(IF(AND(AW$3&gt;=INDEX(Properties!$Q:$Q,$B23+5),AW$3&lt;INDEX(Properties!$T:$T,$B23+5)),INDEX(Properties!$N:$N,$B23+5)/INDEX(Properties!$R:$R,$B23+5),0))</f>
        <v>0</v>
      </c>
      <c r="AX23" s="123" cm="1">
        <f t="array" ref="AX23">INDEX(Properties!$D:$D,$B23+5)*(IF(AND(AX$3&gt;=INDEX(Properties!$Q:$Q,$B23+5),AX$3&lt;INDEX(Properties!$T:$T,$B23+5)),INDEX(Properties!$N:$N,$B23+5)/INDEX(Properties!$R:$R,$B23+5),0))</f>
        <v>0</v>
      </c>
      <c r="AY23" s="123" cm="1">
        <f t="array" ref="AY23">INDEX(Properties!$D:$D,$B23+5)*(IF(AND(AY$3&gt;=INDEX(Properties!$Q:$Q,$B23+5),AY$3&lt;INDEX(Properties!$T:$T,$B23+5)),INDEX(Properties!$N:$N,$B23+5)/INDEX(Properties!$R:$R,$B23+5),0))</f>
        <v>0</v>
      </c>
      <c r="AZ23" s="123" cm="1">
        <f t="array" ref="AZ23">INDEX(Properties!$D:$D,$B23+5)*(IF(AND(AZ$3&gt;=INDEX(Properties!$Q:$Q,$B23+5),AZ$3&lt;INDEX(Properties!$T:$T,$B23+5)),INDEX(Properties!$N:$N,$B23+5)/INDEX(Properties!$R:$R,$B23+5),0))</f>
        <v>0</v>
      </c>
      <c r="BA23" s="123" cm="1">
        <f t="array" ref="BA23">INDEX(Properties!$D:$D,$B23+5)*(IF(AND(BA$3&gt;=INDEX(Properties!$Q:$Q,$B23+5),BA$3&lt;INDEX(Properties!$T:$T,$B23+5)),INDEX(Properties!$N:$N,$B23+5)/INDEX(Properties!$R:$R,$B23+5),0))</f>
        <v>0</v>
      </c>
      <c r="BB23" s="123" cm="1">
        <f t="array" ref="BB23">INDEX(Properties!$D:$D,$B23+5)*(IF(AND(BB$3&gt;=INDEX(Properties!$Q:$Q,$B23+5),BB$3&lt;INDEX(Properties!$T:$T,$B23+5)),INDEX(Properties!$N:$N,$B23+5)/INDEX(Properties!$R:$R,$B23+5),0))</f>
        <v>0</v>
      </c>
      <c r="BC23" s="123" cm="1">
        <f t="array" ref="BC23">INDEX(Properties!$D:$D,$B23+5)*(IF(AND(BC$3&gt;=INDEX(Properties!$Q:$Q,$B23+5),BC$3&lt;INDEX(Properties!$T:$T,$B23+5)),INDEX(Properties!$N:$N,$B23+5)/INDEX(Properties!$R:$R,$B23+5),0))</f>
        <v>0</v>
      </c>
      <c r="BD23" s="123" cm="1">
        <f t="array" ref="BD23">INDEX(Properties!$D:$D,$B23+5)*(IF(AND(BD$3&gt;=INDEX(Properties!$Q:$Q,$B23+5),BD$3&lt;INDEX(Properties!$T:$T,$B23+5)),INDEX(Properties!$N:$N,$B23+5)/INDEX(Properties!$R:$R,$B23+5),0))</f>
        <v>0</v>
      </c>
      <c r="BE23" s="123" cm="1">
        <f t="array" ref="BE23">INDEX(Properties!$D:$D,$B23+5)*(IF(AND(BE$3&gt;=INDEX(Properties!$Q:$Q,$B23+5),BE$3&lt;INDEX(Properties!$T:$T,$B23+5)),INDEX(Properties!$N:$N,$B23+5)/INDEX(Properties!$R:$R,$B23+5),0))</f>
        <v>0</v>
      </c>
      <c r="BF23" s="123" cm="1">
        <f t="array" ref="BF23">INDEX(Properties!$D:$D,$B23+5)*(IF(AND(BF$3&gt;=INDEX(Properties!$Q:$Q,$B23+5),BF$3&lt;INDEX(Properties!$T:$T,$B23+5)),INDEX(Properties!$N:$N,$B23+5)/INDEX(Properties!$R:$R,$B23+5),0))</f>
        <v>0</v>
      </c>
      <c r="BG23" s="123" cm="1">
        <f t="array" ref="BG23">INDEX(Properties!$D:$D,$B23+5)*(IF(AND(BG$3&gt;=INDEX(Properties!$Q:$Q,$B23+5),BG$3&lt;INDEX(Properties!$T:$T,$B23+5)),INDEX(Properties!$N:$N,$B23+5)/INDEX(Properties!$R:$R,$B23+5),0))</f>
        <v>0</v>
      </c>
      <c r="BH23" s="123" cm="1">
        <f t="array" ref="BH23">INDEX(Properties!$D:$D,$B23+5)*(IF(AND(BH$3&gt;=INDEX(Properties!$Q:$Q,$B23+5),BH$3&lt;INDEX(Properties!$T:$T,$B23+5)),INDEX(Properties!$N:$N,$B23+5)/INDEX(Properties!$R:$R,$B23+5),0))</f>
        <v>0</v>
      </c>
      <c r="BI23" s="123" cm="1">
        <f t="array" ref="BI23">INDEX(Properties!$D:$D,$B23+5)*(IF(AND(BI$3&gt;=INDEX(Properties!$Q:$Q,$B23+5),BI$3&lt;INDEX(Properties!$T:$T,$B23+5)),INDEX(Properties!$N:$N,$B23+5)/INDEX(Properties!$R:$R,$B23+5),0))</f>
        <v>0</v>
      </c>
      <c r="BJ23" s="123" cm="1">
        <f t="array" ref="BJ23">INDEX(Properties!$D:$D,$B23+5)*(IF(AND(BJ$3&gt;=INDEX(Properties!$Q:$Q,$B23+5),BJ$3&lt;INDEX(Properties!$T:$T,$B23+5)),INDEX(Properties!$N:$N,$B23+5)/INDEX(Properties!$R:$R,$B23+5),0))</f>
        <v>0</v>
      </c>
      <c r="BK23" s="123" cm="1">
        <f t="array" ref="BK23">INDEX(Properties!$D:$D,$B23+5)*(IF(AND(BK$3&gt;=INDEX(Properties!$Q:$Q,$B23+5),BK$3&lt;INDEX(Properties!$T:$T,$B23+5)),INDEX(Properties!$N:$N,$B23+5)/INDEX(Properties!$R:$R,$B23+5),0))</f>
        <v>0</v>
      </c>
      <c r="BL23" s="123" cm="1">
        <f t="array" ref="BL23">INDEX(Properties!$D:$D,$B23+5)*(IF(AND(BL$3&gt;=INDEX(Properties!$Q:$Q,$B23+5),BL$3&lt;INDEX(Properties!$T:$T,$B23+5)),INDEX(Properties!$N:$N,$B23+5)/INDEX(Properties!$R:$R,$B23+5),0))</f>
        <v>0</v>
      </c>
      <c r="BM23" s="123" cm="1">
        <f t="array" ref="BM23">INDEX(Properties!$D:$D,$B23+5)*(IF(AND(BM$3&gt;=INDEX(Properties!$Q:$Q,$B23+5),BM$3&lt;INDEX(Properties!$T:$T,$B23+5)),INDEX(Properties!$N:$N,$B23+5)/INDEX(Properties!$R:$R,$B23+5),0))</f>
        <v>0</v>
      </c>
      <c r="BN23" s="123" cm="1">
        <f t="array" ref="BN23">INDEX(Properties!$D:$D,$B23+5)*(IF(AND(BN$3&gt;=INDEX(Properties!$Q:$Q,$B23+5),BN$3&lt;INDEX(Properties!$T:$T,$B23+5)),INDEX(Properties!$N:$N,$B23+5)/INDEX(Properties!$R:$R,$B23+5),0))</f>
        <v>0</v>
      </c>
      <c r="BO23" s="123" cm="1">
        <f t="array" ref="BO23">INDEX(Properties!$D:$D,$B23+5)*(IF(AND(BO$3&gt;=INDEX(Properties!$Q:$Q,$B23+5),BO$3&lt;INDEX(Properties!$T:$T,$B23+5)),INDEX(Properties!$N:$N,$B23+5)/INDEX(Properties!$R:$R,$B23+5),0))</f>
        <v>0</v>
      </c>
      <c r="BP23" s="123" cm="1">
        <f t="array" ref="BP23">INDEX(Properties!$D:$D,$B23+5)*(IF(AND(BP$3&gt;=INDEX(Properties!$Q:$Q,$B23+5),BP$3&lt;INDEX(Properties!$T:$T,$B23+5)),INDEX(Properties!$N:$N,$B23+5)/INDEX(Properties!$R:$R,$B23+5),0))</f>
        <v>0</v>
      </c>
      <c r="BQ23" s="123" cm="1">
        <f t="array" ref="BQ23">INDEX(Properties!$D:$D,$B23+5)*(IF(AND(BQ$3&gt;=INDEX(Properties!$Q:$Q,$B23+5),BQ$3&lt;INDEX(Properties!$T:$T,$B23+5)),INDEX(Properties!$N:$N,$B23+5)/INDEX(Properties!$R:$R,$B23+5),0))</f>
        <v>0</v>
      </c>
      <c r="BR23" s="123" cm="1">
        <f t="array" ref="BR23">INDEX(Properties!$D:$D,$B23+5)*(IF(AND(BR$3&gt;=INDEX(Properties!$Q:$Q,$B23+5),BR$3&lt;INDEX(Properties!$T:$T,$B23+5)),INDEX(Properties!$N:$N,$B23+5)/INDEX(Properties!$R:$R,$B23+5),0))</f>
        <v>0</v>
      </c>
      <c r="BS23" s="123" cm="1">
        <f t="array" ref="BS23">INDEX(Properties!$D:$D,$B23+5)*(IF(AND(BS$3&gt;=INDEX(Properties!$Q:$Q,$B23+5),BS$3&lt;INDEX(Properties!$T:$T,$B23+5)),INDEX(Properties!$N:$N,$B23+5)/INDEX(Properties!$R:$R,$B23+5),0))</f>
        <v>0</v>
      </c>
      <c r="BT23" s="123" cm="1">
        <f t="array" ref="BT23">INDEX(Properties!$D:$D,$B23+5)*(IF(AND(BT$3&gt;=INDEX(Properties!$Q:$Q,$B23+5),BT$3&lt;INDEX(Properties!$T:$T,$B23+5)),INDEX(Properties!$N:$N,$B23+5)/INDEX(Properties!$R:$R,$B23+5),0))</f>
        <v>0</v>
      </c>
      <c r="BU23" s="123" cm="1">
        <f t="array" ref="BU23">INDEX(Properties!$D:$D,$B23+5)*(IF(AND(BU$3&gt;=INDEX(Properties!$Q:$Q,$B23+5),BU$3&lt;INDEX(Properties!$T:$T,$B23+5)),INDEX(Properties!$N:$N,$B23+5)/INDEX(Properties!$R:$R,$B23+5),0))</f>
        <v>0</v>
      </c>
      <c r="BV23" s="123" cm="1">
        <f t="array" ref="BV23">INDEX(Properties!$D:$D,$B23+5)*(IF(AND(BV$3&gt;=INDEX(Properties!$Q:$Q,$B23+5),BV$3&lt;INDEX(Properties!$T:$T,$B23+5)),INDEX(Properties!$N:$N,$B23+5)/INDEX(Properties!$R:$R,$B23+5),0))</f>
        <v>0</v>
      </c>
      <c r="BW23" s="123" cm="1">
        <f t="array" ref="BW23">INDEX(Properties!$D:$D,$B23+5)*(IF(AND(BW$3&gt;=INDEX(Properties!$Q:$Q,$B23+5),BW$3&lt;INDEX(Properties!$T:$T,$B23+5)),INDEX(Properties!$N:$N,$B23+5)/INDEX(Properties!$R:$R,$B23+5),0))</f>
        <v>0</v>
      </c>
      <c r="BX23" s="123" cm="1">
        <f t="array" ref="BX23">INDEX(Properties!$D:$D,$B23+5)*(IF(AND(BX$3&gt;=INDEX(Properties!$Q:$Q,$B23+5),BX$3&lt;INDEX(Properties!$T:$T,$B23+5)),INDEX(Properties!$N:$N,$B23+5)/INDEX(Properties!$R:$R,$B23+5),0))</f>
        <v>0</v>
      </c>
      <c r="BY23" s="123" cm="1">
        <f t="array" ref="BY23">INDEX(Properties!$D:$D,$B23+5)*(IF(AND(BY$3&gt;=INDEX(Properties!$Q:$Q,$B23+5),BY$3&lt;INDEX(Properties!$T:$T,$B23+5)),INDEX(Properties!$N:$N,$B23+5)/INDEX(Properties!$R:$R,$B23+5),0))</f>
        <v>0</v>
      </c>
      <c r="BZ23" s="123" cm="1">
        <f t="array" ref="BZ23">INDEX(Properties!$D:$D,$B23+5)*(IF(AND(BZ$3&gt;=INDEX(Properties!$Q:$Q,$B23+5),BZ$3&lt;INDEX(Properties!$T:$T,$B23+5)),INDEX(Properties!$N:$N,$B23+5)/INDEX(Properties!$R:$R,$B23+5),0))</f>
        <v>0</v>
      </c>
      <c r="CA23" s="123" cm="1">
        <f t="array" ref="CA23">INDEX(Properties!$D:$D,$B23+5)*(IF(AND(CA$3&gt;=INDEX(Properties!$Q:$Q,$B23+5),CA$3&lt;INDEX(Properties!$T:$T,$B23+5)),INDEX(Properties!$N:$N,$B23+5)/INDEX(Properties!$R:$R,$B23+5),0))</f>
        <v>0</v>
      </c>
      <c r="CB23" s="123" cm="1">
        <f t="array" ref="CB23">INDEX(Properties!$D:$D,$B23+5)*(IF(AND(CB$3&gt;=INDEX(Properties!$Q:$Q,$B23+5),CB$3&lt;INDEX(Properties!$T:$T,$B23+5)),INDEX(Properties!$N:$N,$B23+5)/INDEX(Properties!$R:$R,$B23+5),0))</f>
        <v>0</v>
      </c>
      <c r="CC23" s="123" cm="1">
        <f t="array" ref="CC23">INDEX(Properties!$D:$D,$B23+5)*(IF(AND(CC$3&gt;=INDEX(Properties!$Q:$Q,$B23+5),CC$3&lt;INDEX(Properties!$T:$T,$B23+5)),INDEX(Properties!$N:$N,$B23+5)/INDEX(Properties!$R:$R,$B23+5),0))</f>
        <v>0</v>
      </c>
      <c r="CD23" s="123" cm="1">
        <f t="array" ref="CD23">INDEX(Properties!$D:$D,$B23+5)*(IF(AND(CD$3&gt;=INDEX(Properties!$Q:$Q,$B23+5),CD$3&lt;INDEX(Properties!$T:$T,$B23+5)),INDEX(Properties!$N:$N,$B23+5)/INDEX(Properties!$R:$R,$B23+5),0))</f>
        <v>0</v>
      </c>
      <c r="CE23" s="123" cm="1">
        <f t="array" ref="CE23">INDEX(Properties!$D:$D,$B23+5)*(IF(AND(CE$3&gt;=INDEX(Properties!$Q:$Q,$B23+5),CE$3&lt;INDEX(Properties!$T:$T,$B23+5)),INDEX(Properties!$N:$N,$B23+5)/INDEX(Properties!$R:$R,$B23+5),0))</f>
        <v>0</v>
      </c>
      <c r="CF23" s="123" cm="1">
        <f t="array" ref="CF23">INDEX(Properties!$D:$D,$B23+5)*(IF(AND(CF$3&gt;=INDEX(Properties!$Q:$Q,$B23+5),CF$3&lt;INDEX(Properties!$T:$T,$B23+5)),INDEX(Properties!$N:$N,$B23+5)/INDEX(Properties!$R:$R,$B23+5),0))</f>
        <v>0</v>
      </c>
      <c r="CG23" s="123" cm="1">
        <f t="array" ref="CG23">INDEX(Properties!$D:$D,$B23+5)*(IF(AND(CG$3&gt;=INDEX(Properties!$Q:$Q,$B23+5),CG$3&lt;INDEX(Properties!$T:$T,$B23+5)),INDEX(Properties!$N:$N,$B23+5)/INDEX(Properties!$R:$R,$B23+5),0))</f>
        <v>0</v>
      </c>
      <c r="CH23" s="123" cm="1">
        <f t="array" ref="CH23">INDEX(Properties!$D:$D,$B23+5)*(IF(AND(CH$3&gt;=INDEX(Properties!$Q:$Q,$B23+5),CH$3&lt;INDEX(Properties!$T:$T,$B23+5)),INDEX(Properties!$N:$N,$B23+5)/INDEX(Properties!$R:$R,$B23+5),0))</f>
        <v>0</v>
      </c>
      <c r="CI23" s="123" cm="1">
        <f t="array" ref="CI23">INDEX(Properties!$D:$D,$B23+5)*(IF(AND(CI$3&gt;=INDEX(Properties!$Q:$Q,$B23+5),CI$3&lt;INDEX(Properties!$T:$T,$B23+5)),INDEX(Properties!$N:$N,$B23+5)/INDEX(Properties!$R:$R,$B23+5),0))</f>
        <v>0</v>
      </c>
      <c r="CJ23" s="123" cm="1">
        <f t="array" ref="CJ23">INDEX(Properties!$D:$D,$B23+5)*(IF(AND(CJ$3&gt;=INDEX(Properties!$Q:$Q,$B23+5),CJ$3&lt;INDEX(Properties!$T:$T,$B23+5)),INDEX(Properties!$N:$N,$B23+5)/INDEX(Properties!$R:$R,$B23+5),0))</f>
        <v>0</v>
      </c>
      <c r="CK23" s="123" cm="1">
        <f t="array" ref="CK23">INDEX(Properties!$D:$D,$B23+5)*(IF(AND(CK$3&gt;=INDEX(Properties!$Q:$Q,$B23+5),CK$3&lt;INDEX(Properties!$T:$T,$B23+5)),INDEX(Properties!$N:$N,$B23+5)/INDEX(Properties!$R:$R,$B23+5),0))</f>
        <v>0</v>
      </c>
      <c r="CL23" s="123" cm="1">
        <f t="array" ref="CL23">INDEX(Properties!$D:$D,$B23+5)*(IF(AND(CL$3&gt;=INDEX(Properties!$Q:$Q,$B23+5),CL$3&lt;INDEX(Properties!$T:$T,$B23+5)),INDEX(Properties!$N:$N,$B23+5)/INDEX(Properties!$R:$R,$B23+5),0))</f>
        <v>0</v>
      </c>
      <c r="CM23" s="123" cm="1">
        <f t="array" ref="CM23">INDEX(Properties!$D:$D,$B23+5)*(IF(AND(CM$3&gt;=INDEX(Properties!$Q:$Q,$B23+5),CM$3&lt;INDEX(Properties!$T:$T,$B23+5)),INDEX(Properties!$N:$N,$B23+5)/INDEX(Properties!$R:$R,$B23+5),0))</f>
        <v>0</v>
      </c>
      <c r="CN23" s="123" cm="1">
        <f t="array" ref="CN23">INDEX(Properties!$D:$D,$B23+5)*(IF(AND(CN$3&gt;=INDEX(Properties!$Q:$Q,$B23+5),CN$3&lt;INDEX(Properties!$T:$T,$B23+5)),INDEX(Properties!$N:$N,$B23+5)/INDEX(Properties!$R:$R,$B23+5),0))</f>
        <v>0</v>
      </c>
      <c r="CO23" s="123" cm="1">
        <f t="array" ref="CO23">INDEX(Properties!$D:$D,$B23+5)*(IF(AND(CO$3&gt;=INDEX(Properties!$Q:$Q,$B23+5),CO$3&lt;INDEX(Properties!$T:$T,$B23+5)),INDEX(Properties!$N:$N,$B23+5)/INDEX(Properties!$R:$R,$B23+5),0))</f>
        <v>0</v>
      </c>
      <c r="CP23" s="123" cm="1">
        <f t="array" ref="CP23">INDEX(Properties!$D:$D,$B23+5)*(IF(AND(CP$3&gt;=INDEX(Properties!$Q:$Q,$B23+5),CP$3&lt;INDEX(Properties!$T:$T,$B23+5)),INDEX(Properties!$N:$N,$B23+5)/INDEX(Properties!$R:$R,$B23+5),0))</f>
        <v>0</v>
      </c>
      <c r="CQ23" s="123" cm="1">
        <f t="array" ref="CQ23">INDEX(Properties!$D:$D,$B23+5)*(IF(AND(CQ$3&gt;=INDEX(Properties!$Q:$Q,$B23+5),CQ$3&lt;INDEX(Properties!$T:$T,$B23+5)),INDEX(Properties!$N:$N,$B23+5)/INDEX(Properties!$R:$R,$B23+5),0))</f>
        <v>0</v>
      </c>
      <c r="CR23" s="123" cm="1">
        <f t="array" ref="CR23">INDEX(Properties!$D:$D,$B23+5)*(IF(AND(CR$3&gt;=INDEX(Properties!$Q:$Q,$B23+5),CR$3&lt;INDEX(Properties!$T:$T,$B23+5)),INDEX(Properties!$N:$N,$B23+5)/INDEX(Properties!$R:$R,$B23+5),0))</f>
        <v>0</v>
      </c>
      <c r="CS23" s="123" cm="1">
        <f t="array" ref="CS23">INDEX(Properties!$D:$D,$B23+5)*(IF(AND(CS$3&gt;=INDEX(Properties!$Q:$Q,$B23+5),CS$3&lt;INDEX(Properties!$T:$T,$B23+5)),INDEX(Properties!$N:$N,$B23+5)/INDEX(Properties!$R:$R,$B23+5),0))</f>
        <v>0</v>
      </c>
      <c r="CT23" s="123" cm="1">
        <f t="array" ref="CT23">INDEX(Properties!$D:$D,$B23+5)*(IF(AND(CT$3&gt;=INDEX(Properties!$Q:$Q,$B23+5),CT$3&lt;INDEX(Properties!$T:$T,$B23+5)),INDEX(Properties!$N:$N,$B23+5)/INDEX(Properties!$R:$R,$B23+5),0))</f>
        <v>0</v>
      </c>
      <c r="CU23" s="123" cm="1">
        <f t="array" ref="CU23">INDEX(Properties!$D:$D,$B23+5)*(IF(AND(CU$3&gt;=INDEX(Properties!$Q:$Q,$B23+5),CU$3&lt;INDEX(Properties!$T:$T,$B23+5)),INDEX(Properties!$N:$N,$B23+5)/INDEX(Properties!$R:$R,$B23+5),0))</f>
        <v>0</v>
      </c>
      <c r="CV23" s="123" cm="1">
        <f t="array" ref="CV23">INDEX(Properties!$D:$D,$B23+5)*(IF(AND(CV$3&gt;=INDEX(Properties!$Q:$Q,$B23+5),CV$3&lt;INDEX(Properties!$T:$T,$B23+5)),INDEX(Properties!$N:$N,$B23+5)/INDEX(Properties!$R:$R,$B23+5),0))</f>
        <v>0</v>
      </c>
      <c r="CW23" s="123" cm="1">
        <f t="array" ref="CW23">INDEX(Properties!$D:$D,$B23+5)*(IF(AND(CW$3&gt;=INDEX(Properties!$Q:$Q,$B23+5),CW$3&lt;INDEX(Properties!$T:$T,$B23+5)),INDEX(Properties!$N:$N,$B23+5)/INDEX(Properties!$R:$R,$B23+5),0))</f>
        <v>0</v>
      </c>
      <c r="CX23" s="123" cm="1">
        <f t="array" ref="CX23">INDEX(Properties!$D:$D,$B23+5)*(IF(AND(CX$3&gt;=INDEX(Properties!$Q:$Q,$B23+5),CX$3&lt;INDEX(Properties!$T:$T,$B23+5)),INDEX(Properties!$N:$N,$B23+5)/INDEX(Properties!$R:$R,$B23+5),0))</f>
        <v>0</v>
      </c>
      <c r="CY23" s="123" cm="1">
        <f t="array" ref="CY23">INDEX(Properties!$D:$D,$B23+5)*(IF(AND(CY$3&gt;=INDEX(Properties!$Q:$Q,$B23+5),CY$3&lt;INDEX(Properties!$T:$T,$B23+5)),INDEX(Properties!$N:$N,$B23+5)/INDEX(Properties!$R:$R,$B23+5),0))</f>
        <v>0</v>
      </c>
      <c r="CZ23" s="123" cm="1">
        <f t="array" ref="CZ23">INDEX(Properties!$D:$D,$B23+5)*(IF(AND(CZ$3&gt;=INDEX(Properties!$Q:$Q,$B23+5),CZ$3&lt;INDEX(Properties!$T:$T,$B23+5)),INDEX(Properties!$N:$N,$B23+5)/INDEX(Properties!$R:$R,$B23+5),0))</f>
        <v>0</v>
      </c>
      <c r="DA23" s="123" cm="1">
        <f t="array" ref="DA23">INDEX(Properties!$D:$D,$B23+5)*(IF(AND(DA$3&gt;=INDEX(Properties!$Q:$Q,$B23+5),DA$3&lt;INDEX(Properties!$T:$T,$B23+5)),INDEX(Properties!$N:$N,$B23+5)/INDEX(Properties!$R:$R,$B23+5),0))</f>
        <v>0</v>
      </c>
      <c r="DB23" s="123" cm="1">
        <f t="array" ref="DB23">INDEX(Properties!$D:$D,$B23+5)*(IF(AND(DB$3&gt;=INDEX(Properties!$Q:$Q,$B23+5),DB$3&lt;INDEX(Properties!$T:$T,$B23+5)),INDEX(Properties!$N:$N,$B23+5)/INDEX(Properties!$R:$R,$B23+5),0))</f>
        <v>0</v>
      </c>
      <c r="DC23" s="123" cm="1">
        <f t="array" ref="DC23">INDEX(Properties!$D:$D,$B23+5)*(IF(AND(DC$3&gt;=INDEX(Properties!$Q:$Q,$B23+5),DC$3&lt;INDEX(Properties!$T:$T,$B23+5)),INDEX(Properties!$N:$N,$B23+5)/INDEX(Properties!$R:$R,$B23+5),0))</f>
        <v>0</v>
      </c>
      <c r="DD23" s="123" cm="1">
        <f t="array" ref="DD23">INDEX(Properties!$D:$D,$B23+5)*(IF(AND(DD$3&gt;=INDEX(Properties!$Q:$Q,$B23+5),DD$3&lt;INDEX(Properties!$T:$T,$B23+5)),INDEX(Properties!$N:$N,$B23+5)/INDEX(Properties!$R:$R,$B23+5),0))</f>
        <v>0</v>
      </c>
      <c r="DE23" s="123" cm="1">
        <f t="array" ref="DE23">INDEX(Properties!$D:$D,$B23+5)*(IF(AND(DE$3&gt;=INDEX(Properties!$Q:$Q,$B23+5),DE$3&lt;INDEX(Properties!$T:$T,$B23+5)),INDEX(Properties!$N:$N,$B23+5)/INDEX(Properties!$R:$R,$B23+5),0))</f>
        <v>0</v>
      </c>
      <c r="DF23" s="123" cm="1">
        <f t="array" ref="DF23">INDEX(Properties!$D:$D,$B23+5)*(IF(AND(DF$3&gt;=INDEX(Properties!$Q:$Q,$B23+5),DF$3&lt;INDEX(Properties!$T:$T,$B23+5)),INDEX(Properties!$N:$N,$B23+5)/INDEX(Properties!$R:$R,$B23+5),0))</f>
        <v>0</v>
      </c>
      <c r="DG23" s="123" cm="1">
        <f t="array" ref="DG23">INDEX(Properties!$D:$D,$B23+5)*(IF(AND(DG$3&gt;=INDEX(Properties!$Q:$Q,$B23+5),DG$3&lt;INDEX(Properties!$T:$T,$B23+5)),INDEX(Properties!$N:$N,$B23+5)/INDEX(Properties!$R:$R,$B23+5),0))</f>
        <v>0</v>
      </c>
      <c r="DH23" s="123" cm="1">
        <f t="array" ref="DH23">INDEX(Properties!$D:$D,$B23+5)*(IF(AND(DH$3&gt;=INDEX(Properties!$Q:$Q,$B23+5),DH$3&lt;INDEX(Properties!$T:$T,$B23+5)),INDEX(Properties!$N:$N,$B23+5)/INDEX(Properties!$R:$R,$B23+5),0))</f>
        <v>0</v>
      </c>
      <c r="DI23" s="123" cm="1">
        <f t="array" ref="DI23">INDEX(Properties!$D:$D,$B23+5)*(IF(AND(DI$3&gt;=INDEX(Properties!$Q:$Q,$B23+5),DI$3&lt;INDEX(Properties!$T:$T,$B23+5)),INDEX(Properties!$N:$N,$B23+5)/INDEX(Properties!$R:$R,$B23+5),0))</f>
        <v>0</v>
      </c>
      <c r="DJ23" s="123" cm="1">
        <f t="array" ref="DJ23">INDEX(Properties!$D:$D,$B23+5)*(IF(AND(DJ$3&gt;=INDEX(Properties!$Q:$Q,$B23+5),DJ$3&lt;INDEX(Properties!$T:$T,$B23+5)),INDEX(Properties!$N:$N,$B23+5)/INDEX(Properties!$R:$R,$B23+5),0))</f>
        <v>0</v>
      </c>
      <c r="DK23" s="123" cm="1">
        <f t="array" ref="DK23">INDEX(Properties!$D:$D,$B23+5)*(IF(AND(DK$3&gt;=INDEX(Properties!$Q:$Q,$B23+5),DK$3&lt;INDEX(Properties!$T:$T,$B23+5)),INDEX(Properties!$N:$N,$B23+5)/INDEX(Properties!$R:$R,$B23+5),0))</f>
        <v>0</v>
      </c>
      <c r="DL23" s="123" cm="1">
        <f t="array" ref="DL23">INDEX(Properties!$D:$D,$B23+5)*(IF(AND(DL$3&gt;=INDEX(Properties!$Q:$Q,$B23+5),DL$3&lt;INDEX(Properties!$T:$T,$B23+5)),INDEX(Properties!$N:$N,$B23+5)/INDEX(Properties!$R:$R,$B23+5),0))</f>
        <v>0</v>
      </c>
      <c r="DM23" s="123" cm="1">
        <f t="array" ref="DM23">INDEX(Properties!$D:$D,$B23+5)*(IF(AND(DM$3&gt;=INDEX(Properties!$Q:$Q,$B23+5),DM$3&lt;INDEX(Properties!$T:$T,$B23+5)),INDEX(Properties!$N:$N,$B23+5)/INDEX(Properties!$R:$R,$B23+5),0))</f>
        <v>0</v>
      </c>
      <c r="DN23" s="123" cm="1">
        <f t="array" ref="DN23">INDEX(Properties!$D:$D,$B23+5)*(IF(AND(DN$3&gt;=INDEX(Properties!$Q:$Q,$B23+5),DN$3&lt;INDEX(Properties!$T:$T,$B23+5)),INDEX(Properties!$N:$N,$B23+5)/INDEX(Properties!$R:$R,$B23+5),0))</f>
        <v>0</v>
      </c>
      <c r="DO23" s="123" cm="1">
        <f t="array" ref="DO23">INDEX(Properties!$D:$D,$B23+5)*(IF(AND(DO$3&gt;=INDEX(Properties!$Q:$Q,$B23+5),DO$3&lt;INDEX(Properties!$T:$T,$B23+5)),INDEX(Properties!$N:$N,$B23+5)/INDEX(Properties!$R:$R,$B23+5),0))</f>
        <v>0</v>
      </c>
      <c r="DP23" s="123" cm="1">
        <f t="array" ref="DP23">INDEX(Properties!$D:$D,$B23+5)*(IF(AND(DP$3&gt;=INDEX(Properties!$Q:$Q,$B23+5),DP$3&lt;INDEX(Properties!$T:$T,$B23+5)),INDEX(Properties!$N:$N,$B23+5)/INDEX(Properties!$R:$R,$B23+5),0))</f>
        <v>0</v>
      </c>
      <c r="DQ23" s="123" cm="1">
        <f t="array" ref="DQ23">INDEX(Properties!$D:$D,$B23+5)*(IF(AND(DQ$3&gt;=INDEX(Properties!$Q:$Q,$B23+5),DQ$3&lt;INDEX(Properties!$T:$T,$B23+5)),INDEX(Properties!$N:$N,$B23+5)/INDEX(Properties!$R:$R,$B23+5),0))</f>
        <v>0</v>
      </c>
      <c r="DR23" s="123" cm="1">
        <f t="array" ref="DR23">INDEX(Properties!$D:$D,$B23+5)*(IF(AND(DR$3&gt;=INDEX(Properties!$Q:$Q,$B23+5),DR$3&lt;INDEX(Properties!$T:$T,$B23+5)),INDEX(Properties!$N:$N,$B23+5)/INDEX(Properties!$R:$R,$B23+5),0))</f>
        <v>0</v>
      </c>
    </row>
    <row r="24" spans="1:122" ht="16.05" customHeight="1" x14ac:dyDescent="0.3">
      <c r="A24" s="148" t="str" cm="1">
        <f t="array" ref="A24">INDEX(Properties!$E:$E,$B24+5)</f>
        <v>Casa Montana Lote 2 (Samuel Gaviria House)</v>
      </c>
      <c r="B24" s="1">
        <v>4</v>
      </c>
      <c r="C24" s="123" cm="1">
        <f t="array" ref="C24">INDEX(Properties!$D:$D,$B24+5)*(IF(AND(C$3&gt;=INDEX(Properties!$Q:$Q,$B24+5),C$3&lt;INDEX(Properties!$T:$T,$B24+5)),INDEX(Properties!$N:$N,$B24+5)/INDEX(Properties!$R:$R,$B24+5),0))</f>
        <v>0</v>
      </c>
      <c r="D24" s="123" cm="1">
        <f t="array" ref="D24">INDEX(Properties!$D:$D,$B24+5)*(IF(AND(D$3&gt;=INDEX(Properties!$Q:$Q,$B24+5),D$3&lt;INDEX(Properties!$T:$T,$B24+5)),INDEX(Properties!$N:$N,$B24+5)/INDEX(Properties!$R:$R,$B24+5),0))</f>
        <v>0</v>
      </c>
      <c r="E24" s="123" cm="1">
        <f t="array" ref="E24">INDEX(Properties!$D:$D,$B24+5)*(IF(AND(E$3&gt;=INDEX(Properties!$Q:$Q,$B24+5),E$3&lt;INDEX(Properties!$T:$T,$B24+5)),INDEX(Properties!$N:$N,$B24+5)/INDEX(Properties!$R:$R,$B24+5),0))</f>
        <v>0</v>
      </c>
      <c r="F24" s="123" cm="1">
        <f t="array" ref="F24">INDEX(Properties!$D:$D,$B24+5)*(IF(AND(F$3&gt;=INDEX(Properties!$Q:$Q,$B24+5),F$3&lt;INDEX(Properties!$T:$T,$B24+5)),INDEX(Properties!$N:$N,$B24+5)/INDEX(Properties!$R:$R,$B24+5),0))</f>
        <v>0</v>
      </c>
      <c r="G24" s="123" cm="1">
        <f t="array" ref="G24">INDEX(Properties!$D:$D,$B24+5)*(IF(AND(G$3&gt;=INDEX(Properties!$Q:$Q,$B24+5),G$3&lt;INDEX(Properties!$T:$T,$B24+5)),INDEX(Properties!$N:$N,$B24+5)/INDEX(Properties!$R:$R,$B24+5),0))</f>
        <v>0</v>
      </c>
      <c r="H24" s="123" cm="1">
        <f t="array" ref="H24">INDEX(Properties!$D:$D,$B24+5)*(IF(AND(H$3&gt;=INDEX(Properties!$Q:$Q,$B24+5),H$3&lt;INDEX(Properties!$T:$T,$B24+5)),INDEX(Properties!$N:$N,$B24+5)/INDEX(Properties!$R:$R,$B24+5),0))</f>
        <v>0</v>
      </c>
      <c r="I24" s="123" cm="1">
        <f t="array" ref="I24">INDEX(Properties!$D:$D,$B24+5)*(IF(AND(I$3&gt;=INDEX(Properties!$Q:$Q,$B24+5),I$3&lt;INDEX(Properties!$T:$T,$B24+5)),INDEX(Properties!$N:$N,$B24+5)/INDEX(Properties!$R:$R,$B24+5),0))</f>
        <v>0</v>
      </c>
      <c r="J24" s="123" cm="1">
        <f t="array" ref="J24">INDEX(Properties!$D:$D,$B24+5)*(IF(AND(J$3&gt;=INDEX(Properties!$Q:$Q,$B24+5),J$3&lt;INDEX(Properties!$T:$T,$B24+5)),INDEX(Properties!$N:$N,$B24+5)/INDEX(Properties!$R:$R,$B24+5),0))</f>
        <v>91693.635382955777</v>
      </c>
      <c r="K24" s="123" cm="1">
        <f t="array" ref="K24">INDEX(Properties!$D:$D,$B24+5)*(IF(AND(K$3&gt;=INDEX(Properties!$Q:$Q,$B24+5),K$3&lt;INDEX(Properties!$T:$T,$B24+5)),INDEX(Properties!$N:$N,$B24+5)/INDEX(Properties!$R:$R,$B24+5),0))</f>
        <v>91693.635382955777</v>
      </c>
      <c r="L24" s="123" cm="1">
        <f t="array" ref="L24">INDEX(Properties!$D:$D,$B24+5)*(IF(AND(L$3&gt;=INDEX(Properties!$Q:$Q,$B24+5),L$3&lt;INDEX(Properties!$T:$T,$B24+5)),INDEX(Properties!$N:$N,$B24+5)/INDEX(Properties!$R:$R,$B24+5),0))</f>
        <v>91693.635382955777</v>
      </c>
      <c r="M24" s="123" cm="1">
        <f t="array" ref="M24">INDEX(Properties!$D:$D,$B24+5)*(IF(AND(M$3&gt;=INDEX(Properties!$Q:$Q,$B24+5),M$3&lt;INDEX(Properties!$T:$T,$B24+5)),INDEX(Properties!$N:$N,$B24+5)/INDEX(Properties!$R:$R,$B24+5),0))</f>
        <v>91693.635382955777</v>
      </c>
      <c r="N24" s="123" cm="1">
        <f t="array" ref="N24">INDEX(Properties!$D:$D,$B24+5)*(IF(AND(N$3&gt;=INDEX(Properties!$Q:$Q,$B24+5),N$3&lt;INDEX(Properties!$T:$T,$B24+5)),INDEX(Properties!$N:$N,$B24+5)/INDEX(Properties!$R:$R,$B24+5),0))</f>
        <v>91693.635382955777</v>
      </c>
      <c r="O24" s="123" cm="1">
        <f t="array" ref="O24">INDEX(Properties!$D:$D,$B24+5)*(IF(AND(O$3&gt;=INDEX(Properties!$Q:$Q,$B24+5),O$3&lt;INDEX(Properties!$T:$T,$B24+5)),INDEX(Properties!$N:$N,$B24+5)/INDEX(Properties!$R:$R,$B24+5),0))</f>
        <v>91693.635382955777</v>
      </c>
      <c r="P24" s="123" cm="1">
        <f t="array" ref="P24">INDEX(Properties!$D:$D,$B24+5)*(IF(AND(P$3&gt;=INDEX(Properties!$Q:$Q,$B24+5),P$3&lt;INDEX(Properties!$T:$T,$B24+5)),INDEX(Properties!$N:$N,$B24+5)/INDEX(Properties!$R:$R,$B24+5),0))</f>
        <v>0</v>
      </c>
      <c r="Q24" s="123" cm="1">
        <f t="array" ref="Q24">INDEX(Properties!$D:$D,$B24+5)*(IF(AND(Q$3&gt;=INDEX(Properties!$Q:$Q,$B24+5),Q$3&lt;INDEX(Properties!$T:$T,$B24+5)),INDEX(Properties!$N:$N,$B24+5)/INDEX(Properties!$R:$R,$B24+5),0))</f>
        <v>0</v>
      </c>
      <c r="R24" s="123" cm="1">
        <f t="array" ref="R24">INDEX(Properties!$D:$D,$B24+5)*(IF(AND(R$3&gt;=INDEX(Properties!$Q:$Q,$B24+5),R$3&lt;INDEX(Properties!$T:$T,$B24+5)),INDEX(Properties!$N:$N,$B24+5)/INDEX(Properties!$R:$R,$B24+5),0))</f>
        <v>0</v>
      </c>
      <c r="S24" s="123" cm="1">
        <f t="array" ref="S24">INDEX(Properties!$D:$D,$B24+5)*(IF(AND(S$3&gt;=INDEX(Properties!$Q:$Q,$B24+5),S$3&lt;INDEX(Properties!$T:$T,$B24+5)),INDEX(Properties!$N:$N,$B24+5)/INDEX(Properties!$R:$R,$B24+5),0))</f>
        <v>0</v>
      </c>
      <c r="T24" s="123" cm="1">
        <f t="array" ref="T24">INDEX(Properties!$D:$D,$B24+5)*(IF(AND(T$3&gt;=INDEX(Properties!$Q:$Q,$B24+5),T$3&lt;INDEX(Properties!$T:$T,$B24+5)),INDEX(Properties!$N:$N,$B24+5)/INDEX(Properties!$R:$R,$B24+5),0))</f>
        <v>0</v>
      </c>
      <c r="U24" s="123" cm="1">
        <f t="array" ref="U24">INDEX(Properties!$D:$D,$B24+5)*(IF(AND(U$3&gt;=INDEX(Properties!$Q:$Q,$B24+5),U$3&lt;INDEX(Properties!$T:$T,$B24+5)),INDEX(Properties!$N:$N,$B24+5)/INDEX(Properties!$R:$R,$B24+5),0))</f>
        <v>0</v>
      </c>
      <c r="V24" s="123" cm="1">
        <f t="array" ref="V24">INDEX(Properties!$D:$D,$B24+5)*(IF(AND(V$3&gt;=INDEX(Properties!$Q:$Q,$B24+5),V$3&lt;INDEX(Properties!$T:$T,$B24+5)),INDEX(Properties!$N:$N,$B24+5)/INDEX(Properties!$R:$R,$B24+5),0))</f>
        <v>0</v>
      </c>
      <c r="W24" s="123" cm="1">
        <f t="array" ref="W24">INDEX(Properties!$D:$D,$B24+5)*(IF(AND(W$3&gt;=INDEX(Properties!$Q:$Q,$B24+5),W$3&lt;INDEX(Properties!$T:$T,$B24+5)),INDEX(Properties!$N:$N,$B24+5)/INDEX(Properties!$R:$R,$B24+5),0))</f>
        <v>0</v>
      </c>
      <c r="X24" s="123" cm="1">
        <f t="array" ref="X24">INDEX(Properties!$D:$D,$B24+5)*(IF(AND(X$3&gt;=INDEX(Properties!$Q:$Q,$B24+5),X$3&lt;INDEX(Properties!$T:$T,$B24+5)),INDEX(Properties!$N:$N,$B24+5)/INDEX(Properties!$R:$R,$B24+5),0))</f>
        <v>0</v>
      </c>
      <c r="Y24" s="123" cm="1">
        <f t="array" ref="Y24">INDEX(Properties!$D:$D,$B24+5)*(IF(AND(Y$3&gt;=INDEX(Properties!$Q:$Q,$B24+5),Y$3&lt;INDEX(Properties!$T:$T,$B24+5)),INDEX(Properties!$N:$N,$B24+5)/INDEX(Properties!$R:$R,$B24+5),0))</f>
        <v>0</v>
      </c>
      <c r="Z24" s="123" cm="1">
        <f t="array" ref="Z24">INDEX(Properties!$D:$D,$B24+5)*(IF(AND(Z$3&gt;=INDEX(Properties!$Q:$Q,$B24+5),Z$3&lt;INDEX(Properties!$T:$T,$B24+5)),INDEX(Properties!$N:$N,$B24+5)/INDEX(Properties!$R:$R,$B24+5),0))</f>
        <v>0</v>
      </c>
      <c r="AA24" s="123" cm="1">
        <f t="array" ref="AA24">INDEX(Properties!$D:$D,$B24+5)*(IF(AND(AA$3&gt;=INDEX(Properties!$Q:$Q,$B24+5),AA$3&lt;INDEX(Properties!$T:$T,$B24+5)),INDEX(Properties!$N:$N,$B24+5)/INDEX(Properties!$R:$R,$B24+5),0))</f>
        <v>0</v>
      </c>
      <c r="AB24" s="123" cm="1">
        <f t="array" ref="AB24">INDEX(Properties!$D:$D,$B24+5)*(IF(AND(AB$3&gt;=INDEX(Properties!$Q:$Q,$B24+5),AB$3&lt;INDEX(Properties!$T:$T,$B24+5)),INDEX(Properties!$N:$N,$B24+5)/INDEX(Properties!$R:$R,$B24+5),0))</f>
        <v>0</v>
      </c>
      <c r="AC24" s="123" cm="1">
        <f t="array" ref="AC24">INDEX(Properties!$D:$D,$B24+5)*(IF(AND(AC$3&gt;=INDEX(Properties!$Q:$Q,$B24+5),AC$3&lt;INDEX(Properties!$T:$T,$B24+5)),INDEX(Properties!$N:$N,$B24+5)/INDEX(Properties!$R:$R,$B24+5),0))</f>
        <v>0</v>
      </c>
      <c r="AD24" s="123" cm="1">
        <f t="array" ref="AD24">INDEX(Properties!$D:$D,$B24+5)*(IF(AND(AD$3&gt;=INDEX(Properties!$Q:$Q,$B24+5),AD$3&lt;INDEX(Properties!$T:$T,$B24+5)),INDEX(Properties!$N:$N,$B24+5)/INDEX(Properties!$R:$R,$B24+5),0))</f>
        <v>0</v>
      </c>
      <c r="AE24" s="123" cm="1">
        <f t="array" ref="AE24">INDEX(Properties!$D:$D,$B24+5)*(IF(AND(AE$3&gt;=INDEX(Properties!$Q:$Q,$B24+5),AE$3&lt;INDEX(Properties!$T:$T,$B24+5)),INDEX(Properties!$N:$N,$B24+5)/INDEX(Properties!$R:$R,$B24+5),0))</f>
        <v>0</v>
      </c>
      <c r="AF24" s="123" cm="1">
        <f t="array" ref="AF24">INDEX(Properties!$D:$D,$B24+5)*(IF(AND(AF$3&gt;=INDEX(Properties!$Q:$Q,$B24+5),AF$3&lt;INDEX(Properties!$T:$T,$B24+5)),INDEX(Properties!$N:$N,$B24+5)/INDEX(Properties!$R:$R,$B24+5),0))</f>
        <v>0</v>
      </c>
      <c r="AG24" s="123" cm="1">
        <f t="array" ref="AG24">INDEX(Properties!$D:$D,$B24+5)*(IF(AND(AG$3&gt;=INDEX(Properties!$Q:$Q,$B24+5),AG$3&lt;INDEX(Properties!$T:$T,$B24+5)),INDEX(Properties!$N:$N,$B24+5)/INDEX(Properties!$R:$R,$B24+5),0))</f>
        <v>0</v>
      </c>
      <c r="AH24" s="123" cm="1">
        <f t="array" ref="AH24">INDEX(Properties!$D:$D,$B24+5)*(IF(AND(AH$3&gt;=INDEX(Properties!$Q:$Q,$B24+5),AH$3&lt;INDEX(Properties!$T:$T,$B24+5)),INDEX(Properties!$N:$N,$B24+5)/INDEX(Properties!$R:$R,$B24+5),0))</f>
        <v>0</v>
      </c>
      <c r="AI24" s="123" cm="1">
        <f t="array" ref="AI24">INDEX(Properties!$D:$D,$B24+5)*(IF(AND(AI$3&gt;=INDEX(Properties!$Q:$Q,$B24+5),AI$3&lt;INDEX(Properties!$T:$T,$B24+5)),INDEX(Properties!$N:$N,$B24+5)/INDEX(Properties!$R:$R,$B24+5),0))</f>
        <v>0</v>
      </c>
      <c r="AJ24" s="123" cm="1">
        <f t="array" ref="AJ24">INDEX(Properties!$D:$D,$B24+5)*(IF(AND(AJ$3&gt;=INDEX(Properties!$Q:$Q,$B24+5),AJ$3&lt;INDEX(Properties!$T:$T,$B24+5)),INDEX(Properties!$N:$N,$B24+5)/INDEX(Properties!$R:$R,$B24+5),0))</f>
        <v>0</v>
      </c>
      <c r="AK24" s="123" cm="1">
        <f t="array" ref="AK24">INDEX(Properties!$D:$D,$B24+5)*(IF(AND(AK$3&gt;=INDEX(Properties!$Q:$Q,$B24+5),AK$3&lt;INDEX(Properties!$T:$T,$B24+5)),INDEX(Properties!$N:$N,$B24+5)/INDEX(Properties!$R:$R,$B24+5),0))</f>
        <v>0</v>
      </c>
      <c r="AL24" s="123" cm="1">
        <f t="array" ref="AL24">INDEX(Properties!$D:$D,$B24+5)*(IF(AND(AL$3&gt;=INDEX(Properties!$Q:$Q,$B24+5),AL$3&lt;INDEX(Properties!$T:$T,$B24+5)),INDEX(Properties!$N:$N,$B24+5)/INDEX(Properties!$R:$R,$B24+5),0))</f>
        <v>0</v>
      </c>
      <c r="AM24" s="123" cm="1">
        <f t="array" ref="AM24">INDEX(Properties!$D:$D,$B24+5)*(IF(AND(AM$3&gt;=INDEX(Properties!$Q:$Q,$B24+5),AM$3&lt;INDEX(Properties!$T:$T,$B24+5)),INDEX(Properties!$N:$N,$B24+5)/INDEX(Properties!$R:$R,$B24+5),0))</f>
        <v>0</v>
      </c>
      <c r="AN24" s="123" cm="1">
        <f t="array" ref="AN24">INDEX(Properties!$D:$D,$B24+5)*(IF(AND(AN$3&gt;=INDEX(Properties!$Q:$Q,$B24+5),AN$3&lt;INDEX(Properties!$T:$T,$B24+5)),INDEX(Properties!$N:$N,$B24+5)/INDEX(Properties!$R:$R,$B24+5),0))</f>
        <v>0</v>
      </c>
      <c r="AO24" s="123" cm="1">
        <f t="array" ref="AO24">INDEX(Properties!$D:$D,$B24+5)*(IF(AND(AO$3&gt;=INDEX(Properties!$Q:$Q,$B24+5),AO$3&lt;INDEX(Properties!$T:$T,$B24+5)),INDEX(Properties!$N:$N,$B24+5)/INDEX(Properties!$R:$R,$B24+5),0))</f>
        <v>0</v>
      </c>
      <c r="AP24" s="123" cm="1">
        <f t="array" ref="AP24">INDEX(Properties!$D:$D,$B24+5)*(IF(AND(AP$3&gt;=INDEX(Properties!$Q:$Q,$B24+5),AP$3&lt;INDEX(Properties!$T:$T,$B24+5)),INDEX(Properties!$N:$N,$B24+5)/INDEX(Properties!$R:$R,$B24+5),0))</f>
        <v>0</v>
      </c>
      <c r="AQ24" s="123" cm="1">
        <f t="array" ref="AQ24">INDEX(Properties!$D:$D,$B24+5)*(IF(AND(AQ$3&gt;=INDEX(Properties!$Q:$Q,$B24+5),AQ$3&lt;INDEX(Properties!$T:$T,$B24+5)),INDEX(Properties!$N:$N,$B24+5)/INDEX(Properties!$R:$R,$B24+5),0))</f>
        <v>0</v>
      </c>
      <c r="AR24" s="123" cm="1">
        <f t="array" ref="AR24">INDEX(Properties!$D:$D,$B24+5)*(IF(AND(AR$3&gt;=INDEX(Properties!$Q:$Q,$B24+5),AR$3&lt;INDEX(Properties!$T:$T,$B24+5)),INDEX(Properties!$N:$N,$B24+5)/INDEX(Properties!$R:$R,$B24+5),0))</f>
        <v>0</v>
      </c>
      <c r="AS24" s="123" cm="1">
        <f t="array" ref="AS24">INDEX(Properties!$D:$D,$B24+5)*(IF(AND(AS$3&gt;=INDEX(Properties!$Q:$Q,$B24+5),AS$3&lt;INDEX(Properties!$T:$T,$B24+5)),INDEX(Properties!$N:$N,$B24+5)/INDEX(Properties!$R:$R,$B24+5),0))</f>
        <v>0</v>
      </c>
      <c r="AT24" s="123" cm="1">
        <f t="array" ref="AT24">INDEX(Properties!$D:$D,$B24+5)*(IF(AND(AT$3&gt;=INDEX(Properties!$Q:$Q,$B24+5),AT$3&lt;INDEX(Properties!$T:$T,$B24+5)),INDEX(Properties!$N:$N,$B24+5)/INDEX(Properties!$R:$R,$B24+5),0))</f>
        <v>0</v>
      </c>
      <c r="AU24" s="123" cm="1">
        <f t="array" ref="AU24">INDEX(Properties!$D:$D,$B24+5)*(IF(AND(AU$3&gt;=INDEX(Properties!$Q:$Q,$B24+5),AU$3&lt;INDEX(Properties!$T:$T,$B24+5)),INDEX(Properties!$N:$N,$B24+5)/INDEX(Properties!$R:$R,$B24+5),0))</f>
        <v>0</v>
      </c>
      <c r="AV24" s="123" cm="1">
        <f t="array" ref="AV24">INDEX(Properties!$D:$D,$B24+5)*(IF(AND(AV$3&gt;=INDEX(Properties!$Q:$Q,$B24+5),AV$3&lt;INDEX(Properties!$T:$T,$B24+5)),INDEX(Properties!$N:$N,$B24+5)/INDEX(Properties!$R:$R,$B24+5),0))</f>
        <v>0</v>
      </c>
      <c r="AW24" s="123" cm="1">
        <f t="array" ref="AW24">INDEX(Properties!$D:$D,$B24+5)*(IF(AND(AW$3&gt;=INDEX(Properties!$Q:$Q,$B24+5),AW$3&lt;INDEX(Properties!$T:$T,$B24+5)),INDEX(Properties!$N:$N,$B24+5)/INDEX(Properties!$R:$R,$B24+5),0))</f>
        <v>0</v>
      </c>
      <c r="AX24" s="123" cm="1">
        <f t="array" ref="AX24">INDEX(Properties!$D:$D,$B24+5)*(IF(AND(AX$3&gt;=INDEX(Properties!$Q:$Q,$B24+5),AX$3&lt;INDEX(Properties!$T:$T,$B24+5)),INDEX(Properties!$N:$N,$B24+5)/INDEX(Properties!$R:$R,$B24+5),0))</f>
        <v>0</v>
      </c>
      <c r="AY24" s="123" cm="1">
        <f t="array" ref="AY24">INDEX(Properties!$D:$D,$B24+5)*(IF(AND(AY$3&gt;=INDEX(Properties!$Q:$Q,$B24+5),AY$3&lt;INDEX(Properties!$T:$T,$B24+5)),INDEX(Properties!$N:$N,$B24+5)/INDEX(Properties!$R:$R,$B24+5),0))</f>
        <v>0</v>
      </c>
      <c r="AZ24" s="123" cm="1">
        <f t="array" ref="AZ24">INDEX(Properties!$D:$D,$B24+5)*(IF(AND(AZ$3&gt;=INDEX(Properties!$Q:$Q,$B24+5),AZ$3&lt;INDEX(Properties!$T:$T,$B24+5)),INDEX(Properties!$N:$N,$B24+5)/INDEX(Properties!$R:$R,$B24+5),0))</f>
        <v>0</v>
      </c>
      <c r="BA24" s="123" cm="1">
        <f t="array" ref="BA24">INDEX(Properties!$D:$D,$B24+5)*(IF(AND(BA$3&gt;=INDEX(Properties!$Q:$Q,$B24+5),BA$3&lt;INDEX(Properties!$T:$T,$B24+5)),INDEX(Properties!$N:$N,$B24+5)/INDEX(Properties!$R:$R,$B24+5),0))</f>
        <v>0</v>
      </c>
      <c r="BB24" s="123" cm="1">
        <f t="array" ref="BB24">INDEX(Properties!$D:$D,$B24+5)*(IF(AND(BB$3&gt;=INDEX(Properties!$Q:$Q,$B24+5),BB$3&lt;INDEX(Properties!$T:$T,$B24+5)),INDEX(Properties!$N:$N,$B24+5)/INDEX(Properties!$R:$R,$B24+5),0))</f>
        <v>0</v>
      </c>
      <c r="BC24" s="123" cm="1">
        <f t="array" ref="BC24">INDEX(Properties!$D:$D,$B24+5)*(IF(AND(BC$3&gt;=INDEX(Properties!$Q:$Q,$B24+5),BC$3&lt;INDEX(Properties!$T:$T,$B24+5)),INDEX(Properties!$N:$N,$B24+5)/INDEX(Properties!$R:$R,$B24+5),0))</f>
        <v>0</v>
      </c>
      <c r="BD24" s="123" cm="1">
        <f t="array" ref="BD24">INDEX(Properties!$D:$D,$B24+5)*(IF(AND(BD$3&gt;=INDEX(Properties!$Q:$Q,$B24+5),BD$3&lt;INDEX(Properties!$T:$T,$B24+5)),INDEX(Properties!$N:$N,$B24+5)/INDEX(Properties!$R:$R,$B24+5),0))</f>
        <v>0</v>
      </c>
      <c r="BE24" s="123" cm="1">
        <f t="array" ref="BE24">INDEX(Properties!$D:$D,$B24+5)*(IF(AND(BE$3&gt;=INDEX(Properties!$Q:$Q,$B24+5),BE$3&lt;INDEX(Properties!$T:$T,$B24+5)),INDEX(Properties!$N:$N,$B24+5)/INDEX(Properties!$R:$R,$B24+5),0))</f>
        <v>0</v>
      </c>
      <c r="BF24" s="123" cm="1">
        <f t="array" ref="BF24">INDEX(Properties!$D:$D,$B24+5)*(IF(AND(BF$3&gt;=INDEX(Properties!$Q:$Q,$B24+5),BF$3&lt;INDEX(Properties!$T:$T,$B24+5)),INDEX(Properties!$N:$N,$B24+5)/INDEX(Properties!$R:$R,$B24+5),0))</f>
        <v>0</v>
      </c>
      <c r="BG24" s="123" cm="1">
        <f t="array" ref="BG24">INDEX(Properties!$D:$D,$B24+5)*(IF(AND(BG$3&gt;=INDEX(Properties!$Q:$Q,$B24+5),BG$3&lt;INDEX(Properties!$T:$T,$B24+5)),INDEX(Properties!$N:$N,$B24+5)/INDEX(Properties!$R:$R,$B24+5),0))</f>
        <v>0</v>
      </c>
      <c r="BH24" s="123" cm="1">
        <f t="array" ref="BH24">INDEX(Properties!$D:$D,$B24+5)*(IF(AND(BH$3&gt;=INDEX(Properties!$Q:$Q,$B24+5),BH$3&lt;INDEX(Properties!$T:$T,$B24+5)),INDEX(Properties!$N:$N,$B24+5)/INDEX(Properties!$R:$R,$B24+5),0))</f>
        <v>0</v>
      </c>
      <c r="BI24" s="123" cm="1">
        <f t="array" ref="BI24">INDEX(Properties!$D:$D,$B24+5)*(IF(AND(BI$3&gt;=INDEX(Properties!$Q:$Q,$B24+5),BI$3&lt;INDEX(Properties!$T:$T,$B24+5)),INDEX(Properties!$N:$N,$B24+5)/INDEX(Properties!$R:$R,$B24+5),0))</f>
        <v>0</v>
      </c>
      <c r="BJ24" s="123" cm="1">
        <f t="array" ref="BJ24">INDEX(Properties!$D:$D,$B24+5)*(IF(AND(BJ$3&gt;=INDEX(Properties!$Q:$Q,$B24+5),BJ$3&lt;INDEX(Properties!$T:$T,$B24+5)),INDEX(Properties!$N:$N,$B24+5)/INDEX(Properties!$R:$R,$B24+5),0))</f>
        <v>0</v>
      </c>
      <c r="BK24" s="123" cm="1">
        <f t="array" ref="BK24">INDEX(Properties!$D:$D,$B24+5)*(IF(AND(BK$3&gt;=INDEX(Properties!$Q:$Q,$B24+5),BK$3&lt;INDEX(Properties!$T:$T,$B24+5)),INDEX(Properties!$N:$N,$B24+5)/INDEX(Properties!$R:$R,$B24+5),0))</f>
        <v>0</v>
      </c>
      <c r="BL24" s="123" cm="1">
        <f t="array" ref="BL24">INDEX(Properties!$D:$D,$B24+5)*(IF(AND(BL$3&gt;=INDEX(Properties!$Q:$Q,$B24+5),BL$3&lt;INDEX(Properties!$T:$T,$B24+5)),INDEX(Properties!$N:$N,$B24+5)/INDEX(Properties!$R:$R,$B24+5),0))</f>
        <v>0</v>
      </c>
      <c r="BM24" s="123" cm="1">
        <f t="array" ref="BM24">INDEX(Properties!$D:$D,$B24+5)*(IF(AND(BM$3&gt;=INDEX(Properties!$Q:$Q,$B24+5),BM$3&lt;INDEX(Properties!$T:$T,$B24+5)),INDEX(Properties!$N:$N,$B24+5)/INDEX(Properties!$R:$R,$B24+5),0))</f>
        <v>0</v>
      </c>
      <c r="BN24" s="123" cm="1">
        <f t="array" ref="BN24">INDEX(Properties!$D:$D,$B24+5)*(IF(AND(BN$3&gt;=INDEX(Properties!$Q:$Q,$B24+5),BN$3&lt;INDEX(Properties!$T:$T,$B24+5)),INDEX(Properties!$N:$N,$B24+5)/INDEX(Properties!$R:$R,$B24+5),0))</f>
        <v>0</v>
      </c>
      <c r="BO24" s="123" cm="1">
        <f t="array" ref="BO24">INDEX(Properties!$D:$D,$B24+5)*(IF(AND(BO$3&gt;=INDEX(Properties!$Q:$Q,$B24+5),BO$3&lt;INDEX(Properties!$T:$T,$B24+5)),INDEX(Properties!$N:$N,$B24+5)/INDEX(Properties!$R:$R,$B24+5),0))</f>
        <v>0</v>
      </c>
      <c r="BP24" s="123" cm="1">
        <f t="array" ref="BP24">INDEX(Properties!$D:$D,$B24+5)*(IF(AND(BP$3&gt;=INDEX(Properties!$Q:$Q,$B24+5),BP$3&lt;INDEX(Properties!$T:$T,$B24+5)),INDEX(Properties!$N:$N,$B24+5)/INDEX(Properties!$R:$R,$B24+5),0))</f>
        <v>0</v>
      </c>
      <c r="BQ24" s="123" cm="1">
        <f t="array" ref="BQ24">INDEX(Properties!$D:$D,$B24+5)*(IF(AND(BQ$3&gt;=INDEX(Properties!$Q:$Q,$B24+5),BQ$3&lt;INDEX(Properties!$T:$T,$B24+5)),INDEX(Properties!$N:$N,$B24+5)/INDEX(Properties!$R:$R,$B24+5),0))</f>
        <v>0</v>
      </c>
      <c r="BR24" s="123" cm="1">
        <f t="array" ref="BR24">INDEX(Properties!$D:$D,$B24+5)*(IF(AND(BR$3&gt;=INDEX(Properties!$Q:$Q,$B24+5),BR$3&lt;INDEX(Properties!$T:$T,$B24+5)),INDEX(Properties!$N:$N,$B24+5)/INDEX(Properties!$R:$R,$B24+5),0))</f>
        <v>0</v>
      </c>
      <c r="BS24" s="123" cm="1">
        <f t="array" ref="BS24">INDEX(Properties!$D:$D,$B24+5)*(IF(AND(BS$3&gt;=INDEX(Properties!$Q:$Q,$B24+5),BS$3&lt;INDEX(Properties!$T:$T,$B24+5)),INDEX(Properties!$N:$N,$B24+5)/INDEX(Properties!$R:$R,$B24+5),0))</f>
        <v>0</v>
      </c>
      <c r="BT24" s="123" cm="1">
        <f t="array" ref="BT24">INDEX(Properties!$D:$D,$B24+5)*(IF(AND(BT$3&gt;=INDEX(Properties!$Q:$Q,$B24+5),BT$3&lt;INDEX(Properties!$T:$T,$B24+5)),INDEX(Properties!$N:$N,$B24+5)/INDEX(Properties!$R:$R,$B24+5),0))</f>
        <v>0</v>
      </c>
      <c r="BU24" s="123" cm="1">
        <f t="array" ref="BU24">INDEX(Properties!$D:$D,$B24+5)*(IF(AND(BU$3&gt;=INDEX(Properties!$Q:$Q,$B24+5),BU$3&lt;INDEX(Properties!$T:$T,$B24+5)),INDEX(Properties!$N:$N,$B24+5)/INDEX(Properties!$R:$R,$B24+5),0))</f>
        <v>0</v>
      </c>
      <c r="BV24" s="123" cm="1">
        <f t="array" ref="BV24">INDEX(Properties!$D:$D,$B24+5)*(IF(AND(BV$3&gt;=INDEX(Properties!$Q:$Q,$B24+5),BV$3&lt;INDEX(Properties!$T:$T,$B24+5)),INDEX(Properties!$N:$N,$B24+5)/INDEX(Properties!$R:$R,$B24+5),0))</f>
        <v>0</v>
      </c>
      <c r="BW24" s="123" cm="1">
        <f t="array" ref="BW24">INDEX(Properties!$D:$D,$B24+5)*(IF(AND(BW$3&gt;=INDEX(Properties!$Q:$Q,$B24+5),BW$3&lt;INDEX(Properties!$T:$T,$B24+5)),INDEX(Properties!$N:$N,$B24+5)/INDEX(Properties!$R:$R,$B24+5),0))</f>
        <v>0</v>
      </c>
      <c r="BX24" s="123" cm="1">
        <f t="array" ref="BX24">INDEX(Properties!$D:$D,$B24+5)*(IF(AND(BX$3&gt;=INDEX(Properties!$Q:$Q,$B24+5),BX$3&lt;INDEX(Properties!$T:$T,$B24+5)),INDEX(Properties!$N:$N,$B24+5)/INDEX(Properties!$R:$R,$B24+5),0))</f>
        <v>0</v>
      </c>
      <c r="BY24" s="123" cm="1">
        <f t="array" ref="BY24">INDEX(Properties!$D:$D,$B24+5)*(IF(AND(BY$3&gt;=INDEX(Properties!$Q:$Q,$B24+5),BY$3&lt;INDEX(Properties!$T:$T,$B24+5)),INDEX(Properties!$N:$N,$B24+5)/INDEX(Properties!$R:$R,$B24+5),0))</f>
        <v>0</v>
      </c>
      <c r="BZ24" s="123" cm="1">
        <f t="array" ref="BZ24">INDEX(Properties!$D:$D,$B24+5)*(IF(AND(BZ$3&gt;=INDEX(Properties!$Q:$Q,$B24+5),BZ$3&lt;INDEX(Properties!$T:$T,$B24+5)),INDEX(Properties!$N:$N,$B24+5)/INDEX(Properties!$R:$R,$B24+5),0))</f>
        <v>0</v>
      </c>
      <c r="CA24" s="123" cm="1">
        <f t="array" ref="CA24">INDEX(Properties!$D:$D,$B24+5)*(IF(AND(CA$3&gt;=INDEX(Properties!$Q:$Q,$B24+5),CA$3&lt;INDEX(Properties!$T:$T,$B24+5)),INDEX(Properties!$N:$N,$B24+5)/INDEX(Properties!$R:$R,$B24+5),0))</f>
        <v>0</v>
      </c>
      <c r="CB24" s="123" cm="1">
        <f t="array" ref="CB24">INDEX(Properties!$D:$D,$B24+5)*(IF(AND(CB$3&gt;=INDEX(Properties!$Q:$Q,$B24+5),CB$3&lt;INDEX(Properties!$T:$T,$B24+5)),INDEX(Properties!$N:$N,$B24+5)/INDEX(Properties!$R:$R,$B24+5),0))</f>
        <v>0</v>
      </c>
      <c r="CC24" s="123" cm="1">
        <f t="array" ref="CC24">INDEX(Properties!$D:$D,$B24+5)*(IF(AND(CC$3&gt;=INDEX(Properties!$Q:$Q,$B24+5),CC$3&lt;INDEX(Properties!$T:$T,$B24+5)),INDEX(Properties!$N:$N,$B24+5)/INDEX(Properties!$R:$R,$B24+5),0))</f>
        <v>0</v>
      </c>
      <c r="CD24" s="123" cm="1">
        <f t="array" ref="CD24">INDEX(Properties!$D:$D,$B24+5)*(IF(AND(CD$3&gt;=INDEX(Properties!$Q:$Q,$B24+5),CD$3&lt;INDEX(Properties!$T:$T,$B24+5)),INDEX(Properties!$N:$N,$B24+5)/INDEX(Properties!$R:$R,$B24+5),0))</f>
        <v>0</v>
      </c>
      <c r="CE24" s="123" cm="1">
        <f t="array" ref="CE24">INDEX(Properties!$D:$D,$B24+5)*(IF(AND(CE$3&gt;=INDEX(Properties!$Q:$Q,$B24+5),CE$3&lt;INDEX(Properties!$T:$T,$B24+5)),INDEX(Properties!$N:$N,$B24+5)/INDEX(Properties!$R:$R,$B24+5),0))</f>
        <v>0</v>
      </c>
      <c r="CF24" s="123" cm="1">
        <f t="array" ref="CF24">INDEX(Properties!$D:$D,$B24+5)*(IF(AND(CF$3&gt;=INDEX(Properties!$Q:$Q,$B24+5),CF$3&lt;INDEX(Properties!$T:$T,$B24+5)),INDEX(Properties!$N:$N,$B24+5)/INDEX(Properties!$R:$R,$B24+5),0))</f>
        <v>0</v>
      </c>
      <c r="CG24" s="123" cm="1">
        <f t="array" ref="CG24">INDEX(Properties!$D:$D,$B24+5)*(IF(AND(CG$3&gt;=INDEX(Properties!$Q:$Q,$B24+5),CG$3&lt;INDEX(Properties!$T:$T,$B24+5)),INDEX(Properties!$N:$N,$B24+5)/INDEX(Properties!$R:$R,$B24+5),0))</f>
        <v>0</v>
      </c>
      <c r="CH24" s="123" cm="1">
        <f t="array" ref="CH24">INDEX(Properties!$D:$D,$B24+5)*(IF(AND(CH$3&gt;=INDEX(Properties!$Q:$Q,$B24+5),CH$3&lt;INDEX(Properties!$T:$T,$B24+5)),INDEX(Properties!$N:$N,$B24+5)/INDEX(Properties!$R:$R,$B24+5),0))</f>
        <v>0</v>
      </c>
      <c r="CI24" s="123" cm="1">
        <f t="array" ref="CI24">INDEX(Properties!$D:$D,$B24+5)*(IF(AND(CI$3&gt;=INDEX(Properties!$Q:$Q,$B24+5),CI$3&lt;INDEX(Properties!$T:$T,$B24+5)),INDEX(Properties!$N:$N,$B24+5)/INDEX(Properties!$R:$R,$B24+5),0))</f>
        <v>0</v>
      </c>
      <c r="CJ24" s="123" cm="1">
        <f t="array" ref="CJ24">INDEX(Properties!$D:$D,$B24+5)*(IF(AND(CJ$3&gt;=INDEX(Properties!$Q:$Q,$B24+5),CJ$3&lt;INDEX(Properties!$T:$T,$B24+5)),INDEX(Properties!$N:$N,$B24+5)/INDEX(Properties!$R:$R,$B24+5),0))</f>
        <v>0</v>
      </c>
      <c r="CK24" s="123" cm="1">
        <f t="array" ref="CK24">INDEX(Properties!$D:$D,$B24+5)*(IF(AND(CK$3&gt;=INDEX(Properties!$Q:$Q,$B24+5),CK$3&lt;INDEX(Properties!$T:$T,$B24+5)),INDEX(Properties!$N:$N,$B24+5)/INDEX(Properties!$R:$R,$B24+5),0))</f>
        <v>0</v>
      </c>
      <c r="CL24" s="123" cm="1">
        <f t="array" ref="CL24">INDEX(Properties!$D:$D,$B24+5)*(IF(AND(CL$3&gt;=INDEX(Properties!$Q:$Q,$B24+5),CL$3&lt;INDEX(Properties!$T:$T,$B24+5)),INDEX(Properties!$N:$N,$B24+5)/INDEX(Properties!$R:$R,$B24+5),0))</f>
        <v>0</v>
      </c>
      <c r="CM24" s="123" cm="1">
        <f t="array" ref="CM24">INDEX(Properties!$D:$D,$B24+5)*(IF(AND(CM$3&gt;=INDEX(Properties!$Q:$Q,$B24+5),CM$3&lt;INDEX(Properties!$T:$T,$B24+5)),INDEX(Properties!$N:$N,$B24+5)/INDEX(Properties!$R:$R,$B24+5),0))</f>
        <v>0</v>
      </c>
      <c r="CN24" s="123" cm="1">
        <f t="array" ref="CN24">INDEX(Properties!$D:$D,$B24+5)*(IF(AND(CN$3&gt;=INDEX(Properties!$Q:$Q,$B24+5),CN$3&lt;INDEX(Properties!$T:$T,$B24+5)),INDEX(Properties!$N:$N,$B24+5)/INDEX(Properties!$R:$R,$B24+5),0))</f>
        <v>0</v>
      </c>
      <c r="CO24" s="123" cm="1">
        <f t="array" ref="CO24">INDEX(Properties!$D:$D,$B24+5)*(IF(AND(CO$3&gt;=INDEX(Properties!$Q:$Q,$B24+5),CO$3&lt;INDEX(Properties!$T:$T,$B24+5)),INDEX(Properties!$N:$N,$B24+5)/INDEX(Properties!$R:$R,$B24+5),0))</f>
        <v>0</v>
      </c>
      <c r="CP24" s="123" cm="1">
        <f t="array" ref="CP24">INDEX(Properties!$D:$D,$B24+5)*(IF(AND(CP$3&gt;=INDEX(Properties!$Q:$Q,$B24+5),CP$3&lt;INDEX(Properties!$T:$T,$B24+5)),INDEX(Properties!$N:$N,$B24+5)/INDEX(Properties!$R:$R,$B24+5),0))</f>
        <v>0</v>
      </c>
      <c r="CQ24" s="123" cm="1">
        <f t="array" ref="CQ24">INDEX(Properties!$D:$D,$B24+5)*(IF(AND(CQ$3&gt;=INDEX(Properties!$Q:$Q,$B24+5),CQ$3&lt;INDEX(Properties!$T:$T,$B24+5)),INDEX(Properties!$N:$N,$B24+5)/INDEX(Properties!$R:$R,$B24+5),0))</f>
        <v>0</v>
      </c>
      <c r="CR24" s="123" cm="1">
        <f t="array" ref="CR24">INDEX(Properties!$D:$D,$B24+5)*(IF(AND(CR$3&gt;=INDEX(Properties!$Q:$Q,$B24+5),CR$3&lt;INDEX(Properties!$T:$T,$B24+5)),INDEX(Properties!$N:$N,$B24+5)/INDEX(Properties!$R:$R,$B24+5),0))</f>
        <v>0</v>
      </c>
      <c r="CS24" s="123" cm="1">
        <f t="array" ref="CS24">INDEX(Properties!$D:$D,$B24+5)*(IF(AND(CS$3&gt;=INDEX(Properties!$Q:$Q,$B24+5),CS$3&lt;INDEX(Properties!$T:$T,$B24+5)),INDEX(Properties!$N:$N,$B24+5)/INDEX(Properties!$R:$R,$B24+5),0))</f>
        <v>0</v>
      </c>
      <c r="CT24" s="123" cm="1">
        <f t="array" ref="CT24">INDEX(Properties!$D:$D,$B24+5)*(IF(AND(CT$3&gt;=INDEX(Properties!$Q:$Q,$B24+5),CT$3&lt;INDEX(Properties!$T:$T,$B24+5)),INDEX(Properties!$N:$N,$B24+5)/INDEX(Properties!$R:$R,$B24+5),0))</f>
        <v>0</v>
      </c>
      <c r="CU24" s="123" cm="1">
        <f t="array" ref="CU24">INDEX(Properties!$D:$D,$B24+5)*(IF(AND(CU$3&gt;=INDEX(Properties!$Q:$Q,$B24+5),CU$3&lt;INDEX(Properties!$T:$T,$B24+5)),INDEX(Properties!$N:$N,$B24+5)/INDEX(Properties!$R:$R,$B24+5),0))</f>
        <v>0</v>
      </c>
      <c r="CV24" s="123" cm="1">
        <f t="array" ref="CV24">INDEX(Properties!$D:$D,$B24+5)*(IF(AND(CV$3&gt;=INDEX(Properties!$Q:$Q,$B24+5),CV$3&lt;INDEX(Properties!$T:$T,$B24+5)),INDEX(Properties!$N:$N,$B24+5)/INDEX(Properties!$R:$R,$B24+5),0))</f>
        <v>0</v>
      </c>
      <c r="CW24" s="123" cm="1">
        <f t="array" ref="CW24">INDEX(Properties!$D:$D,$B24+5)*(IF(AND(CW$3&gt;=INDEX(Properties!$Q:$Q,$B24+5),CW$3&lt;INDEX(Properties!$T:$T,$B24+5)),INDEX(Properties!$N:$N,$B24+5)/INDEX(Properties!$R:$R,$B24+5),0))</f>
        <v>0</v>
      </c>
      <c r="CX24" s="123" cm="1">
        <f t="array" ref="CX24">INDEX(Properties!$D:$D,$B24+5)*(IF(AND(CX$3&gt;=INDEX(Properties!$Q:$Q,$B24+5),CX$3&lt;INDEX(Properties!$T:$T,$B24+5)),INDEX(Properties!$N:$N,$B24+5)/INDEX(Properties!$R:$R,$B24+5),0))</f>
        <v>0</v>
      </c>
      <c r="CY24" s="123" cm="1">
        <f t="array" ref="CY24">INDEX(Properties!$D:$D,$B24+5)*(IF(AND(CY$3&gt;=INDEX(Properties!$Q:$Q,$B24+5),CY$3&lt;INDEX(Properties!$T:$T,$B24+5)),INDEX(Properties!$N:$N,$B24+5)/INDEX(Properties!$R:$R,$B24+5),0))</f>
        <v>0</v>
      </c>
      <c r="CZ24" s="123" cm="1">
        <f t="array" ref="CZ24">INDEX(Properties!$D:$D,$B24+5)*(IF(AND(CZ$3&gt;=INDEX(Properties!$Q:$Q,$B24+5),CZ$3&lt;INDEX(Properties!$T:$T,$B24+5)),INDEX(Properties!$N:$N,$B24+5)/INDEX(Properties!$R:$R,$B24+5),0))</f>
        <v>0</v>
      </c>
      <c r="DA24" s="123" cm="1">
        <f t="array" ref="DA24">INDEX(Properties!$D:$D,$B24+5)*(IF(AND(DA$3&gt;=INDEX(Properties!$Q:$Q,$B24+5),DA$3&lt;INDEX(Properties!$T:$T,$B24+5)),INDEX(Properties!$N:$N,$B24+5)/INDEX(Properties!$R:$R,$B24+5),0))</f>
        <v>0</v>
      </c>
      <c r="DB24" s="123" cm="1">
        <f t="array" ref="DB24">INDEX(Properties!$D:$D,$B24+5)*(IF(AND(DB$3&gt;=INDEX(Properties!$Q:$Q,$B24+5),DB$3&lt;INDEX(Properties!$T:$T,$B24+5)),INDEX(Properties!$N:$N,$B24+5)/INDEX(Properties!$R:$R,$B24+5),0))</f>
        <v>0</v>
      </c>
      <c r="DC24" s="123" cm="1">
        <f t="array" ref="DC24">INDEX(Properties!$D:$D,$B24+5)*(IF(AND(DC$3&gt;=INDEX(Properties!$Q:$Q,$B24+5),DC$3&lt;INDEX(Properties!$T:$T,$B24+5)),INDEX(Properties!$N:$N,$B24+5)/INDEX(Properties!$R:$R,$B24+5),0))</f>
        <v>0</v>
      </c>
      <c r="DD24" s="123" cm="1">
        <f t="array" ref="DD24">INDEX(Properties!$D:$D,$B24+5)*(IF(AND(DD$3&gt;=INDEX(Properties!$Q:$Q,$B24+5),DD$3&lt;INDEX(Properties!$T:$T,$B24+5)),INDEX(Properties!$N:$N,$B24+5)/INDEX(Properties!$R:$R,$B24+5),0))</f>
        <v>0</v>
      </c>
      <c r="DE24" s="123" cm="1">
        <f t="array" ref="DE24">INDEX(Properties!$D:$D,$B24+5)*(IF(AND(DE$3&gt;=INDEX(Properties!$Q:$Q,$B24+5),DE$3&lt;INDEX(Properties!$T:$T,$B24+5)),INDEX(Properties!$N:$N,$B24+5)/INDEX(Properties!$R:$R,$B24+5),0))</f>
        <v>0</v>
      </c>
      <c r="DF24" s="123" cm="1">
        <f t="array" ref="DF24">INDEX(Properties!$D:$D,$B24+5)*(IF(AND(DF$3&gt;=INDEX(Properties!$Q:$Q,$B24+5),DF$3&lt;INDEX(Properties!$T:$T,$B24+5)),INDEX(Properties!$N:$N,$B24+5)/INDEX(Properties!$R:$R,$B24+5),0))</f>
        <v>0</v>
      </c>
      <c r="DG24" s="123" cm="1">
        <f t="array" ref="DG24">INDEX(Properties!$D:$D,$B24+5)*(IF(AND(DG$3&gt;=INDEX(Properties!$Q:$Q,$B24+5),DG$3&lt;INDEX(Properties!$T:$T,$B24+5)),INDEX(Properties!$N:$N,$B24+5)/INDEX(Properties!$R:$R,$B24+5),0))</f>
        <v>0</v>
      </c>
      <c r="DH24" s="123" cm="1">
        <f t="array" ref="DH24">INDEX(Properties!$D:$D,$B24+5)*(IF(AND(DH$3&gt;=INDEX(Properties!$Q:$Q,$B24+5),DH$3&lt;INDEX(Properties!$T:$T,$B24+5)),INDEX(Properties!$N:$N,$B24+5)/INDEX(Properties!$R:$R,$B24+5),0))</f>
        <v>0</v>
      </c>
      <c r="DI24" s="123" cm="1">
        <f t="array" ref="DI24">INDEX(Properties!$D:$D,$B24+5)*(IF(AND(DI$3&gt;=INDEX(Properties!$Q:$Q,$B24+5),DI$3&lt;INDEX(Properties!$T:$T,$B24+5)),INDEX(Properties!$N:$N,$B24+5)/INDEX(Properties!$R:$R,$B24+5),0))</f>
        <v>0</v>
      </c>
      <c r="DJ24" s="123" cm="1">
        <f t="array" ref="DJ24">INDEX(Properties!$D:$D,$B24+5)*(IF(AND(DJ$3&gt;=INDEX(Properties!$Q:$Q,$B24+5),DJ$3&lt;INDEX(Properties!$T:$T,$B24+5)),INDEX(Properties!$N:$N,$B24+5)/INDEX(Properties!$R:$R,$B24+5),0))</f>
        <v>0</v>
      </c>
      <c r="DK24" s="123" cm="1">
        <f t="array" ref="DK24">INDEX(Properties!$D:$D,$B24+5)*(IF(AND(DK$3&gt;=INDEX(Properties!$Q:$Q,$B24+5),DK$3&lt;INDEX(Properties!$T:$T,$B24+5)),INDEX(Properties!$N:$N,$B24+5)/INDEX(Properties!$R:$R,$B24+5),0))</f>
        <v>0</v>
      </c>
      <c r="DL24" s="123" cm="1">
        <f t="array" ref="DL24">INDEX(Properties!$D:$D,$B24+5)*(IF(AND(DL$3&gt;=INDEX(Properties!$Q:$Q,$B24+5),DL$3&lt;INDEX(Properties!$T:$T,$B24+5)),INDEX(Properties!$N:$N,$B24+5)/INDEX(Properties!$R:$R,$B24+5),0))</f>
        <v>0</v>
      </c>
      <c r="DM24" s="123" cm="1">
        <f t="array" ref="DM24">INDEX(Properties!$D:$D,$B24+5)*(IF(AND(DM$3&gt;=INDEX(Properties!$Q:$Q,$B24+5),DM$3&lt;INDEX(Properties!$T:$T,$B24+5)),INDEX(Properties!$N:$N,$B24+5)/INDEX(Properties!$R:$R,$B24+5),0))</f>
        <v>0</v>
      </c>
      <c r="DN24" s="123" cm="1">
        <f t="array" ref="DN24">INDEX(Properties!$D:$D,$B24+5)*(IF(AND(DN$3&gt;=INDEX(Properties!$Q:$Q,$B24+5),DN$3&lt;INDEX(Properties!$T:$T,$B24+5)),INDEX(Properties!$N:$N,$B24+5)/INDEX(Properties!$R:$R,$B24+5),0))</f>
        <v>0</v>
      </c>
      <c r="DO24" s="123" cm="1">
        <f t="array" ref="DO24">INDEX(Properties!$D:$D,$B24+5)*(IF(AND(DO$3&gt;=INDEX(Properties!$Q:$Q,$B24+5),DO$3&lt;INDEX(Properties!$T:$T,$B24+5)),INDEX(Properties!$N:$N,$B24+5)/INDEX(Properties!$R:$R,$B24+5),0))</f>
        <v>0</v>
      </c>
      <c r="DP24" s="123" cm="1">
        <f t="array" ref="DP24">INDEX(Properties!$D:$D,$B24+5)*(IF(AND(DP$3&gt;=INDEX(Properties!$Q:$Q,$B24+5),DP$3&lt;INDEX(Properties!$T:$T,$B24+5)),INDEX(Properties!$N:$N,$B24+5)/INDEX(Properties!$R:$R,$B24+5),0))</f>
        <v>0</v>
      </c>
      <c r="DQ24" s="123" cm="1">
        <f t="array" ref="DQ24">INDEX(Properties!$D:$D,$B24+5)*(IF(AND(DQ$3&gt;=INDEX(Properties!$Q:$Q,$B24+5),DQ$3&lt;INDEX(Properties!$T:$T,$B24+5)),INDEX(Properties!$N:$N,$B24+5)/INDEX(Properties!$R:$R,$B24+5),0))</f>
        <v>0</v>
      </c>
      <c r="DR24" s="123" cm="1">
        <f t="array" ref="DR24">INDEX(Properties!$D:$D,$B24+5)*(IF(AND(DR$3&gt;=INDEX(Properties!$Q:$Q,$B24+5),DR$3&lt;INDEX(Properties!$T:$T,$B24+5)),INDEX(Properties!$N:$N,$B24+5)/INDEX(Properties!$R:$R,$B24+5),0))</f>
        <v>0</v>
      </c>
    </row>
    <row r="25" spans="1:122" ht="16.05" customHeight="1" x14ac:dyDescent="0.3">
      <c r="A25" s="148" t="str" cm="1">
        <f t="array" ref="A25">INDEX(Properties!$E:$E,$B25+5)</f>
        <v>Casa Monte Sereno</v>
      </c>
      <c r="B25" s="1">
        <v>5</v>
      </c>
      <c r="C25" s="123" cm="1">
        <f t="array" ref="C25">INDEX(Properties!$D:$D,$B25+5)*(IF(AND(C$3&gt;=INDEX(Properties!$Q:$Q,$B25+5),C$3&lt;INDEX(Properties!$T:$T,$B25+5)),INDEX(Properties!$N:$N,$B25+5)/INDEX(Properties!$R:$R,$B25+5),0))</f>
        <v>0</v>
      </c>
      <c r="D25" s="123" cm="1">
        <f t="array" ref="D25">INDEX(Properties!$D:$D,$B25+5)*(IF(AND(D$3&gt;=INDEX(Properties!$Q:$Q,$B25+5),D$3&lt;INDEX(Properties!$T:$T,$B25+5)),INDEX(Properties!$N:$N,$B25+5)/INDEX(Properties!$R:$R,$B25+5),0))</f>
        <v>0</v>
      </c>
      <c r="E25" s="123" cm="1">
        <f t="array" ref="E25">INDEX(Properties!$D:$D,$B25+5)*(IF(AND(E$3&gt;=INDEX(Properties!$Q:$Q,$B25+5),E$3&lt;INDEX(Properties!$T:$T,$B25+5)),INDEX(Properties!$N:$N,$B25+5)/INDEX(Properties!$R:$R,$B25+5),0))</f>
        <v>0</v>
      </c>
      <c r="F25" s="123" cm="1">
        <f t="array" ref="F25">INDEX(Properties!$D:$D,$B25+5)*(IF(AND(F$3&gt;=INDEX(Properties!$Q:$Q,$B25+5),F$3&lt;INDEX(Properties!$T:$T,$B25+5)),INDEX(Properties!$N:$N,$B25+5)/INDEX(Properties!$R:$R,$B25+5),0))</f>
        <v>0</v>
      </c>
      <c r="G25" s="123" cm="1">
        <f t="array" ref="G25">INDEX(Properties!$D:$D,$B25+5)*(IF(AND(G$3&gt;=INDEX(Properties!$Q:$Q,$B25+5),G$3&lt;INDEX(Properties!$T:$T,$B25+5)),INDEX(Properties!$N:$N,$B25+5)/INDEX(Properties!$R:$R,$B25+5),0))</f>
        <v>53937.432578209271</v>
      </c>
      <c r="H25" s="123" cm="1">
        <f t="array" ref="H25">INDEX(Properties!$D:$D,$B25+5)*(IF(AND(H$3&gt;=INDEX(Properties!$Q:$Q,$B25+5),H$3&lt;INDEX(Properties!$T:$T,$B25+5)),INDEX(Properties!$N:$N,$B25+5)/INDEX(Properties!$R:$R,$B25+5),0))</f>
        <v>53937.432578209271</v>
      </c>
      <c r="I25" s="123" cm="1">
        <f t="array" ref="I25">INDEX(Properties!$D:$D,$B25+5)*(IF(AND(I$3&gt;=INDEX(Properties!$Q:$Q,$B25+5),I$3&lt;INDEX(Properties!$T:$T,$B25+5)),INDEX(Properties!$N:$N,$B25+5)/INDEX(Properties!$R:$R,$B25+5),0))</f>
        <v>53937.432578209271</v>
      </c>
      <c r="J25" s="123" cm="1">
        <f t="array" ref="J25">INDEX(Properties!$D:$D,$B25+5)*(IF(AND(J$3&gt;=INDEX(Properties!$Q:$Q,$B25+5),J$3&lt;INDEX(Properties!$T:$T,$B25+5)),INDEX(Properties!$N:$N,$B25+5)/INDEX(Properties!$R:$R,$B25+5),0))</f>
        <v>53937.432578209271</v>
      </c>
      <c r="K25" s="123" cm="1">
        <f t="array" ref="K25">INDEX(Properties!$D:$D,$B25+5)*(IF(AND(K$3&gt;=INDEX(Properties!$Q:$Q,$B25+5),K$3&lt;INDEX(Properties!$T:$T,$B25+5)),INDEX(Properties!$N:$N,$B25+5)/INDEX(Properties!$R:$R,$B25+5),0))</f>
        <v>53937.432578209271</v>
      </c>
      <c r="L25" s="123" cm="1">
        <f t="array" ref="L25">INDEX(Properties!$D:$D,$B25+5)*(IF(AND(L$3&gt;=INDEX(Properties!$Q:$Q,$B25+5),L$3&lt;INDEX(Properties!$T:$T,$B25+5)),INDEX(Properties!$N:$N,$B25+5)/INDEX(Properties!$R:$R,$B25+5),0))</f>
        <v>53937.432578209271</v>
      </c>
      <c r="M25" s="123" cm="1">
        <f t="array" ref="M25">INDEX(Properties!$D:$D,$B25+5)*(IF(AND(M$3&gt;=INDEX(Properties!$Q:$Q,$B25+5),M$3&lt;INDEX(Properties!$T:$T,$B25+5)),INDEX(Properties!$N:$N,$B25+5)/INDEX(Properties!$R:$R,$B25+5),0))</f>
        <v>0</v>
      </c>
      <c r="N25" s="123" cm="1">
        <f t="array" ref="N25">INDEX(Properties!$D:$D,$B25+5)*(IF(AND(N$3&gt;=INDEX(Properties!$Q:$Q,$B25+5),N$3&lt;INDEX(Properties!$T:$T,$B25+5)),INDEX(Properties!$N:$N,$B25+5)/INDEX(Properties!$R:$R,$B25+5),0))</f>
        <v>0</v>
      </c>
      <c r="O25" s="123" cm="1">
        <f t="array" ref="O25">INDEX(Properties!$D:$D,$B25+5)*(IF(AND(O$3&gt;=INDEX(Properties!$Q:$Q,$B25+5),O$3&lt;INDEX(Properties!$T:$T,$B25+5)),INDEX(Properties!$N:$N,$B25+5)/INDEX(Properties!$R:$R,$B25+5),0))</f>
        <v>0</v>
      </c>
      <c r="P25" s="123" cm="1">
        <f t="array" ref="P25">INDEX(Properties!$D:$D,$B25+5)*(IF(AND(P$3&gt;=INDEX(Properties!$Q:$Q,$B25+5),P$3&lt;INDEX(Properties!$T:$T,$B25+5)),INDEX(Properties!$N:$N,$B25+5)/INDEX(Properties!$R:$R,$B25+5),0))</f>
        <v>0</v>
      </c>
      <c r="Q25" s="123" cm="1">
        <f t="array" ref="Q25">INDEX(Properties!$D:$D,$B25+5)*(IF(AND(Q$3&gt;=INDEX(Properties!$Q:$Q,$B25+5),Q$3&lt;INDEX(Properties!$T:$T,$B25+5)),INDEX(Properties!$N:$N,$B25+5)/INDEX(Properties!$R:$R,$B25+5),0))</f>
        <v>0</v>
      </c>
      <c r="R25" s="123" cm="1">
        <f t="array" ref="R25">INDEX(Properties!$D:$D,$B25+5)*(IF(AND(R$3&gt;=INDEX(Properties!$Q:$Q,$B25+5),R$3&lt;INDEX(Properties!$T:$T,$B25+5)),INDEX(Properties!$N:$N,$B25+5)/INDEX(Properties!$R:$R,$B25+5),0))</f>
        <v>0</v>
      </c>
      <c r="S25" s="123" cm="1">
        <f t="array" ref="S25">INDEX(Properties!$D:$D,$B25+5)*(IF(AND(S$3&gt;=INDEX(Properties!$Q:$Q,$B25+5),S$3&lt;INDEX(Properties!$T:$T,$B25+5)),INDEX(Properties!$N:$N,$B25+5)/INDEX(Properties!$R:$R,$B25+5),0))</f>
        <v>0</v>
      </c>
      <c r="T25" s="123" cm="1">
        <f t="array" ref="T25">INDEX(Properties!$D:$D,$B25+5)*(IF(AND(T$3&gt;=INDEX(Properties!$Q:$Q,$B25+5),T$3&lt;INDEX(Properties!$T:$T,$B25+5)),INDEX(Properties!$N:$N,$B25+5)/INDEX(Properties!$R:$R,$B25+5),0))</f>
        <v>0</v>
      </c>
      <c r="U25" s="123" cm="1">
        <f t="array" ref="U25">INDEX(Properties!$D:$D,$B25+5)*(IF(AND(U$3&gt;=INDEX(Properties!$Q:$Q,$B25+5),U$3&lt;INDEX(Properties!$T:$T,$B25+5)),INDEX(Properties!$N:$N,$B25+5)/INDEX(Properties!$R:$R,$B25+5),0))</f>
        <v>0</v>
      </c>
      <c r="V25" s="123" cm="1">
        <f t="array" ref="V25">INDEX(Properties!$D:$D,$B25+5)*(IF(AND(V$3&gt;=INDEX(Properties!$Q:$Q,$B25+5),V$3&lt;INDEX(Properties!$T:$T,$B25+5)),INDEX(Properties!$N:$N,$B25+5)/INDEX(Properties!$R:$R,$B25+5),0))</f>
        <v>0</v>
      </c>
      <c r="W25" s="123" cm="1">
        <f t="array" ref="W25">INDEX(Properties!$D:$D,$B25+5)*(IF(AND(W$3&gt;=INDEX(Properties!$Q:$Q,$B25+5),W$3&lt;INDEX(Properties!$T:$T,$B25+5)),INDEX(Properties!$N:$N,$B25+5)/INDEX(Properties!$R:$R,$B25+5),0))</f>
        <v>0</v>
      </c>
      <c r="X25" s="123" cm="1">
        <f t="array" ref="X25">INDEX(Properties!$D:$D,$B25+5)*(IF(AND(X$3&gt;=INDEX(Properties!$Q:$Q,$B25+5),X$3&lt;INDEX(Properties!$T:$T,$B25+5)),INDEX(Properties!$N:$N,$B25+5)/INDEX(Properties!$R:$R,$B25+5),0))</f>
        <v>0</v>
      </c>
      <c r="Y25" s="123" cm="1">
        <f t="array" ref="Y25">INDEX(Properties!$D:$D,$B25+5)*(IF(AND(Y$3&gt;=INDEX(Properties!$Q:$Q,$B25+5),Y$3&lt;INDEX(Properties!$T:$T,$B25+5)),INDEX(Properties!$N:$N,$B25+5)/INDEX(Properties!$R:$R,$B25+5),0))</f>
        <v>0</v>
      </c>
      <c r="Z25" s="123" cm="1">
        <f t="array" ref="Z25">INDEX(Properties!$D:$D,$B25+5)*(IF(AND(Z$3&gt;=INDEX(Properties!$Q:$Q,$B25+5),Z$3&lt;INDEX(Properties!$T:$T,$B25+5)),INDEX(Properties!$N:$N,$B25+5)/INDEX(Properties!$R:$R,$B25+5),0))</f>
        <v>0</v>
      </c>
      <c r="AA25" s="123" cm="1">
        <f t="array" ref="AA25">INDEX(Properties!$D:$D,$B25+5)*(IF(AND(AA$3&gt;=INDEX(Properties!$Q:$Q,$B25+5),AA$3&lt;INDEX(Properties!$T:$T,$B25+5)),INDEX(Properties!$N:$N,$B25+5)/INDEX(Properties!$R:$R,$B25+5),0))</f>
        <v>0</v>
      </c>
      <c r="AB25" s="123" cm="1">
        <f t="array" ref="AB25">INDEX(Properties!$D:$D,$B25+5)*(IF(AND(AB$3&gt;=INDEX(Properties!$Q:$Q,$B25+5),AB$3&lt;INDEX(Properties!$T:$T,$B25+5)),INDEX(Properties!$N:$N,$B25+5)/INDEX(Properties!$R:$R,$B25+5),0))</f>
        <v>0</v>
      </c>
      <c r="AC25" s="123" cm="1">
        <f t="array" ref="AC25">INDEX(Properties!$D:$D,$B25+5)*(IF(AND(AC$3&gt;=INDEX(Properties!$Q:$Q,$B25+5),AC$3&lt;INDEX(Properties!$T:$T,$B25+5)),INDEX(Properties!$N:$N,$B25+5)/INDEX(Properties!$R:$R,$B25+5),0))</f>
        <v>0</v>
      </c>
      <c r="AD25" s="123" cm="1">
        <f t="array" ref="AD25">INDEX(Properties!$D:$D,$B25+5)*(IF(AND(AD$3&gt;=INDEX(Properties!$Q:$Q,$B25+5),AD$3&lt;INDEX(Properties!$T:$T,$B25+5)),INDEX(Properties!$N:$N,$B25+5)/INDEX(Properties!$R:$R,$B25+5),0))</f>
        <v>0</v>
      </c>
      <c r="AE25" s="123" cm="1">
        <f t="array" ref="AE25">INDEX(Properties!$D:$D,$B25+5)*(IF(AND(AE$3&gt;=INDEX(Properties!$Q:$Q,$B25+5),AE$3&lt;INDEX(Properties!$T:$T,$B25+5)),INDEX(Properties!$N:$N,$B25+5)/INDEX(Properties!$R:$R,$B25+5),0))</f>
        <v>0</v>
      </c>
      <c r="AF25" s="123" cm="1">
        <f t="array" ref="AF25">INDEX(Properties!$D:$D,$B25+5)*(IF(AND(AF$3&gt;=INDEX(Properties!$Q:$Q,$B25+5),AF$3&lt;INDEX(Properties!$T:$T,$B25+5)),INDEX(Properties!$N:$N,$B25+5)/INDEX(Properties!$R:$R,$B25+5),0))</f>
        <v>0</v>
      </c>
      <c r="AG25" s="123" cm="1">
        <f t="array" ref="AG25">INDEX(Properties!$D:$D,$B25+5)*(IF(AND(AG$3&gt;=INDEX(Properties!$Q:$Q,$B25+5),AG$3&lt;INDEX(Properties!$T:$T,$B25+5)),INDEX(Properties!$N:$N,$B25+5)/INDEX(Properties!$R:$R,$B25+5),0))</f>
        <v>0</v>
      </c>
      <c r="AH25" s="123" cm="1">
        <f t="array" ref="AH25">INDEX(Properties!$D:$D,$B25+5)*(IF(AND(AH$3&gt;=INDEX(Properties!$Q:$Q,$B25+5),AH$3&lt;INDEX(Properties!$T:$T,$B25+5)),INDEX(Properties!$N:$N,$B25+5)/INDEX(Properties!$R:$R,$B25+5),0))</f>
        <v>0</v>
      </c>
      <c r="AI25" s="123" cm="1">
        <f t="array" ref="AI25">INDEX(Properties!$D:$D,$B25+5)*(IF(AND(AI$3&gt;=INDEX(Properties!$Q:$Q,$B25+5),AI$3&lt;INDEX(Properties!$T:$T,$B25+5)),INDEX(Properties!$N:$N,$B25+5)/INDEX(Properties!$R:$R,$B25+5),0))</f>
        <v>0</v>
      </c>
      <c r="AJ25" s="123" cm="1">
        <f t="array" ref="AJ25">INDEX(Properties!$D:$D,$B25+5)*(IF(AND(AJ$3&gt;=INDEX(Properties!$Q:$Q,$B25+5),AJ$3&lt;INDEX(Properties!$T:$T,$B25+5)),INDEX(Properties!$N:$N,$B25+5)/INDEX(Properties!$R:$R,$B25+5),0))</f>
        <v>0</v>
      </c>
      <c r="AK25" s="123" cm="1">
        <f t="array" ref="AK25">INDEX(Properties!$D:$D,$B25+5)*(IF(AND(AK$3&gt;=INDEX(Properties!$Q:$Q,$B25+5),AK$3&lt;INDEX(Properties!$T:$T,$B25+5)),INDEX(Properties!$N:$N,$B25+5)/INDEX(Properties!$R:$R,$B25+5),0))</f>
        <v>0</v>
      </c>
      <c r="AL25" s="123" cm="1">
        <f t="array" ref="AL25">INDEX(Properties!$D:$D,$B25+5)*(IF(AND(AL$3&gt;=INDEX(Properties!$Q:$Q,$B25+5),AL$3&lt;INDEX(Properties!$T:$T,$B25+5)),INDEX(Properties!$N:$N,$B25+5)/INDEX(Properties!$R:$R,$B25+5),0))</f>
        <v>0</v>
      </c>
      <c r="AM25" s="123" cm="1">
        <f t="array" ref="AM25">INDEX(Properties!$D:$D,$B25+5)*(IF(AND(AM$3&gt;=INDEX(Properties!$Q:$Q,$B25+5),AM$3&lt;INDEX(Properties!$T:$T,$B25+5)),INDEX(Properties!$N:$N,$B25+5)/INDEX(Properties!$R:$R,$B25+5),0))</f>
        <v>0</v>
      </c>
      <c r="AN25" s="123" cm="1">
        <f t="array" ref="AN25">INDEX(Properties!$D:$D,$B25+5)*(IF(AND(AN$3&gt;=INDEX(Properties!$Q:$Q,$B25+5),AN$3&lt;INDEX(Properties!$T:$T,$B25+5)),INDEX(Properties!$N:$N,$B25+5)/INDEX(Properties!$R:$R,$B25+5),0))</f>
        <v>0</v>
      </c>
      <c r="AO25" s="123" cm="1">
        <f t="array" ref="AO25">INDEX(Properties!$D:$D,$B25+5)*(IF(AND(AO$3&gt;=INDEX(Properties!$Q:$Q,$B25+5),AO$3&lt;INDEX(Properties!$T:$T,$B25+5)),INDEX(Properties!$N:$N,$B25+5)/INDEX(Properties!$R:$R,$B25+5),0))</f>
        <v>0</v>
      </c>
      <c r="AP25" s="123" cm="1">
        <f t="array" ref="AP25">INDEX(Properties!$D:$D,$B25+5)*(IF(AND(AP$3&gt;=INDEX(Properties!$Q:$Q,$B25+5),AP$3&lt;INDEX(Properties!$T:$T,$B25+5)),INDEX(Properties!$N:$N,$B25+5)/INDEX(Properties!$R:$R,$B25+5),0))</f>
        <v>0</v>
      </c>
      <c r="AQ25" s="123" cm="1">
        <f t="array" ref="AQ25">INDEX(Properties!$D:$D,$B25+5)*(IF(AND(AQ$3&gt;=INDEX(Properties!$Q:$Q,$B25+5),AQ$3&lt;INDEX(Properties!$T:$T,$B25+5)),INDEX(Properties!$N:$N,$B25+5)/INDEX(Properties!$R:$R,$B25+5),0))</f>
        <v>0</v>
      </c>
      <c r="AR25" s="123" cm="1">
        <f t="array" ref="AR25">INDEX(Properties!$D:$D,$B25+5)*(IF(AND(AR$3&gt;=INDEX(Properties!$Q:$Q,$B25+5),AR$3&lt;INDEX(Properties!$T:$T,$B25+5)),INDEX(Properties!$N:$N,$B25+5)/INDEX(Properties!$R:$R,$B25+5),0))</f>
        <v>0</v>
      </c>
      <c r="AS25" s="123" cm="1">
        <f t="array" ref="AS25">INDEX(Properties!$D:$D,$B25+5)*(IF(AND(AS$3&gt;=INDEX(Properties!$Q:$Q,$B25+5),AS$3&lt;INDEX(Properties!$T:$T,$B25+5)),INDEX(Properties!$N:$N,$B25+5)/INDEX(Properties!$R:$R,$B25+5),0))</f>
        <v>0</v>
      </c>
      <c r="AT25" s="123" cm="1">
        <f t="array" ref="AT25">INDEX(Properties!$D:$D,$B25+5)*(IF(AND(AT$3&gt;=INDEX(Properties!$Q:$Q,$B25+5),AT$3&lt;INDEX(Properties!$T:$T,$B25+5)),INDEX(Properties!$N:$N,$B25+5)/INDEX(Properties!$R:$R,$B25+5),0))</f>
        <v>0</v>
      </c>
      <c r="AU25" s="123" cm="1">
        <f t="array" ref="AU25">INDEX(Properties!$D:$D,$B25+5)*(IF(AND(AU$3&gt;=INDEX(Properties!$Q:$Q,$B25+5),AU$3&lt;INDEX(Properties!$T:$T,$B25+5)),INDEX(Properties!$N:$N,$B25+5)/INDEX(Properties!$R:$R,$B25+5),0))</f>
        <v>0</v>
      </c>
      <c r="AV25" s="123" cm="1">
        <f t="array" ref="AV25">INDEX(Properties!$D:$D,$B25+5)*(IF(AND(AV$3&gt;=INDEX(Properties!$Q:$Q,$B25+5),AV$3&lt;INDEX(Properties!$T:$T,$B25+5)),INDEX(Properties!$N:$N,$B25+5)/INDEX(Properties!$R:$R,$B25+5),0))</f>
        <v>0</v>
      </c>
      <c r="AW25" s="123" cm="1">
        <f t="array" ref="AW25">INDEX(Properties!$D:$D,$B25+5)*(IF(AND(AW$3&gt;=INDEX(Properties!$Q:$Q,$B25+5),AW$3&lt;INDEX(Properties!$T:$T,$B25+5)),INDEX(Properties!$N:$N,$B25+5)/INDEX(Properties!$R:$R,$B25+5),0))</f>
        <v>0</v>
      </c>
      <c r="AX25" s="123" cm="1">
        <f t="array" ref="AX25">INDEX(Properties!$D:$D,$B25+5)*(IF(AND(AX$3&gt;=INDEX(Properties!$Q:$Q,$B25+5),AX$3&lt;INDEX(Properties!$T:$T,$B25+5)),INDEX(Properties!$N:$N,$B25+5)/INDEX(Properties!$R:$R,$B25+5),0))</f>
        <v>0</v>
      </c>
      <c r="AY25" s="123" cm="1">
        <f t="array" ref="AY25">INDEX(Properties!$D:$D,$B25+5)*(IF(AND(AY$3&gt;=INDEX(Properties!$Q:$Q,$B25+5),AY$3&lt;INDEX(Properties!$T:$T,$B25+5)),INDEX(Properties!$N:$N,$B25+5)/INDEX(Properties!$R:$R,$B25+5),0))</f>
        <v>0</v>
      </c>
      <c r="AZ25" s="123" cm="1">
        <f t="array" ref="AZ25">INDEX(Properties!$D:$D,$B25+5)*(IF(AND(AZ$3&gt;=INDEX(Properties!$Q:$Q,$B25+5),AZ$3&lt;INDEX(Properties!$T:$T,$B25+5)),INDEX(Properties!$N:$N,$B25+5)/INDEX(Properties!$R:$R,$B25+5),0))</f>
        <v>0</v>
      </c>
      <c r="BA25" s="123" cm="1">
        <f t="array" ref="BA25">INDEX(Properties!$D:$D,$B25+5)*(IF(AND(BA$3&gt;=INDEX(Properties!$Q:$Q,$B25+5),BA$3&lt;INDEX(Properties!$T:$T,$B25+5)),INDEX(Properties!$N:$N,$B25+5)/INDEX(Properties!$R:$R,$B25+5),0))</f>
        <v>0</v>
      </c>
      <c r="BB25" s="123" cm="1">
        <f t="array" ref="BB25">INDEX(Properties!$D:$D,$B25+5)*(IF(AND(BB$3&gt;=INDEX(Properties!$Q:$Q,$B25+5),BB$3&lt;INDEX(Properties!$T:$T,$B25+5)),INDEX(Properties!$N:$N,$B25+5)/INDEX(Properties!$R:$R,$B25+5),0))</f>
        <v>0</v>
      </c>
      <c r="BC25" s="123" cm="1">
        <f t="array" ref="BC25">INDEX(Properties!$D:$D,$B25+5)*(IF(AND(BC$3&gt;=INDEX(Properties!$Q:$Q,$B25+5),BC$3&lt;INDEX(Properties!$T:$T,$B25+5)),INDEX(Properties!$N:$N,$B25+5)/INDEX(Properties!$R:$R,$B25+5),0))</f>
        <v>0</v>
      </c>
      <c r="BD25" s="123" cm="1">
        <f t="array" ref="BD25">INDEX(Properties!$D:$D,$B25+5)*(IF(AND(BD$3&gt;=INDEX(Properties!$Q:$Q,$B25+5),BD$3&lt;INDEX(Properties!$T:$T,$B25+5)),INDEX(Properties!$N:$N,$B25+5)/INDEX(Properties!$R:$R,$B25+5),0))</f>
        <v>0</v>
      </c>
      <c r="BE25" s="123" cm="1">
        <f t="array" ref="BE25">INDEX(Properties!$D:$D,$B25+5)*(IF(AND(BE$3&gt;=INDEX(Properties!$Q:$Q,$B25+5),BE$3&lt;INDEX(Properties!$T:$T,$B25+5)),INDEX(Properties!$N:$N,$B25+5)/INDEX(Properties!$R:$R,$B25+5),0))</f>
        <v>0</v>
      </c>
      <c r="BF25" s="123" cm="1">
        <f t="array" ref="BF25">INDEX(Properties!$D:$D,$B25+5)*(IF(AND(BF$3&gt;=INDEX(Properties!$Q:$Q,$B25+5),BF$3&lt;INDEX(Properties!$T:$T,$B25+5)),INDEX(Properties!$N:$N,$B25+5)/INDEX(Properties!$R:$R,$B25+5),0))</f>
        <v>0</v>
      </c>
      <c r="BG25" s="123" cm="1">
        <f t="array" ref="BG25">INDEX(Properties!$D:$D,$B25+5)*(IF(AND(BG$3&gt;=INDEX(Properties!$Q:$Q,$B25+5),BG$3&lt;INDEX(Properties!$T:$T,$B25+5)),INDEX(Properties!$N:$N,$B25+5)/INDEX(Properties!$R:$R,$B25+5),0))</f>
        <v>0</v>
      </c>
      <c r="BH25" s="123" cm="1">
        <f t="array" ref="BH25">INDEX(Properties!$D:$D,$B25+5)*(IF(AND(BH$3&gt;=INDEX(Properties!$Q:$Q,$B25+5),BH$3&lt;INDEX(Properties!$T:$T,$B25+5)),INDEX(Properties!$N:$N,$B25+5)/INDEX(Properties!$R:$R,$B25+5),0))</f>
        <v>0</v>
      </c>
      <c r="BI25" s="123" cm="1">
        <f t="array" ref="BI25">INDEX(Properties!$D:$D,$B25+5)*(IF(AND(BI$3&gt;=INDEX(Properties!$Q:$Q,$B25+5),BI$3&lt;INDEX(Properties!$T:$T,$B25+5)),INDEX(Properties!$N:$N,$B25+5)/INDEX(Properties!$R:$R,$B25+5),0))</f>
        <v>0</v>
      </c>
      <c r="BJ25" s="123" cm="1">
        <f t="array" ref="BJ25">INDEX(Properties!$D:$D,$B25+5)*(IF(AND(BJ$3&gt;=INDEX(Properties!$Q:$Q,$B25+5),BJ$3&lt;INDEX(Properties!$T:$T,$B25+5)),INDEX(Properties!$N:$N,$B25+5)/INDEX(Properties!$R:$R,$B25+5),0))</f>
        <v>0</v>
      </c>
      <c r="BK25" s="123" cm="1">
        <f t="array" ref="BK25">INDEX(Properties!$D:$D,$B25+5)*(IF(AND(BK$3&gt;=INDEX(Properties!$Q:$Q,$B25+5),BK$3&lt;INDEX(Properties!$T:$T,$B25+5)),INDEX(Properties!$N:$N,$B25+5)/INDEX(Properties!$R:$R,$B25+5),0))</f>
        <v>0</v>
      </c>
      <c r="BL25" s="123" cm="1">
        <f t="array" ref="BL25">INDEX(Properties!$D:$D,$B25+5)*(IF(AND(BL$3&gt;=INDEX(Properties!$Q:$Q,$B25+5),BL$3&lt;INDEX(Properties!$T:$T,$B25+5)),INDEX(Properties!$N:$N,$B25+5)/INDEX(Properties!$R:$R,$B25+5),0))</f>
        <v>0</v>
      </c>
      <c r="BM25" s="123" cm="1">
        <f t="array" ref="BM25">INDEX(Properties!$D:$D,$B25+5)*(IF(AND(BM$3&gt;=INDEX(Properties!$Q:$Q,$B25+5),BM$3&lt;INDEX(Properties!$T:$T,$B25+5)),INDEX(Properties!$N:$N,$B25+5)/INDEX(Properties!$R:$R,$B25+5),0))</f>
        <v>0</v>
      </c>
      <c r="BN25" s="123" cm="1">
        <f t="array" ref="BN25">INDEX(Properties!$D:$D,$B25+5)*(IF(AND(BN$3&gt;=INDEX(Properties!$Q:$Q,$B25+5),BN$3&lt;INDEX(Properties!$T:$T,$B25+5)),INDEX(Properties!$N:$N,$B25+5)/INDEX(Properties!$R:$R,$B25+5),0))</f>
        <v>0</v>
      </c>
      <c r="BO25" s="123" cm="1">
        <f t="array" ref="BO25">INDEX(Properties!$D:$D,$B25+5)*(IF(AND(BO$3&gt;=INDEX(Properties!$Q:$Q,$B25+5),BO$3&lt;INDEX(Properties!$T:$T,$B25+5)),INDEX(Properties!$N:$N,$B25+5)/INDEX(Properties!$R:$R,$B25+5),0))</f>
        <v>0</v>
      </c>
      <c r="BP25" s="123" cm="1">
        <f t="array" ref="BP25">INDEX(Properties!$D:$D,$B25+5)*(IF(AND(BP$3&gt;=INDEX(Properties!$Q:$Q,$B25+5),BP$3&lt;INDEX(Properties!$T:$T,$B25+5)),INDEX(Properties!$N:$N,$B25+5)/INDEX(Properties!$R:$R,$B25+5),0))</f>
        <v>0</v>
      </c>
      <c r="BQ25" s="123" cm="1">
        <f t="array" ref="BQ25">INDEX(Properties!$D:$D,$B25+5)*(IF(AND(BQ$3&gt;=INDEX(Properties!$Q:$Q,$B25+5),BQ$3&lt;INDEX(Properties!$T:$T,$B25+5)),INDEX(Properties!$N:$N,$B25+5)/INDEX(Properties!$R:$R,$B25+5),0))</f>
        <v>0</v>
      </c>
      <c r="BR25" s="123" cm="1">
        <f t="array" ref="BR25">INDEX(Properties!$D:$D,$B25+5)*(IF(AND(BR$3&gt;=INDEX(Properties!$Q:$Q,$B25+5),BR$3&lt;INDEX(Properties!$T:$T,$B25+5)),INDEX(Properties!$N:$N,$B25+5)/INDEX(Properties!$R:$R,$B25+5),0))</f>
        <v>0</v>
      </c>
      <c r="BS25" s="123" cm="1">
        <f t="array" ref="BS25">INDEX(Properties!$D:$D,$B25+5)*(IF(AND(BS$3&gt;=INDEX(Properties!$Q:$Q,$B25+5),BS$3&lt;INDEX(Properties!$T:$T,$B25+5)),INDEX(Properties!$N:$N,$B25+5)/INDEX(Properties!$R:$R,$B25+5),0))</f>
        <v>0</v>
      </c>
      <c r="BT25" s="123" cm="1">
        <f t="array" ref="BT25">INDEX(Properties!$D:$D,$B25+5)*(IF(AND(BT$3&gt;=INDEX(Properties!$Q:$Q,$B25+5),BT$3&lt;INDEX(Properties!$T:$T,$B25+5)),INDEX(Properties!$N:$N,$B25+5)/INDEX(Properties!$R:$R,$B25+5),0))</f>
        <v>0</v>
      </c>
      <c r="BU25" s="123" cm="1">
        <f t="array" ref="BU25">INDEX(Properties!$D:$D,$B25+5)*(IF(AND(BU$3&gt;=INDEX(Properties!$Q:$Q,$B25+5),BU$3&lt;INDEX(Properties!$T:$T,$B25+5)),INDEX(Properties!$N:$N,$B25+5)/INDEX(Properties!$R:$R,$B25+5),0))</f>
        <v>0</v>
      </c>
      <c r="BV25" s="123" cm="1">
        <f t="array" ref="BV25">INDEX(Properties!$D:$D,$B25+5)*(IF(AND(BV$3&gt;=INDEX(Properties!$Q:$Q,$B25+5),BV$3&lt;INDEX(Properties!$T:$T,$B25+5)),INDEX(Properties!$N:$N,$B25+5)/INDEX(Properties!$R:$R,$B25+5),0))</f>
        <v>0</v>
      </c>
      <c r="BW25" s="123" cm="1">
        <f t="array" ref="BW25">INDEX(Properties!$D:$D,$B25+5)*(IF(AND(BW$3&gt;=INDEX(Properties!$Q:$Q,$B25+5),BW$3&lt;INDEX(Properties!$T:$T,$B25+5)),INDEX(Properties!$N:$N,$B25+5)/INDEX(Properties!$R:$R,$B25+5),0))</f>
        <v>0</v>
      </c>
      <c r="BX25" s="123" cm="1">
        <f t="array" ref="BX25">INDEX(Properties!$D:$D,$B25+5)*(IF(AND(BX$3&gt;=INDEX(Properties!$Q:$Q,$B25+5),BX$3&lt;INDEX(Properties!$T:$T,$B25+5)),INDEX(Properties!$N:$N,$B25+5)/INDEX(Properties!$R:$R,$B25+5),0))</f>
        <v>0</v>
      </c>
      <c r="BY25" s="123" cm="1">
        <f t="array" ref="BY25">INDEX(Properties!$D:$D,$B25+5)*(IF(AND(BY$3&gt;=INDEX(Properties!$Q:$Q,$B25+5),BY$3&lt;INDEX(Properties!$T:$T,$B25+5)),INDEX(Properties!$N:$N,$B25+5)/INDEX(Properties!$R:$R,$B25+5),0))</f>
        <v>0</v>
      </c>
      <c r="BZ25" s="123" cm="1">
        <f t="array" ref="BZ25">INDEX(Properties!$D:$D,$B25+5)*(IF(AND(BZ$3&gt;=INDEX(Properties!$Q:$Q,$B25+5),BZ$3&lt;INDEX(Properties!$T:$T,$B25+5)),INDEX(Properties!$N:$N,$B25+5)/INDEX(Properties!$R:$R,$B25+5),0))</f>
        <v>0</v>
      </c>
      <c r="CA25" s="123" cm="1">
        <f t="array" ref="CA25">INDEX(Properties!$D:$D,$B25+5)*(IF(AND(CA$3&gt;=INDEX(Properties!$Q:$Q,$B25+5),CA$3&lt;INDEX(Properties!$T:$T,$B25+5)),INDEX(Properties!$N:$N,$B25+5)/INDEX(Properties!$R:$R,$B25+5),0))</f>
        <v>0</v>
      </c>
      <c r="CB25" s="123" cm="1">
        <f t="array" ref="CB25">INDEX(Properties!$D:$D,$B25+5)*(IF(AND(CB$3&gt;=INDEX(Properties!$Q:$Q,$B25+5),CB$3&lt;INDEX(Properties!$T:$T,$B25+5)),INDEX(Properties!$N:$N,$B25+5)/INDEX(Properties!$R:$R,$B25+5),0))</f>
        <v>0</v>
      </c>
      <c r="CC25" s="123" cm="1">
        <f t="array" ref="CC25">INDEX(Properties!$D:$D,$B25+5)*(IF(AND(CC$3&gt;=INDEX(Properties!$Q:$Q,$B25+5),CC$3&lt;INDEX(Properties!$T:$T,$B25+5)),INDEX(Properties!$N:$N,$B25+5)/INDEX(Properties!$R:$R,$B25+5),0))</f>
        <v>0</v>
      </c>
      <c r="CD25" s="123" cm="1">
        <f t="array" ref="CD25">INDEX(Properties!$D:$D,$B25+5)*(IF(AND(CD$3&gt;=INDEX(Properties!$Q:$Q,$B25+5),CD$3&lt;INDEX(Properties!$T:$T,$B25+5)),INDEX(Properties!$N:$N,$B25+5)/INDEX(Properties!$R:$R,$B25+5),0))</f>
        <v>0</v>
      </c>
      <c r="CE25" s="123" cm="1">
        <f t="array" ref="CE25">INDEX(Properties!$D:$D,$B25+5)*(IF(AND(CE$3&gt;=INDEX(Properties!$Q:$Q,$B25+5),CE$3&lt;INDEX(Properties!$T:$T,$B25+5)),INDEX(Properties!$N:$N,$B25+5)/INDEX(Properties!$R:$R,$B25+5),0))</f>
        <v>0</v>
      </c>
      <c r="CF25" s="123" cm="1">
        <f t="array" ref="CF25">INDEX(Properties!$D:$D,$B25+5)*(IF(AND(CF$3&gt;=INDEX(Properties!$Q:$Q,$B25+5),CF$3&lt;INDEX(Properties!$T:$T,$B25+5)),INDEX(Properties!$N:$N,$B25+5)/INDEX(Properties!$R:$R,$B25+5),0))</f>
        <v>0</v>
      </c>
      <c r="CG25" s="123" cm="1">
        <f t="array" ref="CG25">INDEX(Properties!$D:$D,$B25+5)*(IF(AND(CG$3&gt;=INDEX(Properties!$Q:$Q,$B25+5),CG$3&lt;INDEX(Properties!$T:$T,$B25+5)),INDEX(Properties!$N:$N,$B25+5)/INDEX(Properties!$R:$R,$B25+5),0))</f>
        <v>0</v>
      </c>
      <c r="CH25" s="123" cm="1">
        <f t="array" ref="CH25">INDEX(Properties!$D:$D,$B25+5)*(IF(AND(CH$3&gt;=INDEX(Properties!$Q:$Q,$B25+5),CH$3&lt;INDEX(Properties!$T:$T,$B25+5)),INDEX(Properties!$N:$N,$B25+5)/INDEX(Properties!$R:$R,$B25+5),0))</f>
        <v>0</v>
      </c>
      <c r="CI25" s="123" cm="1">
        <f t="array" ref="CI25">INDEX(Properties!$D:$D,$B25+5)*(IF(AND(CI$3&gt;=INDEX(Properties!$Q:$Q,$B25+5),CI$3&lt;INDEX(Properties!$T:$T,$B25+5)),INDEX(Properties!$N:$N,$B25+5)/INDEX(Properties!$R:$R,$B25+5),0))</f>
        <v>0</v>
      </c>
      <c r="CJ25" s="123" cm="1">
        <f t="array" ref="CJ25">INDEX(Properties!$D:$D,$B25+5)*(IF(AND(CJ$3&gt;=INDEX(Properties!$Q:$Q,$B25+5),CJ$3&lt;INDEX(Properties!$T:$T,$B25+5)),INDEX(Properties!$N:$N,$B25+5)/INDEX(Properties!$R:$R,$B25+5),0))</f>
        <v>0</v>
      </c>
      <c r="CK25" s="123" cm="1">
        <f t="array" ref="CK25">INDEX(Properties!$D:$D,$B25+5)*(IF(AND(CK$3&gt;=INDEX(Properties!$Q:$Q,$B25+5),CK$3&lt;INDEX(Properties!$T:$T,$B25+5)),INDEX(Properties!$N:$N,$B25+5)/INDEX(Properties!$R:$R,$B25+5),0))</f>
        <v>0</v>
      </c>
      <c r="CL25" s="123" cm="1">
        <f t="array" ref="CL25">INDEX(Properties!$D:$D,$B25+5)*(IF(AND(CL$3&gt;=INDEX(Properties!$Q:$Q,$B25+5),CL$3&lt;INDEX(Properties!$T:$T,$B25+5)),INDEX(Properties!$N:$N,$B25+5)/INDEX(Properties!$R:$R,$B25+5),0))</f>
        <v>0</v>
      </c>
      <c r="CM25" s="123" cm="1">
        <f t="array" ref="CM25">INDEX(Properties!$D:$D,$B25+5)*(IF(AND(CM$3&gt;=INDEX(Properties!$Q:$Q,$B25+5),CM$3&lt;INDEX(Properties!$T:$T,$B25+5)),INDEX(Properties!$N:$N,$B25+5)/INDEX(Properties!$R:$R,$B25+5),0))</f>
        <v>0</v>
      </c>
      <c r="CN25" s="123" cm="1">
        <f t="array" ref="CN25">INDEX(Properties!$D:$D,$B25+5)*(IF(AND(CN$3&gt;=INDEX(Properties!$Q:$Q,$B25+5),CN$3&lt;INDEX(Properties!$T:$T,$B25+5)),INDEX(Properties!$N:$N,$B25+5)/INDEX(Properties!$R:$R,$B25+5),0))</f>
        <v>0</v>
      </c>
      <c r="CO25" s="123" cm="1">
        <f t="array" ref="CO25">INDEX(Properties!$D:$D,$B25+5)*(IF(AND(CO$3&gt;=INDEX(Properties!$Q:$Q,$B25+5),CO$3&lt;INDEX(Properties!$T:$T,$B25+5)),INDEX(Properties!$N:$N,$B25+5)/INDEX(Properties!$R:$R,$B25+5),0))</f>
        <v>0</v>
      </c>
      <c r="CP25" s="123" cm="1">
        <f t="array" ref="CP25">INDEX(Properties!$D:$D,$B25+5)*(IF(AND(CP$3&gt;=INDEX(Properties!$Q:$Q,$B25+5),CP$3&lt;INDEX(Properties!$T:$T,$B25+5)),INDEX(Properties!$N:$N,$B25+5)/INDEX(Properties!$R:$R,$B25+5),0))</f>
        <v>0</v>
      </c>
      <c r="CQ25" s="123" cm="1">
        <f t="array" ref="CQ25">INDEX(Properties!$D:$D,$B25+5)*(IF(AND(CQ$3&gt;=INDEX(Properties!$Q:$Q,$B25+5),CQ$3&lt;INDEX(Properties!$T:$T,$B25+5)),INDEX(Properties!$N:$N,$B25+5)/INDEX(Properties!$R:$R,$B25+5),0))</f>
        <v>0</v>
      </c>
      <c r="CR25" s="123" cm="1">
        <f t="array" ref="CR25">INDEX(Properties!$D:$D,$B25+5)*(IF(AND(CR$3&gt;=INDEX(Properties!$Q:$Q,$B25+5),CR$3&lt;INDEX(Properties!$T:$T,$B25+5)),INDEX(Properties!$N:$N,$B25+5)/INDEX(Properties!$R:$R,$B25+5),0))</f>
        <v>0</v>
      </c>
      <c r="CS25" s="123" cm="1">
        <f t="array" ref="CS25">INDEX(Properties!$D:$D,$B25+5)*(IF(AND(CS$3&gt;=INDEX(Properties!$Q:$Q,$B25+5),CS$3&lt;INDEX(Properties!$T:$T,$B25+5)),INDEX(Properties!$N:$N,$B25+5)/INDEX(Properties!$R:$R,$B25+5),0))</f>
        <v>0</v>
      </c>
      <c r="CT25" s="123" cm="1">
        <f t="array" ref="CT25">INDEX(Properties!$D:$D,$B25+5)*(IF(AND(CT$3&gt;=INDEX(Properties!$Q:$Q,$B25+5),CT$3&lt;INDEX(Properties!$T:$T,$B25+5)),INDEX(Properties!$N:$N,$B25+5)/INDEX(Properties!$R:$R,$B25+5),0))</f>
        <v>0</v>
      </c>
      <c r="CU25" s="123" cm="1">
        <f t="array" ref="CU25">INDEX(Properties!$D:$D,$B25+5)*(IF(AND(CU$3&gt;=INDEX(Properties!$Q:$Q,$B25+5),CU$3&lt;INDEX(Properties!$T:$T,$B25+5)),INDEX(Properties!$N:$N,$B25+5)/INDEX(Properties!$R:$R,$B25+5),0))</f>
        <v>0</v>
      </c>
      <c r="CV25" s="123" cm="1">
        <f t="array" ref="CV25">INDEX(Properties!$D:$D,$B25+5)*(IF(AND(CV$3&gt;=INDEX(Properties!$Q:$Q,$B25+5),CV$3&lt;INDEX(Properties!$T:$T,$B25+5)),INDEX(Properties!$N:$N,$B25+5)/INDEX(Properties!$R:$R,$B25+5),0))</f>
        <v>0</v>
      </c>
      <c r="CW25" s="123" cm="1">
        <f t="array" ref="CW25">INDEX(Properties!$D:$D,$B25+5)*(IF(AND(CW$3&gt;=INDEX(Properties!$Q:$Q,$B25+5),CW$3&lt;INDEX(Properties!$T:$T,$B25+5)),INDEX(Properties!$N:$N,$B25+5)/INDEX(Properties!$R:$R,$B25+5),0))</f>
        <v>0</v>
      </c>
      <c r="CX25" s="123" cm="1">
        <f t="array" ref="CX25">INDEX(Properties!$D:$D,$B25+5)*(IF(AND(CX$3&gt;=INDEX(Properties!$Q:$Q,$B25+5),CX$3&lt;INDEX(Properties!$T:$T,$B25+5)),INDEX(Properties!$N:$N,$B25+5)/INDEX(Properties!$R:$R,$B25+5),0))</f>
        <v>0</v>
      </c>
      <c r="CY25" s="123" cm="1">
        <f t="array" ref="CY25">INDEX(Properties!$D:$D,$B25+5)*(IF(AND(CY$3&gt;=INDEX(Properties!$Q:$Q,$B25+5),CY$3&lt;INDEX(Properties!$T:$T,$B25+5)),INDEX(Properties!$N:$N,$B25+5)/INDEX(Properties!$R:$R,$B25+5),0))</f>
        <v>0</v>
      </c>
      <c r="CZ25" s="123" cm="1">
        <f t="array" ref="CZ25">INDEX(Properties!$D:$D,$B25+5)*(IF(AND(CZ$3&gt;=INDEX(Properties!$Q:$Q,$B25+5),CZ$3&lt;INDEX(Properties!$T:$T,$B25+5)),INDEX(Properties!$N:$N,$B25+5)/INDEX(Properties!$R:$R,$B25+5),0))</f>
        <v>0</v>
      </c>
      <c r="DA25" s="123" cm="1">
        <f t="array" ref="DA25">INDEX(Properties!$D:$D,$B25+5)*(IF(AND(DA$3&gt;=INDEX(Properties!$Q:$Q,$B25+5),DA$3&lt;INDEX(Properties!$T:$T,$B25+5)),INDEX(Properties!$N:$N,$B25+5)/INDEX(Properties!$R:$R,$B25+5),0))</f>
        <v>0</v>
      </c>
      <c r="DB25" s="123" cm="1">
        <f t="array" ref="DB25">INDEX(Properties!$D:$D,$B25+5)*(IF(AND(DB$3&gt;=INDEX(Properties!$Q:$Q,$B25+5),DB$3&lt;INDEX(Properties!$T:$T,$B25+5)),INDEX(Properties!$N:$N,$B25+5)/INDEX(Properties!$R:$R,$B25+5),0))</f>
        <v>0</v>
      </c>
      <c r="DC25" s="123" cm="1">
        <f t="array" ref="DC25">INDEX(Properties!$D:$D,$B25+5)*(IF(AND(DC$3&gt;=INDEX(Properties!$Q:$Q,$B25+5),DC$3&lt;INDEX(Properties!$T:$T,$B25+5)),INDEX(Properties!$N:$N,$B25+5)/INDEX(Properties!$R:$R,$B25+5),0))</f>
        <v>0</v>
      </c>
      <c r="DD25" s="123" cm="1">
        <f t="array" ref="DD25">INDEX(Properties!$D:$D,$B25+5)*(IF(AND(DD$3&gt;=INDEX(Properties!$Q:$Q,$B25+5),DD$3&lt;INDEX(Properties!$T:$T,$B25+5)),INDEX(Properties!$N:$N,$B25+5)/INDEX(Properties!$R:$R,$B25+5),0))</f>
        <v>0</v>
      </c>
      <c r="DE25" s="123" cm="1">
        <f t="array" ref="DE25">INDEX(Properties!$D:$D,$B25+5)*(IF(AND(DE$3&gt;=INDEX(Properties!$Q:$Q,$B25+5),DE$3&lt;INDEX(Properties!$T:$T,$B25+5)),INDEX(Properties!$N:$N,$B25+5)/INDEX(Properties!$R:$R,$B25+5),0))</f>
        <v>0</v>
      </c>
      <c r="DF25" s="123" cm="1">
        <f t="array" ref="DF25">INDEX(Properties!$D:$D,$B25+5)*(IF(AND(DF$3&gt;=INDEX(Properties!$Q:$Q,$B25+5),DF$3&lt;INDEX(Properties!$T:$T,$B25+5)),INDEX(Properties!$N:$N,$B25+5)/INDEX(Properties!$R:$R,$B25+5),0))</f>
        <v>0</v>
      </c>
      <c r="DG25" s="123" cm="1">
        <f t="array" ref="DG25">INDEX(Properties!$D:$D,$B25+5)*(IF(AND(DG$3&gt;=INDEX(Properties!$Q:$Q,$B25+5),DG$3&lt;INDEX(Properties!$T:$T,$B25+5)),INDEX(Properties!$N:$N,$B25+5)/INDEX(Properties!$R:$R,$B25+5),0))</f>
        <v>0</v>
      </c>
      <c r="DH25" s="123" cm="1">
        <f t="array" ref="DH25">INDEX(Properties!$D:$D,$B25+5)*(IF(AND(DH$3&gt;=INDEX(Properties!$Q:$Q,$B25+5),DH$3&lt;INDEX(Properties!$T:$T,$B25+5)),INDEX(Properties!$N:$N,$B25+5)/INDEX(Properties!$R:$R,$B25+5),0))</f>
        <v>0</v>
      </c>
      <c r="DI25" s="123" cm="1">
        <f t="array" ref="DI25">INDEX(Properties!$D:$D,$B25+5)*(IF(AND(DI$3&gt;=INDEX(Properties!$Q:$Q,$B25+5),DI$3&lt;INDEX(Properties!$T:$T,$B25+5)),INDEX(Properties!$N:$N,$B25+5)/INDEX(Properties!$R:$R,$B25+5),0))</f>
        <v>0</v>
      </c>
      <c r="DJ25" s="123" cm="1">
        <f t="array" ref="DJ25">INDEX(Properties!$D:$D,$B25+5)*(IF(AND(DJ$3&gt;=INDEX(Properties!$Q:$Q,$B25+5),DJ$3&lt;INDEX(Properties!$T:$T,$B25+5)),INDEX(Properties!$N:$N,$B25+5)/INDEX(Properties!$R:$R,$B25+5),0))</f>
        <v>0</v>
      </c>
      <c r="DK25" s="123" cm="1">
        <f t="array" ref="DK25">INDEX(Properties!$D:$D,$B25+5)*(IF(AND(DK$3&gt;=INDEX(Properties!$Q:$Q,$B25+5),DK$3&lt;INDEX(Properties!$T:$T,$B25+5)),INDEX(Properties!$N:$N,$B25+5)/INDEX(Properties!$R:$R,$B25+5),0))</f>
        <v>0</v>
      </c>
      <c r="DL25" s="123" cm="1">
        <f t="array" ref="DL25">INDEX(Properties!$D:$D,$B25+5)*(IF(AND(DL$3&gt;=INDEX(Properties!$Q:$Q,$B25+5),DL$3&lt;INDEX(Properties!$T:$T,$B25+5)),INDEX(Properties!$N:$N,$B25+5)/INDEX(Properties!$R:$R,$B25+5),0))</f>
        <v>0</v>
      </c>
      <c r="DM25" s="123" cm="1">
        <f t="array" ref="DM25">INDEX(Properties!$D:$D,$B25+5)*(IF(AND(DM$3&gt;=INDEX(Properties!$Q:$Q,$B25+5),DM$3&lt;INDEX(Properties!$T:$T,$B25+5)),INDEX(Properties!$N:$N,$B25+5)/INDEX(Properties!$R:$R,$B25+5),0))</f>
        <v>0</v>
      </c>
      <c r="DN25" s="123" cm="1">
        <f t="array" ref="DN25">INDEX(Properties!$D:$D,$B25+5)*(IF(AND(DN$3&gt;=INDEX(Properties!$Q:$Q,$B25+5),DN$3&lt;INDEX(Properties!$T:$T,$B25+5)),INDEX(Properties!$N:$N,$B25+5)/INDEX(Properties!$R:$R,$B25+5),0))</f>
        <v>0</v>
      </c>
      <c r="DO25" s="123" cm="1">
        <f t="array" ref="DO25">INDEX(Properties!$D:$D,$B25+5)*(IF(AND(DO$3&gt;=INDEX(Properties!$Q:$Q,$B25+5),DO$3&lt;INDEX(Properties!$T:$T,$B25+5)),INDEX(Properties!$N:$N,$B25+5)/INDEX(Properties!$R:$R,$B25+5),0))</f>
        <v>0</v>
      </c>
      <c r="DP25" s="123" cm="1">
        <f t="array" ref="DP25">INDEX(Properties!$D:$D,$B25+5)*(IF(AND(DP$3&gt;=INDEX(Properties!$Q:$Q,$B25+5),DP$3&lt;INDEX(Properties!$T:$T,$B25+5)),INDEX(Properties!$N:$N,$B25+5)/INDEX(Properties!$R:$R,$B25+5),0))</f>
        <v>0</v>
      </c>
      <c r="DQ25" s="123" cm="1">
        <f t="array" ref="DQ25">INDEX(Properties!$D:$D,$B25+5)*(IF(AND(DQ$3&gt;=INDEX(Properties!$Q:$Q,$B25+5),DQ$3&lt;INDEX(Properties!$T:$T,$B25+5)),INDEX(Properties!$N:$N,$B25+5)/INDEX(Properties!$R:$R,$B25+5),0))</f>
        <v>0</v>
      </c>
      <c r="DR25" s="123" cm="1">
        <f t="array" ref="DR25">INDEX(Properties!$D:$D,$B25+5)*(IF(AND(DR$3&gt;=INDEX(Properties!$Q:$Q,$B25+5),DR$3&lt;INDEX(Properties!$T:$T,$B25+5)),INDEX(Properties!$N:$N,$B25+5)/INDEX(Properties!$R:$R,$B25+5),0))</f>
        <v>0</v>
      </c>
    </row>
    <row r="26" spans="1:122" ht="16.05" customHeight="1" x14ac:dyDescent="0.3">
      <c r="A26" s="148" cm="1">
        <f t="array" ref="A26">INDEX(Properties!$E:$E,$B26+5)</f>
        <v>0</v>
      </c>
      <c r="B26" s="1">
        <v>6</v>
      </c>
      <c r="C26" s="123" cm="1">
        <f t="array" ref="C26">INDEX(Properties!$D:$D,$B26+5)*(IF(AND(C$3&gt;=INDEX(Properties!$Q:$Q,$B26+5),C$3&lt;INDEX(Properties!$T:$T,$B26+5)),INDEX(Properties!$N:$N,$B26+5)/INDEX(Properties!$R:$R,$B26+5),0))</f>
        <v>0</v>
      </c>
      <c r="D26" s="123" cm="1">
        <f t="array" ref="D26">INDEX(Properties!$D:$D,$B26+5)*(IF(AND(D$3&gt;=INDEX(Properties!$Q:$Q,$B26+5),D$3&lt;INDEX(Properties!$T:$T,$B26+5)),INDEX(Properties!$N:$N,$B26+5)/INDEX(Properties!$R:$R,$B26+5),0))</f>
        <v>0</v>
      </c>
      <c r="E26" s="123" cm="1">
        <f t="array" ref="E26">INDEX(Properties!$D:$D,$B26+5)*(IF(AND(E$3&gt;=INDEX(Properties!$Q:$Q,$B26+5),E$3&lt;INDEX(Properties!$T:$T,$B26+5)),INDEX(Properties!$N:$N,$B26+5)/INDEX(Properties!$R:$R,$B26+5),0))</f>
        <v>0</v>
      </c>
      <c r="F26" s="123" cm="1">
        <f t="array" ref="F26">INDEX(Properties!$D:$D,$B26+5)*(IF(AND(F$3&gt;=INDEX(Properties!$Q:$Q,$B26+5),F$3&lt;INDEX(Properties!$T:$T,$B26+5)),INDEX(Properties!$N:$N,$B26+5)/INDEX(Properties!$R:$R,$B26+5),0))</f>
        <v>0</v>
      </c>
      <c r="G26" s="123" cm="1">
        <f t="array" ref="G26">INDEX(Properties!$D:$D,$B26+5)*(IF(AND(G$3&gt;=INDEX(Properties!$Q:$Q,$B26+5),G$3&lt;INDEX(Properties!$T:$T,$B26+5)),INDEX(Properties!$N:$N,$B26+5)/INDEX(Properties!$R:$R,$B26+5),0))</f>
        <v>0</v>
      </c>
      <c r="H26" s="123" cm="1">
        <f t="array" ref="H26">INDEX(Properties!$D:$D,$B26+5)*(IF(AND(H$3&gt;=INDEX(Properties!$Q:$Q,$B26+5),H$3&lt;INDEX(Properties!$T:$T,$B26+5)),INDEX(Properties!$N:$N,$B26+5)/INDEX(Properties!$R:$R,$B26+5),0))</f>
        <v>0</v>
      </c>
      <c r="I26" s="123" cm="1">
        <f t="array" ref="I26">INDEX(Properties!$D:$D,$B26+5)*(IF(AND(I$3&gt;=INDEX(Properties!$Q:$Q,$B26+5),I$3&lt;INDEX(Properties!$T:$T,$B26+5)),INDEX(Properties!$N:$N,$B26+5)/INDEX(Properties!$R:$R,$B26+5),0))</f>
        <v>0</v>
      </c>
      <c r="J26" s="123" cm="1">
        <f t="array" ref="J26">INDEX(Properties!$D:$D,$B26+5)*(IF(AND(J$3&gt;=INDEX(Properties!$Q:$Q,$B26+5),J$3&lt;INDEX(Properties!$T:$T,$B26+5)),INDEX(Properties!$N:$N,$B26+5)/INDEX(Properties!$R:$R,$B26+5),0))</f>
        <v>0</v>
      </c>
      <c r="K26" s="123" cm="1">
        <f t="array" ref="K26">INDEX(Properties!$D:$D,$B26+5)*(IF(AND(K$3&gt;=INDEX(Properties!$Q:$Q,$B26+5),K$3&lt;INDEX(Properties!$T:$T,$B26+5)),INDEX(Properties!$N:$N,$B26+5)/INDEX(Properties!$R:$R,$B26+5),0))</f>
        <v>0</v>
      </c>
      <c r="L26" s="123" cm="1">
        <f t="array" ref="L26">INDEX(Properties!$D:$D,$B26+5)*(IF(AND(L$3&gt;=INDEX(Properties!$Q:$Q,$B26+5),L$3&lt;INDEX(Properties!$T:$T,$B26+5)),INDEX(Properties!$N:$N,$B26+5)/INDEX(Properties!$R:$R,$B26+5),0))</f>
        <v>0</v>
      </c>
      <c r="M26" s="123" cm="1">
        <f t="array" ref="M26">INDEX(Properties!$D:$D,$B26+5)*(IF(AND(M$3&gt;=INDEX(Properties!$Q:$Q,$B26+5),M$3&lt;INDEX(Properties!$T:$T,$B26+5)),INDEX(Properties!$N:$N,$B26+5)/INDEX(Properties!$R:$R,$B26+5),0))</f>
        <v>0</v>
      </c>
      <c r="N26" s="123" cm="1">
        <f t="array" ref="N26">INDEX(Properties!$D:$D,$B26+5)*(IF(AND(N$3&gt;=INDEX(Properties!$Q:$Q,$B26+5),N$3&lt;INDEX(Properties!$T:$T,$B26+5)),INDEX(Properties!$N:$N,$B26+5)/INDEX(Properties!$R:$R,$B26+5),0))</f>
        <v>0</v>
      </c>
      <c r="O26" s="123" cm="1">
        <f t="array" ref="O26">INDEX(Properties!$D:$D,$B26+5)*(IF(AND(O$3&gt;=INDEX(Properties!$Q:$Q,$B26+5),O$3&lt;INDEX(Properties!$T:$T,$B26+5)),INDEX(Properties!$N:$N,$B26+5)/INDEX(Properties!$R:$R,$B26+5),0))</f>
        <v>0</v>
      </c>
      <c r="P26" s="123" cm="1">
        <f t="array" ref="P26">INDEX(Properties!$D:$D,$B26+5)*(IF(AND(P$3&gt;=INDEX(Properties!$Q:$Q,$B26+5),P$3&lt;INDEX(Properties!$T:$T,$B26+5)),INDEX(Properties!$N:$N,$B26+5)/INDEX(Properties!$R:$R,$B26+5),0))</f>
        <v>0</v>
      </c>
      <c r="Q26" s="123" cm="1">
        <f t="array" ref="Q26">INDEX(Properties!$D:$D,$B26+5)*(IF(AND(Q$3&gt;=INDEX(Properties!$Q:$Q,$B26+5),Q$3&lt;INDEX(Properties!$T:$T,$B26+5)),INDEX(Properties!$N:$N,$B26+5)/INDEX(Properties!$R:$R,$B26+5),0))</f>
        <v>0</v>
      </c>
      <c r="R26" s="123" cm="1">
        <f t="array" ref="R26">INDEX(Properties!$D:$D,$B26+5)*(IF(AND(R$3&gt;=INDEX(Properties!$Q:$Q,$B26+5),R$3&lt;INDEX(Properties!$T:$T,$B26+5)),INDEX(Properties!$N:$N,$B26+5)/INDEX(Properties!$R:$R,$B26+5),0))</f>
        <v>0</v>
      </c>
      <c r="S26" s="123" cm="1">
        <f t="array" ref="S26">INDEX(Properties!$D:$D,$B26+5)*(IF(AND(S$3&gt;=INDEX(Properties!$Q:$Q,$B26+5),S$3&lt;INDEX(Properties!$T:$T,$B26+5)),INDEX(Properties!$N:$N,$B26+5)/INDEX(Properties!$R:$R,$B26+5),0))</f>
        <v>0</v>
      </c>
      <c r="T26" s="123" cm="1">
        <f t="array" ref="T26">INDEX(Properties!$D:$D,$B26+5)*(IF(AND(T$3&gt;=INDEX(Properties!$Q:$Q,$B26+5),T$3&lt;INDEX(Properties!$T:$T,$B26+5)),INDEX(Properties!$N:$N,$B26+5)/INDEX(Properties!$R:$R,$B26+5),0))</f>
        <v>0</v>
      </c>
      <c r="U26" s="123" cm="1">
        <f t="array" ref="U26">INDEX(Properties!$D:$D,$B26+5)*(IF(AND(U$3&gt;=INDEX(Properties!$Q:$Q,$B26+5),U$3&lt;INDEX(Properties!$T:$T,$B26+5)),INDEX(Properties!$N:$N,$B26+5)/INDEX(Properties!$R:$R,$B26+5),0))</f>
        <v>0</v>
      </c>
      <c r="V26" s="123" cm="1">
        <f t="array" ref="V26">INDEX(Properties!$D:$D,$B26+5)*(IF(AND(V$3&gt;=INDEX(Properties!$Q:$Q,$B26+5),V$3&lt;INDEX(Properties!$T:$T,$B26+5)),INDEX(Properties!$N:$N,$B26+5)/INDEX(Properties!$R:$R,$B26+5),0))</f>
        <v>0</v>
      </c>
      <c r="W26" s="123" cm="1">
        <f t="array" ref="W26">INDEX(Properties!$D:$D,$B26+5)*(IF(AND(W$3&gt;=INDEX(Properties!$Q:$Q,$B26+5),W$3&lt;INDEX(Properties!$T:$T,$B26+5)),INDEX(Properties!$N:$N,$B26+5)/INDEX(Properties!$R:$R,$B26+5),0))</f>
        <v>0</v>
      </c>
      <c r="X26" s="123" cm="1">
        <f t="array" ref="X26">INDEX(Properties!$D:$D,$B26+5)*(IF(AND(X$3&gt;=INDEX(Properties!$Q:$Q,$B26+5),X$3&lt;INDEX(Properties!$T:$T,$B26+5)),INDEX(Properties!$N:$N,$B26+5)/INDEX(Properties!$R:$R,$B26+5),0))</f>
        <v>0</v>
      </c>
      <c r="Y26" s="123" cm="1">
        <f t="array" ref="Y26">INDEX(Properties!$D:$D,$B26+5)*(IF(AND(Y$3&gt;=INDEX(Properties!$Q:$Q,$B26+5),Y$3&lt;INDEX(Properties!$T:$T,$B26+5)),INDEX(Properties!$N:$N,$B26+5)/INDEX(Properties!$R:$R,$B26+5),0))</f>
        <v>0</v>
      </c>
      <c r="Z26" s="123" cm="1">
        <f t="array" ref="Z26">INDEX(Properties!$D:$D,$B26+5)*(IF(AND(Z$3&gt;=INDEX(Properties!$Q:$Q,$B26+5),Z$3&lt;INDEX(Properties!$T:$T,$B26+5)),INDEX(Properties!$N:$N,$B26+5)/INDEX(Properties!$R:$R,$B26+5),0))</f>
        <v>0</v>
      </c>
      <c r="AA26" s="123" cm="1">
        <f t="array" ref="AA26">INDEX(Properties!$D:$D,$B26+5)*(IF(AND(AA$3&gt;=INDEX(Properties!$Q:$Q,$B26+5),AA$3&lt;INDEX(Properties!$T:$T,$B26+5)),INDEX(Properties!$N:$N,$B26+5)/INDEX(Properties!$R:$R,$B26+5),0))</f>
        <v>0</v>
      </c>
      <c r="AB26" s="123" cm="1">
        <f t="array" ref="AB26">INDEX(Properties!$D:$D,$B26+5)*(IF(AND(AB$3&gt;=INDEX(Properties!$Q:$Q,$B26+5),AB$3&lt;INDEX(Properties!$T:$T,$B26+5)),INDEX(Properties!$N:$N,$B26+5)/INDEX(Properties!$R:$R,$B26+5),0))</f>
        <v>0</v>
      </c>
      <c r="AC26" s="123" cm="1">
        <f t="array" ref="AC26">INDEX(Properties!$D:$D,$B26+5)*(IF(AND(AC$3&gt;=INDEX(Properties!$Q:$Q,$B26+5),AC$3&lt;INDEX(Properties!$T:$T,$B26+5)),INDEX(Properties!$N:$N,$B26+5)/INDEX(Properties!$R:$R,$B26+5),0))</f>
        <v>0</v>
      </c>
      <c r="AD26" s="123" cm="1">
        <f t="array" ref="AD26">INDEX(Properties!$D:$D,$B26+5)*(IF(AND(AD$3&gt;=INDEX(Properties!$Q:$Q,$B26+5),AD$3&lt;INDEX(Properties!$T:$T,$B26+5)),INDEX(Properties!$N:$N,$B26+5)/INDEX(Properties!$R:$R,$B26+5),0))</f>
        <v>0</v>
      </c>
      <c r="AE26" s="123" cm="1">
        <f t="array" ref="AE26">INDEX(Properties!$D:$D,$B26+5)*(IF(AND(AE$3&gt;=INDEX(Properties!$Q:$Q,$B26+5),AE$3&lt;INDEX(Properties!$T:$T,$B26+5)),INDEX(Properties!$N:$N,$B26+5)/INDEX(Properties!$R:$R,$B26+5),0))</f>
        <v>0</v>
      </c>
      <c r="AF26" s="123" cm="1">
        <f t="array" ref="AF26">INDEX(Properties!$D:$D,$B26+5)*(IF(AND(AF$3&gt;=INDEX(Properties!$Q:$Q,$B26+5),AF$3&lt;INDEX(Properties!$T:$T,$B26+5)),INDEX(Properties!$N:$N,$B26+5)/INDEX(Properties!$R:$R,$B26+5),0))</f>
        <v>0</v>
      </c>
      <c r="AG26" s="123" cm="1">
        <f t="array" ref="AG26">INDEX(Properties!$D:$D,$B26+5)*(IF(AND(AG$3&gt;=INDEX(Properties!$Q:$Q,$B26+5),AG$3&lt;INDEX(Properties!$T:$T,$B26+5)),INDEX(Properties!$N:$N,$B26+5)/INDEX(Properties!$R:$R,$B26+5),0))</f>
        <v>0</v>
      </c>
      <c r="AH26" s="123" cm="1">
        <f t="array" ref="AH26">INDEX(Properties!$D:$D,$B26+5)*(IF(AND(AH$3&gt;=INDEX(Properties!$Q:$Q,$B26+5),AH$3&lt;INDEX(Properties!$T:$T,$B26+5)),INDEX(Properties!$N:$N,$B26+5)/INDEX(Properties!$R:$R,$B26+5),0))</f>
        <v>0</v>
      </c>
      <c r="AI26" s="123" cm="1">
        <f t="array" ref="AI26">INDEX(Properties!$D:$D,$B26+5)*(IF(AND(AI$3&gt;=INDEX(Properties!$Q:$Q,$B26+5),AI$3&lt;INDEX(Properties!$T:$T,$B26+5)),INDEX(Properties!$N:$N,$B26+5)/INDEX(Properties!$R:$R,$B26+5),0))</f>
        <v>0</v>
      </c>
      <c r="AJ26" s="123" cm="1">
        <f t="array" ref="AJ26">INDEX(Properties!$D:$D,$B26+5)*(IF(AND(AJ$3&gt;=INDEX(Properties!$Q:$Q,$B26+5),AJ$3&lt;INDEX(Properties!$T:$T,$B26+5)),INDEX(Properties!$N:$N,$B26+5)/INDEX(Properties!$R:$R,$B26+5),0))</f>
        <v>0</v>
      </c>
      <c r="AK26" s="123" cm="1">
        <f t="array" ref="AK26">INDEX(Properties!$D:$D,$B26+5)*(IF(AND(AK$3&gt;=INDEX(Properties!$Q:$Q,$B26+5),AK$3&lt;INDEX(Properties!$T:$T,$B26+5)),INDEX(Properties!$N:$N,$B26+5)/INDEX(Properties!$R:$R,$B26+5),0))</f>
        <v>0</v>
      </c>
      <c r="AL26" s="123" cm="1">
        <f t="array" ref="AL26">INDEX(Properties!$D:$D,$B26+5)*(IF(AND(AL$3&gt;=INDEX(Properties!$Q:$Q,$B26+5),AL$3&lt;INDEX(Properties!$T:$T,$B26+5)),INDEX(Properties!$N:$N,$B26+5)/INDEX(Properties!$R:$R,$B26+5),0))</f>
        <v>0</v>
      </c>
      <c r="AM26" s="123" cm="1">
        <f t="array" ref="AM26">INDEX(Properties!$D:$D,$B26+5)*(IF(AND(AM$3&gt;=INDEX(Properties!$Q:$Q,$B26+5),AM$3&lt;INDEX(Properties!$T:$T,$B26+5)),INDEX(Properties!$N:$N,$B26+5)/INDEX(Properties!$R:$R,$B26+5),0))</f>
        <v>0</v>
      </c>
      <c r="AN26" s="123" cm="1">
        <f t="array" ref="AN26">INDEX(Properties!$D:$D,$B26+5)*(IF(AND(AN$3&gt;=INDEX(Properties!$Q:$Q,$B26+5),AN$3&lt;INDEX(Properties!$T:$T,$B26+5)),INDEX(Properties!$N:$N,$B26+5)/INDEX(Properties!$R:$R,$B26+5),0))</f>
        <v>0</v>
      </c>
      <c r="AO26" s="123" cm="1">
        <f t="array" ref="AO26">INDEX(Properties!$D:$D,$B26+5)*(IF(AND(AO$3&gt;=INDEX(Properties!$Q:$Q,$B26+5),AO$3&lt;INDEX(Properties!$T:$T,$B26+5)),INDEX(Properties!$N:$N,$B26+5)/INDEX(Properties!$R:$R,$B26+5),0))</f>
        <v>0</v>
      </c>
      <c r="AP26" s="123" cm="1">
        <f t="array" ref="AP26">INDEX(Properties!$D:$D,$B26+5)*(IF(AND(AP$3&gt;=INDEX(Properties!$Q:$Q,$B26+5),AP$3&lt;INDEX(Properties!$T:$T,$B26+5)),INDEX(Properties!$N:$N,$B26+5)/INDEX(Properties!$R:$R,$B26+5),0))</f>
        <v>0</v>
      </c>
      <c r="AQ26" s="123" cm="1">
        <f t="array" ref="AQ26">INDEX(Properties!$D:$D,$B26+5)*(IF(AND(AQ$3&gt;=INDEX(Properties!$Q:$Q,$B26+5),AQ$3&lt;INDEX(Properties!$T:$T,$B26+5)),INDEX(Properties!$N:$N,$B26+5)/INDEX(Properties!$R:$R,$B26+5),0))</f>
        <v>0</v>
      </c>
      <c r="AR26" s="123" cm="1">
        <f t="array" ref="AR26">INDEX(Properties!$D:$D,$B26+5)*(IF(AND(AR$3&gt;=INDEX(Properties!$Q:$Q,$B26+5),AR$3&lt;INDEX(Properties!$T:$T,$B26+5)),INDEX(Properties!$N:$N,$B26+5)/INDEX(Properties!$R:$R,$B26+5),0))</f>
        <v>0</v>
      </c>
      <c r="AS26" s="123" cm="1">
        <f t="array" ref="AS26">INDEX(Properties!$D:$D,$B26+5)*(IF(AND(AS$3&gt;=INDEX(Properties!$Q:$Q,$B26+5),AS$3&lt;INDEX(Properties!$T:$T,$B26+5)),INDEX(Properties!$N:$N,$B26+5)/INDEX(Properties!$R:$R,$B26+5),0))</f>
        <v>0</v>
      </c>
      <c r="AT26" s="123" cm="1">
        <f t="array" ref="AT26">INDEX(Properties!$D:$D,$B26+5)*(IF(AND(AT$3&gt;=INDEX(Properties!$Q:$Q,$B26+5),AT$3&lt;INDEX(Properties!$T:$T,$B26+5)),INDEX(Properties!$N:$N,$B26+5)/INDEX(Properties!$R:$R,$B26+5),0))</f>
        <v>0</v>
      </c>
      <c r="AU26" s="123" cm="1">
        <f t="array" ref="AU26">INDEX(Properties!$D:$D,$B26+5)*(IF(AND(AU$3&gt;=INDEX(Properties!$Q:$Q,$B26+5),AU$3&lt;INDEX(Properties!$T:$T,$B26+5)),INDEX(Properties!$N:$N,$B26+5)/INDEX(Properties!$R:$R,$B26+5),0))</f>
        <v>0</v>
      </c>
      <c r="AV26" s="123" cm="1">
        <f t="array" ref="AV26">INDEX(Properties!$D:$D,$B26+5)*(IF(AND(AV$3&gt;=INDEX(Properties!$Q:$Q,$B26+5),AV$3&lt;INDEX(Properties!$T:$T,$B26+5)),INDEX(Properties!$N:$N,$B26+5)/INDEX(Properties!$R:$R,$B26+5),0))</f>
        <v>0</v>
      </c>
      <c r="AW26" s="123" cm="1">
        <f t="array" ref="AW26">INDEX(Properties!$D:$D,$B26+5)*(IF(AND(AW$3&gt;=INDEX(Properties!$Q:$Q,$B26+5),AW$3&lt;INDEX(Properties!$T:$T,$B26+5)),INDEX(Properties!$N:$N,$B26+5)/INDEX(Properties!$R:$R,$B26+5),0))</f>
        <v>0</v>
      </c>
      <c r="AX26" s="123" cm="1">
        <f t="array" ref="AX26">INDEX(Properties!$D:$D,$B26+5)*(IF(AND(AX$3&gt;=INDEX(Properties!$Q:$Q,$B26+5),AX$3&lt;INDEX(Properties!$T:$T,$B26+5)),INDEX(Properties!$N:$N,$B26+5)/INDEX(Properties!$R:$R,$B26+5),0))</f>
        <v>0</v>
      </c>
      <c r="AY26" s="123" cm="1">
        <f t="array" ref="AY26">INDEX(Properties!$D:$D,$B26+5)*(IF(AND(AY$3&gt;=INDEX(Properties!$Q:$Q,$B26+5),AY$3&lt;INDEX(Properties!$T:$T,$B26+5)),INDEX(Properties!$N:$N,$B26+5)/INDEX(Properties!$R:$R,$B26+5),0))</f>
        <v>0</v>
      </c>
      <c r="AZ26" s="123" cm="1">
        <f t="array" ref="AZ26">INDEX(Properties!$D:$D,$B26+5)*(IF(AND(AZ$3&gt;=INDEX(Properties!$Q:$Q,$B26+5),AZ$3&lt;INDEX(Properties!$T:$T,$B26+5)),INDEX(Properties!$N:$N,$B26+5)/INDEX(Properties!$R:$R,$B26+5),0))</f>
        <v>0</v>
      </c>
      <c r="BA26" s="123" cm="1">
        <f t="array" ref="BA26">INDEX(Properties!$D:$D,$B26+5)*(IF(AND(BA$3&gt;=INDEX(Properties!$Q:$Q,$B26+5),BA$3&lt;INDEX(Properties!$T:$T,$B26+5)),INDEX(Properties!$N:$N,$B26+5)/INDEX(Properties!$R:$R,$B26+5),0))</f>
        <v>0</v>
      </c>
      <c r="BB26" s="123" cm="1">
        <f t="array" ref="BB26">INDEX(Properties!$D:$D,$B26+5)*(IF(AND(BB$3&gt;=INDEX(Properties!$Q:$Q,$B26+5),BB$3&lt;INDEX(Properties!$T:$T,$B26+5)),INDEX(Properties!$N:$N,$B26+5)/INDEX(Properties!$R:$R,$B26+5),0))</f>
        <v>0</v>
      </c>
      <c r="BC26" s="123" cm="1">
        <f t="array" ref="BC26">INDEX(Properties!$D:$D,$B26+5)*(IF(AND(BC$3&gt;=INDEX(Properties!$Q:$Q,$B26+5),BC$3&lt;INDEX(Properties!$T:$T,$B26+5)),INDEX(Properties!$N:$N,$B26+5)/INDEX(Properties!$R:$R,$B26+5),0))</f>
        <v>0</v>
      </c>
      <c r="BD26" s="123" cm="1">
        <f t="array" ref="BD26">INDEX(Properties!$D:$D,$B26+5)*(IF(AND(BD$3&gt;=INDEX(Properties!$Q:$Q,$B26+5),BD$3&lt;INDEX(Properties!$T:$T,$B26+5)),INDEX(Properties!$N:$N,$B26+5)/INDEX(Properties!$R:$R,$B26+5),0))</f>
        <v>0</v>
      </c>
      <c r="BE26" s="123" cm="1">
        <f t="array" ref="BE26">INDEX(Properties!$D:$D,$B26+5)*(IF(AND(BE$3&gt;=INDEX(Properties!$Q:$Q,$B26+5),BE$3&lt;INDEX(Properties!$T:$T,$B26+5)),INDEX(Properties!$N:$N,$B26+5)/INDEX(Properties!$R:$R,$B26+5),0))</f>
        <v>0</v>
      </c>
      <c r="BF26" s="123" cm="1">
        <f t="array" ref="BF26">INDEX(Properties!$D:$D,$B26+5)*(IF(AND(BF$3&gt;=INDEX(Properties!$Q:$Q,$B26+5),BF$3&lt;INDEX(Properties!$T:$T,$B26+5)),INDEX(Properties!$N:$N,$B26+5)/INDEX(Properties!$R:$R,$B26+5),0))</f>
        <v>0</v>
      </c>
      <c r="BG26" s="123" cm="1">
        <f t="array" ref="BG26">INDEX(Properties!$D:$D,$B26+5)*(IF(AND(BG$3&gt;=INDEX(Properties!$Q:$Q,$B26+5),BG$3&lt;INDEX(Properties!$T:$T,$B26+5)),INDEX(Properties!$N:$N,$B26+5)/INDEX(Properties!$R:$R,$B26+5),0))</f>
        <v>0</v>
      </c>
      <c r="BH26" s="123" cm="1">
        <f t="array" ref="BH26">INDEX(Properties!$D:$D,$B26+5)*(IF(AND(BH$3&gt;=INDEX(Properties!$Q:$Q,$B26+5),BH$3&lt;INDEX(Properties!$T:$T,$B26+5)),INDEX(Properties!$N:$N,$B26+5)/INDEX(Properties!$R:$R,$B26+5),0))</f>
        <v>0</v>
      </c>
      <c r="BI26" s="123" cm="1">
        <f t="array" ref="BI26">INDEX(Properties!$D:$D,$B26+5)*(IF(AND(BI$3&gt;=INDEX(Properties!$Q:$Q,$B26+5),BI$3&lt;INDEX(Properties!$T:$T,$B26+5)),INDEX(Properties!$N:$N,$B26+5)/INDEX(Properties!$R:$R,$B26+5),0))</f>
        <v>0</v>
      </c>
      <c r="BJ26" s="123" cm="1">
        <f t="array" ref="BJ26">INDEX(Properties!$D:$D,$B26+5)*(IF(AND(BJ$3&gt;=INDEX(Properties!$Q:$Q,$B26+5),BJ$3&lt;INDEX(Properties!$T:$T,$B26+5)),INDEX(Properties!$N:$N,$B26+5)/INDEX(Properties!$R:$R,$B26+5),0))</f>
        <v>0</v>
      </c>
      <c r="BK26" s="123" cm="1">
        <f t="array" ref="BK26">INDEX(Properties!$D:$D,$B26+5)*(IF(AND(BK$3&gt;=INDEX(Properties!$Q:$Q,$B26+5),BK$3&lt;INDEX(Properties!$T:$T,$B26+5)),INDEX(Properties!$N:$N,$B26+5)/INDEX(Properties!$R:$R,$B26+5),0))</f>
        <v>0</v>
      </c>
      <c r="BL26" s="123" cm="1">
        <f t="array" ref="BL26">INDEX(Properties!$D:$D,$B26+5)*(IF(AND(BL$3&gt;=INDEX(Properties!$Q:$Q,$B26+5),BL$3&lt;INDEX(Properties!$T:$T,$B26+5)),INDEX(Properties!$N:$N,$B26+5)/INDEX(Properties!$R:$R,$B26+5),0))</f>
        <v>0</v>
      </c>
      <c r="BM26" s="123" cm="1">
        <f t="array" ref="BM26">INDEX(Properties!$D:$D,$B26+5)*(IF(AND(BM$3&gt;=INDEX(Properties!$Q:$Q,$B26+5),BM$3&lt;INDEX(Properties!$T:$T,$B26+5)),INDEX(Properties!$N:$N,$B26+5)/INDEX(Properties!$R:$R,$B26+5),0))</f>
        <v>0</v>
      </c>
      <c r="BN26" s="123" cm="1">
        <f t="array" ref="BN26">INDEX(Properties!$D:$D,$B26+5)*(IF(AND(BN$3&gt;=INDEX(Properties!$Q:$Q,$B26+5),BN$3&lt;INDEX(Properties!$T:$T,$B26+5)),INDEX(Properties!$N:$N,$B26+5)/INDEX(Properties!$R:$R,$B26+5),0))</f>
        <v>0</v>
      </c>
      <c r="BO26" s="123" cm="1">
        <f t="array" ref="BO26">INDEX(Properties!$D:$D,$B26+5)*(IF(AND(BO$3&gt;=INDEX(Properties!$Q:$Q,$B26+5),BO$3&lt;INDEX(Properties!$T:$T,$B26+5)),INDEX(Properties!$N:$N,$B26+5)/INDEX(Properties!$R:$R,$B26+5),0))</f>
        <v>0</v>
      </c>
      <c r="BP26" s="123" cm="1">
        <f t="array" ref="BP26">INDEX(Properties!$D:$D,$B26+5)*(IF(AND(BP$3&gt;=INDEX(Properties!$Q:$Q,$B26+5),BP$3&lt;INDEX(Properties!$T:$T,$B26+5)),INDEX(Properties!$N:$N,$B26+5)/INDEX(Properties!$R:$R,$B26+5),0))</f>
        <v>0</v>
      </c>
      <c r="BQ26" s="123" cm="1">
        <f t="array" ref="BQ26">INDEX(Properties!$D:$D,$B26+5)*(IF(AND(BQ$3&gt;=INDEX(Properties!$Q:$Q,$B26+5),BQ$3&lt;INDEX(Properties!$T:$T,$B26+5)),INDEX(Properties!$N:$N,$B26+5)/INDEX(Properties!$R:$R,$B26+5),0))</f>
        <v>0</v>
      </c>
      <c r="BR26" s="123" cm="1">
        <f t="array" ref="BR26">INDEX(Properties!$D:$D,$B26+5)*(IF(AND(BR$3&gt;=INDEX(Properties!$Q:$Q,$B26+5),BR$3&lt;INDEX(Properties!$T:$T,$B26+5)),INDEX(Properties!$N:$N,$B26+5)/INDEX(Properties!$R:$R,$B26+5),0))</f>
        <v>0</v>
      </c>
      <c r="BS26" s="123" cm="1">
        <f t="array" ref="BS26">INDEX(Properties!$D:$D,$B26+5)*(IF(AND(BS$3&gt;=INDEX(Properties!$Q:$Q,$B26+5),BS$3&lt;INDEX(Properties!$T:$T,$B26+5)),INDEX(Properties!$N:$N,$B26+5)/INDEX(Properties!$R:$R,$B26+5),0))</f>
        <v>0</v>
      </c>
      <c r="BT26" s="123" cm="1">
        <f t="array" ref="BT26">INDEX(Properties!$D:$D,$B26+5)*(IF(AND(BT$3&gt;=INDEX(Properties!$Q:$Q,$B26+5),BT$3&lt;INDEX(Properties!$T:$T,$B26+5)),INDEX(Properties!$N:$N,$B26+5)/INDEX(Properties!$R:$R,$B26+5),0))</f>
        <v>0</v>
      </c>
      <c r="BU26" s="123" cm="1">
        <f t="array" ref="BU26">INDEX(Properties!$D:$D,$B26+5)*(IF(AND(BU$3&gt;=INDEX(Properties!$Q:$Q,$B26+5),BU$3&lt;INDEX(Properties!$T:$T,$B26+5)),INDEX(Properties!$N:$N,$B26+5)/INDEX(Properties!$R:$R,$B26+5),0))</f>
        <v>0</v>
      </c>
      <c r="BV26" s="123" cm="1">
        <f t="array" ref="BV26">INDEX(Properties!$D:$D,$B26+5)*(IF(AND(BV$3&gt;=INDEX(Properties!$Q:$Q,$B26+5),BV$3&lt;INDEX(Properties!$T:$T,$B26+5)),INDEX(Properties!$N:$N,$B26+5)/INDEX(Properties!$R:$R,$B26+5),0))</f>
        <v>0</v>
      </c>
      <c r="BW26" s="123" cm="1">
        <f t="array" ref="BW26">INDEX(Properties!$D:$D,$B26+5)*(IF(AND(BW$3&gt;=INDEX(Properties!$Q:$Q,$B26+5),BW$3&lt;INDEX(Properties!$T:$T,$B26+5)),INDEX(Properties!$N:$N,$B26+5)/INDEX(Properties!$R:$R,$B26+5),0))</f>
        <v>0</v>
      </c>
      <c r="BX26" s="123" cm="1">
        <f t="array" ref="BX26">INDEX(Properties!$D:$D,$B26+5)*(IF(AND(BX$3&gt;=INDEX(Properties!$Q:$Q,$B26+5),BX$3&lt;INDEX(Properties!$T:$T,$B26+5)),INDEX(Properties!$N:$N,$B26+5)/INDEX(Properties!$R:$R,$B26+5),0))</f>
        <v>0</v>
      </c>
      <c r="BY26" s="123" cm="1">
        <f t="array" ref="BY26">INDEX(Properties!$D:$D,$B26+5)*(IF(AND(BY$3&gt;=INDEX(Properties!$Q:$Q,$B26+5),BY$3&lt;INDEX(Properties!$T:$T,$B26+5)),INDEX(Properties!$N:$N,$B26+5)/INDEX(Properties!$R:$R,$B26+5),0))</f>
        <v>0</v>
      </c>
      <c r="BZ26" s="123" cm="1">
        <f t="array" ref="BZ26">INDEX(Properties!$D:$D,$B26+5)*(IF(AND(BZ$3&gt;=INDEX(Properties!$Q:$Q,$B26+5),BZ$3&lt;INDEX(Properties!$T:$T,$B26+5)),INDEX(Properties!$N:$N,$B26+5)/INDEX(Properties!$R:$R,$B26+5),0))</f>
        <v>0</v>
      </c>
      <c r="CA26" s="123" cm="1">
        <f t="array" ref="CA26">INDEX(Properties!$D:$D,$B26+5)*(IF(AND(CA$3&gt;=INDEX(Properties!$Q:$Q,$B26+5),CA$3&lt;INDEX(Properties!$T:$T,$B26+5)),INDEX(Properties!$N:$N,$B26+5)/INDEX(Properties!$R:$R,$B26+5),0))</f>
        <v>0</v>
      </c>
      <c r="CB26" s="123" cm="1">
        <f t="array" ref="CB26">INDEX(Properties!$D:$D,$B26+5)*(IF(AND(CB$3&gt;=INDEX(Properties!$Q:$Q,$B26+5),CB$3&lt;INDEX(Properties!$T:$T,$B26+5)),INDEX(Properties!$N:$N,$B26+5)/INDEX(Properties!$R:$R,$B26+5),0))</f>
        <v>0</v>
      </c>
      <c r="CC26" s="123" cm="1">
        <f t="array" ref="CC26">INDEX(Properties!$D:$D,$B26+5)*(IF(AND(CC$3&gt;=INDEX(Properties!$Q:$Q,$B26+5),CC$3&lt;INDEX(Properties!$T:$T,$B26+5)),INDEX(Properties!$N:$N,$B26+5)/INDEX(Properties!$R:$R,$B26+5),0))</f>
        <v>0</v>
      </c>
      <c r="CD26" s="123" cm="1">
        <f t="array" ref="CD26">INDEX(Properties!$D:$D,$B26+5)*(IF(AND(CD$3&gt;=INDEX(Properties!$Q:$Q,$B26+5),CD$3&lt;INDEX(Properties!$T:$T,$B26+5)),INDEX(Properties!$N:$N,$B26+5)/INDEX(Properties!$R:$R,$B26+5),0))</f>
        <v>0</v>
      </c>
      <c r="CE26" s="123" cm="1">
        <f t="array" ref="CE26">INDEX(Properties!$D:$D,$B26+5)*(IF(AND(CE$3&gt;=INDEX(Properties!$Q:$Q,$B26+5),CE$3&lt;INDEX(Properties!$T:$T,$B26+5)),INDEX(Properties!$N:$N,$B26+5)/INDEX(Properties!$R:$R,$B26+5),0))</f>
        <v>0</v>
      </c>
      <c r="CF26" s="123" cm="1">
        <f t="array" ref="CF26">INDEX(Properties!$D:$D,$B26+5)*(IF(AND(CF$3&gt;=INDEX(Properties!$Q:$Q,$B26+5),CF$3&lt;INDEX(Properties!$T:$T,$B26+5)),INDEX(Properties!$N:$N,$B26+5)/INDEX(Properties!$R:$R,$B26+5),0))</f>
        <v>0</v>
      </c>
      <c r="CG26" s="123" cm="1">
        <f t="array" ref="CG26">INDEX(Properties!$D:$D,$B26+5)*(IF(AND(CG$3&gt;=INDEX(Properties!$Q:$Q,$B26+5),CG$3&lt;INDEX(Properties!$T:$T,$B26+5)),INDEX(Properties!$N:$N,$B26+5)/INDEX(Properties!$R:$R,$B26+5),0))</f>
        <v>0</v>
      </c>
      <c r="CH26" s="123" cm="1">
        <f t="array" ref="CH26">INDEX(Properties!$D:$D,$B26+5)*(IF(AND(CH$3&gt;=INDEX(Properties!$Q:$Q,$B26+5),CH$3&lt;INDEX(Properties!$T:$T,$B26+5)),INDEX(Properties!$N:$N,$B26+5)/INDEX(Properties!$R:$R,$B26+5),0))</f>
        <v>0</v>
      </c>
      <c r="CI26" s="123" cm="1">
        <f t="array" ref="CI26">INDEX(Properties!$D:$D,$B26+5)*(IF(AND(CI$3&gt;=INDEX(Properties!$Q:$Q,$B26+5),CI$3&lt;INDEX(Properties!$T:$T,$B26+5)),INDEX(Properties!$N:$N,$B26+5)/INDEX(Properties!$R:$R,$B26+5),0))</f>
        <v>0</v>
      </c>
      <c r="CJ26" s="123" cm="1">
        <f t="array" ref="CJ26">INDEX(Properties!$D:$D,$B26+5)*(IF(AND(CJ$3&gt;=INDEX(Properties!$Q:$Q,$B26+5),CJ$3&lt;INDEX(Properties!$T:$T,$B26+5)),INDEX(Properties!$N:$N,$B26+5)/INDEX(Properties!$R:$R,$B26+5),0))</f>
        <v>0</v>
      </c>
      <c r="CK26" s="123" cm="1">
        <f t="array" ref="CK26">INDEX(Properties!$D:$D,$B26+5)*(IF(AND(CK$3&gt;=INDEX(Properties!$Q:$Q,$B26+5),CK$3&lt;INDEX(Properties!$T:$T,$B26+5)),INDEX(Properties!$N:$N,$B26+5)/INDEX(Properties!$R:$R,$B26+5),0))</f>
        <v>0</v>
      </c>
      <c r="CL26" s="123" cm="1">
        <f t="array" ref="CL26">INDEX(Properties!$D:$D,$B26+5)*(IF(AND(CL$3&gt;=INDEX(Properties!$Q:$Q,$B26+5),CL$3&lt;INDEX(Properties!$T:$T,$B26+5)),INDEX(Properties!$N:$N,$B26+5)/INDEX(Properties!$R:$R,$B26+5),0))</f>
        <v>0</v>
      </c>
      <c r="CM26" s="123" cm="1">
        <f t="array" ref="CM26">INDEX(Properties!$D:$D,$B26+5)*(IF(AND(CM$3&gt;=INDEX(Properties!$Q:$Q,$B26+5),CM$3&lt;INDEX(Properties!$T:$T,$B26+5)),INDEX(Properties!$N:$N,$B26+5)/INDEX(Properties!$R:$R,$B26+5),0))</f>
        <v>0</v>
      </c>
      <c r="CN26" s="123" cm="1">
        <f t="array" ref="CN26">INDEX(Properties!$D:$D,$B26+5)*(IF(AND(CN$3&gt;=INDEX(Properties!$Q:$Q,$B26+5),CN$3&lt;INDEX(Properties!$T:$T,$B26+5)),INDEX(Properties!$N:$N,$B26+5)/INDEX(Properties!$R:$R,$B26+5),0))</f>
        <v>0</v>
      </c>
      <c r="CO26" s="123" cm="1">
        <f t="array" ref="CO26">INDEX(Properties!$D:$D,$B26+5)*(IF(AND(CO$3&gt;=INDEX(Properties!$Q:$Q,$B26+5),CO$3&lt;INDEX(Properties!$T:$T,$B26+5)),INDEX(Properties!$N:$N,$B26+5)/INDEX(Properties!$R:$R,$B26+5),0))</f>
        <v>0</v>
      </c>
      <c r="CP26" s="123" cm="1">
        <f t="array" ref="CP26">INDEX(Properties!$D:$D,$B26+5)*(IF(AND(CP$3&gt;=INDEX(Properties!$Q:$Q,$B26+5),CP$3&lt;INDEX(Properties!$T:$T,$B26+5)),INDEX(Properties!$N:$N,$B26+5)/INDEX(Properties!$R:$R,$B26+5),0))</f>
        <v>0</v>
      </c>
      <c r="CQ26" s="123" cm="1">
        <f t="array" ref="CQ26">INDEX(Properties!$D:$D,$B26+5)*(IF(AND(CQ$3&gt;=INDEX(Properties!$Q:$Q,$B26+5),CQ$3&lt;INDEX(Properties!$T:$T,$B26+5)),INDEX(Properties!$N:$N,$B26+5)/INDEX(Properties!$R:$R,$B26+5),0))</f>
        <v>0</v>
      </c>
      <c r="CR26" s="123" cm="1">
        <f t="array" ref="CR26">INDEX(Properties!$D:$D,$B26+5)*(IF(AND(CR$3&gt;=INDEX(Properties!$Q:$Q,$B26+5),CR$3&lt;INDEX(Properties!$T:$T,$B26+5)),INDEX(Properties!$N:$N,$B26+5)/INDEX(Properties!$R:$R,$B26+5),0))</f>
        <v>0</v>
      </c>
      <c r="CS26" s="123" cm="1">
        <f t="array" ref="CS26">INDEX(Properties!$D:$D,$B26+5)*(IF(AND(CS$3&gt;=INDEX(Properties!$Q:$Q,$B26+5),CS$3&lt;INDEX(Properties!$T:$T,$B26+5)),INDEX(Properties!$N:$N,$B26+5)/INDEX(Properties!$R:$R,$B26+5),0))</f>
        <v>0</v>
      </c>
      <c r="CT26" s="123" cm="1">
        <f t="array" ref="CT26">INDEX(Properties!$D:$D,$B26+5)*(IF(AND(CT$3&gt;=INDEX(Properties!$Q:$Q,$B26+5),CT$3&lt;INDEX(Properties!$T:$T,$B26+5)),INDEX(Properties!$N:$N,$B26+5)/INDEX(Properties!$R:$R,$B26+5),0))</f>
        <v>0</v>
      </c>
      <c r="CU26" s="123" cm="1">
        <f t="array" ref="CU26">INDEX(Properties!$D:$D,$B26+5)*(IF(AND(CU$3&gt;=INDEX(Properties!$Q:$Q,$B26+5),CU$3&lt;INDEX(Properties!$T:$T,$B26+5)),INDEX(Properties!$N:$N,$B26+5)/INDEX(Properties!$R:$R,$B26+5),0))</f>
        <v>0</v>
      </c>
      <c r="CV26" s="123" cm="1">
        <f t="array" ref="CV26">INDEX(Properties!$D:$D,$B26+5)*(IF(AND(CV$3&gt;=INDEX(Properties!$Q:$Q,$B26+5),CV$3&lt;INDEX(Properties!$T:$T,$B26+5)),INDEX(Properties!$N:$N,$B26+5)/INDEX(Properties!$R:$R,$B26+5),0))</f>
        <v>0</v>
      </c>
      <c r="CW26" s="123" cm="1">
        <f t="array" ref="CW26">INDEX(Properties!$D:$D,$B26+5)*(IF(AND(CW$3&gt;=INDEX(Properties!$Q:$Q,$B26+5),CW$3&lt;INDEX(Properties!$T:$T,$B26+5)),INDEX(Properties!$N:$N,$B26+5)/INDEX(Properties!$R:$R,$B26+5),0))</f>
        <v>0</v>
      </c>
      <c r="CX26" s="123" cm="1">
        <f t="array" ref="CX26">INDEX(Properties!$D:$D,$B26+5)*(IF(AND(CX$3&gt;=INDEX(Properties!$Q:$Q,$B26+5),CX$3&lt;INDEX(Properties!$T:$T,$B26+5)),INDEX(Properties!$N:$N,$B26+5)/INDEX(Properties!$R:$R,$B26+5),0))</f>
        <v>0</v>
      </c>
      <c r="CY26" s="123" cm="1">
        <f t="array" ref="CY26">INDEX(Properties!$D:$D,$B26+5)*(IF(AND(CY$3&gt;=INDEX(Properties!$Q:$Q,$B26+5),CY$3&lt;INDEX(Properties!$T:$T,$B26+5)),INDEX(Properties!$N:$N,$B26+5)/INDEX(Properties!$R:$R,$B26+5),0))</f>
        <v>0</v>
      </c>
      <c r="CZ26" s="123" cm="1">
        <f t="array" ref="CZ26">INDEX(Properties!$D:$D,$B26+5)*(IF(AND(CZ$3&gt;=INDEX(Properties!$Q:$Q,$B26+5),CZ$3&lt;INDEX(Properties!$T:$T,$B26+5)),INDEX(Properties!$N:$N,$B26+5)/INDEX(Properties!$R:$R,$B26+5),0))</f>
        <v>0</v>
      </c>
      <c r="DA26" s="123" cm="1">
        <f t="array" ref="DA26">INDEX(Properties!$D:$D,$B26+5)*(IF(AND(DA$3&gt;=INDEX(Properties!$Q:$Q,$B26+5),DA$3&lt;INDEX(Properties!$T:$T,$B26+5)),INDEX(Properties!$N:$N,$B26+5)/INDEX(Properties!$R:$R,$B26+5),0))</f>
        <v>0</v>
      </c>
      <c r="DB26" s="123" cm="1">
        <f t="array" ref="DB26">INDEX(Properties!$D:$D,$B26+5)*(IF(AND(DB$3&gt;=INDEX(Properties!$Q:$Q,$B26+5),DB$3&lt;INDEX(Properties!$T:$T,$B26+5)),INDEX(Properties!$N:$N,$B26+5)/INDEX(Properties!$R:$R,$B26+5),0))</f>
        <v>0</v>
      </c>
      <c r="DC26" s="123" cm="1">
        <f t="array" ref="DC26">INDEX(Properties!$D:$D,$B26+5)*(IF(AND(DC$3&gt;=INDEX(Properties!$Q:$Q,$B26+5),DC$3&lt;INDEX(Properties!$T:$T,$B26+5)),INDEX(Properties!$N:$N,$B26+5)/INDEX(Properties!$R:$R,$B26+5),0))</f>
        <v>0</v>
      </c>
      <c r="DD26" s="123" cm="1">
        <f t="array" ref="DD26">INDEX(Properties!$D:$D,$B26+5)*(IF(AND(DD$3&gt;=INDEX(Properties!$Q:$Q,$B26+5),DD$3&lt;INDEX(Properties!$T:$T,$B26+5)),INDEX(Properties!$N:$N,$B26+5)/INDEX(Properties!$R:$R,$B26+5),0))</f>
        <v>0</v>
      </c>
      <c r="DE26" s="123" cm="1">
        <f t="array" ref="DE26">INDEX(Properties!$D:$D,$B26+5)*(IF(AND(DE$3&gt;=INDEX(Properties!$Q:$Q,$B26+5),DE$3&lt;INDEX(Properties!$T:$T,$B26+5)),INDEX(Properties!$N:$N,$B26+5)/INDEX(Properties!$R:$R,$B26+5),0))</f>
        <v>0</v>
      </c>
      <c r="DF26" s="123" cm="1">
        <f t="array" ref="DF26">INDEX(Properties!$D:$D,$B26+5)*(IF(AND(DF$3&gt;=INDEX(Properties!$Q:$Q,$B26+5),DF$3&lt;INDEX(Properties!$T:$T,$B26+5)),INDEX(Properties!$N:$N,$B26+5)/INDEX(Properties!$R:$R,$B26+5),0))</f>
        <v>0</v>
      </c>
      <c r="DG26" s="123" cm="1">
        <f t="array" ref="DG26">INDEX(Properties!$D:$D,$B26+5)*(IF(AND(DG$3&gt;=INDEX(Properties!$Q:$Q,$B26+5),DG$3&lt;INDEX(Properties!$T:$T,$B26+5)),INDEX(Properties!$N:$N,$B26+5)/INDEX(Properties!$R:$R,$B26+5),0))</f>
        <v>0</v>
      </c>
      <c r="DH26" s="123" cm="1">
        <f t="array" ref="DH26">INDEX(Properties!$D:$D,$B26+5)*(IF(AND(DH$3&gt;=INDEX(Properties!$Q:$Q,$B26+5),DH$3&lt;INDEX(Properties!$T:$T,$B26+5)),INDEX(Properties!$N:$N,$B26+5)/INDEX(Properties!$R:$R,$B26+5),0))</f>
        <v>0</v>
      </c>
      <c r="DI26" s="123" cm="1">
        <f t="array" ref="DI26">INDEX(Properties!$D:$D,$B26+5)*(IF(AND(DI$3&gt;=INDEX(Properties!$Q:$Q,$B26+5),DI$3&lt;INDEX(Properties!$T:$T,$B26+5)),INDEX(Properties!$N:$N,$B26+5)/INDEX(Properties!$R:$R,$B26+5),0))</f>
        <v>0</v>
      </c>
      <c r="DJ26" s="123" cm="1">
        <f t="array" ref="DJ26">INDEX(Properties!$D:$D,$B26+5)*(IF(AND(DJ$3&gt;=INDEX(Properties!$Q:$Q,$B26+5),DJ$3&lt;INDEX(Properties!$T:$T,$B26+5)),INDEX(Properties!$N:$N,$B26+5)/INDEX(Properties!$R:$R,$B26+5),0))</f>
        <v>0</v>
      </c>
      <c r="DK26" s="123" cm="1">
        <f t="array" ref="DK26">INDEX(Properties!$D:$D,$B26+5)*(IF(AND(DK$3&gt;=INDEX(Properties!$Q:$Q,$B26+5),DK$3&lt;INDEX(Properties!$T:$T,$B26+5)),INDEX(Properties!$N:$N,$B26+5)/INDEX(Properties!$R:$R,$B26+5),0))</f>
        <v>0</v>
      </c>
      <c r="DL26" s="123" cm="1">
        <f t="array" ref="DL26">INDEX(Properties!$D:$D,$B26+5)*(IF(AND(DL$3&gt;=INDEX(Properties!$Q:$Q,$B26+5),DL$3&lt;INDEX(Properties!$T:$T,$B26+5)),INDEX(Properties!$N:$N,$B26+5)/INDEX(Properties!$R:$R,$B26+5),0))</f>
        <v>0</v>
      </c>
      <c r="DM26" s="123" cm="1">
        <f t="array" ref="DM26">INDEX(Properties!$D:$D,$B26+5)*(IF(AND(DM$3&gt;=INDEX(Properties!$Q:$Q,$B26+5),DM$3&lt;INDEX(Properties!$T:$T,$B26+5)),INDEX(Properties!$N:$N,$B26+5)/INDEX(Properties!$R:$R,$B26+5),0))</f>
        <v>0</v>
      </c>
      <c r="DN26" s="123" cm="1">
        <f t="array" ref="DN26">INDEX(Properties!$D:$D,$B26+5)*(IF(AND(DN$3&gt;=INDEX(Properties!$Q:$Q,$B26+5),DN$3&lt;INDEX(Properties!$T:$T,$B26+5)),INDEX(Properties!$N:$N,$B26+5)/INDEX(Properties!$R:$R,$B26+5),0))</f>
        <v>0</v>
      </c>
      <c r="DO26" s="123" cm="1">
        <f t="array" ref="DO26">INDEX(Properties!$D:$D,$B26+5)*(IF(AND(DO$3&gt;=INDEX(Properties!$Q:$Q,$B26+5),DO$3&lt;INDEX(Properties!$T:$T,$B26+5)),INDEX(Properties!$N:$N,$B26+5)/INDEX(Properties!$R:$R,$B26+5),0))</f>
        <v>0</v>
      </c>
      <c r="DP26" s="123" cm="1">
        <f t="array" ref="DP26">INDEX(Properties!$D:$D,$B26+5)*(IF(AND(DP$3&gt;=INDEX(Properties!$Q:$Q,$B26+5),DP$3&lt;INDEX(Properties!$T:$T,$B26+5)),INDEX(Properties!$N:$N,$B26+5)/INDEX(Properties!$R:$R,$B26+5),0))</f>
        <v>0</v>
      </c>
      <c r="DQ26" s="123" cm="1">
        <f t="array" ref="DQ26">INDEX(Properties!$D:$D,$B26+5)*(IF(AND(DQ$3&gt;=INDEX(Properties!$Q:$Q,$B26+5),DQ$3&lt;INDEX(Properties!$T:$T,$B26+5)),INDEX(Properties!$N:$N,$B26+5)/INDEX(Properties!$R:$R,$B26+5),0))</f>
        <v>0</v>
      </c>
      <c r="DR26" s="123" cm="1">
        <f t="array" ref="DR26">INDEX(Properties!$D:$D,$B26+5)*(IF(AND(DR$3&gt;=INDEX(Properties!$Q:$Q,$B26+5),DR$3&lt;INDEX(Properties!$T:$T,$B26+5)),INDEX(Properties!$N:$N,$B26+5)/INDEX(Properties!$R:$R,$B26+5),0))</f>
        <v>0</v>
      </c>
    </row>
    <row r="27" spans="1:122" ht="16.05" customHeight="1" x14ac:dyDescent="0.3">
      <c r="A27" s="148" cm="1">
        <f t="array" ref="A27">INDEX(Properties!$E:$E,$B27+5)</f>
        <v>0</v>
      </c>
      <c r="B27" s="1">
        <v>7</v>
      </c>
      <c r="C27" s="123" cm="1">
        <f t="array" ref="C27">INDEX(Properties!$D:$D,$B27+5)*(IF(AND(C$3&gt;=INDEX(Properties!$Q:$Q,$B27+5),C$3&lt;INDEX(Properties!$T:$T,$B27+5)),INDEX(Properties!$N:$N,$B27+5)/INDEX(Properties!$R:$R,$B27+5),0))</f>
        <v>0</v>
      </c>
      <c r="D27" s="123" cm="1">
        <f t="array" ref="D27">INDEX(Properties!$D:$D,$B27+5)*(IF(AND(D$3&gt;=INDEX(Properties!$Q:$Q,$B27+5),D$3&lt;INDEX(Properties!$T:$T,$B27+5)),INDEX(Properties!$N:$N,$B27+5)/INDEX(Properties!$R:$R,$B27+5),0))</f>
        <v>0</v>
      </c>
      <c r="E27" s="123" cm="1">
        <f t="array" ref="E27">INDEX(Properties!$D:$D,$B27+5)*(IF(AND(E$3&gt;=INDEX(Properties!$Q:$Q,$B27+5),E$3&lt;INDEX(Properties!$T:$T,$B27+5)),INDEX(Properties!$N:$N,$B27+5)/INDEX(Properties!$R:$R,$B27+5),0))</f>
        <v>0</v>
      </c>
      <c r="F27" s="123" cm="1">
        <f t="array" ref="F27">INDEX(Properties!$D:$D,$B27+5)*(IF(AND(F$3&gt;=INDEX(Properties!$Q:$Q,$B27+5),F$3&lt;INDEX(Properties!$T:$T,$B27+5)),INDEX(Properties!$N:$N,$B27+5)/INDEX(Properties!$R:$R,$B27+5),0))</f>
        <v>0</v>
      </c>
      <c r="G27" s="123" cm="1">
        <f t="array" ref="G27">INDEX(Properties!$D:$D,$B27+5)*(IF(AND(G$3&gt;=INDEX(Properties!$Q:$Q,$B27+5),G$3&lt;INDEX(Properties!$T:$T,$B27+5)),INDEX(Properties!$N:$N,$B27+5)/INDEX(Properties!$R:$R,$B27+5),0))</f>
        <v>0</v>
      </c>
      <c r="H27" s="123" cm="1">
        <f t="array" ref="H27">INDEX(Properties!$D:$D,$B27+5)*(IF(AND(H$3&gt;=INDEX(Properties!$Q:$Q,$B27+5),H$3&lt;INDEX(Properties!$T:$T,$B27+5)),INDEX(Properties!$N:$N,$B27+5)/INDEX(Properties!$R:$R,$B27+5),0))</f>
        <v>0</v>
      </c>
      <c r="I27" s="123" cm="1">
        <f t="array" ref="I27">INDEX(Properties!$D:$D,$B27+5)*(IF(AND(I$3&gt;=INDEX(Properties!$Q:$Q,$B27+5),I$3&lt;INDEX(Properties!$T:$T,$B27+5)),INDEX(Properties!$N:$N,$B27+5)/INDEX(Properties!$R:$R,$B27+5),0))</f>
        <v>0</v>
      </c>
      <c r="J27" s="123" cm="1">
        <f t="array" ref="J27">INDEX(Properties!$D:$D,$B27+5)*(IF(AND(J$3&gt;=INDEX(Properties!$Q:$Q,$B27+5),J$3&lt;INDEX(Properties!$T:$T,$B27+5)),INDEX(Properties!$N:$N,$B27+5)/INDEX(Properties!$R:$R,$B27+5),0))</f>
        <v>0</v>
      </c>
      <c r="K27" s="123" cm="1">
        <f t="array" ref="K27">INDEX(Properties!$D:$D,$B27+5)*(IF(AND(K$3&gt;=INDEX(Properties!$Q:$Q,$B27+5),K$3&lt;INDEX(Properties!$T:$T,$B27+5)),INDEX(Properties!$N:$N,$B27+5)/INDEX(Properties!$R:$R,$B27+5),0))</f>
        <v>0</v>
      </c>
      <c r="L27" s="123" cm="1">
        <f t="array" ref="L27">INDEX(Properties!$D:$D,$B27+5)*(IF(AND(L$3&gt;=INDEX(Properties!$Q:$Q,$B27+5),L$3&lt;INDEX(Properties!$T:$T,$B27+5)),INDEX(Properties!$N:$N,$B27+5)/INDEX(Properties!$R:$R,$B27+5),0))</f>
        <v>0</v>
      </c>
      <c r="M27" s="123" cm="1">
        <f t="array" ref="M27">INDEX(Properties!$D:$D,$B27+5)*(IF(AND(M$3&gt;=INDEX(Properties!$Q:$Q,$B27+5),M$3&lt;INDEX(Properties!$T:$T,$B27+5)),INDEX(Properties!$N:$N,$B27+5)/INDEX(Properties!$R:$R,$B27+5),0))</f>
        <v>0</v>
      </c>
      <c r="N27" s="123" cm="1">
        <f t="array" ref="N27">INDEX(Properties!$D:$D,$B27+5)*(IF(AND(N$3&gt;=INDEX(Properties!$Q:$Q,$B27+5),N$3&lt;INDEX(Properties!$T:$T,$B27+5)),INDEX(Properties!$N:$N,$B27+5)/INDEX(Properties!$R:$R,$B27+5),0))</f>
        <v>0</v>
      </c>
      <c r="O27" s="123" cm="1">
        <f t="array" ref="O27">INDEX(Properties!$D:$D,$B27+5)*(IF(AND(O$3&gt;=INDEX(Properties!$Q:$Q,$B27+5),O$3&lt;INDEX(Properties!$T:$T,$B27+5)),INDEX(Properties!$N:$N,$B27+5)/INDEX(Properties!$R:$R,$B27+5),0))</f>
        <v>0</v>
      </c>
      <c r="P27" s="123" cm="1">
        <f t="array" ref="P27">INDEX(Properties!$D:$D,$B27+5)*(IF(AND(P$3&gt;=INDEX(Properties!$Q:$Q,$B27+5),P$3&lt;INDEX(Properties!$T:$T,$B27+5)),INDEX(Properties!$N:$N,$B27+5)/INDEX(Properties!$R:$R,$B27+5),0))</f>
        <v>0</v>
      </c>
      <c r="Q27" s="123" cm="1">
        <f t="array" ref="Q27">INDEX(Properties!$D:$D,$B27+5)*(IF(AND(Q$3&gt;=INDEX(Properties!$Q:$Q,$B27+5),Q$3&lt;INDEX(Properties!$T:$T,$B27+5)),INDEX(Properties!$N:$N,$B27+5)/INDEX(Properties!$R:$R,$B27+5),0))</f>
        <v>0</v>
      </c>
      <c r="R27" s="123" cm="1">
        <f t="array" ref="R27">INDEX(Properties!$D:$D,$B27+5)*(IF(AND(R$3&gt;=INDEX(Properties!$Q:$Q,$B27+5),R$3&lt;INDEX(Properties!$T:$T,$B27+5)),INDEX(Properties!$N:$N,$B27+5)/INDEX(Properties!$R:$R,$B27+5),0))</f>
        <v>0</v>
      </c>
      <c r="S27" s="123" cm="1">
        <f t="array" ref="S27">INDEX(Properties!$D:$D,$B27+5)*(IF(AND(S$3&gt;=INDEX(Properties!$Q:$Q,$B27+5),S$3&lt;INDEX(Properties!$T:$T,$B27+5)),INDEX(Properties!$N:$N,$B27+5)/INDEX(Properties!$R:$R,$B27+5),0))</f>
        <v>0</v>
      </c>
      <c r="T27" s="123" cm="1">
        <f t="array" ref="T27">INDEX(Properties!$D:$D,$B27+5)*(IF(AND(T$3&gt;=INDEX(Properties!$Q:$Q,$B27+5),T$3&lt;INDEX(Properties!$T:$T,$B27+5)),INDEX(Properties!$N:$N,$B27+5)/INDEX(Properties!$R:$R,$B27+5),0))</f>
        <v>0</v>
      </c>
      <c r="U27" s="123" cm="1">
        <f t="array" ref="U27">INDEX(Properties!$D:$D,$B27+5)*(IF(AND(U$3&gt;=INDEX(Properties!$Q:$Q,$B27+5),U$3&lt;INDEX(Properties!$T:$T,$B27+5)),INDEX(Properties!$N:$N,$B27+5)/INDEX(Properties!$R:$R,$B27+5),0))</f>
        <v>0</v>
      </c>
      <c r="V27" s="123" cm="1">
        <f t="array" ref="V27">INDEX(Properties!$D:$D,$B27+5)*(IF(AND(V$3&gt;=INDEX(Properties!$Q:$Q,$B27+5),V$3&lt;INDEX(Properties!$T:$T,$B27+5)),INDEX(Properties!$N:$N,$B27+5)/INDEX(Properties!$R:$R,$B27+5),0))</f>
        <v>0</v>
      </c>
      <c r="W27" s="123" cm="1">
        <f t="array" ref="W27">INDEX(Properties!$D:$D,$B27+5)*(IF(AND(W$3&gt;=INDEX(Properties!$Q:$Q,$B27+5),W$3&lt;INDEX(Properties!$T:$T,$B27+5)),INDEX(Properties!$N:$N,$B27+5)/INDEX(Properties!$R:$R,$B27+5),0))</f>
        <v>0</v>
      </c>
      <c r="X27" s="123" cm="1">
        <f t="array" ref="X27">INDEX(Properties!$D:$D,$B27+5)*(IF(AND(X$3&gt;=INDEX(Properties!$Q:$Q,$B27+5),X$3&lt;INDEX(Properties!$T:$T,$B27+5)),INDEX(Properties!$N:$N,$B27+5)/INDEX(Properties!$R:$R,$B27+5),0))</f>
        <v>0</v>
      </c>
      <c r="Y27" s="123" cm="1">
        <f t="array" ref="Y27">INDEX(Properties!$D:$D,$B27+5)*(IF(AND(Y$3&gt;=INDEX(Properties!$Q:$Q,$B27+5),Y$3&lt;INDEX(Properties!$T:$T,$B27+5)),INDEX(Properties!$N:$N,$B27+5)/INDEX(Properties!$R:$R,$B27+5),0))</f>
        <v>0</v>
      </c>
      <c r="Z27" s="123" cm="1">
        <f t="array" ref="Z27">INDEX(Properties!$D:$D,$B27+5)*(IF(AND(Z$3&gt;=INDEX(Properties!$Q:$Q,$B27+5),Z$3&lt;INDEX(Properties!$T:$T,$B27+5)),INDEX(Properties!$N:$N,$B27+5)/INDEX(Properties!$R:$R,$B27+5),0))</f>
        <v>0</v>
      </c>
      <c r="AA27" s="123" cm="1">
        <f t="array" ref="AA27">INDEX(Properties!$D:$D,$B27+5)*(IF(AND(AA$3&gt;=INDEX(Properties!$Q:$Q,$B27+5),AA$3&lt;INDEX(Properties!$T:$T,$B27+5)),INDEX(Properties!$N:$N,$B27+5)/INDEX(Properties!$R:$R,$B27+5),0))</f>
        <v>0</v>
      </c>
      <c r="AB27" s="123" cm="1">
        <f t="array" ref="AB27">INDEX(Properties!$D:$D,$B27+5)*(IF(AND(AB$3&gt;=INDEX(Properties!$Q:$Q,$B27+5),AB$3&lt;INDEX(Properties!$T:$T,$B27+5)),INDEX(Properties!$N:$N,$B27+5)/INDEX(Properties!$R:$R,$B27+5),0))</f>
        <v>0</v>
      </c>
      <c r="AC27" s="123" cm="1">
        <f t="array" ref="AC27">INDEX(Properties!$D:$D,$B27+5)*(IF(AND(AC$3&gt;=INDEX(Properties!$Q:$Q,$B27+5),AC$3&lt;INDEX(Properties!$T:$T,$B27+5)),INDEX(Properties!$N:$N,$B27+5)/INDEX(Properties!$R:$R,$B27+5),0))</f>
        <v>0</v>
      </c>
      <c r="AD27" s="123" cm="1">
        <f t="array" ref="AD27">INDEX(Properties!$D:$D,$B27+5)*(IF(AND(AD$3&gt;=INDEX(Properties!$Q:$Q,$B27+5),AD$3&lt;INDEX(Properties!$T:$T,$B27+5)),INDEX(Properties!$N:$N,$B27+5)/INDEX(Properties!$R:$R,$B27+5),0))</f>
        <v>0</v>
      </c>
      <c r="AE27" s="123" cm="1">
        <f t="array" ref="AE27">INDEX(Properties!$D:$D,$B27+5)*(IF(AND(AE$3&gt;=INDEX(Properties!$Q:$Q,$B27+5),AE$3&lt;INDEX(Properties!$T:$T,$B27+5)),INDEX(Properties!$N:$N,$B27+5)/INDEX(Properties!$R:$R,$B27+5),0))</f>
        <v>0</v>
      </c>
      <c r="AF27" s="123" cm="1">
        <f t="array" ref="AF27">INDEX(Properties!$D:$D,$B27+5)*(IF(AND(AF$3&gt;=INDEX(Properties!$Q:$Q,$B27+5),AF$3&lt;INDEX(Properties!$T:$T,$B27+5)),INDEX(Properties!$N:$N,$B27+5)/INDEX(Properties!$R:$R,$B27+5),0))</f>
        <v>0</v>
      </c>
      <c r="AG27" s="123" cm="1">
        <f t="array" ref="AG27">INDEX(Properties!$D:$D,$B27+5)*(IF(AND(AG$3&gt;=INDEX(Properties!$Q:$Q,$B27+5),AG$3&lt;INDEX(Properties!$T:$T,$B27+5)),INDEX(Properties!$N:$N,$B27+5)/INDEX(Properties!$R:$R,$B27+5),0))</f>
        <v>0</v>
      </c>
      <c r="AH27" s="123" cm="1">
        <f t="array" ref="AH27">INDEX(Properties!$D:$D,$B27+5)*(IF(AND(AH$3&gt;=INDEX(Properties!$Q:$Q,$B27+5),AH$3&lt;INDEX(Properties!$T:$T,$B27+5)),INDEX(Properties!$N:$N,$B27+5)/INDEX(Properties!$R:$R,$B27+5),0))</f>
        <v>0</v>
      </c>
      <c r="AI27" s="123" cm="1">
        <f t="array" ref="AI27">INDEX(Properties!$D:$D,$B27+5)*(IF(AND(AI$3&gt;=INDEX(Properties!$Q:$Q,$B27+5),AI$3&lt;INDEX(Properties!$T:$T,$B27+5)),INDEX(Properties!$N:$N,$B27+5)/INDEX(Properties!$R:$R,$B27+5),0))</f>
        <v>0</v>
      </c>
      <c r="AJ27" s="123" cm="1">
        <f t="array" ref="AJ27">INDEX(Properties!$D:$D,$B27+5)*(IF(AND(AJ$3&gt;=INDEX(Properties!$Q:$Q,$B27+5),AJ$3&lt;INDEX(Properties!$T:$T,$B27+5)),INDEX(Properties!$N:$N,$B27+5)/INDEX(Properties!$R:$R,$B27+5),0))</f>
        <v>0</v>
      </c>
      <c r="AK27" s="123" cm="1">
        <f t="array" ref="AK27">INDEX(Properties!$D:$D,$B27+5)*(IF(AND(AK$3&gt;=INDEX(Properties!$Q:$Q,$B27+5),AK$3&lt;INDEX(Properties!$T:$T,$B27+5)),INDEX(Properties!$N:$N,$B27+5)/INDEX(Properties!$R:$R,$B27+5),0))</f>
        <v>0</v>
      </c>
      <c r="AL27" s="123" cm="1">
        <f t="array" ref="AL27">INDEX(Properties!$D:$D,$B27+5)*(IF(AND(AL$3&gt;=INDEX(Properties!$Q:$Q,$B27+5),AL$3&lt;INDEX(Properties!$T:$T,$B27+5)),INDEX(Properties!$N:$N,$B27+5)/INDEX(Properties!$R:$R,$B27+5),0))</f>
        <v>0</v>
      </c>
      <c r="AM27" s="123" cm="1">
        <f t="array" ref="AM27">INDEX(Properties!$D:$D,$B27+5)*(IF(AND(AM$3&gt;=INDEX(Properties!$Q:$Q,$B27+5),AM$3&lt;INDEX(Properties!$T:$T,$B27+5)),INDEX(Properties!$N:$N,$B27+5)/INDEX(Properties!$R:$R,$B27+5),0))</f>
        <v>0</v>
      </c>
      <c r="AN27" s="123" cm="1">
        <f t="array" ref="AN27">INDEX(Properties!$D:$D,$B27+5)*(IF(AND(AN$3&gt;=INDEX(Properties!$Q:$Q,$B27+5),AN$3&lt;INDEX(Properties!$T:$T,$B27+5)),INDEX(Properties!$N:$N,$B27+5)/INDEX(Properties!$R:$R,$B27+5),0))</f>
        <v>0</v>
      </c>
      <c r="AO27" s="123" cm="1">
        <f t="array" ref="AO27">INDEX(Properties!$D:$D,$B27+5)*(IF(AND(AO$3&gt;=INDEX(Properties!$Q:$Q,$B27+5),AO$3&lt;INDEX(Properties!$T:$T,$B27+5)),INDEX(Properties!$N:$N,$B27+5)/INDEX(Properties!$R:$R,$B27+5),0))</f>
        <v>0</v>
      </c>
      <c r="AP27" s="123" cm="1">
        <f t="array" ref="AP27">INDEX(Properties!$D:$D,$B27+5)*(IF(AND(AP$3&gt;=INDEX(Properties!$Q:$Q,$B27+5),AP$3&lt;INDEX(Properties!$T:$T,$B27+5)),INDEX(Properties!$N:$N,$B27+5)/INDEX(Properties!$R:$R,$B27+5),0))</f>
        <v>0</v>
      </c>
      <c r="AQ27" s="123" cm="1">
        <f t="array" ref="AQ27">INDEX(Properties!$D:$D,$B27+5)*(IF(AND(AQ$3&gt;=INDEX(Properties!$Q:$Q,$B27+5),AQ$3&lt;INDEX(Properties!$T:$T,$B27+5)),INDEX(Properties!$N:$N,$B27+5)/INDEX(Properties!$R:$R,$B27+5),0))</f>
        <v>0</v>
      </c>
      <c r="AR27" s="123" cm="1">
        <f t="array" ref="AR27">INDEX(Properties!$D:$D,$B27+5)*(IF(AND(AR$3&gt;=INDEX(Properties!$Q:$Q,$B27+5),AR$3&lt;INDEX(Properties!$T:$T,$B27+5)),INDEX(Properties!$N:$N,$B27+5)/INDEX(Properties!$R:$R,$B27+5),0))</f>
        <v>0</v>
      </c>
      <c r="AS27" s="123" cm="1">
        <f t="array" ref="AS27">INDEX(Properties!$D:$D,$B27+5)*(IF(AND(AS$3&gt;=INDEX(Properties!$Q:$Q,$B27+5),AS$3&lt;INDEX(Properties!$T:$T,$B27+5)),INDEX(Properties!$N:$N,$B27+5)/INDEX(Properties!$R:$R,$B27+5),0))</f>
        <v>0</v>
      </c>
      <c r="AT27" s="123" cm="1">
        <f t="array" ref="AT27">INDEX(Properties!$D:$D,$B27+5)*(IF(AND(AT$3&gt;=INDEX(Properties!$Q:$Q,$B27+5),AT$3&lt;INDEX(Properties!$T:$T,$B27+5)),INDEX(Properties!$N:$N,$B27+5)/INDEX(Properties!$R:$R,$B27+5),0))</f>
        <v>0</v>
      </c>
      <c r="AU27" s="123" cm="1">
        <f t="array" ref="AU27">INDEX(Properties!$D:$D,$B27+5)*(IF(AND(AU$3&gt;=INDEX(Properties!$Q:$Q,$B27+5),AU$3&lt;INDEX(Properties!$T:$T,$B27+5)),INDEX(Properties!$N:$N,$B27+5)/INDEX(Properties!$R:$R,$B27+5),0))</f>
        <v>0</v>
      </c>
      <c r="AV27" s="123" cm="1">
        <f t="array" ref="AV27">INDEX(Properties!$D:$D,$B27+5)*(IF(AND(AV$3&gt;=INDEX(Properties!$Q:$Q,$B27+5),AV$3&lt;INDEX(Properties!$T:$T,$B27+5)),INDEX(Properties!$N:$N,$B27+5)/INDEX(Properties!$R:$R,$B27+5),0))</f>
        <v>0</v>
      </c>
      <c r="AW27" s="123" cm="1">
        <f t="array" ref="AW27">INDEX(Properties!$D:$D,$B27+5)*(IF(AND(AW$3&gt;=INDEX(Properties!$Q:$Q,$B27+5),AW$3&lt;INDEX(Properties!$T:$T,$B27+5)),INDEX(Properties!$N:$N,$B27+5)/INDEX(Properties!$R:$R,$B27+5),0))</f>
        <v>0</v>
      </c>
      <c r="AX27" s="123" cm="1">
        <f t="array" ref="AX27">INDEX(Properties!$D:$D,$B27+5)*(IF(AND(AX$3&gt;=INDEX(Properties!$Q:$Q,$B27+5),AX$3&lt;INDEX(Properties!$T:$T,$B27+5)),INDEX(Properties!$N:$N,$B27+5)/INDEX(Properties!$R:$R,$B27+5),0))</f>
        <v>0</v>
      </c>
      <c r="AY27" s="123" cm="1">
        <f t="array" ref="AY27">INDEX(Properties!$D:$D,$B27+5)*(IF(AND(AY$3&gt;=INDEX(Properties!$Q:$Q,$B27+5),AY$3&lt;INDEX(Properties!$T:$T,$B27+5)),INDEX(Properties!$N:$N,$B27+5)/INDEX(Properties!$R:$R,$B27+5),0))</f>
        <v>0</v>
      </c>
      <c r="AZ27" s="123" cm="1">
        <f t="array" ref="AZ27">INDEX(Properties!$D:$D,$B27+5)*(IF(AND(AZ$3&gt;=INDEX(Properties!$Q:$Q,$B27+5),AZ$3&lt;INDEX(Properties!$T:$T,$B27+5)),INDEX(Properties!$N:$N,$B27+5)/INDEX(Properties!$R:$R,$B27+5),0))</f>
        <v>0</v>
      </c>
      <c r="BA27" s="123" cm="1">
        <f t="array" ref="BA27">INDEX(Properties!$D:$D,$B27+5)*(IF(AND(BA$3&gt;=INDEX(Properties!$Q:$Q,$B27+5),BA$3&lt;INDEX(Properties!$T:$T,$B27+5)),INDEX(Properties!$N:$N,$B27+5)/INDEX(Properties!$R:$R,$B27+5),0))</f>
        <v>0</v>
      </c>
      <c r="BB27" s="123" cm="1">
        <f t="array" ref="BB27">INDEX(Properties!$D:$D,$B27+5)*(IF(AND(BB$3&gt;=INDEX(Properties!$Q:$Q,$B27+5),BB$3&lt;INDEX(Properties!$T:$T,$B27+5)),INDEX(Properties!$N:$N,$B27+5)/INDEX(Properties!$R:$R,$B27+5),0))</f>
        <v>0</v>
      </c>
      <c r="BC27" s="123" cm="1">
        <f t="array" ref="BC27">INDEX(Properties!$D:$D,$B27+5)*(IF(AND(BC$3&gt;=INDEX(Properties!$Q:$Q,$B27+5),BC$3&lt;INDEX(Properties!$T:$T,$B27+5)),INDEX(Properties!$N:$N,$B27+5)/INDEX(Properties!$R:$R,$B27+5),0))</f>
        <v>0</v>
      </c>
      <c r="BD27" s="123" cm="1">
        <f t="array" ref="BD27">INDEX(Properties!$D:$D,$B27+5)*(IF(AND(BD$3&gt;=INDEX(Properties!$Q:$Q,$B27+5),BD$3&lt;INDEX(Properties!$T:$T,$B27+5)),INDEX(Properties!$N:$N,$B27+5)/INDEX(Properties!$R:$R,$B27+5),0))</f>
        <v>0</v>
      </c>
      <c r="BE27" s="123" cm="1">
        <f t="array" ref="BE27">INDEX(Properties!$D:$D,$B27+5)*(IF(AND(BE$3&gt;=INDEX(Properties!$Q:$Q,$B27+5),BE$3&lt;INDEX(Properties!$T:$T,$B27+5)),INDEX(Properties!$N:$N,$B27+5)/INDEX(Properties!$R:$R,$B27+5),0))</f>
        <v>0</v>
      </c>
      <c r="BF27" s="123" cm="1">
        <f t="array" ref="BF27">INDEX(Properties!$D:$D,$B27+5)*(IF(AND(BF$3&gt;=INDEX(Properties!$Q:$Q,$B27+5),BF$3&lt;INDEX(Properties!$T:$T,$B27+5)),INDEX(Properties!$N:$N,$B27+5)/INDEX(Properties!$R:$R,$B27+5),0))</f>
        <v>0</v>
      </c>
      <c r="BG27" s="123" cm="1">
        <f t="array" ref="BG27">INDEX(Properties!$D:$D,$B27+5)*(IF(AND(BG$3&gt;=INDEX(Properties!$Q:$Q,$B27+5),BG$3&lt;INDEX(Properties!$T:$T,$B27+5)),INDEX(Properties!$N:$N,$B27+5)/INDEX(Properties!$R:$R,$B27+5),0))</f>
        <v>0</v>
      </c>
      <c r="BH27" s="123" cm="1">
        <f t="array" ref="BH27">INDEX(Properties!$D:$D,$B27+5)*(IF(AND(BH$3&gt;=INDEX(Properties!$Q:$Q,$B27+5),BH$3&lt;INDEX(Properties!$T:$T,$B27+5)),INDEX(Properties!$N:$N,$B27+5)/INDEX(Properties!$R:$R,$B27+5),0))</f>
        <v>0</v>
      </c>
      <c r="BI27" s="123" cm="1">
        <f t="array" ref="BI27">INDEX(Properties!$D:$D,$B27+5)*(IF(AND(BI$3&gt;=INDEX(Properties!$Q:$Q,$B27+5),BI$3&lt;INDEX(Properties!$T:$T,$B27+5)),INDEX(Properties!$N:$N,$B27+5)/INDEX(Properties!$R:$R,$B27+5),0))</f>
        <v>0</v>
      </c>
      <c r="BJ27" s="123" cm="1">
        <f t="array" ref="BJ27">INDEX(Properties!$D:$D,$B27+5)*(IF(AND(BJ$3&gt;=INDEX(Properties!$Q:$Q,$B27+5),BJ$3&lt;INDEX(Properties!$T:$T,$B27+5)),INDEX(Properties!$N:$N,$B27+5)/INDEX(Properties!$R:$R,$B27+5),0))</f>
        <v>0</v>
      </c>
      <c r="BK27" s="123" cm="1">
        <f t="array" ref="BK27">INDEX(Properties!$D:$D,$B27+5)*(IF(AND(BK$3&gt;=INDEX(Properties!$Q:$Q,$B27+5),BK$3&lt;INDEX(Properties!$T:$T,$B27+5)),INDEX(Properties!$N:$N,$B27+5)/INDEX(Properties!$R:$R,$B27+5),0))</f>
        <v>0</v>
      </c>
      <c r="BL27" s="123" cm="1">
        <f t="array" ref="BL27">INDEX(Properties!$D:$D,$B27+5)*(IF(AND(BL$3&gt;=INDEX(Properties!$Q:$Q,$B27+5),BL$3&lt;INDEX(Properties!$T:$T,$B27+5)),INDEX(Properties!$N:$N,$B27+5)/INDEX(Properties!$R:$R,$B27+5),0))</f>
        <v>0</v>
      </c>
      <c r="BM27" s="123" cm="1">
        <f t="array" ref="BM27">INDEX(Properties!$D:$D,$B27+5)*(IF(AND(BM$3&gt;=INDEX(Properties!$Q:$Q,$B27+5),BM$3&lt;INDEX(Properties!$T:$T,$B27+5)),INDEX(Properties!$N:$N,$B27+5)/INDEX(Properties!$R:$R,$B27+5),0))</f>
        <v>0</v>
      </c>
      <c r="BN27" s="123" cm="1">
        <f t="array" ref="BN27">INDEX(Properties!$D:$D,$B27+5)*(IF(AND(BN$3&gt;=INDEX(Properties!$Q:$Q,$B27+5),BN$3&lt;INDEX(Properties!$T:$T,$B27+5)),INDEX(Properties!$N:$N,$B27+5)/INDEX(Properties!$R:$R,$B27+5),0))</f>
        <v>0</v>
      </c>
      <c r="BO27" s="123" cm="1">
        <f t="array" ref="BO27">INDEX(Properties!$D:$D,$B27+5)*(IF(AND(BO$3&gt;=INDEX(Properties!$Q:$Q,$B27+5),BO$3&lt;INDEX(Properties!$T:$T,$B27+5)),INDEX(Properties!$N:$N,$B27+5)/INDEX(Properties!$R:$R,$B27+5),0))</f>
        <v>0</v>
      </c>
      <c r="BP27" s="123" cm="1">
        <f t="array" ref="BP27">INDEX(Properties!$D:$D,$B27+5)*(IF(AND(BP$3&gt;=INDEX(Properties!$Q:$Q,$B27+5),BP$3&lt;INDEX(Properties!$T:$T,$B27+5)),INDEX(Properties!$N:$N,$B27+5)/INDEX(Properties!$R:$R,$B27+5),0))</f>
        <v>0</v>
      </c>
      <c r="BQ27" s="123" cm="1">
        <f t="array" ref="BQ27">INDEX(Properties!$D:$D,$B27+5)*(IF(AND(BQ$3&gt;=INDEX(Properties!$Q:$Q,$B27+5),BQ$3&lt;INDEX(Properties!$T:$T,$B27+5)),INDEX(Properties!$N:$N,$B27+5)/INDEX(Properties!$R:$R,$B27+5),0))</f>
        <v>0</v>
      </c>
      <c r="BR27" s="123" cm="1">
        <f t="array" ref="BR27">INDEX(Properties!$D:$D,$B27+5)*(IF(AND(BR$3&gt;=INDEX(Properties!$Q:$Q,$B27+5),BR$3&lt;INDEX(Properties!$T:$T,$B27+5)),INDEX(Properties!$N:$N,$B27+5)/INDEX(Properties!$R:$R,$B27+5),0))</f>
        <v>0</v>
      </c>
      <c r="BS27" s="123" cm="1">
        <f t="array" ref="BS27">INDEX(Properties!$D:$D,$B27+5)*(IF(AND(BS$3&gt;=INDEX(Properties!$Q:$Q,$B27+5),BS$3&lt;INDEX(Properties!$T:$T,$B27+5)),INDEX(Properties!$N:$N,$B27+5)/INDEX(Properties!$R:$R,$B27+5),0))</f>
        <v>0</v>
      </c>
      <c r="BT27" s="123" cm="1">
        <f t="array" ref="BT27">INDEX(Properties!$D:$D,$B27+5)*(IF(AND(BT$3&gt;=INDEX(Properties!$Q:$Q,$B27+5),BT$3&lt;INDEX(Properties!$T:$T,$B27+5)),INDEX(Properties!$N:$N,$B27+5)/INDEX(Properties!$R:$R,$B27+5),0))</f>
        <v>0</v>
      </c>
      <c r="BU27" s="123" cm="1">
        <f t="array" ref="BU27">INDEX(Properties!$D:$D,$B27+5)*(IF(AND(BU$3&gt;=INDEX(Properties!$Q:$Q,$B27+5),BU$3&lt;INDEX(Properties!$T:$T,$B27+5)),INDEX(Properties!$N:$N,$B27+5)/INDEX(Properties!$R:$R,$B27+5),0))</f>
        <v>0</v>
      </c>
      <c r="BV27" s="123" cm="1">
        <f t="array" ref="BV27">INDEX(Properties!$D:$D,$B27+5)*(IF(AND(BV$3&gt;=INDEX(Properties!$Q:$Q,$B27+5),BV$3&lt;INDEX(Properties!$T:$T,$B27+5)),INDEX(Properties!$N:$N,$B27+5)/INDEX(Properties!$R:$R,$B27+5),0))</f>
        <v>0</v>
      </c>
      <c r="BW27" s="123" cm="1">
        <f t="array" ref="BW27">INDEX(Properties!$D:$D,$B27+5)*(IF(AND(BW$3&gt;=INDEX(Properties!$Q:$Q,$B27+5),BW$3&lt;INDEX(Properties!$T:$T,$B27+5)),INDEX(Properties!$N:$N,$B27+5)/INDEX(Properties!$R:$R,$B27+5),0))</f>
        <v>0</v>
      </c>
      <c r="BX27" s="123" cm="1">
        <f t="array" ref="BX27">INDEX(Properties!$D:$D,$B27+5)*(IF(AND(BX$3&gt;=INDEX(Properties!$Q:$Q,$B27+5),BX$3&lt;INDEX(Properties!$T:$T,$B27+5)),INDEX(Properties!$N:$N,$B27+5)/INDEX(Properties!$R:$R,$B27+5),0))</f>
        <v>0</v>
      </c>
      <c r="BY27" s="123" cm="1">
        <f t="array" ref="BY27">INDEX(Properties!$D:$D,$B27+5)*(IF(AND(BY$3&gt;=INDEX(Properties!$Q:$Q,$B27+5),BY$3&lt;INDEX(Properties!$T:$T,$B27+5)),INDEX(Properties!$N:$N,$B27+5)/INDEX(Properties!$R:$R,$B27+5),0))</f>
        <v>0</v>
      </c>
      <c r="BZ27" s="123" cm="1">
        <f t="array" ref="BZ27">INDEX(Properties!$D:$D,$B27+5)*(IF(AND(BZ$3&gt;=INDEX(Properties!$Q:$Q,$B27+5),BZ$3&lt;INDEX(Properties!$T:$T,$B27+5)),INDEX(Properties!$N:$N,$B27+5)/INDEX(Properties!$R:$R,$B27+5),0))</f>
        <v>0</v>
      </c>
      <c r="CA27" s="123" cm="1">
        <f t="array" ref="CA27">INDEX(Properties!$D:$D,$B27+5)*(IF(AND(CA$3&gt;=INDEX(Properties!$Q:$Q,$B27+5),CA$3&lt;INDEX(Properties!$T:$T,$B27+5)),INDEX(Properties!$N:$N,$B27+5)/INDEX(Properties!$R:$R,$B27+5),0))</f>
        <v>0</v>
      </c>
      <c r="CB27" s="123" cm="1">
        <f t="array" ref="CB27">INDEX(Properties!$D:$D,$B27+5)*(IF(AND(CB$3&gt;=INDEX(Properties!$Q:$Q,$B27+5),CB$3&lt;INDEX(Properties!$T:$T,$B27+5)),INDEX(Properties!$N:$N,$B27+5)/INDEX(Properties!$R:$R,$B27+5),0))</f>
        <v>0</v>
      </c>
      <c r="CC27" s="123" cm="1">
        <f t="array" ref="CC27">INDEX(Properties!$D:$D,$B27+5)*(IF(AND(CC$3&gt;=INDEX(Properties!$Q:$Q,$B27+5),CC$3&lt;INDEX(Properties!$T:$T,$B27+5)),INDEX(Properties!$N:$N,$B27+5)/INDEX(Properties!$R:$R,$B27+5),0))</f>
        <v>0</v>
      </c>
      <c r="CD27" s="123" cm="1">
        <f t="array" ref="CD27">INDEX(Properties!$D:$D,$B27+5)*(IF(AND(CD$3&gt;=INDEX(Properties!$Q:$Q,$B27+5),CD$3&lt;INDEX(Properties!$T:$T,$B27+5)),INDEX(Properties!$N:$N,$B27+5)/INDEX(Properties!$R:$R,$B27+5),0))</f>
        <v>0</v>
      </c>
      <c r="CE27" s="123" cm="1">
        <f t="array" ref="CE27">INDEX(Properties!$D:$D,$B27+5)*(IF(AND(CE$3&gt;=INDEX(Properties!$Q:$Q,$B27+5),CE$3&lt;INDEX(Properties!$T:$T,$B27+5)),INDEX(Properties!$N:$N,$B27+5)/INDEX(Properties!$R:$R,$B27+5),0))</f>
        <v>0</v>
      </c>
      <c r="CF27" s="123" cm="1">
        <f t="array" ref="CF27">INDEX(Properties!$D:$D,$B27+5)*(IF(AND(CF$3&gt;=INDEX(Properties!$Q:$Q,$B27+5),CF$3&lt;INDEX(Properties!$T:$T,$B27+5)),INDEX(Properties!$N:$N,$B27+5)/INDEX(Properties!$R:$R,$B27+5),0))</f>
        <v>0</v>
      </c>
      <c r="CG27" s="123" cm="1">
        <f t="array" ref="CG27">INDEX(Properties!$D:$D,$B27+5)*(IF(AND(CG$3&gt;=INDEX(Properties!$Q:$Q,$B27+5),CG$3&lt;INDEX(Properties!$T:$T,$B27+5)),INDEX(Properties!$N:$N,$B27+5)/INDEX(Properties!$R:$R,$B27+5),0))</f>
        <v>0</v>
      </c>
      <c r="CH27" s="123" cm="1">
        <f t="array" ref="CH27">INDEX(Properties!$D:$D,$B27+5)*(IF(AND(CH$3&gt;=INDEX(Properties!$Q:$Q,$B27+5),CH$3&lt;INDEX(Properties!$T:$T,$B27+5)),INDEX(Properties!$N:$N,$B27+5)/INDEX(Properties!$R:$R,$B27+5),0))</f>
        <v>0</v>
      </c>
      <c r="CI27" s="123" cm="1">
        <f t="array" ref="CI27">INDEX(Properties!$D:$D,$B27+5)*(IF(AND(CI$3&gt;=INDEX(Properties!$Q:$Q,$B27+5),CI$3&lt;INDEX(Properties!$T:$T,$B27+5)),INDEX(Properties!$N:$N,$B27+5)/INDEX(Properties!$R:$R,$B27+5),0))</f>
        <v>0</v>
      </c>
      <c r="CJ27" s="123" cm="1">
        <f t="array" ref="CJ27">INDEX(Properties!$D:$D,$B27+5)*(IF(AND(CJ$3&gt;=INDEX(Properties!$Q:$Q,$B27+5),CJ$3&lt;INDEX(Properties!$T:$T,$B27+5)),INDEX(Properties!$N:$N,$B27+5)/INDEX(Properties!$R:$R,$B27+5),0))</f>
        <v>0</v>
      </c>
      <c r="CK27" s="123" cm="1">
        <f t="array" ref="CK27">INDEX(Properties!$D:$D,$B27+5)*(IF(AND(CK$3&gt;=INDEX(Properties!$Q:$Q,$B27+5),CK$3&lt;INDEX(Properties!$T:$T,$B27+5)),INDEX(Properties!$N:$N,$B27+5)/INDEX(Properties!$R:$R,$B27+5),0))</f>
        <v>0</v>
      </c>
      <c r="CL27" s="123" cm="1">
        <f t="array" ref="CL27">INDEX(Properties!$D:$D,$B27+5)*(IF(AND(CL$3&gt;=INDEX(Properties!$Q:$Q,$B27+5),CL$3&lt;INDEX(Properties!$T:$T,$B27+5)),INDEX(Properties!$N:$N,$B27+5)/INDEX(Properties!$R:$R,$B27+5),0))</f>
        <v>0</v>
      </c>
      <c r="CM27" s="123" cm="1">
        <f t="array" ref="CM27">INDEX(Properties!$D:$D,$B27+5)*(IF(AND(CM$3&gt;=INDEX(Properties!$Q:$Q,$B27+5),CM$3&lt;INDEX(Properties!$T:$T,$B27+5)),INDEX(Properties!$N:$N,$B27+5)/INDEX(Properties!$R:$R,$B27+5),0))</f>
        <v>0</v>
      </c>
      <c r="CN27" s="123" cm="1">
        <f t="array" ref="CN27">INDEX(Properties!$D:$D,$B27+5)*(IF(AND(CN$3&gt;=INDEX(Properties!$Q:$Q,$B27+5),CN$3&lt;INDEX(Properties!$T:$T,$B27+5)),INDEX(Properties!$N:$N,$B27+5)/INDEX(Properties!$R:$R,$B27+5),0))</f>
        <v>0</v>
      </c>
      <c r="CO27" s="123" cm="1">
        <f t="array" ref="CO27">INDEX(Properties!$D:$D,$B27+5)*(IF(AND(CO$3&gt;=INDEX(Properties!$Q:$Q,$B27+5),CO$3&lt;INDEX(Properties!$T:$T,$B27+5)),INDEX(Properties!$N:$N,$B27+5)/INDEX(Properties!$R:$R,$B27+5),0))</f>
        <v>0</v>
      </c>
      <c r="CP27" s="123" cm="1">
        <f t="array" ref="CP27">INDEX(Properties!$D:$D,$B27+5)*(IF(AND(CP$3&gt;=INDEX(Properties!$Q:$Q,$B27+5),CP$3&lt;INDEX(Properties!$T:$T,$B27+5)),INDEX(Properties!$N:$N,$B27+5)/INDEX(Properties!$R:$R,$B27+5),0))</f>
        <v>0</v>
      </c>
      <c r="CQ27" s="123" cm="1">
        <f t="array" ref="CQ27">INDEX(Properties!$D:$D,$B27+5)*(IF(AND(CQ$3&gt;=INDEX(Properties!$Q:$Q,$B27+5),CQ$3&lt;INDEX(Properties!$T:$T,$B27+5)),INDEX(Properties!$N:$N,$B27+5)/INDEX(Properties!$R:$R,$B27+5),0))</f>
        <v>0</v>
      </c>
      <c r="CR27" s="123" cm="1">
        <f t="array" ref="CR27">INDEX(Properties!$D:$D,$B27+5)*(IF(AND(CR$3&gt;=INDEX(Properties!$Q:$Q,$B27+5),CR$3&lt;INDEX(Properties!$T:$T,$B27+5)),INDEX(Properties!$N:$N,$B27+5)/INDEX(Properties!$R:$R,$B27+5),0))</f>
        <v>0</v>
      </c>
      <c r="CS27" s="123" cm="1">
        <f t="array" ref="CS27">INDEX(Properties!$D:$D,$B27+5)*(IF(AND(CS$3&gt;=INDEX(Properties!$Q:$Q,$B27+5),CS$3&lt;INDEX(Properties!$T:$T,$B27+5)),INDEX(Properties!$N:$N,$B27+5)/INDEX(Properties!$R:$R,$B27+5),0))</f>
        <v>0</v>
      </c>
      <c r="CT27" s="123" cm="1">
        <f t="array" ref="CT27">INDEX(Properties!$D:$D,$B27+5)*(IF(AND(CT$3&gt;=INDEX(Properties!$Q:$Q,$B27+5),CT$3&lt;INDEX(Properties!$T:$T,$B27+5)),INDEX(Properties!$N:$N,$B27+5)/INDEX(Properties!$R:$R,$B27+5),0))</f>
        <v>0</v>
      </c>
      <c r="CU27" s="123" cm="1">
        <f t="array" ref="CU27">INDEX(Properties!$D:$D,$B27+5)*(IF(AND(CU$3&gt;=INDEX(Properties!$Q:$Q,$B27+5),CU$3&lt;INDEX(Properties!$T:$T,$B27+5)),INDEX(Properties!$N:$N,$B27+5)/INDEX(Properties!$R:$R,$B27+5),0))</f>
        <v>0</v>
      </c>
      <c r="CV27" s="123" cm="1">
        <f t="array" ref="CV27">INDEX(Properties!$D:$D,$B27+5)*(IF(AND(CV$3&gt;=INDEX(Properties!$Q:$Q,$B27+5),CV$3&lt;INDEX(Properties!$T:$T,$B27+5)),INDEX(Properties!$N:$N,$B27+5)/INDEX(Properties!$R:$R,$B27+5),0))</f>
        <v>0</v>
      </c>
      <c r="CW27" s="123" cm="1">
        <f t="array" ref="CW27">INDEX(Properties!$D:$D,$B27+5)*(IF(AND(CW$3&gt;=INDEX(Properties!$Q:$Q,$B27+5),CW$3&lt;INDEX(Properties!$T:$T,$B27+5)),INDEX(Properties!$N:$N,$B27+5)/INDEX(Properties!$R:$R,$B27+5),0))</f>
        <v>0</v>
      </c>
      <c r="CX27" s="123" cm="1">
        <f t="array" ref="CX27">INDEX(Properties!$D:$D,$B27+5)*(IF(AND(CX$3&gt;=INDEX(Properties!$Q:$Q,$B27+5),CX$3&lt;INDEX(Properties!$T:$T,$B27+5)),INDEX(Properties!$N:$N,$B27+5)/INDEX(Properties!$R:$R,$B27+5),0))</f>
        <v>0</v>
      </c>
      <c r="CY27" s="123" cm="1">
        <f t="array" ref="CY27">INDEX(Properties!$D:$D,$B27+5)*(IF(AND(CY$3&gt;=INDEX(Properties!$Q:$Q,$B27+5),CY$3&lt;INDEX(Properties!$T:$T,$B27+5)),INDEX(Properties!$N:$N,$B27+5)/INDEX(Properties!$R:$R,$B27+5),0))</f>
        <v>0</v>
      </c>
      <c r="CZ27" s="123" cm="1">
        <f t="array" ref="CZ27">INDEX(Properties!$D:$D,$B27+5)*(IF(AND(CZ$3&gt;=INDEX(Properties!$Q:$Q,$B27+5),CZ$3&lt;INDEX(Properties!$T:$T,$B27+5)),INDEX(Properties!$N:$N,$B27+5)/INDEX(Properties!$R:$R,$B27+5),0))</f>
        <v>0</v>
      </c>
      <c r="DA27" s="123" cm="1">
        <f t="array" ref="DA27">INDEX(Properties!$D:$D,$B27+5)*(IF(AND(DA$3&gt;=INDEX(Properties!$Q:$Q,$B27+5),DA$3&lt;INDEX(Properties!$T:$T,$B27+5)),INDEX(Properties!$N:$N,$B27+5)/INDEX(Properties!$R:$R,$B27+5),0))</f>
        <v>0</v>
      </c>
      <c r="DB27" s="123" cm="1">
        <f t="array" ref="DB27">INDEX(Properties!$D:$D,$B27+5)*(IF(AND(DB$3&gt;=INDEX(Properties!$Q:$Q,$B27+5),DB$3&lt;INDEX(Properties!$T:$T,$B27+5)),INDEX(Properties!$N:$N,$B27+5)/INDEX(Properties!$R:$R,$B27+5),0))</f>
        <v>0</v>
      </c>
      <c r="DC27" s="123" cm="1">
        <f t="array" ref="DC27">INDEX(Properties!$D:$D,$B27+5)*(IF(AND(DC$3&gt;=INDEX(Properties!$Q:$Q,$B27+5),DC$3&lt;INDEX(Properties!$T:$T,$B27+5)),INDEX(Properties!$N:$N,$B27+5)/INDEX(Properties!$R:$R,$B27+5),0))</f>
        <v>0</v>
      </c>
      <c r="DD27" s="123" cm="1">
        <f t="array" ref="DD27">INDEX(Properties!$D:$D,$B27+5)*(IF(AND(DD$3&gt;=INDEX(Properties!$Q:$Q,$B27+5),DD$3&lt;INDEX(Properties!$T:$T,$B27+5)),INDEX(Properties!$N:$N,$B27+5)/INDEX(Properties!$R:$R,$B27+5),0))</f>
        <v>0</v>
      </c>
      <c r="DE27" s="123" cm="1">
        <f t="array" ref="DE27">INDEX(Properties!$D:$D,$B27+5)*(IF(AND(DE$3&gt;=INDEX(Properties!$Q:$Q,$B27+5),DE$3&lt;INDEX(Properties!$T:$T,$B27+5)),INDEX(Properties!$N:$N,$B27+5)/INDEX(Properties!$R:$R,$B27+5),0))</f>
        <v>0</v>
      </c>
      <c r="DF27" s="123" cm="1">
        <f t="array" ref="DF27">INDEX(Properties!$D:$D,$B27+5)*(IF(AND(DF$3&gt;=INDEX(Properties!$Q:$Q,$B27+5),DF$3&lt;INDEX(Properties!$T:$T,$B27+5)),INDEX(Properties!$N:$N,$B27+5)/INDEX(Properties!$R:$R,$B27+5),0))</f>
        <v>0</v>
      </c>
      <c r="DG27" s="123" cm="1">
        <f t="array" ref="DG27">INDEX(Properties!$D:$D,$B27+5)*(IF(AND(DG$3&gt;=INDEX(Properties!$Q:$Q,$B27+5),DG$3&lt;INDEX(Properties!$T:$T,$B27+5)),INDEX(Properties!$N:$N,$B27+5)/INDEX(Properties!$R:$R,$B27+5),0))</f>
        <v>0</v>
      </c>
      <c r="DH27" s="123" cm="1">
        <f t="array" ref="DH27">INDEX(Properties!$D:$D,$B27+5)*(IF(AND(DH$3&gt;=INDEX(Properties!$Q:$Q,$B27+5),DH$3&lt;INDEX(Properties!$T:$T,$B27+5)),INDEX(Properties!$N:$N,$B27+5)/INDEX(Properties!$R:$R,$B27+5),0))</f>
        <v>0</v>
      </c>
      <c r="DI27" s="123" cm="1">
        <f t="array" ref="DI27">INDEX(Properties!$D:$D,$B27+5)*(IF(AND(DI$3&gt;=INDEX(Properties!$Q:$Q,$B27+5),DI$3&lt;INDEX(Properties!$T:$T,$B27+5)),INDEX(Properties!$N:$N,$B27+5)/INDEX(Properties!$R:$R,$B27+5),0))</f>
        <v>0</v>
      </c>
      <c r="DJ27" s="123" cm="1">
        <f t="array" ref="DJ27">INDEX(Properties!$D:$D,$B27+5)*(IF(AND(DJ$3&gt;=INDEX(Properties!$Q:$Q,$B27+5),DJ$3&lt;INDEX(Properties!$T:$T,$B27+5)),INDEX(Properties!$N:$N,$B27+5)/INDEX(Properties!$R:$R,$B27+5),0))</f>
        <v>0</v>
      </c>
      <c r="DK27" s="123" cm="1">
        <f t="array" ref="DK27">INDEX(Properties!$D:$D,$B27+5)*(IF(AND(DK$3&gt;=INDEX(Properties!$Q:$Q,$B27+5),DK$3&lt;INDEX(Properties!$T:$T,$B27+5)),INDEX(Properties!$N:$N,$B27+5)/INDEX(Properties!$R:$R,$B27+5),0))</f>
        <v>0</v>
      </c>
      <c r="DL27" s="123" cm="1">
        <f t="array" ref="DL27">INDEX(Properties!$D:$D,$B27+5)*(IF(AND(DL$3&gt;=INDEX(Properties!$Q:$Q,$B27+5),DL$3&lt;INDEX(Properties!$T:$T,$B27+5)),INDEX(Properties!$N:$N,$B27+5)/INDEX(Properties!$R:$R,$B27+5),0))</f>
        <v>0</v>
      </c>
      <c r="DM27" s="123" cm="1">
        <f t="array" ref="DM27">INDEX(Properties!$D:$D,$B27+5)*(IF(AND(DM$3&gt;=INDEX(Properties!$Q:$Q,$B27+5),DM$3&lt;INDEX(Properties!$T:$T,$B27+5)),INDEX(Properties!$N:$N,$B27+5)/INDEX(Properties!$R:$R,$B27+5),0))</f>
        <v>0</v>
      </c>
      <c r="DN27" s="123" cm="1">
        <f t="array" ref="DN27">INDEX(Properties!$D:$D,$B27+5)*(IF(AND(DN$3&gt;=INDEX(Properties!$Q:$Q,$B27+5),DN$3&lt;INDEX(Properties!$T:$T,$B27+5)),INDEX(Properties!$N:$N,$B27+5)/INDEX(Properties!$R:$R,$B27+5),0))</f>
        <v>0</v>
      </c>
      <c r="DO27" s="123" cm="1">
        <f t="array" ref="DO27">INDEX(Properties!$D:$D,$B27+5)*(IF(AND(DO$3&gt;=INDEX(Properties!$Q:$Q,$B27+5),DO$3&lt;INDEX(Properties!$T:$T,$B27+5)),INDEX(Properties!$N:$N,$B27+5)/INDEX(Properties!$R:$R,$B27+5),0))</f>
        <v>0</v>
      </c>
      <c r="DP27" s="123" cm="1">
        <f t="array" ref="DP27">INDEX(Properties!$D:$D,$B27+5)*(IF(AND(DP$3&gt;=INDEX(Properties!$Q:$Q,$B27+5),DP$3&lt;INDEX(Properties!$T:$T,$B27+5)),INDEX(Properties!$N:$N,$B27+5)/INDEX(Properties!$R:$R,$B27+5),0))</f>
        <v>0</v>
      </c>
      <c r="DQ27" s="123" cm="1">
        <f t="array" ref="DQ27">INDEX(Properties!$D:$D,$B27+5)*(IF(AND(DQ$3&gt;=INDEX(Properties!$Q:$Q,$B27+5),DQ$3&lt;INDEX(Properties!$T:$T,$B27+5)),INDEX(Properties!$N:$N,$B27+5)/INDEX(Properties!$R:$R,$B27+5),0))</f>
        <v>0</v>
      </c>
      <c r="DR27" s="123" cm="1">
        <f t="array" ref="DR27">INDEX(Properties!$D:$D,$B27+5)*(IF(AND(DR$3&gt;=INDEX(Properties!$Q:$Q,$B27+5),DR$3&lt;INDEX(Properties!$T:$T,$B27+5)),INDEX(Properties!$N:$N,$B27+5)/INDEX(Properties!$R:$R,$B27+5),0))</f>
        <v>0</v>
      </c>
    </row>
    <row r="28" spans="1:122" ht="16.05" customHeight="1" x14ac:dyDescent="0.3">
      <c r="A28" s="148" cm="1">
        <f t="array" ref="A28">INDEX(Properties!$E:$E,$B28+5)</f>
        <v>0</v>
      </c>
      <c r="B28" s="1">
        <v>9</v>
      </c>
      <c r="C28" s="123" cm="1">
        <f t="array" ref="C28">INDEX(Properties!$D:$D,$B28+5)*(IF(AND(C$3&gt;=INDEX(Properties!$Q:$Q,$B28+5),C$3&lt;INDEX(Properties!$T:$T,$B28+5)),INDEX(Properties!$N:$N,$B28+5)/INDEX(Properties!$R:$R,$B28+5),0))</f>
        <v>0</v>
      </c>
      <c r="D28" s="123" cm="1">
        <f t="array" ref="D28">INDEX(Properties!$D:$D,$B28+5)*(IF(AND(D$3&gt;=INDEX(Properties!$Q:$Q,$B28+5),D$3&lt;INDEX(Properties!$T:$T,$B28+5)),INDEX(Properties!$N:$N,$B28+5)/INDEX(Properties!$R:$R,$B28+5),0))</f>
        <v>0</v>
      </c>
      <c r="E28" s="123" cm="1">
        <f t="array" ref="E28">INDEX(Properties!$D:$D,$B28+5)*(IF(AND(E$3&gt;=INDEX(Properties!$Q:$Q,$B28+5),E$3&lt;INDEX(Properties!$T:$T,$B28+5)),INDEX(Properties!$N:$N,$B28+5)/INDEX(Properties!$R:$R,$B28+5),0))</f>
        <v>0</v>
      </c>
      <c r="F28" s="123" cm="1">
        <f t="array" ref="F28">INDEX(Properties!$D:$D,$B28+5)*(IF(AND(F$3&gt;=INDEX(Properties!$Q:$Q,$B28+5),F$3&lt;INDEX(Properties!$T:$T,$B28+5)),INDEX(Properties!$N:$N,$B28+5)/INDEX(Properties!$R:$R,$B28+5),0))</f>
        <v>0</v>
      </c>
      <c r="G28" s="123" cm="1">
        <f t="array" ref="G28">INDEX(Properties!$D:$D,$B28+5)*(IF(AND(G$3&gt;=INDEX(Properties!$Q:$Q,$B28+5),G$3&lt;INDEX(Properties!$T:$T,$B28+5)),INDEX(Properties!$N:$N,$B28+5)/INDEX(Properties!$R:$R,$B28+5),0))</f>
        <v>0</v>
      </c>
      <c r="H28" s="123" cm="1">
        <f t="array" ref="H28">INDEX(Properties!$D:$D,$B28+5)*(IF(AND(H$3&gt;=INDEX(Properties!$Q:$Q,$B28+5),H$3&lt;INDEX(Properties!$T:$T,$B28+5)),INDEX(Properties!$N:$N,$B28+5)/INDEX(Properties!$R:$R,$B28+5),0))</f>
        <v>0</v>
      </c>
      <c r="I28" s="123" cm="1">
        <f t="array" ref="I28">INDEX(Properties!$D:$D,$B28+5)*(IF(AND(I$3&gt;=INDEX(Properties!$Q:$Q,$B28+5),I$3&lt;INDEX(Properties!$T:$T,$B28+5)),INDEX(Properties!$N:$N,$B28+5)/INDEX(Properties!$R:$R,$B28+5),0))</f>
        <v>0</v>
      </c>
      <c r="J28" s="123" cm="1">
        <f t="array" ref="J28">INDEX(Properties!$D:$D,$B28+5)*(IF(AND(J$3&gt;=INDEX(Properties!$Q:$Q,$B28+5),J$3&lt;INDEX(Properties!$T:$T,$B28+5)),INDEX(Properties!$N:$N,$B28+5)/INDEX(Properties!$R:$R,$B28+5),0))</f>
        <v>0</v>
      </c>
      <c r="K28" s="123" cm="1">
        <f t="array" ref="K28">INDEX(Properties!$D:$D,$B28+5)*(IF(AND(K$3&gt;=INDEX(Properties!$Q:$Q,$B28+5),K$3&lt;INDEX(Properties!$T:$T,$B28+5)),INDEX(Properties!$N:$N,$B28+5)/INDEX(Properties!$R:$R,$B28+5),0))</f>
        <v>0</v>
      </c>
      <c r="L28" s="123" cm="1">
        <f t="array" ref="L28">INDEX(Properties!$D:$D,$B28+5)*(IF(AND(L$3&gt;=INDEX(Properties!$Q:$Q,$B28+5),L$3&lt;INDEX(Properties!$T:$T,$B28+5)),INDEX(Properties!$N:$N,$B28+5)/INDEX(Properties!$R:$R,$B28+5),0))</f>
        <v>0</v>
      </c>
      <c r="M28" s="123" cm="1">
        <f t="array" ref="M28">INDEX(Properties!$D:$D,$B28+5)*(IF(AND(M$3&gt;=INDEX(Properties!$Q:$Q,$B28+5),M$3&lt;INDEX(Properties!$T:$T,$B28+5)),INDEX(Properties!$N:$N,$B28+5)/INDEX(Properties!$R:$R,$B28+5),0))</f>
        <v>0</v>
      </c>
      <c r="N28" s="123" cm="1">
        <f t="array" ref="N28">INDEX(Properties!$D:$D,$B28+5)*(IF(AND(N$3&gt;=INDEX(Properties!$Q:$Q,$B28+5),N$3&lt;INDEX(Properties!$T:$T,$B28+5)),INDEX(Properties!$N:$N,$B28+5)/INDEX(Properties!$R:$R,$B28+5),0))</f>
        <v>0</v>
      </c>
      <c r="O28" s="123" cm="1">
        <f t="array" ref="O28">INDEX(Properties!$D:$D,$B28+5)*(IF(AND(O$3&gt;=INDEX(Properties!$Q:$Q,$B28+5),O$3&lt;INDEX(Properties!$T:$T,$B28+5)),INDEX(Properties!$N:$N,$B28+5)/INDEX(Properties!$R:$R,$B28+5),0))</f>
        <v>0</v>
      </c>
      <c r="P28" s="123" cm="1">
        <f t="array" ref="P28">INDEX(Properties!$D:$D,$B28+5)*(IF(AND(P$3&gt;=INDEX(Properties!$Q:$Q,$B28+5),P$3&lt;INDEX(Properties!$T:$T,$B28+5)),INDEX(Properties!$N:$N,$B28+5)/INDEX(Properties!$R:$R,$B28+5),0))</f>
        <v>0</v>
      </c>
      <c r="Q28" s="123" cm="1">
        <f t="array" ref="Q28">INDEX(Properties!$D:$D,$B28+5)*(IF(AND(Q$3&gt;=INDEX(Properties!$Q:$Q,$B28+5),Q$3&lt;INDEX(Properties!$T:$T,$B28+5)),INDEX(Properties!$N:$N,$B28+5)/INDEX(Properties!$R:$R,$B28+5),0))</f>
        <v>0</v>
      </c>
      <c r="R28" s="123" cm="1">
        <f t="array" ref="R28">INDEX(Properties!$D:$D,$B28+5)*(IF(AND(R$3&gt;=INDEX(Properties!$Q:$Q,$B28+5),R$3&lt;INDEX(Properties!$T:$T,$B28+5)),INDEX(Properties!$N:$N,$B28+5)/INDEX(Properties!$R:$R,$B28+5),0))</f>
        <v>0</v>
      </c>
      <c r="S28" s="123" cm="1">
        <f t="array" ref="S28">INDEX(Properties!$D:$D,$B28+5)*(IF(AND(S$3&gt;=INDEX(Properties!$Q:$Q,$B28+5),S$3&lt;INDEX(Properties!$T:$T,$B28+5)),INDEX(Properties!$N:$N,$B28+5)/INDEX(Properties!$R:$R,$B28+5),0))</f>
        <v>0</v>
      </c>
      <c r="T28" s="123" cm="1">
        <f t="array" ref="T28">INDEX(Properties!$D:$D,$B28+5)*(IF(AND(T$3&gt;=INDEX(Properties!$Q:$Q,$B28+5),T$3&lt;INDEX(Properties!$T:$T,$B28+5)),INDEX(Properties!$N:$N,$B28+5)/INDEX(Properties!$R:$R,$B28+5),0))</f>
        <v>0</v>
      </c>
      <c r="U28" s="123" cm="1">
        <f t="array" ref="U28">INDEX(Properties!$D:$D,$B28+5)*(IF(AND(U$3&gt;=INDEX(Properties!$Q:$Q,$B28+5),U$3&lt;INDEX(Properties!$T:$T,$B28+5)),INDEX(Properties!$N:$N,$B28+5)/INDEX(Properties!$R:$R,$B28+5),0))</f>
        <v>0</v>
      </c>
      <c r="V28" s="123" cm="1">
        <f t="array" ref="V28">INDEX(Properties!$D:$D,$B28+5)*(IF(AND(V$3&gt;=INDEX(Properties!$Q:$Q,$B28+5),V$3&lt;INDEX(Properties!$T:$T,$B28+5)),INDEX(Properties!$N:$N,$B28+5)/INDEX(Properties!$R:$R,$B28+5),0))</f>
        <v>0</v>
      </c>
      <c r="W28" s="123" cm="1">
        <f t="array" ref="W28">INDEX(Properties!$D:$D,$B28+5)*(IF(AND(W$3&gt;=INDEX(Properties!$Q:$Q,$B28+5),W$3&lt;INDEX(Properties!$T:$T,$B28+5)),INDEX(Properties!$N:$N,$B28+5)/INDEX(Properties!$R:$R,$B28+5),0))</f>
        <v>0</v>
      </c>
      <c r="X28" s="123" cm="1">
        <f t="array" ref="X28">INDEX(Properties!$D:$D,$B28+5)*(IF(AND(X$3&gt;=INDEX(Properties!$Q:$Q,$B28+5),X$3&lt;INDEX(Properties!$T:$T,$B28+5)),INDEX(Properties!$N:$N,$B28+5)/INDEX(Properties!$R:$R,$B28+5),0))</f>
        <v>0</v>
      </c>
      <c r="Y28" s="123" cm="1">
        <f t="array" ref="Y28">INDEX(Properties!$D:$D,$B28+5)*(IF(AND(Y$3&gt;=INDEX(Properties!$Q:$Q,$B28+5),Y$3&lt;INDEX(Properties!$T:$T,$B28+5)),INDEX(Properties!$N:$N,$B28+5)/INDEX(Properties!$R:$R,$B28+5),0))</f>
        <v>0</v>
      </c>
      <c r="Z28" s="123" cm="1">
        <f t="array" ref="Z28">INDEX(Properties!$D:$D,$B28+5)*(IF(AND(Z$3&gt;=INDEX(Properties!$Q:$Q,$B28+5),Z$3&lt;INDEX(Properties!$T:$T,$B28+5)),INDEX(Properties!$N:$N,$B28+5)/INDEX(Properties!$R:$R,$B28+5),0))</f>
        <v>0</v>
      </c>
      <c r="AA28" s="123" cm="1">
        <f t="array" ref="AA28">INDEX(Properties!$D:$D,$B28+5)*(IF(AND(AA$3&gt;=INDEX(Properties!$Q:$Q,$B28+5),AA$3&lt;INDEX(Properties!$T:$T,$B28+5)),INDEX(Properties!$N:$N,$B28+5)/INDEX(Properties!$R:$R,$B28+5),0))</f>
        <v>0</v>
      </c>
      <c r="AB28" s="123" cm="1">
        <f t="array" ref="AB28">INDEX(Properties!$D:$D,$B28+5)*(IF(AND(AB$3&gt;=INDEX(Properties!$Q:$Q,$B28+5),AB$3&lt;INDEX(Properties!$T:$T,$B28+5)),INDEX(Properties!$N:$N,$B28+5)/INDEX(Properties!$R:$R,$B28+5),0))</f>
        <v>0</v>
      </c>
      <c r="AC28" s="123" cm="1">
        <f t="array" ref="AC28">INDEX(Properties!$D:$D,$B28+5)*(IF(AND(AC$3&gt;=INDEX(Properties!$Q:$Q,$B28+5),AC$3&lt;INDEX(Properties!$T:$T,$B28+5)),INDEX(Properties!$N:$N,$B28+5)/INDEX(Properties!$R:$R,$B28+5),0))</f>
        <v>0</v>
      </c>
      <c r="AD28" s="123" cm="1">
        <f t="array" ref="AD28">INDEX(Properties!$D:$D,$B28+5)*(IF(AND(AD$3&gt;=INDEX(Properties!$Q:$Q,$B28+5),AD$3&lt;INDEX(Properties!$T:$T,$B28+5)),INDEX(Properties!$N:$N,$B28+5)/INDEX(Properties!$R:$R,$B28+5),0))</f>
        <v>0</v>
      </c>
      <c r="AE28" s="123" cm="1">
        <f t="array" ref="AE28">INDEX(Properties!$D:$D,$B28+5)*(IF(AND(AE$3&gt;=INDEX(Properties!$Q:$Q,$B28+5),AE$3&lt;INDEX(Properties!$T:$T,$B28+5)),INDEX(Properties!$N:$N,$B28+5)/INDEX(Properties!$R:$R,$B28+5),0))</f>
        <v>0</v>
      </c>
      <c r="AF28" s="123" cm="1">
        <f t="array" ref="AF28">INDEX(Properties!$D:$D,$B28+5)*(IF(AND(AF$3&gt;=INDEX(Properties!$Q:$Q,$B28+5),AF$3&lt;INDEX(Properties!$T:$T,$B28+5)),INDEX(Properties!$N:$N,$B28+5)/INDEX(Properties!$R:$R,$B28+5),0))</f>
        <v>0</v>
      </c>
      <c r="AG28" s="123" cm="1">
        <f t="array" ref="AG28">INDEX(Properties!$D:$D,$B28+5)*(IF(AND(AG$3&gt;=INDEX(Properties!$Q:$Q,$B28+5),AG$3&lt;INDEX(Properties!$T:$T,$B28+5)),INDEX(Properties!$N:$N,$B28+5)/INDEX(Properties!$R:$R,$B28+5),0))</f>
        <v>0</v>
      </c>
      <c r="AH28" s="123" cm="1">
        <f t="array" ref="AH28">INDEX(Properties!$D:$D,$B28+5)*(IF(AND(AH$3&gt;=INDEX(Properties!$Q:$Q,$B28+5),AH$3&lt;INDEX(Properties!$T:$T,$B28+5)),INDEX(Properties!$N:$N,$B28+5)/INDEX(Properties!$R:$R,$B28+5),0))</f>
        <v>0</v>
      </c>
      <c r="AI28" s="123" cm="1">
        <f t="array" ref="AI28">INDEX(Properties!$D:$D,$B28+5)*(IF(AND(AI$3&gt;=INDEX(Properties!$Q:$Q,$B28+5),AI$3&lt;INDEX(Properties!$T:$T,$B28+5)),INDEX(Properties!$N:$N,$B28+5)/INDEX(Properties!$R:$R,$B28+5),0))</f>
        <v>0</v>
      </c>
      <c r="AJ28" s="123" cm="1">
        <f t="array" ref="AJ28">INDEX(Properties!$D:$D,$B28+5)*(IF(AND(AJ$3&gt;=INDEX(Properties!$Q:$Q,$B28+5),AJ$3&lt;INDEX(Properties!$T:$T,$B28+5)),INDEX(Properties!$N:$N,$B28+5)/INDEX(Properties!$R:$R,$B28+5),0))</f>
        <v>0</v>
      </c>
      <c r="AK28" s="123" cm="1">
        <f t="array" ref="AK28">INDEX(Properties!$D:$D,$B28+5)*(IF(AND(AK$3&gt;=INDEX(Properties!$Q:$Q,$B28+5),AK$3&lt;INDEX(Properties!$T:$T,$B28+5)),INDEX(Properties!$N:$N,$B28+5)/INDEX(Properties!$R:$R,$B28+5),0))</f>
        <v>0</v>
      </c>
      <c r="AL28" s="123" cm="1">
        <f t="array" ref="AL28">INDEX(Properties!$D:$D,$B28+5)*(IF(AND(AL$3&gt;=INDEX(Properties!$Q:$Q,$B28+5),AL$3&lt;INDEX(Properties!$T:$T,$B28+5)),INDEX(Properties!$N:$N,$B28+5)/INDEX(Properties!$R:$R,$B28+5),0))</f>
        <v>0</v>
      </c>
      <c r="AM28" s="123" cm="1">
        <f t="array" ref="AM28">INDEX(Properties!$D:$D,$B28+5)*(IF(AND(AM$3&gt;=INDEX(Properties!$Q:$Q,$B28+5),AM$3&lt;INDEX(Properties!$T:$T,$B28+5)),INDEX(Properties!$N:$N,$B28+5)/INDEX(Properties!$R:$R,$B28+5),0))</f>
        <v>0</v>
      </c>
      <c r="AN28" s="123" cm="1">
        <f t="array" ref="AN28">INDEX(Properties!$D:$D,$B28+5)*(IF(AND(AN$3&gt;=INDEX(Properties!$Q:$Q,$B28+5),AN$3&lt;INDEX(Properties!$T:$T,$B28+5)),INDEX(Properties!$N:$N,$B28+5)/INDEX(Properties!$R:$R,$B28+5),0))</f>
        <v>0</v>
      </c>
      <c r="AO28" s="123" cm="1">
        <f t="array" ref="AO28">INDEX(Properties!$D:$D,$B28+5)*(IF(AND(AO$3&gt;=INDEX(Properties!$Q:$Q,$B28+5),AO$3&lt;INDEX(Properties!$T:$T,$B28+5)),INDEX(Properties!$N:$N,$B28+5)/INDEX(Properties!$R:$R,$B28+5),0))</f>
        <v>0</v>
      </c>
      <c r="AP28" s="123" cm="1">
        <f t="array" ref="AP28">INDEX(Properties!$D:$D,$B28+5)*(IF(AND(AP$3&gt;=INDEX(Properties!$Q:$Q,$B28+5),AP$3&lt;INDEX(Properties!$T:$T,$B28+5)),INDEX(Properties!$N:$N,$B28+5)/INDEX(Properties!$R:$R,$B28+5),0))</f>
        <v>0</v>
      </c>
      <c r="AQ28" s="123" cm="1">
        <f t="array" ref="AQ28">INDEX(Properties!$D:$D,$B28+5)*(IF(AND(AQ$3&gt;=INDEX(Properties!$Q:$Q,$B28+5),AQ$3&lt;INDEX(Properties!$T:$T,$B28+5)),INDEX(Properties!$N:$N,$B28+5)/INDEX(Properties!$R:$R,$B28+5),0))</f>
        <v>0</v>
      </c>
      <c r="AR28" s="123" cm="1">
        <f t="array" ref="AR28">INDEX(Properties!$D:$D,$B28+5)*(IF(AND(AR$3&gt;=INDEX(Properties!$Q:$Q,$B28+5),AR$3&lt;INDEX(Properties!$T:$T,$B28+5)),INDEX(Properties!$N:$N,$B28+5)/INDEX(Properties!$R:$R,$B28+5),0))</f>
        <v>0</v>
      </c>
      <c r="AS28" s="123" cm="1">
        <f t="array" ref="AS28">INDEX(Properties!$D:$D,$B28+5)*(IF(AND(AS$3&gt;=INDEX(Properties!$Q:$Q,$B28+5),AS$3&lt;INDEX(Properties!$T:$T,$B28+5)),INDEX(Properties!$N:$N,$B28+5)/INDEX(Properties!$R:$R,$B28+5),0))</f>
        <v>0</v>
      </c>
      <c r="AT28" s="123" cm="1">
        <f t="array" ref="AT28">INDEX(Properties!$D:$D,$B28+5)*(IF(AND(AT$3&gt;=INDEX(Properties!$Q:$Q,$B28+5),AT$3&lt;INDEX(Properties!$T:$T,$B28+5)),INDEX(Properties!$N:$N,$B28+5)/INDEX(Properties!$R:$R,$B28+5),0))</f>
        <v>0</v>
      </c>
      <c r="AU28" s="123" cm="1">
        <f t="array" ref="AU28">INDEX(Properties!$D:$D,$B28+5)*(IF(AND(AU$3&gt;=INDEX(Properties!$Q:$Q,$B28+5),AU$3&lt;INDEX(Properties!$T:$T,$B28+5)),INDEX(Properties!$N:$N,$B28+5)/INDEX(Properties!$R:$R,$B28+5),0))</f>
        <v>0</v>
      </c>
      <c r="AV28" s="123" cm="1">
        <f t="array" ref="AV28">INDEX(Properties!$D:$D,$B28+5)*(IF(AND(AV$3&gt;=INDEX(Properties!$Q:$Q,$B28+5),AV$3&lt;INDEX(Properties!$T:$T,$B28+5)),INDEX(Properties!$N:$N,$B28+5)/INDEX(Properties!$R:$R,$B28+5),0))</f>
        <v>0</v>
      </c>
      <c r="AW28" s="123" cm="1">
        <f t="array" ref="AW28">INDEX(Properties!$D:$D,$B28+5)*(IF(AND(AW$3&gt;=INDEX(Properties!$Q:$Q,$B28+5),AW$3&lt;INDEX(Properties!$T:$T,$B28+5)),INDEX(Properties!$N:$N,$B28+5)/INDEX(Properties!$R:$R,$B28+5),0))</f>
        <v>0</v>
      </c>
      <c r="AX28" s="123" cm="1">
        <f t="array" ref="AX28">INDEX(Properties!$D:$D,$B28+5)*(IF(AND(AX$3&gt;=INDEX(Properties!$Q:$Q,$B28+5),AX$3&lt;INDEX(Properties!$T:$T,$B28+5)),INDEX(Properties!$N:$N,$B28+5)/INDEX(Properties!$R:$R,$B28+5),0))</f>
        <v>0</v>
      </c>
      <c r="AY28" s="123" cm="1">
        <f t="array" ref="AY28">INDEX(Properties!$D:$D,$B28+5)*(IF(AND(AY$3&gt;=INDEX(Properties!$Q:$Q,$B28+5),AY$3&lt;INDEX(Properties!$T:$T,$B28+5)),INDEX(Properties!$N:$N,$B28+5)/INDEX(Properties!$R:$R,$B28+5),0))</f>
        <v>0</v>
      </c>
      <c r="AZ28" s="123" cm="1">
        <f t="array" ref="AZ28">INDEX(Properties!$D:$D,$B28+5)*(IF(AND(AZ$3&gt;=INDEX(Properties!$Q:$Q,$B28+5),AZ$3&lt;INDEX(Properties!$T:$T,$B28+5)),INDEX(Properties!$N:$N,$B28+5)/INDEX(Properties!$R:$R,$B28+5),0))</f>
        <v>0</v>
      </c>
      <c r="BA28" s="123" cm="1">
        <f t="array" ref="BA28">INDEX(Properties!$D:$D,$B28+5)*(IF(AND(BA$3&gt;=INDEX(Properties!$Q:$Q,$B28+5),BA$3&lt;INDEX(Properties!$T:$T,$B28+5)),INDEX(Properties!$N:$N,$B28+5)/INDEX(Properties!$R:$R,$B28+5),0))</f>
        <v>0</v>
      </c>
      <c r="BB28" s="123" cm="1">
        <f t="array" ref="BB28">INDEX(Properties!$D:$D,$B28+5)*(IF(AND(BB$3&gt;=INDEX(Properties!$Q:$Q,$B28+5),BB$3&lt;INDEX(Properties!$T:$T,$B28+5)),INDEX(Properties!$N:$N,$B28+5)/INDEX(Properties!$R:$R,$B28+5),0))</f>
        <v>0</v>
      </c>
      <c r="BC28" s="123" cm="1">
        <f t="array" ref="BC28">INDEX(Properties!$D:$D,$B28+5)*(IF(AND(BC$3&gt;=INDEX(Properties!$Q:$Q,$B28+5),BC$3&lt;INDEX(Properties!$T:$T,$B28+5)),INDEX(Properties!$N:$N,$B28+5)/INDEX(Properties!$R:$R,$B28+5),0))</f>
        <v>0</v>
      </c>
      <c r="BD28" s="123" cm="1">
        <f t="array" ref="BD28">INDEX(Properties!$D:$D,$B28+5)*(IF(AND(BD$3&gt;=INDEX(Properties!$Q:$Q,$B28+5),BD$3&lt;INDEX(Properties!$T:$T,$B28+5)),INDEX(Properties!$N:$N,$B28+5)/INDEX(Properties!$R:$R,$B28+5),0))</f>
        <v>0</v>
      </c>
      <c r="BE28" s="123" cm="1">
        <f t="array" ref="BE28">INDEX(Properties!$D:$D,$B28+5)*(IF(AND(BE$3&gt;=INDEX(Properties!$Q:$Q,$B28+5),BE$3&lt;INDEX(Properties!$T:$T,$B28+5)),INDEX(Properties!$N:$N,$B28+5)/INDEX(Properties!$R:$R,$B28+5),0))</f>
        <v>0</v>
      </c>
      <c r="BF28" s="123" cm="1">
        <f t="array" ref="BF28">INDEX(Properties!$D:$D,$B28+5)*(IF(AND(BF$3&gt;=INDEX(Properties!$Q:$Q,$B28+5),BF$3&lt;INDEX(Properties!$T:$T,$B28+5)),INDEX(Properties!$N:$N,$B28+5)/INDEX(Properties!$R:$R,$B28+5),0))</f>
        <v>0</v>
      </c>
      <c r="BG28" s="123" cm="1">
        <f t="array" ref="BG28">INDEX(Properties!$D:$D,$B28+5)*(IF(AND(BG$3&gt;=INDEX(Properties!$Q:$Q,$B28+5),BG$3&lt;INDEX(Properties!$T:$T,$B28+5)),INDEX(Properties!$N:$N,$B28+5)/INDEX(Properties!$R:$R,$B28+5),0))</f>
        <v>0</v>
      </c>
      <c r="BH28" s="123" cm="1">
        <f t="array" ref="BH28">INDEX(Properties!$D:$D,$B28+5)*(IF(AND(BH$3&gt;=INDEX(Properties!$Q:$Q,$B28+5),BH$3&lt;INDEX(Properties!$T:$T,$B28+5)),INDEX(Properties!$N:$N,$B28+5)/INDEX(Properties!$R:$R,$B28+5),0))</f>
        <v>0</v>
      </c>
      <c r="BI28" s="123" cm="1">
        <f t="array" ref="BI28">INDEX(Properties!$D:$D,$B28+5)*(IF(AND(BI$3&gt;=INDEX(Properties!$Q:$Q,$B28+5),BI$3&lt;INDEX(Properties!$T:$T,$B28+5)),INDEX(Properties!$N:$N,$B28+5)/INDEX(Properties!$R:$R,$B28+5),0))</f>
        <v>0</v>
      </c>
      <c r="BJ28" s="123" cm="1">
        <f t="array" ref="BJ28">INDEX(Properties!$D:$D,$B28+5)*(IF(AND(BJ$3&gt;=INDEX(Properties!$Q:$Q,$B28+5),BJ$3&lt;INDEX(Properties!$T:$T,$B28+5)),INDEX(Properties!$N:$N,$B28+5)/INDEX(Properties!$R:$R,$B28+5),0))</f>
        <v>0</v>
      </c>
      <c r="BK28" s="123" cm="1">
        <f t="array" ref="BK28">INDEX(Properties!$D:$D,$B28+5)*(IF(AND(BK$3&gt;=INDEX(Properties!$Q:$Q,$B28+5),BK$3&lt;INDEX(Properties!$T:$T,$B28+5)),INDEX(Properties!$N:$N,$B28+5)/INDEX(Properties!$R:$R,$B28+5),0))</f>
        <v>0</v>
      </c>
      <c r="BL28" s="123" cm="1">
        <f t="array" ref="BL28">INDEX(Properties!$D:$D,$B28+5)*(IF(AND(BL$3&gt;=INDEX(Properties!$Q:$Q,$B28+5),BL$3&lt;INDEX(Properties!$T:$T,$B28+5)),INDEX(Properties!$N:$N,$B28+5)/INDEX(Properties!$R:$R,$B28+5),0))</f>
        <v>0</v>
      </c>
      <c r="BM28" s="123" cm="1">
        <f t="array" ref="BM28">INDEX(Properties!$D:$D,$B28+5)*(IF(AND(BM$3&gt;=INDEX(Properties!$Q:$Q,$B28+5),BM$3&lt;INDEX(Properties!$T:$T,$B28+5)),INDEX(Properties!$N:$N,$B28+5)/INDEX(Properties!$R:$R,$B28+5),0))</f>
        <v>0</v>
      </c>
      <c r="BN28" s="123" cm="1">
        <f t="array" ref="BN28">INDEX(Properties!$D:$D,$B28+5)*(IF(AND(BN$3&gt;=INDEX(Properties!$Q:$Q,$B28+5),BN$3&lt;INDEX(Properties!$T:$T,$B28+5)),INDEX(Properties!$N:$N,$B28+5)/INDEX(Properties!$R:$R,$B28+5),0))</f>
        <v>0</v>
      </c>
      <c r="BO28" s="123" cm="1">
        <f t="array" ref="BO28">INDEX(Properties!$D:$D,$B28+5)*(IF(AND(BO$3&gt;=INDEX(Properties!$Q:$Q,$B28+5),BO$3&lt;INDEX(Properties!$T:$T,$B28+5)),INDEX(Properties!$N:$N,$B28+5)/INDEX(Properties!$R:$R,$B28+5),0))</f>
        <v>0</v>
      </c>
      <c r="BP28" s="123" cm="1">
        <f t="array" ref="BP28">INDEX(Properties!$D:$D,$B28+5)*(IF(AND(BP$3&gt;=INDEX(Properties!$Q:$Q,$B28+5),BP$3&lt;INDEX(Properties!$T:$T,$B28+5)),INDEX(Properties!$N:$N,$B28+5)/INDEX(Properties!$R:$R,$B28+5),0))</f>
        <v>0</v>
      </c>
      <c r="BQ28" s="123" cm="1">
        <f t="array" ref="BQ28">INDEX(Properties!$D:$D,$B28+5)*(IF(AND(BQ$3&gt;=INDEX(Properties!$Q:$Q,$B28+5),BQ$3&lt;INDEX(Properties!$T:$T,$B28+5)),INDEX(Properties!$N:$N,$B28+5)/INDEX(Properties!$R:$R,$B28+5),0))</f>
        <v>0</v>
      </c>
      <c r="BR28" s="123" cm="1">
        <f t="array" ref="BR28">INDEX(Properties!$D:$D,$B28+5)*(IF(AND(BR$3&gt;=INDEX(Properties!$Q:$Q,$B28+5),BR$3&lt;INDEX(Properties!$T:$T,$B28+5)),INDEX(Properties!$N:$N,$B28+5)/INDEX(Properties!$R:$R,$B28+5),0))</f>
        <v>0</v>
      </c>
      <c r="BS28" s="123" cm="1">
        <f t="array" ref="BS28">INDEX(Properties!$D:$D,$B28+5)*(IF(AND(BS$3&gt;=INDEX(Properties!$Q:$Q,$B28+5),BS$3&lt;INDEX(Properties!$T:$T,$B28+5)),INDEX(Properties!$N:$N,$B28+5)/INDEX(Properties!$R:$R,$B28+5),0))</f>
        <v>0</v>
      </c>
      <c r="BT28" s="123" cm="1">
        <f t="array" ref="BT28">INDEX(Properties!$D:$D,$B28+5)*(IF(AND(BT$3&gt;=INDEX(Properties!$Q:$Q,$B28+5),BT$3&lt;INDEX(Properties!$T:$T,$B28+5)),INDEX(Properties!$N:$N,$B28+5)/INDEX(Properties!$R:$R,$B28+5),0))</f>
        <v>0</v>
      </c>
      <c r="BU28" s="123" cm="1">
        <f t="array" ref="BU28">INDEX(Properties!$D:$D,$B28+5)*(IF(AND(BU$3&gt;=INDEX(Properties!$Q:$Q,$B28+5),BU$3&lt;INDEX(Properties!$T:$T,$B28+5)),INDEX(Properties!$N:$N,$B28+5)/INDEX(Properties!$R:$R,$B28+5),0))</f>
        <v>0</v>
      </c>
      <c r="BV28" s="123" cm="1">
        <f t="array" ref="BV28">INDEX(Properties!$D:$D,$B28+5)*(IF(AND(BV$3&gt;=INDEX(Properties!$Q:$Q,$B28+5),BV$3&lt;INDEX(Properties!$T:$T,$B28+5)),INDEX(Properties!$N:$N,$B28+5)/INDEX(Properties!$R:$R,$B28+5),0))</f>
        <v>0</v>
      </c>
      <c r="BW28" s="123" cm="1">
        <f t="array" ref="BW28">INDEX(Properties!$D:$D,$B28+5)*(IF(AND(BW$3&gt;=INDEX(Properties!$Q:$Q,$B28+5),BW$3&lt;INDEX(Properties!$T:$T,$B28+5)),INDEX(Properties!$N:$N,$B28+5)/INDEX(Properties!$R:$R,$B28+5),0))</f>
        <v>0</v>
      </c>
      <c r="BX28" s="123" cm="1">
        <f t="array" ref="BX28">INDEX(Properties!$D:$D,$B28+5)*(IF(AND(BX$3&gt;=INDEX(Properties!$Q:$Q,$B28+5),BX$3&lt;INDEX(Properties!$T:$T,$B28+5)),INDEX(Properties!$N:$N,$B28+5)/INDEX(Properties!$R:$R,$B28+5),0))</f>
        <v>0</v>
      </c>
      <c r="BY28" s="123" cm="1">
        <f t="array" ref="BY28">INDEX(Properties!$D:$D,$B28+5)*(IF(AND(BY$3&gt;=INDEX(Properties!$Q:$Q,$B28+5),BY$3&lt;INDEX(Properties!$T:$T,$B28+5)),INDEX(Properties!$N:$N,$B28+5)/INDEX(Properties!$R:$R,$B28+5),0))</f>
        <v>0</v>
      </c>
      <c r="BZ28" s="123" cm="1">
        <f t="array" ref="BZ28">INDEX(Properties!$D:$D,$B28+5)*(IF(AND(BZ$3&gt;=INDEX(Properties!$Q:$Q,$B28+5),BZ$3&lt;INDEX(Properties!$T:$T,$B28+5)),INDEX(Properties!$N:$N,$B28+5)/INDEX(Properties!$R:$R,$B28+5),0))</f>
        <v>0</v>
      </c>
      <c r="CA28" s="123" cm="1">
        <f t="array" ref="CA28">INDEX(Properties!$D:$D,$B28+5)*(IF(AND(CA$3&gt;=INDEX(Properties!$Q:$Q,$B28+5),CA$3&lt;INDEX(Properties!$T:$T,$B28+5)),INDEX(Properties!$N:$N,$B28+5)/INDEX(Properties!$R:$R,$B28+5),0))</f>
        <v>0</v>
      </c>
      <c r="CB28" s="123" cm="1">
        <f t="array" ref="CB28">INDEX(Properties!$D:$D,$B28+5)*(IF(AND(CB$3&gt;=INDEX(Properties!$Q:$Q,$B28+5),CB$3&lt;INDEX(Properties!$T:$T,$B28+5)),INDEX(Properties!$N:$N,$B28+5)/INDEX(Properties!$R:$R,$B28+5),0))</f>
        <v>0</v>
      </c>
      <c r="CC28" s="123" cm="1">
        <f t="array" ref="CC28">INDEX(Properties!$D:$D,$B28+5)*(IF(AND(CC$3&gt;=INDEX(Properties!$Q:$Q,$B28+5),CC$3&lt;INDEX(Properties!$T:$T,$B28+5)),INDEX(Properties!$N:$N,$B28+5)/INDEX(Properties!$R:$R,$B28+5),0))</f>
        <v>0</v>
      </c>
      <c r="CD28" s="123" cm="1">
        <f t="array" ref="CD28">INDEX(Properties!$D:$D,$B28+5)*(IF(AND(CD$3&gt;=INDEX(Properties!$Q:$Q,$B28+5),CD$3&lt;INDEX(Properties!$T:$T,$B28+5)),INDEX(Properties!$N:$N,$B28+5)/INDEX(Properties!$R:$R,$B28+5),0))</f>
        <v>0</v>
      </c>
      <c r="CE28" s="123" cm="1">
        <f t="array" ref="CE28">INDEX(Properties!$D:$D,$B28+5)*(IF(AND(CE$3&gt;=INDEX(Properties!$Q:$Q,$B28+5),CE$3&lt;INDEX(Properties!$T:$T,$B28+5)),INDEX(Properties!$N:$N,$B28+5)/INDEX(Properties!$R:$R,$B28+5),0))</f>
        <v>0</v>
      </c>
      <c r="CF28" s="123" cm="1">
        <f t="array" ref="CF28">INDEX(Properties!$D:$D,$B28+5)*(IF(AND(CF$3&gt;=INDEX(Properties!$Q:$Q,$B28+5),CF$3&lt;INDEX(Properties!$T:$T,$B28+5)),INDEX(Properties!$N:$N,$B28+5)/INDEX(Properties!$R:$R,$B28+5),0))</f>
        <v>0</v>
      </c>
      <c r="CG28" s="123" cm="1">
        <f t="array" ref="CG28">INDEX(Properties!$D:$D,$B28+5)*(IF(AND(CG$3&gt;=INDEX(Properties!$Q:$Q,$B28+5),CG$3&lt;INDEX(Properties!$T:$T,$B28+5)),INDEX(Properties!$N:$N,$B28+5)/INDEX(Properties!$R:$R,$B28+5),0))</f>
        <v>0</v>
      </c>
      <c r="CH28" s="123" cm="1">
        <f t="array" ref="CH28">INDEX(Properties!$D:$D,$B28+5)*(IF(AND(CH$3&gt;=INDEX(Properties!$Q:$Q,$B28+5),CH$3&lt;INDEX(Properties!$T:$T,$B28+5)),INDEX(Properties!$N:$N,$B28+5)/INDEX(Properties!$R:$R,$B28+5),0))</f>
        <v>0</v>
      </c>
      <c r="CI28" s="123" cm="1">
        <f t="array" ref="CI28">INDEX(Properties!$D:$D,$B28+5)*(IF(AND(CI$3&gt;=INDEX(Properties!$Q:$Q,$B28+5),CI$3&lt;INDEX(Properties!$T:$T,$B28+5)),INDEX(Properties!$N:$N,$B28+5)/INDEX(Properties!$R:$R,$B28+5),0))</f>
        <v>0</v>
      </c>
      <c r="CJ28" s="123" cm="1">
        <f t="array" ref="CJ28">INDEX(Properties!$D:$D,$B28+5)*(IF(AND(CJ$3&gt;=INDEX(Properties!$Q:$Q,$B28+5),CJ$3&lt;INDEX(Properties!$T:$T,$B28+5)),INDEX(Properties!$N:$N,$B28+5)/INDEX(Properties!$R:$R,$B28+5),0))</f>
        <v>0</v>
      </c>
      <c r="CK28" s="123" cm="1">
        <f t="array" ref="CK28">INDEX(Properties!$D:$D,$B28+5)*(IF(AND(CK$3&gt;=INDEX(Properties!$Q:$Q,$B28+5),CK$3&lt;INDEX(Properties!$T:$T,$B28+5)),INDEX(Properties!$N:$N,$B28+5)/INDEX(Properties!$R:$R,$B28+5),0))</f>
        <v>0</v>
      </c>
      <c r="CL28" s="123" cm="1">
        <f t="array" ref="CL28">INDEX(Properties!$D:$D,$B28+5)*(IF(AND(CL$3&gt;=INDEX(Properties!$Q:$Q,$B28+5),CL$3&lt;INDEX(Properties!$T:$T,$B28+5)),INDEX(Properties!$N:$N,$B28+5)/INDEX(Properties!$R:$R,$B28+5),0))</f>
        <v>0</v>
      </c>
      <c r="CM28" s="123" cm="1">
        <f t="array" ref="CM28">INDEX(Properties!$D:$D,$B28+5)*(IF(AND(CM$3&gt;=INDEX(Properties!$Q:$Q,$B28+5),CM$3&lt;INDEX(Properties!$T:$T,$B28+5)),INDEX(Properties!$N:$N,$B28+5)/INDEX(Properties!$R:$R,$B28+5),0))</f>
        <v>0</v>
      </c>
      <c r="CN28" s="123" cm="1">
        <f t="array" ref="CN28">INDEX(Properties!$D:$D,$B28+5)*(IF(AND(CN$3&gt;=INDEX(Properties!$Q:$Q,$B28+5),CN$3&lt;INDEX(Properties!$T:$T,$B28+5)),INDEX(Properties!$N:$N,$B28+5)/INDEX(Properties!$R:$R,$B28+5),0))</f>
        <v>0</v>
      </c>
      <c r="CO28" s="123" cm="1">
        <f t="array" ref="CO28">INDEX(Properties!$D:$D,$B28+5)*(IF(AND(CO$3&gt;=INDEX(Properties!$Q:$Q,$B28+5),CO$3&lt;INDEX(Properties!$T:$T,$B28+5)),INDEX(Properties!$N:$N,$B28+5)/INDEX(Properties!$R:$R,$B28+5),0))</f>
        <v>0</v>
      </c>
      <c r="CP28" s="123" cm="1">
        <f t="array" ref="CP28">INDEX(Properties!$D:$D,$B28+5)*(IF(AND(CP$3&gt;=INDEX(Properties!$Q:$Q,$B28+5),CP$3&lt;INDEX(Properties!$T:$T,$B28+5)),INDEX(Properties!$N:$N,$B28+5)/INDEX(Properties!$R:$R,$B28+5),0))</f>
        <v>0</v>
      </c>
      <c r="CQ28" s="123" cm="1">
        <f t="array" ref="CQ28">INDEX(Properties!$D:$D,$B28+5)*(IF(AND(CQ$3&gt;=INDEX(Properties!$Q:$Q,$B28+5),CQ$3&lt;INDEX(Properties!$T:$T,$B28+5)),INDEX(Properties!$N:$N,$B28+5)/INDEX(Properties!$R:$R,$B28+5),0))</f>
        <v>0</v>
      </c>
      <c r="CR28" s="123" cm="1">
        <f t="array" ref="CR28">INDEX(Properties!$D:$D,$B28+5)*(IF(AND(CR$3&gt;=INDEX(Properties!$Q:$Q,$B28+5),CR$3&lt;INDEX(Properties!$T:$T,$B28+5)),INDEX(Properties!$N:$N,$B28+5)/INDEX(Properties!$R:$R,$B28+5),0))</f>
        <v>0</v>
      </c>
      <c r="CS28" s="123" cm="1">
        <f t="array" ref="CS28">INDEX(Properties!$D:$D,$B28+5)*(IF(AND(CS$3&gt;=INDEX(Properties!$Q:$Q,$B28+5),CS$3&lt;INDEX(Properties!$T:$T,$B28+5)),INDEX(Properties!$N:$N,$B28+5)/INDEX(Properties!$R:$R,$B28+5),0))</f>
        <v>0</v>
      </c>
      <c r="CT28" s="123" cm="1">
        <f t="array" ref="CT28">INDEX(Properties!$D:$D,$B28+5)*(IF(AND(CT$3&gt;=INDEX(Properties!$Q:$Q,$B28+5),CT$3&lt;INDEX(Properties!$T:$T,$B28+5)),INDEX(Properties!$N:$N,$B28+5)/INDEX(Properties!$R:$R,$B28+5),0))</f>
        <v>0</v>
      </c>
      <c r="CU28" s="123" cm="1">
        <f t="array" ref="CU28">INDEX(Properties!$D:$D,$B28+5)*(IF(AND(CU$3&gt;=INDEX(Properties!$Q:$Q,$B28+5),CU$3&lt;INDEX(Properties!$T:$T,$B28+5)),INDEX(Properties!$N:$N,$B28+5)/INDEX(Properties!$R:$R,$B28+5),0))</f>
        <v>0</v>
      </c>
      <c r="CV28" s="123" cm="1">
        <f t="array" ref="CV28">INDEX(Properties!$D:$D,$B28+5)*(IF(AND(CV$3&gt;=INDEX(Properties!$Q:$Q,$B28+5),CV$3&lt;INDEX(Properties!$T:$T,$B28+5)),INDEX(Properties!$N:$N,$B28+5)/INDEX(Properties!$R:$R,$B28+5),0))</f>
        <v>0</v>
      </c>
      <c r="CW28" s="123" cm="1">
        <f t="array" ref="CW28">INDEX(Properties!$D:$D,$B28+5)*(IF(AND(CW$3&gt;=INDEX(Properties!$Q:$Q,$B28+5),CW$3&lt;INDEX(Properties!$T:$T,$B28+5)),INDEX(Properties!$N:$N,$B28+5)/INDEX(Properties!$R:$R,$B28+5),0))</f>
        <v>0</v>
      </c>
      <c r="CX28" s="123" cm="1">
        <f t="array" ref="CX28">INDEX(Properties!$D:$D,$B28+5)*(IF(AND(CX$3&gt;=INDEX(Properties!$Q:$Q,$B28+5),CX$3&lt;INDEX(Properties!$T:$T,$B28+5)),INDEX(Properties!$N:$N,$B28+5)/INDEX(Properties!$R:$R,$B28+5),0))</f>
        <v>0</v>
      </c>
      <c r="CY28" s="123" cm="1">
        <f t="array" ref="CY28">INDEX(Properties!$D:$D,$B28+5)*(IF(AND(CY$3&gt;=INDEX(Properties!$Q:$Q,$B28+5),CY$3&lt;INDEX(Properties!$T:$T,$B28+5)),INDEX(Properties!$N:$N,$B28+5)/INDEX(Properties!$R:$R,$B28+5),0))</f>
        <v>0</v>
      </c>
      <c r="CZ28" s="123" cm="1">
        <f t="array" ref="CZ28">INDEX(Properties!$D:$D,$B28+5)*(IF(AND(CZ$3&gt;=INDEX(Properties!$Q:$Q,$B28+5),CZ$3&lt;INDEX(Properties!$T:$T,$B28+5)),INDEX(Properties!$N:$N,$B28+5)/INDEX(Properties!$R:$R,$B28+5),0))</f>
        <v>0</v>
      </c>
      <c r="DA28" s="123" cm="1">
        <f t="array" ref="DA28">INDEX(Properties!$D:$D,$B28+5)*(IF(AND(DA$3&gt;=INDEX(Properties!$Q:$Q,$B28+5),DA$3&lt;INDEX(Properties!$T:$T,$B28+5)),INDEX(Properties!$N:$N,$B28+5)/INDEX(Properties!$R:$R,$B28+5),0))</f>
        <v>0</v>
      </c>
      <c r="DB28" s="123" cm="1">
        <f t="array" ref="DB28">INDEX(Properties!$D:$D,$B28+5)*(IF(AND(DB$3&gt;=INDEX(Properties!$Q:$Q,$B28+5),DB$3&lt;INDEX(Properties!$T:$T,$B28+5)),INDEX(Properties!$N:$N,$B28+5)/INDEX(Properties!$R:$R,$B28+5),0))</f>
        <v>0</v>
      </c>
      <c r="DC28" s="123" cm="1">
        <f t="array" ref="DC28">INDEX(Properties!$D:$D,$B28+5)*(IF(AND(DC$3&gt;=INDEX(Properties!$Q:$Q,$B28+5),DC$3&lt;INDEX(Properties!$T:$T,$B28+5)),INDEX(Properties!$N:$N,$B28+5)/INDEX(Properties!$R:$R,$B28+5),0))</f>
        <v>0</v>
      </c>
      <c r="DD28" s="123" cm="1">
        <f t="array" ref="DD28">INDEX(Properties!$D:$D,$B28+5)*(IF(AND(DD$3&gt;=INDEX(Properties!$Q:$Q,$B28+5),DD$3&lt;INDEX(Properties!$T:$T,$B28+5)),INDEX(Properties!$N:$N,$B28+5)/INDEX(Properties!$R:$R,$B28+5),0))</f>
        <v>0</v>
      </c>
      <c r="DE28" s="123" cm="1">
        <f t="array" ref="DE28">INDEX(Properties!$D:$D,$B28+5)*(IF(AND(DE$3&gt;=INDEX(Properties!$Q:$Q,$B28+5),DE$3&lt;INDEX(Properties!$T:$T,$B28+5)),INDEX(Properties!$N:$N,$B28+5)/INDEX(Properties!$R:$R,$B28+5),0))</f>
        <v>0</v>
      </c>
      <c r="DF28" s="123" cm="1">
        <f t="array" ref="DF28">INDEX(Properties!$D:$D,$B28+5)*(IF(AND(DF$3&gt;=INDEX(Properties!$Q:$Q,$B28+5),DF$3&lt;INDEX(Properties!$T:$T,$B28+5)),INDEX(Properties!$N:$N,$B28+5)/INDEX(Properties!$R:$R,$B28+5),0))</f>
        <v>0</v>
      </c>
      <c r="DG28" s="123" cm="1">
        <f t="array" ref="DG28">INDEX(Properties!$D:$D,$B28+5)*(IF(AND(DG$3&gt;=INDEX(Properties!$Q:$Q,$B28+5),DG$3&lt;INDEX(Properties!$T:$T,$B28+5)),INDEX(Properties!$N:$N,$B28+5)/INDEX(Properties!$R:$R,$B28+5),0))</f>
        <v>0</v>
      </c>
      <c r="DH28" s="123" cm="1">
        <f t="array" ref="DH28">INDEX(Properties!$D:$D,$B28+5)*(IF(AND(DH$3&gt;=INDEX(Properties!$Q:$Q,$B28+5),DH$3&lt;INDEX(Properties!$T:$T,$B28+5)),INDEX(Properties!$N:$N,$B28+5)/INDEX(Properties!$R:$R,$B28+5),0))</f>
        <v>0</v>
      </c>
      <c r="DI28" s="123" cm="1">
        <f t="array" ref="DI28">INDEX(Properties!$D:$D,$B28+5)*(IF(AND(DI$3&gt;=INDEX(Properties!$Q:$Q,$B28+5),DI$3&lt;INDEX(Properties!$T:$T,$B28+5)),INDEX(Properties!$N:$N,$B28+5)/INDEX(Properties!$R:$R,$B28+5),0))</f>
        <v>0</v>
      </c>
      <c r="DJ28" s="123" cm="1">
        <f t="array" ref="DJ28">INDEX(Properties!$D:$D,$B28+5)*(IF(AND(DJ$3&gt;=INDEX(Properties!$Q:$Q,$B28+5),DJ$3&lt;INDEX(Properties!$T:$T,$B28+5)),INDEX(Properties!$N:$N,$B28+5)/INDEX(Properties!$R:$R,$B28+5),0))</f>
        <v>0</v>
      </c>
      <c r="DK28" s="123" cm="1">
        <f t="array" ref="DK28">INDEX(Properties!$D:$D,$B28+5)*(IF(AND(DK$3&gt;=INDEX(Properties!$Q:$Q,$B28+5),DK$3&lt;INDEX(Properties!$T:$T,$B28+5)),INDEX(Properties!$N:$N,$B28+5)/INDEX(Properties!$R:$R,$B28+5),0))</f>
        <v>0</v>
      </c>
      <c r="DL28" s="123" cm="1">
        <f t="array" ref="DL28">INDEX(Properties!$D:$D,$B28+5)*(IF(AND(DL$3&gt;=INDEX(Properties!$Q:$Q,$B28+5),DL$3&lt;INDEX(Properties!$T:$T,$B28+5)),INDEX(Properties!$N:$N,$B28+5)/INDEX(Properties!$R:$R,$B28+5),0))</f>
        <v>0</v>
      </c>
      <c r="DM28" s="123" cm="1">
        <f t="array" ref="DM28">INDEX(Properties!$D:$D,$B28+5)*(IF(AND(DM$3&gt;=INDEX(Properties!$Q:$Q,$B28+5),DM$3&lt;INDEX(Properties!$T:$T,$B28+5)),INDEX(Properties!$N:$N,$B28+5)/INDEX(Properties!$R:$R,$B28+5),0))</f>
        <v>0</v>
      </c>
      <c r="DN28" s="123" cm="1">
        <f t="array" ref="DN28">INDEX(Properties!$D:$D,$B28+5)*(IF(AND(DN$3&gt;=INDEX(Properties!$Q:$Q,$B28+5),DN$3&lt;INDEX(Properties!$T:$T,$B28+5)),INDEX(Properties!$N:$N,$B28+5)/INDEX(Properties!$R:$R,$B28+5),0))</f>
        <v>0</v>
      </c>
      <c r="DO28" s="123" cm="1">
        <f t="array" ref="DO28">INDEX(Properties!$D:$D,$B28+5)*(IF(AND(DO$3&gt;=INDEX(Properties!$Q:$Q,$B28+5),DO$3&lt;INDEX(Properties!$T:$T,$B28+5)),INDEX(Properties!$N:$N,$B28+5)/INDEX(Properties!$R:$R,$B28+5),0))</f>
        <v>0</v>
      </c>
      <c r="DP28" s="123" cm="1">
        <f t="array" ref="DP28">INDEX(Properties!$D:$D,$B28+5)*(IF(AND(DP$3&gt;=INDEX(Properties!$Q:$Q,$B28+5),DP$3&lt;INDEX(Properties!$T:$T,$B28+5)),INDEX(Properties!$N:$N,$B28+5)/INDEX(Properties!$R:$R,$B28+5),0))</f>
        <v>0</v>
      </c>
      <c r="DQ28" s="123" cm="1">
        <f t="array" ref="DQ28">INDEX(Properties!$D:$D,$B28+5)*(IF(AND(DQ$3&gt;=INDEX(Properties!$Q:$Q,$B28+5),DQ$3&lt;INDEX(Properties!$T:$T,$B28+5)),INDEX(Properties!$N:$N,$B28+5)/INDEX(Properties!$R:$R,$B28+5),0))</f>
        <v>0</v>
      </c>
      <c r="DR28" s="123" cm="1">
        <f t="array" ref="DR28">INDEX(Properties!$D:$D,$B28+5)*(IF(AND(DR$3&gt;=INDEX(Properties!$Q:$Q,$B28+5),DR$3&lt;INDEX(Properties!$T:$T,$B28+5)),INDEX(Properties!$N:$N,$B28+5)/INDEX(Properties!$R:$R,$B28+5),0))</f>
        <v>0</v>
      </c>
    </row>
    <row r="29" spans="1:122" ht="16.05" customHeight="1" x14ac:dyDescent="0.3">
      <c r="A29" s="148" cm="1">
        <f t="array" ref="A29">INDEX(Properties!$E:$E,$B29+5)</f>
        <v>0</v>
      </c>
      <c r="B29" s="1">
        <v>10</v>
      </c>
      <c r="C29" s="123" cm="1">
        <f t="array" ref="C29">INDEX(Properties!$D:$D,$B29+5)*(IF(AND(C$3&gt;=INDEX(Properties!$Q:$Q,$B29+5),C$3&lt;INDEX(Properties!$T:$T,$B29+5)),INDEX(Properties!$N:$N,$B29+5)/INDEX(Properties!$R:$R,$B29+5),0))</f>
        <v>0</v>
      </c>
      <c r="D29" s="123" cm="1">
        <f t="array" ref="D29">INDEX(Properties!$D:$D,$B29+5)*(IF(AND(D$3&gt;=INDEX(Properties!$Q:$Q,$B29+5),D$3&lt;INDEX(Properties!$T:$T,$B29+5)),INDEX(Properties!$N:$N,$B29+5)/INDEX(Properties!$R:$R,$B29+5),0))</f>
        <v>0</v>
      </c>
      <c r="E29" s="123" cm="1">
        <f t="array" ref="E29">INDEX(Properties!$D:$D,$B29+5)*(IF(AND(E$3&gt;=INDEX(Properties!$Q:$Q,$B29+5),E$3&lt;INDEX(Properties!$T:$T,$B29+5)),INDEX(Properties!$N:$N,$B29+5)/INDEX(Properties!$R:$R,$B29+5),0))</f>
        <v>0</v>
      </c>
      <c r="F29" s="123" cm="1">
        <f t="array" ref="F29">INDEX(Properties!$D:$D,$B29+5)*(IF(AND(F$3&gt;=INDEX(Properties!$Q:$Q,$B29+5),F$3&lt;INDEX(Properties!$T:$T,$B29+5)),INDEX(Properties!$N:$N,$B29+5)/INDEX(Properties!$R:$R,$B29+5),0))</f>
        <v>0</v>
      </c>
      <c r="G29" s="123" cm="1">
        <f t="array" ref="G29">INDEX(Properties!$D:$D,$B29+5)*(IF(AND(G$3&gt;=INDEX(Properties!$Q:$Q,$B29+5),G$3&lt;INDEX(Properties!$T:$T,$B29+5)),INDEX(Properties!$N:$N,$B29+5)/INDEX(Properties!$R:$R,$B29+5),0))</f>
        <v>0</v>
      </c>
      <c r="H29" s="123" cm="1">
        <f t="array" ref="H29">INDEX(Properties!$D:$D,$B29+5)*(IF(AND(H$3&gt;=INDEX(Properties!$Q:$Q,$B29+5),H$3&lt;INDEX(Properties!$T:$T,$B29+5)),INDEX(Properties!$N:$N,$B29+5)/INDEX(Properties!$R:$R,$B29+5),0))</f>
        <v>0</v>
      </c>
      <c r="I29" s="123" cm="1">
        <f t="array" ref="I29">INDEX(Properties!$D:$D,$B29+5)*(IF(AND(I$3&gt;=INDEX(Properties!$Q:$Q,$B29+5),I$3&lt;INDEX(Properties!$T:$T,$B29+5)),INDEX(Properties!$N:$N,$B29+5)/INDEX(Properties!$R:$R,$B29+5),0))</f>
        <v>0</v>
      </c>
      <c r="J29" s="123" cm="1">
        <f t="array" ref="J29">INDEX(Properties!$D:$D,$B29+5)*(IF(AND(J$3&gt;=INDEX(Properties!$Q:$Q,$B29+5),J$3&lt;INDEX(Properties!$T:$T,$B29+5)),INDEX(Properties!$N:$N,$B29+5)/INDEX(Properties!$R:$R,$B29+5),0))</f>
        <v>0</v>
      </c>
      <c r="K29" s="123" cm="1">
        <f t="array" ref="K29">INDEX(Properties!$D:$D,$B29+5)*(IF(AND(K$3&gt;=INDEX(Properties!$Q:$Q,$B29+5),K$3&lt;INDEX(Properties!$T:$T,$B29+5)),INDEX(Properties!$N:$N,$B29+5)/INDEX(Properties!$R:$R,$B29+5),0))</f>
        <v>0</v>
      </c>
      <c r="L29" s="123" cm="1">
        <f t="array" ref="L29">INDEX(Properties!$D:$D,$B29+5)*(IF(AND(L$3&gt;=INDEX(Properties!$Q:$Q,$B29+5),L$3&lt;INDEX(Properties!$T:$T,$B29+5)),INDEX(Properties!$N:$N,$B29+5)/INDEX(Properties!$R:$R,$B29+5),0))</f>
        <v>0</v>
      </c>
      <c r="M29" s="123" cm="1">
        <f t="array" ref="M29">INDEX(Properties!$D:$D,$B29+5)*(IF(AND(M$3&gt;=INDEX(Properties!$Q:$Q,$B29+5),M$3&lt;INDEX(Properties!$T:$T,$B29+5)),INDEX(Properties!$N:$N,$B29+5)/INDEX(Properties!$R:$R,$B29+5),0))</f>
        <v>0</v>
      </c>
      <c r="N29" s="123" cm="1">
        <f t="array" ref="N29">INDEX(Properties!$D:$D,$B29+5)*(IF(AND(N$3&gt;=INDEX(Properties!$Q:$Q,$B29+5),N$3&lt;INDEX(Properties!$T:$T,$B29+5)),INDEX(Properties!$N:$N,$B29+5)/INDEX(Properties!$R:$R,$B29+5),0))</f>
        <v>0</v>
      </c>
      <c r="O29" s="123" cm="1">
        <f t="array" ref="O29">INDEX(Properties!$D:$D,$B29+5)*(IF(AND(O$3&gt;=INDEX(Properties!$Q:$Q,$B29+5),O$3&lt;INDEX(Properties!$T:$T,$B29+5)),INDEX(Properties!$N:$N,$B29+5)/INDEX(Properties!$R:$R,$B29+5),0))</f>
        <v>0</v>
      </c>
      <c r="P29" s="123" cm="1">
        <f t="array" ref="P29">INDEX(Properties!$D:$D,$B29+5)*(IF(AND(P$3&gt;=INDEX(Properties!$Q:$Q,$B29+5),P$3&lt;INDEX(Properties!$T:$T,$B29+5)),INDEX(Properties!$N:$N,$B29+5)/INDEX(Properties!$R:$R,$B29+5),0))</f>
        <v>0</v>
      </c>
      <c r="Q29" s="123" cm="1">
        <f t="array" ref="Q29">INDEX(Properties!$D:$D,$B29+5)*(IF(AND(Q$3&gt;=INDEX(Properties!$Q:$Q,$B29+5),Q$3&lt;INDEX(Properties!$T:$T,$B29+5)),INDEX(Properties!$N:$N,$B29+5)/INDEX(Properties!$R:$R,$B29+5),0))</f>
        <v>0</v>
      </c>
      <c r="R29" s="123" cm="1">
        <f t="array" ref="R29">INDEX(Properties!$D:$D,$B29+5)*(IF(AND(R$3&gt;=INDEX(Properties!$Q:$Q,$B29+5),R$3&lt;INDEX(Properties!$T:$T,$B29+5)),INDEX(Properties!$N:$N,$B29+5)/INDEX(Properties!$R:$R,$B29+5),0))</f>
        <v>0</v>
      </c>
      <c r="S29" s="123" cm="1">
        <f t="array" ref="S29">INDEX(Properties!$D:$D,$B29+5)*(IF(AND(S$3&gt;=INDEX(Properties!$Q:$Q,$B29+5),S$3&lt;INDEX(Properties!$T:$T,$B29+5)),INDEX(Properties!$N:$N,$B29+5)/INDEX(Properties!$R:$R,$B29+5),0))</f>
        <v>0</v>
      </c>
      <c r="T29" s="123" cm="1">
        <f t="array" ref="T29">INDEX(Properties!$D:$D,$B29+5)*(IF(AND(T$3&gt;=INDEX(Properties!$Q:$Q,$B29+5),T$3&lt;INDEX(Properties!$T:$T,$B29+5)),INDEX(Properties!$N:$N,$B29+5)/INDEX(Properties!$R:$R,$B29+5),0))</f>
        <v>0</v>
      </c>
      <c r="U29" s="123" cm="1">
        <f t="array" ref="U29">INDEX(Properties!$D:$D,$B29+5)*(IF(AND(U$3&gt;=INDEX(Properties!$Q:$Q,$B29+5),U$3&lt;INDEX(Properties!$T:$T,$B29+5)),INDEX(Properties!$N:$N,$B29+5)/INDEX(Properties!$R:$R,$B29+5),0))</f>
        <v>0</v>
      </c>
      <c r="V29" s="123" cm="1">
        <f t="array" ref="V29">INDEX(Properties!$D:$D,$B29+5)*(IF(AND(V$3&gt;=INDEX(Properties!$Q:$Q,$B29+5),V$3&lt;INDEX(Properties!$T:$T,$B29+5)),INDEX(Properties!$N:$N,$B29+5)/INDEX(Properties!$R:$R,$B29+5),0))</f>
        <v>0</v>
      </c>
      <c r="W29" s="123" cm="1">
        <f t="array" ref="W29">INDEX(Properties!$D:$D,$B29+5)*(IF(AND(W$3&gt;=INDEX(Properties!$Q:$Q,$B29+5),W$3&lt;INDEX(Properties!$T:$T,$B29+5)),INDEX(Properties!$N:$N,$B29+5)/INDEX(Properties!$R:$R,$B29+5),0))</f>
        <v>0</v>
      </c>
      <c r="X29" s="123" cm="1">
        <f t="array" ref="X29">INDEX(Properties!$D:$D,$B29+5)*(IF(AND(X$3&gt;=INDEX(Properties!$Q:$Q,$B29+5),X$3&lt;INDEX(Properties!$T:$T,$B29+5)),INDEX(Properties!$N:$N,$B29+5)/INDEX(Properties!$R:$R,$B29+5),0))</f>
        <v>0</v>
      </c>
      <c r="Y29" s="123" cm="1">
        <f t="array" ref="Y29">INDEX(Properties!$D:$D,$B29+5)*(IF(AND(Y$3&gt;=INDEX(Properties!$Q:$Q,$B29+5),Y$3&lt;INDEX(Properties!$T:$T,$B29+5)),INDEX(Properties!$N:$N,$B29+5)/INDEX(Properties!$R:$R,$B29+5),0))</f>
        <v>0</v>
      </c>
      <c r="Z29" s="123" cm="1">
        <f t="array" ref="Z29">INDEX(Properties!$D:$D,$B29+5)*(IF(AND(Z$3&gt;=INDEX(Properties!$Q:$Q,$B29+5),Z$3&lt;INDEX(Properties!$T:$T,$B29+5)),INDEX(Properties!$N:$N,$B29+5)/INDEX(Properties!$R:$R,$B29+5),0))</f>
        <v>0</v>
      </c>
      <c r="AA29" s="123" cm="1">
        <f t="array" ref="AA29">INDEX(Properties!$D:$D,$B29+5)*(IF(AND(AA$3&gt;=INDEX(Properties!$Q:$Q,$B29+5),AA$3&lt;INDEX(Properties!$T:$T,$B29+5)),INDEX(Properties!$N:$N,$B29+5)/INDEX(Properties!$R:$R,$B29+5),0))</f>
        <v>0</v>
      </c>
      <c r="AB29" s="123" cm="1">
        <f t="array" ref="AB29">INDEX(Properties!$D:$D,$B29+5)*(IF(AND(AB$3&gt;=INDEX(Properties!$Q:$Q,$B29+5),AB$3&lt;INDEX(Properties!$T:$T,$B29+5)),INDEX(Properties!$N:$N,$B29+5)/INDEX(Properties!$R:$R,$B29+5),0))</f>
        <v>0</v>
      </c>
      <c r="AC29" s="123" cm="1">
        <f t="array" ref="AC29">INDEX(Properties!$D:$D,$B29+5)*(IF(AND(AC$3&gt;=INDEX(Properties!$Q:$Q,$B29+5),AC$3&lt;INDEX(Properties!$T:$T,$B29+5)),INDEX(Properties!$N:$N,$B29+5)/INDEX(Properties!$R:$R,$B29+5),0))</f>
        <v>0</v>
      </c>
      <c r="AD29" s="123" cm="1">
        <f t="array" ref="AD29">INDEX(Properties!$D:$D,$B29+5)*(IF(AND(AD$3&gt;=INDEX(Properties!$Q:$Q,$B29+5),AD$3&lt;INDEX(Properties!$T:$T,$B29+5)),INDEX(Properties!$N:$N,$B29+5)/INDEX(Properties!$R:$R,$B29+5),0))</f>
        <v>0</v>
      </c>
      <c r="AE29" s="123" cm="1">
        <f t="array" ref="AE29">INDEX(Properties!$D:$D,$B29+5)*(IF(AND(AE$3&gt;=INDEX(Properties!$Q:$Q,$B29+5),AE$3&lt;INDEX(Properties!$T:$T,$B29+5)),INDEX(Properties!$N:$N,$B29+5)/INDEX(Properties!$R:$R,$B29+5),0))</f>
        <v>0</v>
      </c>
      <c r="AF29" s="123" cm="1">
        <f t="array" ref="AF29">INDEX(Properties!$D:$D,$B29+5)*(IF(AND(AF$3&gt;=INDEX(Properties!$Q:$Q,$B29+5),AF$3&lt;INDEX(Properties!$T:$T,$B29+5)),INDEX(Properties!$N:$N,$B29+5)/INDEX(Properties!$R:$R,$B29+5),0))</f>
        <v>0</v>
      </c>
      <c r="AG29" s="123" cm="1">
        <f t="array" ref="AG29">INDEX(Properties!$D:$D,$B29+5)*(IF(AND(AG$3&gt;=INDEX(Properties!$Q:$Q,$B29+5),AG$3&lt;INDEX(Properties!$T:$T,$B29+5)),INDEX(Properties!$N:$N,$B29+5)/INDEX(Properties!$R:$R,$B29+5),0))</f>
        <v>0</v>
      </c>
      <c r="AH29" s="123" cm="1">
        <f t="array" ref="AH29">INDEX(Properties!$D:$D,$B29+5)*(IF(AND(AH$3&gt;=INDEX(Properties!$Q:$Q,$B29+5),AH$3&lt;INDEX(Properties!$T:$T,$B29+5)),INDEX(Properties!$N:$N,$B29+5)/INDEX(Properties!$R:$R,$B29+5),0))</f>
        <v>0</v>
      </c>
      <c r="AI29" s="123" cm="1">
        <f t="array" ref="AI29">INDEX(Properties!$D:$D,$B29+5)*(IF(AND(AI$3&gt;=INDEX(Properties!$Q:$Q,$B29+5),AI$3&lt;INDEX(Properties!$T:$T,$B29+5)),INDEX(Properties!$N:$N,$B29+5)/INDEX(Properties!$R:$R,$B29+5),0))</f>
        <v>0</v>
      </c>
      <c r="AJ29" s="123" cm="1">
        <f t="array" ref="AJ29">INDEX(Properties!$D:$D,$B29+5)*(IF(AND(AJ$3&gt;=INDEX(Properties!$Q:$Q,$B29+5),AJ$3&lt;INDEX(Properties!$T:$T,$B29+5)),INDEX(Properties!$N:$N,$B29+5)/INDEX(Properties!$R:$R,$B29+5),0))</f>
        <v>0</v>
      </c>
      <c r="AK29" s="123" cm="1">
        <f t="array" ref="AK29">INDEX(Properties!$D:$D,$B29+5)*(IF(AND(AK$3&gt;=INDEX(Properties!$Q:$Q,$B29+5),AK$3&lt;INDEX(Properties!$T:$T,$B29+5)),INDEX(Properties!$N:$N,$B29+5)/INDEX(Properties!$R:$R,$B29+5),0))</f>
        <v>0</v>
      </c>
      <c r="AL29" s="123" cm="1">
        <f t="array" ref="AL29">INDEX(Properties!$D:$D,$B29+5)*(IF(AND(AL$3&gt;=INDEX(Properties!$Q:$Q,$B29+5),AL$3&lt;INDEX(Properties!$T:$T,$B29+5)),INDEX(Properties!$N:$N,$B29+5)/INDEX(Properties!$R:$R,$B29+5),0))</f>
        <v>0</v>
      </c>
      <c r="AM29" s="123" cm="1">
        <f t="array" ref="AM29">INDEX(Properties!$D:$D,$B29+5)*(IF(AND(AM$3&gt;=INDEX(Properties!$Q:$Q,$B29+5),AM$3&lt;INDEX(Properties!$T:$T,$B29+5)),INDEX(Properties!$N:$N,$B29+5)/INDEX(Properties!$R:$R,$B29+5),0))</f>
        <v>0</v>
      </c>
      <c r="AN29" s="123" cm="1">
        <f t="array" ref="AN29">INDEX(Properties!$D:$D,$B29+5)*(IF(AND(AN$3&gt;=INDEX(Properties!$Q:$Q,$B29+5),AN$3&lt;INDEX(Properties!$T:$T,$B29+5)),INDEX(Properties!$N:$N,$B29+5)/INDEX(Properties!$R:$R,$B29+5),0))</f>
        <v>0</v>
      </c>
      <c r="AO29" s="123" cm="1">
        <f t="array" ref="AO29">INDEX(Properties!$D:$D,$B29+5)*(IF(AND(AO$3&gt;=INDEX(Properties!$Q:$Q,$B29+5),AO$3&lt;INDEX(Properties!$T:$T,$B29+5)),INDEX(Properties!$N:$N,$B29+5)/INDEX(Properties!$R:$R,$B29+5),0))</f>
        <v>0</v>
      </c>
      <c r="AP29" s="123" cm="1">
        <f t="array" ref="AP29">INDEX(Properties!$D:$D,$B29+5)*(IF(AND(AP$3&gt;=INDEX(Properties!$Q:$Q,$B29+5),AP$3&lt;INDEX(Properties!$T:$T,$B29+5)),INDEX(Properties!$N:$N,$B29+5)/INDEX(Properties!$R:$R,$B29+5),0))</f>
        <v>0</v>
      </c>
      <c r="AQ29" s="123" cm="1">
        <f t="array" ref="AQ29">INDEX(Properties!$D:$D,$B29+5)*(IF(AND(AQ$3&gt;=INDEX(Properties!$Q:$Q,$B29+5),AQ$3&lt;INDEX(Properties!$T:$T,$B29+5)),INDEX(Properties!$N:$N,$B29+5)/INDEX(Properties!$R:$R,$B29+5),0))</f>
        <v>0</v>
      </c>
      <c r="AR29" s="123" cm="1">
        <f t="array" ref="AR29">INDEX(Properties!$D:$D,$B29+5)*(IF(AND(AR$3&gt;=INDEX(Properties!$Q:$Q,$B29+5),AR$3&lt;INDEX(Properties!$T:$T,$B29+5)),INDEX(Properties!$N:$N,$B29+5)/INDEX(Properties!$R:$R,$B29+5),0))</f>
        <v>0</v>
      </c>
      <c r="AS29" s="123" cm="1">
        <f t="array" ref="AS29">INDEX(Properties!$D:$D,$B29+5)*(IF(AND(AS$3&gt;=INDEX(Properties!$Q:$Q,$B29+5),AS$3&lt;INDEX(Properties!$T:$T,$B29+5)),INDEX(Properties!$N:$N,$B29+5)/INDEX(Properties!$R:$R,$B29+5),0))</f>
        <v>0</v>
      </c>
      <c r="AT29" s="123" cm="1">
        <f t="array" ref="AT29">INDEX(Properties!$D:$D,$B29+5)*(IF(AND(AT$3&gt;=INDEX(Properties!$Q:$Q,$B29+5),AT$3&lt;INDEX(Properties!$T:$T,$B29+5)),INDEX(Properties!$N:$N,$B29+5)/INDEX(Properties!$R:$R,$B29+5),0))</f>
        <v>0</v>
      </c>
      <c r="AU29" s="123" cm="1">
        <f t="array" ref="AU29">INDEX(Properties!$D:$D,$B29+5)*(IF(AND(AU$3&gt;=INDEX(Properties!$Q:$Q,$B29+5),AU$3&lt;INDEX(Properties!$T:$T,$B29+5)),INDEX(Properties!$N:$N,$B29+5)/INDEX(Properties!$R:$R,$B29+5),0))</f>
        <v>0</v>
      </c>
      <c r="AV29" s="123" cm="1">
        <f t="array" ref="AV29">INDEX(Properties!$D:$D,$B29+5)*(IF(AND(AV$3&gt;=INDEX(Properties!$Q:$Q,$B29+5),AV$3&lt;INDEX(Properties!$T:$T,$B29+5)),INDEX(Properties!$N:$N,$B29+5)/INDEX(Properties!$R:$R,$B29+5),0))</f>
        <v>0</v>
      </c>
      <c r="AW29" s="123" cm="1">
        <f t="array" ref="AW29">INDEX(Properties!$D:$D,$B29+5)*(IF(AND(AW$3&gt;=INDEX(Properties!$Q:$Q,$B29+5),AW$3&lt;INDEX(Properties!$T:$T,$B29+5)),INDEX(Properties!$N:$N,$B29+5)/INDEX(Properties!$R:$R,$B29+5),0))</f>
        <v>0</v>
      </c>
      <c r="AX29" s="123" cm="1">
        <f t="array" ref="AX29">INDEX(Properties!$D:$D,$B29+5)*(IF(AND(AX$3&gt;=INDEX(Properties!$Q:$Q,$B29+5),AX$3&lt;INDEX(Properties!$T:$T,$B29+5)),INDEX(Properties!$N:$N,$B29+5)/INDEX(Properties!$R:$R,$B29+5),0))</f>
        <v>0</v>
      </c>
      <c r="AY29" s="123" cm="1">
        <f t="array" ref="AY29">INDEX(Properties!$D:$D,$B29+5)*(IF(AND(AY$3&gt;=INDEX(Properties!$Q:$Q,$B29+5),AY$3&lt;INDEX(Properties!$T:$T,$B29+5)),INDEX(Properties!$N:$N,$B29+5)/INDEX(Properties!$R:$R,$B29+5),0))</f>
        <v>0</v>
      </c>
      <c r="AZ29" s="123" cm="1">
        <f t="array" ref="AZ29">INDEX(Properties!$D:$D,$B29+5)*(IF(AND(AZ$3&gt;=INDEX(Properties!$Q:$Q,$B29+5),AZ$3&lt;INDEX(Properties!$T:$T,$B29+5)),INDEX(Properties!$N:$N,$B29+5)/INDEX(Properties!$R:$R,$B29+5),0))</f>
        <v>0</v>
      </c>
      <c r="BA29" s="123" cm="1">
        <f t="array" ref="BA29">INDEX(Properties!$D:$D,$B29+5)*(IF(AND(BA$3&gt;=INDEX(Properties!$Q:$Q,$B29+5),BA$3&lt;INDEX(Properties!$T:$T,$B29+5)),INDEX(Properties!$N:$N,$B29+5)/INDEX(Properties!$R:$R,$B29+5),0))</f>
        <v>0</v>
      </c>
      <c r="BB29" s="123" cm="1">
        <f t="array" ref="BB29">INDEX(Properties!$D:$D,$B29+5)*(IF(AND(BB$3&gt;=INDEX(Properties!$Q:$Q,$B29+5),BB$3&lt;INDEX(Properties!$T:$T,$B29+5)),INDEX(Properties!$N:$N,$B29+5)/INDEX(Properties!$R:$R,$B29+5),0))</f>
        <v>0</v>
      </c>
      <c r="BC29" s="123" cm="1">
        <f t="array" ref="BC29">INDEX(Properties!$D:$D,$B29+5)*(IF(AND(BC$3&gt;=INDEX(Properties!$Q:$Q,$B29+5),BC$3&lt;INDEX(Properties!$T:$T,$B29+5)),INDEX(Properties!$N:$N,$B29+5)/INDEX(Properties!$R:$R,$B29+5),0))</f>
        <v>0</v>
      </c>
      <c r="BD29" s="123" cm="1">
        <f t="array" ref="BD29">INDEX(Properties!$D:$D,$B29+5)*(IF(AND(BD$3&gt;=INDEX(Properties!$Q:$Q,$B29+5),BD$3&lt;INDEX(Properties!$T:$T,$B29+5)),INDEX(Properties!$N:$N,$B29+5)/INDEX(Properties!$R:$R,$B29+5),0))</f>
        <v>0</v>
      </c>
      <c r="BE29" s="123" cm="1">
        <f t="array" ref="BE29">INDEX(Properties!$D:$D,$B29+5)*(IF(AND(BE$3&gt;=INDEX(Properties!$Q:$Q,$B29+5),BE$3&lt;INDEX(Properties!$T:$T,$B29+5)),INDEX(Properties!$N:$N,$B29+5)/INDEX(Properties!$R:$R,$B29+5),0))</f>
        <v>0</v>
      </c>
      <c r="BF29" s="123" cm="1">
        <f t="array" ref="BF29">INDEX(Properties!$D:$D,$B29+5)*(IF(AND(BF$3&gt;=INDEX(Properties!$Q:$Q,$B29+5),BF$3&lt;INDEX(Properties!$T:$T,$B29+5)),INDEX(Properties!$N:$N,$B29+5)/INDEX(Properties!$R:$R,$B29+5),0))</f>
        <v>0</v>
      </c>
      <c r="BG29" s="123" cm="1">
        <f t="array" ref="BG29">INDEX(Properties!$D:$D,$B29+5)*(IF(AND(BG$3&gt;=INDEX(Properties!$Q:$Q,$B29+5),BG$3&lt;INDEX(Properties!$T:$T,$B29+5)),INDEX(Properties!$N:$N,$B29+5)/INDEX(Properties!$R:$R,$B29+5),0))</f>
        <v>0</v>
      </c>
      <c r="BH29" s="123" cm="1">
        <f t="array" ref="BH29">INDEX(Properties!$D:$D,$B29+5)*(IF(AND(BH$3&gt;=INDEX(Properties!$Q:$Q,$B29+5),BH$3&lt;INDEX(Properties!$T:$T,$B29+5)),INDEX(Properties!$N:$N,$B29+5)/INDEX(Properties!$R:$R,$B29+5),0))</f>
        <v>0</v>
      </c>
      <c r="BI29" s="123" cm="1">
        <f t="array" ref="BI29">INDEX(Properties!$D:$D,$B29+5)*(IF(AND(BI$3&gt;=INDEX(Properties!$Q:$Q,$B29+5),BI$3&lt;INDEX(Properties!$T:$T,$B29+5)),INDEX(Properties!$N:$N,$B29+5)/INDEX(Properties!$R:$R,$B29+5),0))</f>
        <v>0</v>
      </c>
      <c r="BJ29" s="123" cm="1">
        <f t="array" ref="BJ29">INDEX(Properties!$D:$D,$B29+5)*(IF(AND(BJ$3&gt;=INDEX(Properties!$Q:$Q,$B29+5),BJ$3&lt;INDEX(Properties!$T:$T,$B29+5)),INDEX(Properties!$N:$N,$B29+5)/INDEX(Properties!$R:$R,$B29+5),0))</f>
        <v>0</v>
      </c>
      <c r="BK29" s="123" cm="1">
        <f t="array" ref="BK29">INDEX(Properties!$D:$D,$B29+5)*(IF(AND(BK$3&gt;=INDEX(Properties!$Q:$Q,$B29+5),BK$3&lt;INDEX(Properties!$T:$T,$B29+5)),INDEX(Properties!$N:$N,$B29+5)/INDEX(Properties!$R:$R,$B29+5),0))</f>
        <v>0</v>
      </c>
      <c r="BL29" s="123" cm="1">
        <f t="array" ref="BL29">INDEX(Properties!$D:$D,$B29+5)*(IF(AND(BL$3&gt;=INDEX(Properties!$Q:$Q,$B29+5),BL$3&lt;INDEX(Properties!$T:$T,$B29+5)),INDEX(Properties!$N:$N,$B29+5)/INDEX(Properties!$R:$R,$B29+5),0))</f>
        <v>0</v>
      </c>
      <c r="BM29" s="123" cm="1">
        <f t="array" ref="BM29">INDEX(Properties!$D:$D,$B29+5)*(IF(AND(BM$3&gt;=INDEX(Properties!$Q:$Q,$B29+5),BM$3&lt;INDEX(Properties!$T:$T,$B29+5)),INDEX(Properties!$N:$N,$B29+5)/INDEX(Properties!$R:$R,$B29+5),0))</f>
        <v>0</v>
      </c>
      <c r="BN29" s="123" cm="1">
        <f t="array" ref="BN29">INDEX(Properties!$D:$D,$B29+5)*(IF(AND(BN$3&gt;=INDEX(Properties!$Q:$Q,$B29+5),BN$3&lt;INDEX(Properties!$T:$T,$B29+5)),INDEX(Properties!$N:$N,$B29+5)/INDEX(Properties!$R:$R,$B29+5),0))</f>
        <v>0</v>
      </c>
      <c r="BO29" s="123" cm="1">
        <f t="array" ref="BO29">INDEX(Properties!$D:$D,$B29+5)*(IF(AND(BO$3&gt;=INDEX(Properties!$Q:$Q,$B29+5),BO$3&lt;INDEX(Properties!$T:$T,$B29+5)),INDEX(Properties!$N:$N,$B29+5)/INDEX(Properties!$R:$R,$B29+5),0))</f>
        <v>0</v>
      </c>
      <c r="BP29" s="123" cm="1">
        <f t="array" ref="BP29">INDEX(Properties!$D:$D,$B29+5)*(IF(AND(BP$3&gt;=INDEX(Properties!$Q:$Q,$B29+5),BP$3&lt;INDEX(Properties!$T:$T,$B29+5)),INDEX(Properties!$N:$N,$B29+5)/INDEX(Properties!$R:$R,$B29+5),0))</f>
        <v>0</v>
      </c>
      <c r="BQ29" s="123" cm="1">
        <f t="array" ref="BQ29">INDEX(Properties!$D:$D,$B29+5)*(IF(AND(BQ$3&gt;=INDEX(Properties!$Q:$Q,$B29+5),BQ$3&lt;INDEX(Properties!$T:$T,$B29+5)),INDEX(Properties!$N:$N,$B29+5)/INDEX(Properties!$R:$R,$B29+5),0))</f>
        <v>0</v>
      </c>
      <c r="BR29" s="123" cm="1">
        <f t="array" ref="BR29">INDEX(Properties!$D:$D,$B29+5)*(IF(AND(BR$3&gt;=INDEX(Properties!$Q:$Q,$B29+5),BR$3&lt;INDEX(Properties!$T:$T,$B29+5)),INDEX(Properties!$N:$N,$B29+5)/INDEX(Properties!$R:$R,$B29+5),0))</f>
        <v>0</v>
      </c>
      <c r="BS29" s="123" cm="1">
        <f t="array" ref="BS29">INDEX(Properties!$D:$D,$B29+5)*(IF(AND(BS$3&gt;=INDEX(Properties!$Q:$Q,$B29+5),BS$3&lt;INDEX(Properties!$T:$T,$B29+5)),INDEX(Properties!$N:$N,$B29+5)/INDEX(Properties!$R:$R,$B29+5),0))</f>
        <v>0</v>
      </c>
      <c r="BT29" s="123" cm="1">
        <f t="array" ref="BT29">INDEX(Properties!$D:$D,$B29+5)*(IF(AND(BT$3&gt;=INDEX(Properties!$Q:$Q,$B29+5),BT$3&lt;INDEX(Properties!$T:$T,$B29+5)),INDEX(Properties!$N:$N,$B29+5)/INDEX(Properties!$R:$R,$B29+5),0))</f>
        <v>0</v>
      </c>
      <c r="BU29" s="123" cm="1">
        <f t="array" ref="BU29">INDEX(Properties!$D:$D,$B29+5)*(IF(AND(BU$3&gt;=INDEX(Properties!$Q:$Q,$B29+5),BU$3&lt;INDEX(Properties!$T:$T,$B29+5)),INDEX(Properties!$N:$N,$B29+5)/INDEX(Properties!$R:$R,$B29+5),0))</f>
        <v>0</v>
      </c>
      <c r="BV29" s="123" cm="1">
        <f t="array" ref="BV29">INDEX(Properties!$D:$D,$B29+5)*(IF(AND(BV$3&gt;=INDEX(Properties!$Q:$Q,$B29+5),BV$3&lt;INDEX(Properties!$T:$T,$B29+5)),INDEX(Properties!$N:$N,$B29+5)/INDEX(Properties!$R:$R,$B29+5),0))</f>
        <v>0</v>
      </c>
      <c r="BW29" s="123" cm="1">
        <f t="array" ref="BW29">INDEX(Properties!$D:$D,$B29+5)*(IF(AND(BW$3&gt;=INDEX(Properties!$Q:$Q,$B29+5),BW$3&lt;INDEX(Properties!$T:$T,$B29+5)),INDEX(Properties!$N:$N,$B29+5)/INDEX(Properties!$R:$R,$B29+5),0))</f>
        <v>0</v>
      </c>
      <c r="BX29" s="123" cm="1">
        <f t="array" ref="BX29">INDEX(Properties!$D:$D,$B29+5)*(IF(AND(BX$3&gt;=INDEX(Properties!$Q:$Q,$B29+5),BX$3&lt;INDEX(Properties!$T:$T,$B29+5)),INDEX(Properties!$N:$N,$B29+5)/INDEX(Properties!$R:$R,$B29+5),0))</f>
        <v>0</v>
      </c>
      <c r="BY29" s="123" cm="1">
        <f t="array" ref="BY29">INDEX(Properties!$D:$D,$B29+5)*(IF(AND(BY$3&gt;=INDEX(Properties!$Q:$Q,$B29+5),BY$3&lt;INDEX(Properties!$T:$T,$B29+5)),INDEX(Properties!$N:$N,$B29+5)/INDEX(Properties!$R:$R,$B29+5),0))</f>
        <v>0</v>
      </c>
      <c r="BZ29" s="123" cm="1">
        <f t="array" ref="BZ29">INDEX(Properties!$D:$D,$B29+5)*(IF(AND(BZ$3&gt;=INDEX(Properties!$Q:$Q,$B29+5),BZ$3&lt;INDEX(Properties!$T:$T,$B29+5)),INDEX(Properties!$N:$N,$B29+5)/INDEX(Properties!$R:$R,$B29+5),0))</f>
        <v>0</v>
      </c>
      <c r="CA29" s="123" cm="1">
        <f t="array" ref="CA29">INDEX(Properties!$D:$D,$B29+5)*(IF(AND(CA$3&gt;=INDEX(Properties!$Q:$Q,$B29+5),CA$3&lt;INDEX(Properties!$T:$T,$B29+5)),INDEX(Properties!$N:$N,$B29+5)/INDEX(Properties!$R:$R,$B29+5),0))</f>
        <v>0</v>
      </c>
      <c r="CB29" s="123" cm="1">
        <f t="array" ref="CB29">INDEX(Properties!$D:$D,$B29+5)*(IF(AND(CB$3&gt;=INDEX(Properties!$Q:$Q,$B29+5),CB$3&lt;INDEX(Properties!$T:$T,$B29+5)),INDEX(Properties!$N:$N,$B29+5)/INDEX(Properties!$R:$R,$B29+5),0))</f>
        <v>0</v>
      </c>
      <c r="CC29" s="123" cm="1">
        <f t="array" ref="CC29">INDEX(Properties!$D:$D,$B29+5)*(IF(AND(CC$3&gt;=INDEX(Properties!$Q:$Q,$B29+5),CC$3&lt;INDEX(Properties!$T:$T,$B29+5)),INDEX(Properties!$N:$N,$B29+5)/INDEX(Properties!$R:$R,$B29+5),0))</f>
        <v>0</v>
      </c>
      <c r="CD29" s="123" cm="1">
        <f t="array" ref="CD29">INDEX(Properties!$D:$D,$B29+5)*(IF(AND(CD$3&gt;=INDEX(Properties!$Q:$Q,$B29+5),CD$3&lt;INDEX(Properties!$T:$T,$B29+5)),INDEX(Properties!$N:$N,$B29+5)/INDEX(Properties!$R:$R,$B29+5),0))</f>
        <v>0</v>
      </c>
      <c r="CE29" s="123" cm="1">
        <f t="array" ref="CE29">INDEX(Properties!$D:$D,$B29+5)*(IF(AND(CE$3&gt;=INDEX(Properties!$Q:$Q,$B29+5),CE$3&lt;INDEX(Properties!$T:$T,$B29+5)),INDEX(Properties!$N:$N,$B29+5)/INDEX(Properties!$R:$R,$B29+5),0))</f>
        <v>0</v>
      </c>
      <c r="CF29" s="123" cm="1">
        <f t="array" ref="CF29">INDEX(Properties!$D:$D,$B29+5)*(IF(AND(CF$3&gt;=INDEX(Properties!$Q:$Q,$B29+5),CF$3&lt;INDEX(Properties!$T:$T,$B29+5)),INDEX(Properties!$N:$N,$B29+5)/INDEX(Properties!$R:$R,$B29+5),0))</f>
        <v>0</v>
      </c>
      <c r="CG29" s="123" cm="1">
        <f t="array" ref="CG29">INDEX(Properties!$D:$D,$B29+5)*(IF(AND(CG$3&gt;=INDEX(Properties!$Q:$Q,$B29+5),CG$3&lt;INDEX(Properties!$T:$T,$B29+5)),INDEX(Properties!$N:$N,$B29+5)/INDEX(Properties!$R:$R,$B29+5),0))</f>
        <v>0</v>
      </c>
      <c r="CH29" s="123" cm="1">
        <f t="array" ref="CH29">INDEX(Properties!$D:$D,$B29+5)*(IF(AND(CH$3&gt;=INDEX(Properties!$Q:$Q,$B29+5),CH$3&lt;INDEX(Properties!$T:$T,$B29+5)),INDEX(Properties!$N:$N,$B29+5)/INDEX(Properties!$R:$R,$B29+5),0))</f>
        <v>0</v>
      </c>
      <c r="CI29" s="123" cm="1">
        <f t="array" ref="CI29">INDEX(Properties!$D:$D,$B29+5)*(IF(AND(CI$3&gt;=INDEX(Properties!$Q:$Q,$B29+5),CI$3&lt;INDEX(Properties!$T:$T,$B29+5)),INDEX(Properties!$N:$N,$B29+5)/INDEX(Properties!$R:$R,$B29+5),0))</f>
        <v>0</v>
      </c>
      <c r="CJ29" s="123" cm="1">
        <f t="array" ref="CJ29">INDEX(Properties!$D:$D,$B29+5)*(IF(AND(CJ$3&gt;=INDEX(Properties!$Q:$Q,$B29+5),CJ$3&lt;INDEX(Properties!$T:$T,$B29+5)),INDEX(Properties!$N:$N,$B29+5)/INDEX(Properties!$R:$R,$B29+5),0))</f>
        <v>0</v>
      </c>
      <c r="CK29" s="123" cm="1">
        <f t="array" ref="CK29">INDEX(Properties!$D:$D,$B29+5)*(IF(AND(CK$3&gt;=INDEX(Properties!$Q:$Q,$B29+5),CK$3&lt;INDEX(Properties!$T:$T,$B29+5)),INDEX(Properties!$N:$N,$B29+5)/INDEX(Properties!$R:$R,$B29+5),0))</f>
        <v>0</v>
      </c>
      <c r="CL29" s="123" cm="1">
        <f t="array" ref="CL29">INDEX(Properties!$D:$D,$B29+5)*(IF(AND(CL$3&gt;=INDEX(Properties!$Q:$Q,$B29+5),CL$3&lt;INDEX(Properties!$T:$T,$B29+5)),INDEX(Properties!$N:$N,$B29+5)/INDEX(Properties!$R:$R,$B29+5),0))</f>
        <v>0</v>
      </c>
      <c r="CM29" s="123" cm="1">
        <f t="array" ref="CM29">INDEX(Properties!$D:$D,$B29+5)*(IF(AND(CM$3&gt;=INDEX(Properties!$Q:$Q,$B29+5),CM$3&lt;INDEX(Properties!$T:$T,$B29+5)),INDEX(Properties!$N:$N,$B29+5)/INDEX(Properties!$R:$R,$B29+5),0))</f>
        <v>0</v>
      </c>
      <c r="CN29" s="123" cm="1">
        <f t="array" ref="CN29">INDEX(Properties!$D:$D,$B29+5)*(IF(AND(CN$3&gt;=INDEX(Properties!$Q:$Q,$B29+5),CN$3&lt;INDEX(Properties!$T:$T,$B29+5)),INDEX(Properties!$N:$N,$B29+5)/INDEX(Properties!$R:$R,$B29+5),0))</f>
        <v>0</v>
      </c>
      <c r="CO29" s="123" cm="1">
        <f t="array" ref="CO29">INDEX(Properties!$D:$D,$B29+5)*(IF(AND(CO$3&gt;=INDEX(Properties!$Q:$Q,$B29+5),CO$3&lt;INDEX(Properties!$T:$T,$B29+5)),INDEX(Properties!$N:$N,$B29+5)/INDEX(Properties!$R:$R,$B29+5),0))</f>
        <v>0</v>
      </c>
      <c r="CP29" s="123" cm="1">
        <f t="array" ref="CP29">INDEX(Properties!$D:$D,$B29+5)*(IF(AND(CP$3&gt;=INDEX(Properties!$Q:$Q,$B29+5),CP$3&lt;INDEX(Properties!$T:$T,$B29+5)),INDEX(Properties!$N:$N,$B29+5)/INDEX(Properties!$R:$R,$B29+5),0))</f>
        <v>0</v>
      </c>
      <c r="CQ29" s="123" cm="1">
        <f t="array" ref="CQ29">INDEX(Properties!$D:$D,$B29+5)*(IF(AND(CQ$3&gt;=INDEX(Properties!$Q:$Q,$B29+5),CQ$3&lt;INDEX(Properties!$T:$T,$B29+5)),INDEX(Properties!$N:$N,$B29+5)/INDEX(Properties!$R:$R,$B29+5),0))</f>
        <v>0</v>
      </c>
      <c r="CR29" s="123" cm="1">
        <f t="array" ref="CR29">INDEX(Properties!$D:$D,$B29+5)*(IF(AND(CR$3&gt;=INDEX(Properties!$Q:$Q,$B29+5),CR$3&lt;INDEX(Properties!$T:$T,$B29+5)),INDEX(Properties!$N:$N,$B29+5)/INDEX(Properties!$R:$R,$B29+5),0))</f>
        <v>0</v>
      </c>
      <c r="CS29" s="123" cm="1">
        <f t="array" ref="CS29">INDEX(Properties!$D:$D,$B29+5)*(IF(AND(CS$3&gt;=INDEX(Properties!$Q:$Q,$B29+5),CS$3&lt;INDEX(Properties!$T:$T,$B29+5)),INDEX(Properties!$N:$N,$B29+5)/INDEX(Properties!$R:$R,$B29+5),0))</f>
        <v>0</v>
      </c>
      <c r="CT29" s="123" cm="1">
        <f t="array" ref="CT29">INDEX(Properties!$D:$D,$B29+5)*(IF(AND(CT$3&gt;=INDEX(Properties!$Q:$Q,$B29+5),CT$3&lt;INDEX(Properties!$T:$T,$B29+5)),INDEX(Properties!$N:$N,$B29+5)/INDEX(Properties!$R:$R,$B29+5),0))</f>
        <v>0</v>
      </c>
      <c r="CU29" s="123" cm="1">
        <f t="array" ref="CU29">INDEX(Properties!$D:$D,$B29+5)*(IF(AND(CU$3&gt;=INDEX(Properties!$Q:$Q,$B29+5),CU$3&lt;INDEX(Properties!$T:$T,$B29+5)),INDEX(Properties!$N:$N,$B29+5)/INDEX(Properties!$R:$R,$B29+5),0))</f>
        <v>0</v>
      </c>
      <c r="CV29" s="123" cm="1">
        <f t="array" ref="CV29">INDEX(Properties!$D:$D,$B29+5)*(IF(AND(CV$3&gt;=INDEX(Properties!$Q:$Q,$B29+5),CV$3&lt;INDEX(Properties!$T:$T,$B29+5)),INDEX(Properties!$N:$N,$B29+5)/INDEX(Properties!$R:$R,$B29+5),0))</f>
        <v>0</v>
      </c>
      <c r="CW29" s="123" cm="1">
        <f t="array" ref="CW29">INDEX(Properties!$D:$D,$B29+5)*(IF(AND(CW$3&gt;=INDEX(Properties!$Q:$Q,$B29+5),CW$3&lt;INDEX(Properties!$T:$T,$B29+5)),INDEX(Properties!$N:$N,$B29+5)/INDEX(Properties!$R:$R,$B29+5),0))</f>
        <v>0</v>
      </c>
      <c r="CX29" s="123" cm="1">
        <f t="array" ref="CX29">INDEX(Properties!$D:$D,$B29+5)*(IF(AND(CX$3&gt;=INDEX(Properties!$Q:$Q,$B29+5),CX$3&lt;INDEX(Properties!$T:$T,$B29+5)),INDEX(Properties!$N:$N,$B29+5)/INDEX(Properties!$R:$R,$B29+5),0))</f>
        <v>0</v>
      </c>
      <c r="CY29" s="123" cm="1">
        <f t="array" ref="CY29">INDEX(Properties!$D:$D,$B29+5)*(IF(AND(CY$3&gt;=INDEX(Properties!$Q:$Q,$B29+5),CY$3&lt;INDEX(Properties!$T:$T,$B29+5)),INDEX(Properties!$N:$N,$B29+5)/INDEX(Properties!$R:$R,$B29+5),0))</f>
        <v>0</v>
      </c>
      <c r="CZ29" s="123" cm="1">
        <f t="array" ref="CZ29">INDEX(Properties!$D:$D,$B29+5)*(IF(AND(CZ$3&gt;=INDEX(Properties!$Q:$Q,$B29+5),CZ$3&lt;INDEX(Properties!$T:$T,$B29+5)),INDEX(Properties!$N:$N,$B29+5)/INDEX(Properties!$R:$R,$B29+5),0))</f>
        <v>0</v>
      </c>
      <c r="DA29" s="123" cm="1">
        <f t="array" ref="DA29">INDEX(Properties!$D:$D,$B29+5)*(IF(AND(DA$3&gt;=INDEX(Properties!$Q:$Q,$B29+5),DA$3&lt;INDEX(Properties!$T:$T,$B29+5)),INDEX(Properties!$N:$N,$B29+5)/INDEX(Properties!$R:$R,$B29+5),0))</f>
        <v>0</v>
      </c>
      <c r="DB29" s="123" cm="1">
        <f t="array" ref="DB29">INDEX(Properties!$D:$D,$B29+5)*(IF(AND(DB$3&gt;=INDEX(Properties!$Q:$Q,$B29+5),DB$3&lt;INDEX(Properties!$T:$T,$B29+5)),INDEX(Properties!$N:$N,$B29+5)/INDEX(Properties!$R:$R,$B29+5),0))</f>
        <v>0</v>
      </c>
      <c r="DC29" s="123" cm="1">
        <f t="array" ref="DC29">INDEX(Properties!$D:$D,$B29+5)*(IF(AND(DC$3&gt;=INDEX(Properties!$Q:$Q,$B29+5),DC$3&lt;INDEX(Properties!$T:$T,$B29+5)),INDEX(Properties!$N:$N,$B29+5)/INDEX(Properties!$R:$R,$B29+5),0))</f>
        <v>0</v>
      </c>
      <c r="DD29" s="123" cm="1">
        <f t="array" ref="DD29">INDEX(Properties!$D:$D,$B29+5)*(IF(AND(DD$3&gt;=INDEX(Properties!$Q:$Q,$B29+5),DD$3&lt;INDEX(Properties!$T:$T,$B29+5)),INDEX(Properties!$N:$N,$B29+5)/INDEX(Properties!$R:$R,$B29+5),0))</f>
        <v>0</v>
      </c>
      <c r="DE29" s="123" cm="1">
        <f t="array" ref="DE29">INDEX(Properties!$D:$D,$B29+5)*(IF(AND(DE$3&gt;=INDEX(Properties!$Q:$Q,$B29+5),DE$3&lt;INDEX(Properties!$T:$T,$B29+5)),INDEX(Properties!$N:$N,$B29+5)/INDEX(Properties!$R:$R,$B29+5),0))</f>
        <v>0</v>
      </c>
      <c r="DF29" s="123" cm="1">
        <f t="array" ref="DF29">INDEX(Properties!$D:$D,$B29+5)*(IF(AND(DF$3&gt;=INDEX(Properties!$Q:$Q,$B29+5),DF$3&lt;INDEX(Properties!$T:$T,$B29+5)),INDEX(Properties!$N:$N,$B29+5)/INDEX(Properties!$R:$R,$B29+5),0))</f>
        <v>0</v>
      </c>
      <c r="DG29" s="123" cm="1">
        <f t="array" ref="DG29">INDEX(Properties!$D:$D,$B29+5)*(IF(AND(DG$3&gt;=INDEX(Properties!$Q:$Q,$B29+5),DG$3&lt;INDEX(Properties!$T:$T,$B29+5)),INDEX(Properties!$N:$N,$B29+5)/INDEX(Properties!$R:$R,$B29+5),0))</f>
        <v>0</v>
      </c>
      <c r="DH29" s="123" cm="1">
        <f t="array" ref="DH29">INDEX(Properties!$D:$D,$B29+5)*(IF(AND(DH$3&gt;=INDEX(Properties!$Q:$Q,$B29+5),DH$3&lt;INDEX(Properties!$T:$T,$B29+5)),INDEX(Properties!$N:$N,$B29+5)/INDEX(Properties!$R:$R,$B29+5),0))</f>
        <v>0</v>
      </c>
      <c r="DI29" s="123" cm="1">
        <f t="array" ref="DI29">INDEX(Properties!$D:$D,$B29+5)*(IF(AND(DI$3&gt;=INDEX(Properties!$Q:$Q,$B29+5),DI$3&lt;INDEX(Properties!$T:$T,$B29+5)),INDEX(Properties!$N:$N,$B29+5)/INDEX(Properties!$R:$R,$B29+5),0))</f>
        <v>0</v>
      </c>
      <c r="DJ29" s="123" cm="1">
        <f t="array" ref="DJ29">INDEX(Properties!$D:$D,$B29+5)*(IF(AND(DJ$3&gt;=INDEX(Properties!$Q:$Q,$B29+5),DJ$3&lt;INDEX(Properties!$T:$T,$B29+5)),INDEX(Properties!$N:$N,$B29+5)/INDEX(Properties!$R:$R,$B29+5),0))</f>
        <v>0</v>
      </c>
      <c r="DK29" s="123" cm="1">
        <f t="array" ref="DK29">INDEX(Properties!$D:$D,$B29+5)*(IF(AND(DK$3&gt;=INDEX(Properties!$Q:$Q,$B29+5),DK$3&lt;INDEX(Properties!$T:$T,$B29+5)),INDEX(Properties!$N:$N,$B29+5)/INDEX(Properties!$R:$R,$B29+5),0))</f>
        <v>0</v>
      </c>
      <c r="DL29" s="123" cm="1">
        <f t="array" ref="DL29">INDEX(Properties!$D:$D,$B29+5)*(IF(AND(DL$3&gt;=INDEX(Properties!$Q:$Q,$B29+5),DL$3&lt;INDEX(Properties!$T:$T,$B29+5)),INDEX(Properties!$N:$N,$B29+5)/INDEX(Properties!$R:$R,$B29+5),0))</f>
        <v>0</v>
      </c>
      <c r="DM29" s="123" cm="1">
        <f t="array" ref="DM29">INDEX(Properties!$D:$D,$B29+5)*(IF(AND(DM$3&gt;=INDEX(Properties!$Q:$Q,$B29+5),DM$3&lt;INDEX(Properties!$T:$T,$B29+5)),INDEX(Properties!$N:$N,$B29+5)/INDEX(Properties!$R:$R,$B29+5),0))</f>
        <v>0</v>
      </c>
      <c r="DN29" s="123" cm="1">
        <f t="array" ref="DN29">INDEX(Properties!$D:$D,$B29+5)*(IF(AND(DN$3&gt;=INDEX(Properties!$Q:$Q,$B29+5),DN$3&lt;INDEX(Properties!$T:$T,$B29+5)),INDEX(Properties!$N:$N,$B29+5)/INDEX(Properties!$R:$R,$B29+5),0))</f>
        <v>0</v>
      </c>
      <c r="DO29" s="123" cm="1">
        <f t="array" ref="DO29">INDEX(Properties!$D:$D,$B29+5)*(IF(AND(DO$3&gt;=INDEX(Properties!$Q:$Q,$B29+5),DO$3&lt;INDEX(Properties!$T:$T,$B29+5)),INDEX(Properties!$N:$N,$B29+5)/INDEX(Properties!$R:$R,$B29+5),0))</f>
        <v>0</v>
      </c>
      <c r="DP29" s="123" cm="1">
        <f t="array" ref="DP29">INDEX(Properties!$D:$D,$B29+5)*(IF(AND(DP$3&gt;=INDEX(Properties!$Q:$Q,$B29+5),DP$3&lt;INDEX(Properties!$T:$T,$B29+5)),INDEX(Properties!$N:$N,$B29+5)/INDEX(Properties!$R:$R,$B29+5),0))</f>
        <v>0</v>
      </c>
      <c r="DQ29" s="123" cm="1">
        <f t="array" ref="DQ29">INDEX(Properties!$D:$D,$B29+5)*(IF(AND(DQ$3&gt;=INDEX(Properties!$Q:$Q,$B29+5),DQ$3&lt;INDEX(Properties!$T:$T,$B29+5)),INDEX(Properties!$N:$N,$B29+5)/INDEX(Properties!$R:$R,$B29+5),0))</f>
        <v>0</v>
      </c>
      <c r="DR29" s="123" cm="1">
        <f t="array" ref="DR29">INDEX(Properties!$D:$D,$B29+5)*(IF(AND(DR$3&gt;=INDEX(Properties!$Q:$Q,$B29+5),DR$3&lt;INDEX(Properties!$T:$T,$B29+5)),INDEX(Properties!$N:$N,$B29+5)/INDEX(Properties!$R:$R,$B29+5),0))</f>
        <v>0</v>
      </c>
    </row>
    <row r="30" spans="1:122" ht="16.05" customHeight="1" x14ac:dyDescent="0.3">
      <c r="A30" s="148" cm="1">
        <f t="array" ref="A30">INDEX(Properties!$E:$E,$B30+5)</f>
        <v>0</v>
      </c>
      <c r="B30" s="1">
        <v>8</v>
      </c>
      <c r="C30" s="123" cm="1">
        <f t="array" ref="C30">INDEX(Properties!$D:$D,$B30+5)*(IF(AND(C$3&gt;=INDEX(Properties!$Q:$Q,$B30+5),C$3&lt;INDEX(Properties!$T:$T,$B30+5)),INDEX(Properties!$N:$N,$B30+5)/INDEX(Properties!$R:$R,$B30+5),0))</f>
        <v>0</v>
      </c>
      <c r="D30" s="123" cm="1">
        <f t="array" ref="D30">INDEX(Properties!$D:$D,$B30+5)*(IF(AND(D$3&gt;=INDEX(Properties!$Q:$Q,$B30+5),D$3&lt;INDEX(Properties!$T:$T,$B30+5)),INDEX(Properties!$N:$N,$B30+5)/INDEX(Properties!$R:$R,$B30+5),0))</f>
        <v>0</v>
      </c>
      <c r="E30" s="123" cm="1">
        <f t="array" ref="E30">INDEX(Properties!$D:$D,$B30+5)*(IF(AND(E$3&gt;=INDEX(Properties!$Q:$Q,$B30+5),E$3&lt;INDEX(Properties!$T:$T,$B30+5)),INDEX(Properties!$N:$N,$B30+5)/INDEX(Properties!$R:$R,$B30+5),0))</f>
        <v>0</v>
      </c>
      <c r="F30" s="123" cm="1">
        <f t="array" ref="F30">INDEX(Properties!$D:$D,$B30+5)*(IF(AND(F$3&gt;=INDEX(Properties!$Q:$Q,$B30+5),F$3&lt;INDEX(Properties!$T:$T,$B30+5)),INDEX(Properties!$N:$N,$B30+5)/INDEX(Properties!$R:$R,$B30+5),0))</f>
        <v>0</v>
      </c>
      <c r="G30" s="123" cm="1">
        <f t="array" ref="G30">INDEX(Properties!$D:$D,$B30+5)*(IF(AND(G$3&gt;=INDEX(Properties!$Q:$Q,$B30+5),G$3&lt;INDEX(Properties!$T:$T,$B30+5)),INDEX(Properties!$N:$N,$B30+5)/INDEX(Properties!$R:$R,$B30+5),0))</f>
        <v>0</v>
      </c>
      <c r="H30" s="123" cm="1">
        <f t="array" ref="H30">INDEX(Properties!$D:$D,$B30+5)*(IF(AND(H$3&gt;=INDEX(Properties!$Q:$Q,$B30+5),H$3&lt;INDEX(Properties!$T:$T,$B30+5)),INDEX(Properties!$N:$N,$B30+5)/INDEX(Properties!$R:$R,$B30+5),0))</f>
        <v>0</v>
      </c>
      <c r="I30" s="123" cm="1">
        <f t="array" ref="I30">INDEX(Properties!$D:$D,$B30+5)*(IF(AND(I$3&gt;=INDEX(Properties!$Q:$Q,$B30+5),I$3&lt;INDEX(Properties!$T:$T,$B30+5)),INDEX(Properties!$N:$N,$B30+5)/INDEX(Properties!$R:$R,$B30+5),0))</f>
        <v>0</v>
      </c>
      <c r="J30" s="123" cm="1">
        <f t="array" ref="J30">INDEX(Properties!$D:$D,$B30+5)*(IF(AND(J$3&gt;=INDEX(Properties!$Q:$Q,$B30+5),J$3&lt;INDEX(Properties!$T:$T,$B30+5)),INDEX(Properties!$N:$N,$B30+5)/INDEX(Properties!$R:$R,$B30+5),0))</f>
        <v>0</v>
      </c>
      <c r="K30" s="123" cm="1">
        <f t="array" ref="K30">INDEX(Properties!$D:$D,$B30+5)*(IF(AND(K$3&gt;=INDEX(Properties!$Q:$Q,$B30+5),K$3&lt;INDEX(Properties!$T:$T,$B30+5)),INDEX(Properties!$N:$N,$B30+5)/INDEX(Properties!$R:$R,$B30+5),0))</f>
        <v>0</v>
      </c>
      <c r="L30" s="123" cm="1">
        <f t="array" ref="L30">INDEX(Properties!$D:$D,$B30+5)*(IF(AND(L$3&gt;=INDEX(Properties!$Q:$Q,$B30+5),L$3&lt;INDEX(Properties!$T:$T,$B30+5)),INDEX(Properties!$N:$N,$B30+5)/INDEX(Properties!$R:$R,$B30+5),0))</f>
        <v>0</v>
      </c>
      <c r="M30" s="123" cm="1">
        <f t="array" ref="M30">INDEX(Properties!$D:$D,$B30+5)*(IF(AND(M$3&gt;=INDEX(Properties!$Q:$Q,$B30+5),M$3&lt;INDEX(Properties!$T:$T,$B30+5)),INDEX(Properties!$N:$N,$B30+5)/INDEX(Properties!$R:$R,$B30+5),0))</f>
        <v>0</v>
      </c>
      <c r="N30" s="123" cm="1">
        <f t="array" ref="N30">INDEX(Properties!$D:$D,$B30+5)*(IF(AND(N$3&gt;=INDEX(Properties!$Q:$Q,$B30+5),N$3&lt;INDEX(Properties!$T:$T,$B30+5)),INDEX(Properties!$N:$N,$B30+5)/INDEX(Properties!$R:$R,$B30+5),0))</f>
        <v>0</v>
      </c>
      <c r="O30" s="123" cm="1">
        <f t="array" ref="O30">INDEX(Properties!$D:$D,$B30+5)*(IF(AND(O$3&gt;=INDEX(Properties!$Q:$Q,$B30+5),O$3&lt;INDEX(Properties!$T:$T,$B30+5)),INDEX(Properties!$N:$N,$B30+5)/INDEX(Properties!$R:$R,$B30+5),0))</f>
        <v>0</v>
      </c>
      <c r="P30" s="123" cm="1">
        <f t="array" ref="P30">INDEX(Properties!$D:$D,$B30+5)*(IF(AND(P$3&gt;=INDEX(Properties!$Q:$Q,$B30+5),P$3&lt;INDEX(Properties!$T:$T,$B30+5)),INDEX(Properties!$N:$N,$B30+5)/INDEX(Properties!$R:$R,$B30+5),0))</f>
        <v>0</v>
      </c>
      <c r="Q30" s="123" cm="1">
        <f t="array" ref="Q30">INDEX(Properties!$D:$D,$B30+5)*(IF(AND(Q$3&gt;=INDEX(Properties!$Q:$Q,$B30+5),Q$3&lt;INDEX(Properties!$T:$T,$B30+5)),INDEX(Properties!$N:$N,$B30+5)/INDEX(Properties!$R:$R,$B30+5),0))</f>
        <v>0</v>
      </c>
      <c r="R30" s="123" cm="1">
        <f t="array" ref="R30">INDEX(Properties!$D:$D,$B30+5)*(IF(AND(R$3&gt;=INDEX(Properties!$Q:$Q,$B30+5),R$3&lt;INDEX(Properties!$T:$T,$B30+5)),INDEX(Properties!$N:$N,$B30+5)/INDEX(Properties!$R:$R,$B30+5),0))</f>
        <v>0</v>
      </c>
      <c r="S30" s="123" cm="1">
        <f t="array" ref="S30">INDEX(Properties!$D:$D,$B30+5)*(IF(AND(S$3&gt;=INDEX(Properties!$Q:$Q,$B30+5),S$3&lt;INDEX(Properties!$T:$T,$B30+5)),INDEX(Properties!$N:$N,$B30+5)/INDEX(Properties!$R:$R,$B30+5),0))</f>
        <v>0</v>
      </c>
      <c r="T30" s="123" cm="1">
        <f t="array" ref="T30">INDEX(Properties!$D:$D,$B30+5)*(IF(AND(T$3&gt;=INDEX(Properties!$Q:$Q,$B30+5),T$3&lt;INDEX(Properties!$T:$T,$B30+5)),INDEX(Properties!$N:$N,$B30+5)/INDEX(Properties!$R:$R,$B30+5),0))</f>
        <v>0</v>
      </c>
      <c r="U30" s="123" cm="1">
        <f t="array" ref="U30">INDEX(Properties!$D:$D,$B30+5)*(IF(AND(U$3&gt;=INDEX(Properties!$Q:$Q,$B30+5),U$3&lt;INDEX(Properties!$T:$T,$B30+5)),INDEX(Properties!$N:$N,$B30+5)/INDEX(Properties!$R:$R,$B30+5),0))</f>
        <v>0</v>
      </c>
      <c r="V30" s="123" cm="1">
        <f t="array" ref="V30">INDEX(Properties!$D:$D,$B30+5)*(IF(AND(V$3&gt;=INDEX(Properties!$Q:$Q,$B30+5),V$3&lt;INDEX(Properties!$T:$T,$B30+5)),INDEX(Properties!$N:$N,$B30+5)/INDEX(Properties!$R:$R,$B30+5),0))</f>
        <v>0</v>
      </c>
      <c r="W30" s="123" cm="1">
        <f t="array" ref="W30">INDEX(Properties!$D:$D,$B30+5)*(IF(AND(W$3&gt;=INDEX(Properties!$Q:$Q,$B30+5),W$3&lt;INDEX(Properties!$T:$T,$B30+5)),INDEX(Properties!$N:$N,$B30+5)/INDEX(Properties!$R:$R,$B30+5),0))</f>
        <v>0</v>
      </c>
      <c r="X30" s="123" cm="1">
        <f t="array" ref="X30">INDEX(Properties!$D:$D,$B30+5)*(IF(AND(X$3&gt;=INDEX(Properties!$Q:$Q,$B30+5),X$3&lt;INDEX(Properties!$T:$T,$B30+5)),INDEX(Properties!$N:$N,$B30+5)/INDEX(Properties!$R:$R,$B30+5),0))</f>
        <v>0</v>
      </c>
      <c r="Y30" s="123" cm="1">
        <f t="array" ref="Y30">INDEX(Properties!$D:$D,$B30+5)*(IF(AND(Y$3&gt;=INDEX(Properties!$Q:$Q,$B30+5),Y$3&lt;INDEX(Properties!$T:$T,$B30+5)),INDEX(Properties!$N:$N,$B30+5)/INDEX(Properties!$R:$R,$B30+5),0))</f>
        <v>0</v>
      </c>
      <c r="Z30" s="123" cm="1">
        <f t="array" ref="Z30">INDEX(Properties!$D:$D,$B30+5)*(IF(AND(Z$3&gt;=INDEX(Properties!$Q:$Q,$B30+5),Z$3&lt;INDEX(Properties!$T:$T,$B30+5)),INDEX(Properties!$N:$N,$B30+5)/INDEX(Properties!$R:$R,$B30+5),0))</f>
        <v>0</v>
      </c>
      <c r="AA30" s="123" cm="1">
        <f t="array" ref="AA30">INDEX(Properties!$D:$D,$B30+5)*(IF(AND(AA$3&gt;=INDEX(Properties!$Q:$Q,$B30+5),AA$3&lt;INDEX(Properties!$T:$T,$B30+5)),INDEX(Properties!$N:$N,$B30+5)/INDEX(Properties!$R:$R,$B30+5),0))</f>
        <v>0</v>
      </c>
      <c r="AB30" s="123" cm="1">
        <f t="array" ref="AB30">INDEX(Properties!$D:$D,$B30+5)*(IF(AND(AB$3&gt;=INDEX(Properties!$Q:$Q,$B30+5),AB$3&lt;INDEX(Properties!$T:$T,$B30+5)),INDEX(Properties!$N:$N,$B30+5)/INDEX(Properties!$R:$R,$B30+5),0))</f>
        <v>0</v>
      </c>
      <c r="AC30" s="123" cm="1">
        <f t="array" ref="AC30">INDEX(Properties!$D:$D,$B30+5)*(IF(AND(AC$3&gt;=INDEX(Properties!$Q:$Q,$B30+5),AC$3&lt;INDEX(Properties!$T:$T,$B30+5)),INDEX(Properties!$N:$N,$B30+5)/INDEX(Properties!$R:$R,$B30+5),0))</f>
        <v>0</v>
      </c>
      <c r="AD30" s="123" cm="1">
        <f t="array" ref="AD30">INDEX(Properties!$D:$D,$B30+5)*(IF(AND(AD$3&gt;=INDEX(Properties!$Q:$Q,$B30+5),AD$3&lt;INDEX(Properties!$T:$T,$B30+5)),INDEX(Properties!$N:$N,$B30+5)/INDEX(Properties!$R:$R,$B30+5),0))</f>
        <v>0</v>
      </c>
      <c r="AE30" s="123" cm="1">
        <f t="array" ref="AE30">INDEX(Properties!$D:$D,$B30+5)*(IF(AND(AE$3&gt;=INDEX(Properties!$Q:$Q,$B30+5),AE$3&lt;INDEX(Properties!$T:$T,$B30+5)),INDEX(Properties!$N:$N,$B30+5)/INDEX(Properties!$R:$R,$B30+5),0))</f>
        <v>0</v>
      </c>
      <c r="AF30" s="123" cm="1">
        <f t="array" ref="AF30">INDEX(Properties!$D:$D,$B30+5)*(IF(AND(AF$3&gt;=INDEX(Properties!$Q:$Q,$B30+5),AF$3&lt;INDEX(Properties!$T:$T,$B30+5)),INDEX(Properties!$N:$N,$B30+5)/INDEX(Properties!$R:$R,$B30+5),0))</f>
        <v>0</v>
      </c>
      <c r="AG30" s="123" cm="1">
        <f t="array" ref="AG30">INDEX(Properties!$D:$D,$B30+5)*(IF(AND(AG$3&gt;=INDEX(Properties!$Q:$Q,$B30+5),AG$3&lt;INDEX(Properties!$T:$T,$B30+5)),INDEX(Properties!$N:$N,$B30+5)/INDEX(Properties!$R:$R,$B30+5),0))</f>
        <v>0</v>
      </c>
      <c r="AH30" s="123" cm="1">
        <f t="array" ref="AH30">INDEX(Properties!$D:$D,$B30+5)*(IF(AND(AH$3&gt;=INDEX(Properties!$Q:$Q,$B30+5),AH$3&lt;INDEX(Properties!$T:$T,$B30+5)),INDEX(Properties!$N:$N,$B30+5)/INDEX(Properties!$R:$R,$B30+5),0))</f>
        <v>0</v>
      </c>
      <c r="AI30" s="123" cm="1">
        <f t="array" ref="AI30">INDEX(Properties!$D:$D,$B30+5)*(IF(AND(AI$3&gt;=INDEX(Properties!$Q:$Q,$B30+5),AI$3&lt;INDEX(Properties!$T:$T,$B30+5)),INDEX(Properties!$N:$N,$B30+5)/INDEX(Properties!$R:$R,$B30+5),0))</f>
        <v>0</v>
      </c>
      <c r="AJ30" s="123" cm="1">
        <f t="array" ref="AJ30">INDEX(Properties!$D:$D,$B30+5)*(IF(AND(AJ$3&gt;=INDEX(Properties!$Q:$Q,$B30+5),AJ$3&lt;INDEX(Properties!$T:$T,$B30+5)),INDEX(Properties!$N:$N,$B30+5)/INDEX(Properties!$R:$R,$B30+5),0))</f>
        <v>0</v>
      </c>
      <c r="AK30" s="123" cm="1">
        <f t="array" ref="AK30">INDEX(Properties!$D:$D,$B30+5)*(IF(AND(AK$3&gt;=INDEX(Properties!$Q:$Q,$B30+5),AK$3&lt;INDEX(Properties!$T:$T,$B30+5)),INDEX(Properties!$N:$N,$B30+5)/INDEX(Properties!$R:$R,$B30+5),0))</f>
        <v>0</v>
      </c>
      <c r="AL30" s="123" cm="1">
        <f t="array" ref="AL30">INDEX(Properties!$D:$D,$B30+5)*(IF(AND(AL$3&gt;=INDEX(Properties!$Q:$Q,$B30+5),AL$3&lt;INDEX(Properties!$T:$T,$B30+5)),INDEX(Properties!$N:$N,$B30+5)/INDEX(Properties!$R:$R,$B30+5),0))</f>
        <v>0</v>
      </c>
      <c r="AM30" s="123" cm="1">
        <f t="array" ref="AM30">INDEX(Properties!$D:$D,$B30+5)*(IF(AND(AM$3&gt;=INDEX(Properties!$Q:$Q,$B30+5),AM$3&lt;INDEX(Properties!$T:$T,$B30+5)),INDEX(Properties!$N:$N,$B30+5)/INDEX(Properties!$R:$R,$B30+5),0))</f>
        <v>0</v>
      </c>
      <c r="AN30" s="123" cm="1">
        <f t="array" ref="AN30">INDEX(Properties!$D:$D,$B30+5)*(IF(AND(AN$3&gt;=INDEX(Properties!$Q:$Q,$B30+5),AN$3&lt;INDEX(Properties!$T:$T,$B30+5)),INDEX(Properties!$N:$N,$B30+5)/INDEX(Properties!$R:$R,$B30+5),0))</f>
        <v>0</v>
      </c>
      <c r="AO30" s="123" cm="1">
        <f t="array" ref="AO30">INDEX(Properties!$D:$D,$B30+5)*(IF(AND(AO$3&gt;=INDEX(Properties!$Q:$Q,$B30+5),AO$3&lt;INDEX(Properties!$T:$T,$B30+5)),INDEX(Properties!$N:$N,$B30+5)/INDEX(Properties!$R:$R,$B30+5),0))</f>
        <v>0</v>
      </c>
      <c r="AP30" s="123" cm="1">
        <f t="array" ref="AP30">INDEX(Properties!$D:$D,$B30+5)*(IF(AND(AP$3&gt;=INDEX(Properties!$Q:$Q,$B30+5),AP$3&lt;INDEX(Properties!$T:$T,$B30+5)),INDEX(Properties!$N:$N,$B30+5)/INDEX(Properties!$R:$R,$B30+5),0))</f>
        <v>0</v>
      </c>
      <c r="AQ30" s="123" cm="1">
        <f t="array" ref="AQ30">INDEX(Properties!$D:$D,$B30+5)*(IF(AND(AQ$3&gt;=INDEX(Properties!$Q:$Q,$B30+5),AQ$3&lt;INDEX(Properties!$T:$T,$B30+5)),INDEX(Properties!$N:$N,$B30+5)/INDEX(Properties!$R:$R,$B30+5),0))</f>
        <v>0</v>
      </c>
      <c r="AR30" s="123" cm="1">
        <f t="array" ref="AR30">INDEX(Properties!$D:$D,$B30+5)*(IF(AND(AR$3&gt;=INDEX(Properties!$Q:$Q,$B30+5),AR$3&lt;INDEX(Properties!$T:$T,$B30+5)),INDEX(Properties!$N:$N,$B30+5)/INDEX(Properties!$R:$R,$B30+5),0))</f>
        <v>0</v>
      </c>
      <c r="AS30" s="123" cm="1">
        <f t="array" ref="AS30">INDEX(Properties!$D:$D,$B30+5)*(IF(AND(AS$3&gt;=INDEX(Properties!$Q:$Q,$B30+5),AS$3&lt;INDEX(Properties!$T:$T,$B30+5)),INDEX(Properties!$N:$N,$B30+5)/INDEX(Properties!$R:$R,$B30+5),0))</f>
        <v>0</v>
      </c>
      <c r="AT30" s="123" cm="1">
        <f t="array" ref="AT30">INDEX(Properties!$D:$D,$B30+5)*(IF(AND(AT$3&gt;=INDEX(Properties!$Q:$Q,$B30+5),AT$3&lt;INDEX(Properties!$T:$T,$B30+5)),INDEX(Properties!$N:$N,$B30+5)/INDEX(Properties!$R:$R,$B30+5),0))</f>
        <v>0</v>
      </c>
      <c r="AU30" s="123" cm="1">
        <f t="array" ref="AU30">INDEX(Properties!$D:$D,$B30+5)*(IF(AND(AU$3&gt;=INDEX(Properties!$Q:$Q,$B30+5),AU$3&lt;INDEX(Properties!$T:$T,$B30+5)),INDEX(Properties!$N:$N,$B30+5)/INDEX(Properties!$R:$R,$B30+5),0))</f>
        <v>0</v>
      </c>
      <c r="AV30" s="123" cm="1">
        <f t="array" ref="AV30">INDEX(Properties!$D:$D,$B30+5)*(IF(AND(AV$3&gt;=INDEX(Properties!$Q:$Q,$B30+5),AV$3&lt;INDEX(Properties!$T:$T,$B30+5)),INDEX(Properties!$N:$N,$B30+5)/INDEX(Properties!$R:$R,$B30+5),0))</f>
        <v>0</v>
      </c>
      <c r="AW30" s="123" cm="1">
        <f t="array" ref="AW30">INDEX(Properties!$D:$D,$B30+5)*(IF(AND(AW$3&gt;=INDEX(Properties!$Q:$Q,$B30+5),AW$3&lt;INDEX(Properties!$T:$T,$B30+5)),INDEX(Properties!$N:$N,$B30+5)/INDEX(Properties!$R:$R,$B30+5),0))</f>
        <v>0</v>
      </c>
      <c r="AX30" s="123" cm="1">
        <f t="array" ref="AX30">INDEX(Properties!$D:$D,$B30+5)*(IF(AND(AX$3&gt;=INDEX(Properties!$Q:$Q,$B30+5),AX$3&lt;INDEX(Properties!$T:$T,$B30+5)),INDEX(Properties!$N:$N,$B30+5)/INDEX(Properties!$R:$R,$B30+5),0))</f>
        <v>0</v>
      </c>
      <c r="AY30" s="123" cm="1">
        <f t="array" ref="AY30">INDEX(Properties!$D:$D,$B30+5)*(IF(AND(AY$3&gt;=INDEX(Properties!$Q:$Q,$B30+5),AY$3&lt;INDEX(Properties!$T:$T,$B30+5)),INDEX(Properties!$N:$N,$B30+5)/INDEX(Properties!$R:$R,$B30+5),0))</f>
        <v>0</v>
      </c>
      <c r="AZ30" s="123" cm="1">
        <f t="array" ref="AZ30">INDEX(Properties!$D:$D,$B30+5)*(IF(AND(AZ$3&gt;=INDEX(Properties!$Q:$Q,$B30+5),AZ$3&lt;INDEX(Properties!$T:$T,$B30+5)),INDEX(Properties!$N:$N,$B30+5)/INDEX(Properties!$R:$R,$B30+5),0))</f>
        <v>0</v>
      </c>
      <c r="BA30" s="123" cm="1">
        <f t="array" ref="BA30">INDEX(Properties!$D:$D,$B30+5)*(IF(AND(BA$3&gt;=INDEX(Properties!$Q:$Q,$B30+5),BA$3&lt;INDEX(Properties!$T:$T,$B30+5)),INDEX(Properties!$N:$N,$B30+5)/INDEX(Properties!$R:$R,$B30+5),0))</f>
        <v>0</v>
      </c>
      <c r="BB30" s="123" cm="1">
        <f t="array" ref="BB30">INDEX(Properties!$D:$D,$B30+5)*(IF(AND(BB$3&gt;=INDEX(Properties!$Q:$Q,$B30+5),BB$3&lt;INDEX(Properties!$T:$T,$B30+5)),INDEX(Properties!$N:$N,$B30+5)/INDEX(Properties!$R:$R,$B30+5),0))</f>
        <v>0</v>
      </c>
      <c r="BC30" s="123" cm="1">
        <f t="array" ref="BC30">INDEX(Properties!$D:$D,$B30+5)*(IF(AND(BC$3&gt;=INDEX(Properties!$Q:$Q,$B30+5),BC$3&lt;INDEX(Properties!$T:$T,$B30+5)),INDEX(Properties!$N:$N,$B30+5)/INDEX(Properties!$R:$R,$B30+5),0))</f>
        <v>0</v>
      </c>
      <c r="BD30" s="123" cm="1">
        <f t="array" ref="BD30">INDEX(Properties!$D:$D,$B30+5)*(IF(AND(BD$3&gt;=INDEX(Properties!$Q:$Q,$B30+5),BD$3&lt;INDEX(Properties!$T:$T,$B30+5)),INDEX(Properties!$N:$N,$B30+5)/INDEX(Properties!$R:$R,$B30+5),0))</f>
        <v>0</v>
      </c>
      <c r="BE30" s="123" cm="1">
        <f t="array" ref="BE30">INDEX(Properties!$D:$D,$B30+5)*(IF(AND(BE$3&gt;=INDEX(Properties!$Q:$Q,$B30+5),BE$3&lt;INDEX(Properties!$T:$T,$B30+5)),INDEX(Properties!$N:$N,$B30+5)/INDEX(Properties!$R:$R,$B30+5),0))</f>
        <v>0</v>
      </c>
      <c r="BF30" s="123" cm="1">
        <f t="array" ref="BF30">INDEX(Properties!$D:$D,$B30+5)*(IF(AND(BF$3&gt;=INDEX(Properties!$Q:$Q,$B30+5),BF$3&lt;INDEX(Properties!$T:$T,$B30+5)),INDEX(Properties!$N:$N,$B30+5)/INDEX(Properties!$R:$R,$B30+5),0))</f>
        <v>0</v>
      </c>
      <c r="BG30" s="123" cm="1">
        <f t="array" ref="BG30">INDEX(Properties!$D:$D,$B30+5)*(IF(AND(BG$3&gt;=INDEX(Properties!$Q:$Q,$B30+5),BG$3&lt;INDEX(Properties!$T:$T,$B30+5)),INDEX(Properties!$N:$N,$B30+5)/INDEX(Properties!$R:$R,$B30+5),0))</f>
        <v>0</v>
      </c>
      <c r="BH30" s="123" cm="1">
        <f t="array" ref="BH30">INDEX(Properties!$D:$D,$B30+5)*(IF(AND(BH$3&gt;=INDEX(Properties!$Q:$Q,$B30+5),BH$3&lt;INDEX(Properties!$T:$T,$B30+5)),INDEX(Properties!$N:$N,$B30+5)/INDEX(Properties!$R:$R,$B30+5),0))</f>
        <v>0</v>
      </c>
      <c r="BI30" s="123" cm="1">
        <f t="array" ref="BI30">INDEX(Properties!$D:$D,$B30+5)*(IF(AND(BI$3&gt;=INDEX(Properties!$Q:$Q,$B30+5),BI$3&lt;INDEX(Properties!$T:$T,$B30+5)),INDEX(Properties!$N:$N,$B30+5)/INDEX(Properties!$R:$R,$B30+5),0))</f>
        <v>0</v>
      </c>
      <c r="BJ30" s="123" cm="1">
        <f t="array" ref="BJ30">INDEX(Properties!$D:$D,$B30+5)*(IF(AND(BJ$3&gt;=INDEX(Properties!$Q:$Q,$B30+5),BJ$3&lt;INDEX(Properties!$T:$T,$B30+5)),INDEX(Properties!$N:$N,$B30+5)/INDEX(Properties!$R:$R,$B30+5),0))</f>
        <v>0</v>
      </c>
      <c r="BK30" s="123" cm="1">
        <f t="array" ref="BK30">INDEX(Properties!$D:$D,$B30+5)*(IF(AND(BK$3&gt;=INDEX(Properties!$Q:$Q,$B30+5),BK$3&lt;INDEX(Properties!$T:$T,$B30+5)),INDEX(Properties!$N:$N,$B30+5)/INDEX(Properties!$R:$R,$B30+5),0))</f>
        <v>0</v>
      </c>
      <c r="BL30" s="123" cm="1">
        <f t="array" ref="BL30">INDEX(Properties!$D:$D,$B30+5)*(IF(AND(BL$3&gt;=INDEX(Properties!$Q:$Q,$B30+5),BL$3&lt;INDEX(Properties!$T:$T,$B30+5)),INDEX(Properties!$N:$N,$B30+5)/INDEX(Properties!$R:$R,$B30+5),0))</f>
        <v>0</v>
      </c>
      <c r="BM30" s="123" cm="1">
        <f t="array" ref="BM30">INDEX(Properties!$D:$D,$B30+5)*(IF(AND(BM$3&gt;=INDEX(Properties!$Q:$Q,$B30+5),BM$3&lt;INDEX(Properties!$T:$T,$B30+5)),INDEX(Properties!$N:$N,$B30+5)/INDEX(Properties!$R:$R,$B30+5),0))</f>
        <v>0</v>
      </c>
      <c r="BN30" s="123" cm="1">
        <f t="array" ref="BN30">INDEX(Properties!$D:$D,$B30+5)*(IF(AND(BN$3&gt;=INDEX(Properties!$Q:$Q,$B30+5),BN$3&lt;INDEX(Properties!$T:$T,$B30+5)),INDEX(Properties!$N:$N,$B30+5)/INDEX(Properties!$R:$R,$B30+5),0))</f>
        <v>0</v>
      </c>
      <c r="BO30" s="123" cm="1">
        <f t="array" ref="BO30">INDEX(Properties!$D:$D,$B30+5)*(IF(AND(BO$3&gt;=INDEX(Properties!$Q:$Q,$B30+5),BO$3&lt;INDEX(Properties!$T:$T,$B30+5)),INDEX(Properties!$N:$N,$B30+5)/INDEX(Properties!$R:$R,$B30+5),0))</f>
        <v>0</v>
      </c>
      <c r="BP30" s="123" cm="1">
        <f t="array" ref="BP30">INDEX(Properties!$D:$D,$B30+5)*(IF(AND(BP$3&gt;=INDEX(Properties!$Q:$Q,$B30+5),BP$3&lt;INDEX(Properties!$T:$T,$B30+5)),INDEX(Properties!$N:$N,$B30+5)/INDEX(Properties!$R:$R,$B30+5),0))</f>
        <v>0</v>
      </c>
      <c r="BQ30" s="123" cm="1">
        <f t="array" ref="BQ30">INDEX(Properties!$D:$D,$B30+5)*(IF(AND(BQ$3&gt;=INDEX(Properties!$Q:$Q,$B30+5),BQ$3&lt;INDEX(Properties!$T:$T,$B30+5)),INDEX(Properties!$N:$N,$B30+5)/INDEX(Properties!$R:$R,$B30+5),0))</f>
        <v>0</v>
      </c>
      <c r="BR30" s="123" cm="1">
        <f t="array" ref="BR30">INDEX(Properties!$D:$D,$B30+5)*(IF(AND(BR$3&gt;=INDEX(Properties!$Q:$Q,$B30+5),BR$3&lt;INDEX(Properties!$T:$T,$B30+5)),INDEX(Properties!$N:$N,$B30+5)/INDEX(Properties!$R:$R,$B30+5),0))</f>
        <v>0</v>
      </c>
      <c r="BS30" s="123" cm="1">
        <f t="array" ref="BS30">INDEX(Properties!$D:$D,$B30+5)*(IF(AND(BS$3&gt;=INDEX(Properties!$Q:$Q,$B30+5),BS$3&lt;INDEX(Properties!$T:$T,$B30+5)),INDEX(Properties!$N:$N,$B30+5)/INDEX(Properties!$R:$R,$B30+5),0))</f>
        <v>0</v>
      </c>
      <c r="BT30" s="123" cm="1">
        <f t="array" ref="BT30">INDEX(Properties!$D:$D,$B30+5)*(IF(AND(BT$3&gt;=INDEX(Properties!$Q:$Q,$B30+5),BT$3&lt;INDEX(Properties!$T:$T,$B30+5)),INDEX(Properties!$N:$N,$B30+5)/INDEX(Properties!$R:$R,$B30+5),0))</f>
        <v>0</v>
      </c>
      <c r="BU30" s="123" cm="1">
        <f t="array" ref="BU30">INDEX(Properties!$D:$D,$B30+5)*(IF(AND(BU$3&gt;=INDEX(Properties!$Q:$Q,$B30+5),BU$3&lt;INDEX(Properties!$T:$T,$B30+5)),INDEX(Properties!$N:$N,$B30+5)/INDEX(Properties!$R:$R,$B30+5),0))</f>
        <v>0</v>
      </c>
      <c r="BV30" s="123" cm="1">
        <f t="array" ref="BV30">INDEX(Properties!$D:$D,$B30+5)*(IF(AND(BV$3&gt;=INDEX(Properties!$Q:$Q,$B30+5),BV$3&lt;INDEX(Properties!$T:$T,$B30+5)),INDEX(Properties!$N:$N,$B30+5)/INDEX(Properties!$R:$R,$B30+5),0))</f>
        <v>0</v>
      </c>
      <c r="BW30" s="123" cm="1">
        <f t="array" ref="BW30">INDEX(Properties!$D:$D,$B30+5)*(IF(AND(BW$3&gt;=INDEX(Properties!$Q:$Q,$B30+5),BW$3&lt;INDEX(Properties!$T:$T,$B30+5)),INDEX(Properties!$N:$N,$B30+5)/INDEX(Properties!$R:$R,$B30+5),0))</f>
        <v>0</v>
      </c>
      <c r="BX30" s="123" cm="1">
        <f t="array" ref="BX30">INDEX(Properties!$D:$D,$B30+5)*(IF(AND(BX$3&gt;=INDEX(Properties!$Q:$Q,$B30+5),BX$3&lt;INDEX(Properties!$T:$T,$B30+5)),INDEX(Properties!$N:$N,$B30+5)/INDEX(Properties!$R:$R,$B30+5),0))</f>
        <v>0</v>
      </c>
      <c r="BY30" s="123" cm="1">
        <f t="array" ref="BY30">INDEX(Properties!$D:$D,$B30+5)*(IF(AND(BY$3&gt;=INDEX(Properties!$Q:$Q,$B30+5),BY$3&lt;INDEX(Properties!$T:$T,$B30+5)),INDEX(Properties!$N:$N,$B30+5)/INDEX(Properties!$R:$R,$B30+5),0))</f>
        <v>0</v>
      </c>
      <c r="BZ30" s="123" cm="1">
        <f t="array" ref="BZ30">INDEX(Properties!$D:$D,$B30+5)*(IF(AND(BZ$3&gt;=INDEX(Properties!$Q:$Q,$B30+5),BZ$3&lt;INDEX(Properties!$T:$T,$B30+5)),INDEX(Properties!$N:$N,$B30+5)/INDEX(Properties!$R:$R,$B30+5),0))</f>
        <v>0</v>
      </c>
      <c r="CA30" s="123" cm="1">
        <f t="array" ref="CA30">INDEX(Properties!$D:$D,$B30+5)*(IF(AND(CA$3&gt;=INDEX(Properties!$Q:$Q,$B30+5),CA$3&lt;INDEX(Properties!$T:$T,$B30+5)),INDEX(Properties!$N:$N,$B30+5)/INDEX(Properties!$R:$R,$B30+5),0))</f>
        <v>0</v>
      </c>
      <c r="CB30" s="123" cm="1">
        <f t="array" ref="CB30">INDEX(Properties!$D:$D,$B30+5)*(IF(AND(CB$3&gt;=INDEX(Properties!$Q:$Q,$B30+5),CB$3&lt;INDEX(Properties!$T:$T,$B30+5)),INDEX(Properties!$N:$N,$B30+5)/INDEX(Properties!$R:$R,$B30+5),0))</f>
        <v>0</v>
      </c>
      <c r="CC30" s="123" cm="1">
        <f t="array" ref="CC30">INDEX(Properties!$D:$D,$B30+5)*(IF(AND(CC$3&gt;=INDEX(Properties!$Q:$Q,$B30+5),CC$3&lt;INDEX(Properties!$T:$T,$B30+5)),INDEX(Properties!$N:$N,$B30+5)/INDEX(Properties!$R:$R,$B30+5),0))</f>
        <v>0</v>
      </c>
      <c r="CD30" s="123" cm="1">
        <f t="array" ref="CD30">INDEX(Properties!$D:$D,$B30+5)*(IF(AND(CD$3&gt;=INDEX(Properties!$Q:$Q,$B30+5),CD$3&lt;INDEX(Properties!$T:$T,$B30+5)),INDEX(Properties!$N:$N,$B30+5)/INDEX(Properties!$R:$R,$B30+5),0))</f>
        <v>0</v>
      </c>
      <c r="CE30" s="123" cm="1">
        <f t="array" ref="CE30">INDEX(Properties!$D:$D,$B30+5)*(IF(AND(CE$3&gt;=INDEX(Properties!$Q:$Q,$B30+5),CE$3&lt;INDEX(Properties!$T:$T,$B30+5)),INDEX(Properties!$N:$N,$B30+5)/INDEX(Properties!$R:$R,$B30+5),0))</f>
        <v>0</v>
      </c>
      <c r="CF30" s="123" cm="1">
        <f t="array" ref="CF30">INDEX(Properties!$D:$D,$B30+5)*(IF(AND(CF$3&gt;=INDEX(Properties!$Q:$Q,$B30+5),CF$3&lt;INDEX(Properties!$T:$T,$B30+5)),INDEX(Properties!$N:$N,$B30+5)/INDEX(Properties!$R:$R,$B30+5),0))</f>
        <v>0</v>
      </c>
      <c r="CG30" s="123" cm="1">
        <f t="array" ref="CG30">INDEX(Properties!$D:$D,$B30+5)*(IF(AND(CG$3&gt;=INDEX(Properties!$Q:$Q,$B30+5),CG$3&lt;INDEX(Properties!$T:$T,$B30+5)),INDEX(Properties!$N:$N,$B30+5)/INDEX(Properties!$R:$R,$B30+5),0))</f>
        <v>0</v>
      </c>
      <c r="CH30" s="123" cm="1">
        <f t="array" ref="CH30">INDEX(Properties!$D:$D,$B30+5)*(IF(AND(CH$3&gt;=INDEX(Properties!$Q:$Q,$B30+5),CH$3&lt;INDEX(Properties!$T:$T,$B30+5)),INDEX(Properties!$N:$N,$B30+5)/INDEX(Properties!$R:$R,$B30+5),0))</f>
        <v>0</v>
      </c>
      <c r="CI30" s="123" cm="1">
        <f t="array" ref="CI30">INDEX(Properties!$D:$D,$B30+5)*(IF(AND(CI$3&gt;=INDEX(Properties!$Q:$Q,$B30+5),CI$3&lt;INDEX(Properties!$T:$T,$B30+5)),INDEX(Properties!$N:$N,$B30+5)/INDEX(Properties!$R:$R,$B30+5),0))</f>
        <v>0</v>
      </c>
      <c r="CJ30" s="123" cm="1">
        <f t="array" ref="CJ30">INDEX(Properties!$D:$D,$B30+5)*(IF(AND(CJ$3&gt;=INDEX(Properties!$Q:$Q,$B30+5),CJ$3&lt;INDEX(Properties!$T:$T,$B30+5)),INDEX(Properties!$N:$N,$B30+5)/INDEX(Properties!$R:$R,$B30+5),0))</f>
        <v>0</v>
      </c>
      <c r="CK30" s="123" cm="1">
        <f t="array" ref="CK30">INDEX(Properties!$D:$D,$B30+5)*(IF(AND(CK$3&gt;=INDEX(Properties!$Q:$Q,$B30+5),CK$3&lt;INDEX(Properties!$T:$T,$B30+5)),INDEX(Properties!$N:$N,$B30+5)/INDEX(Properties!$R:$R,$B30+5),0))</f>
        <v>0</v>
      </c>
      <c r="CL30" s="123" cm="1">
        <f t="array" ref="CL30">INDEX(Properties!$D:$D,$B30+5)*(IF(AND(CL$3&gt;=INDEX(Properties!$Q:$Q,$B30+5),CL$3&lt;INDEX(Properties!$T:$T,$B30+5)),INDEX(Properties!$N:$N,$B30+5)/INDEX(Properties!$R:$R,$B30+5),0))</f>
        <v>0</v>
      </c>
      <c r="CM30" s="123" cm="1">
        <f t="array" ref="CM30">INDEX(Properties!$D:$D,$B30+5)*(IF(AND(CM$3&gt;=INDEX(Properties!$Q:$Q,$B30+5),CM$3&lt;INDEX(Properties!$T:$T,$B30+5)),INDEX(Properties!$N:$N,$B30+5)/INDEX(Properties!$R:$R,$B30+5),0))</f>
        <v>0</v>
      </c>
      <c r="CN30" s="123" cm="1">
        <f t="array" ref="CN30">INDEX(Properties!$D:$D,$B30+5)*(IF(AND(CN$3&gt;=INDEX(Properties!$Q:$Q,$B30+5),CN$3&lt;INDEX(Properties!$T:$T,$B30+5)),INDEX(Properties!$N:$N,$B30+5)/INDEX(Properties!$R:$R,$B30+5),0))</f>
        <v>0</v>
      </c>
      <c r="CO30" s="123" cm="1">
        <f t="array" ref="CO30">INDEX(Properties!$D:$D,$B30+5)*(IF(AND(CO$3&gt;=INDEX(Properties!$Q:$Q,$B30+5),CO$3&lt;INDEX(Properties!$T:$T,$B30+5)),INDEX(Properties!$N:$N,$B30+5)/INDEX(Properties!$R:$R,$B30+5),0))</f>
        <v>0</v>
      </c>
      <c r="CP30" s="123" cm="1">
        <f t="array" ref="CP30">INDEX(Properties!$D:$D,$B30+5)*(IF(AND(CP$3&gt;=INDEX(Properties!$Q:$Q,$B30+5),CP$3&lt;INDEX(Properties!$T:$T,$B30+5)),INDEX(Properties!$N:$N,$B30+5)/INDEX(Properties!$R:$R,$B30+5),0))</f>
        <v>0</v>
      </c>
      <c r="CQ30" s="123" cm="1">
        <f t="array" ref="CQ30">INDEX(Properties!$D:$D,$B30+5)*(IF(AND(CQ$3&gt;=INDEX(Properties!$Q:$Q,$B30+5),CQ$3&lt;INDEX(Properties!$T:$T,$B30+5)),INDEX(Properties!$N:$N,$B30+5)/INDEX(Properties!$R:$R,$B30+5),0))</f>
        <v>0</v>
      </c>
      <c r="CR30" s="123" cm="1">
        <f t="array" ref="CR30">INDEX(Properties!$D:$D,$B30+5)*(IF(AND(CR$3&gt;=INDEX(Properties!$Q:$Q,$B30+5),CR$3&lt;INDEX(Properties!$T:$T,$B30+5)),INDEX(Properties!$N:$N,$B30+5)/INDEX(Properties!$R:$R,$B30+5),0))</f>
        <v>0</v>
      </c>
      <c r="CS30" s="123" cm="1">
        <f t="array" ref="CS30">INDEX(Properties!$D:$D,$B30+5)*(IF(AND(CS$3&gt;=INDEX(Properties!$Q:$Q,$B30+5),CS$3&lt;INDEX(Properties!$T:$T,$B30+5)),INDEX(Properties!$N:$N,$B30+5)/INDEX(Properties!$R:$R,$B30+5),0))</f>
        <v>0</v>
      </c>
      <c r="CT30" s="123" cm="1">
        <f t="array" ref="CT30">INDEX(Properties!$D:$D,$B30+5)*(IF(AND(CT$3&gt;=INDEX(Properties!$Q:$Q,$B30+5),CT$3&lt;INDEX(Properties!$T:$T,$B30+5)),INDEX(Properties!$N:$N,$B30+5)/INDEX(Properties!$R:$R,$B30+5),0))</f>
        <v>0</v>
      </c>
      <c r="CU30" s="123" cm="1">
        <f t="array" ref="CU30">INDEX(Properties!$D:$D,$B30+5)*(IF(AND(CU$3&gt;=INDEX(Properties!$Q:$Q,$B30+5),CU$3&lt;INDEX(Properties!$T:$T,$B30+5)),INDEX(Properties!$N:$N,$B30+5)/INDEX(Properties!$R:$R,$B30+5),0))</f>
        <v>0</v>
      </c>
      <c r="CV30" s="123" cm="1">
        <f t="array" ref="CV30">INDEX(Properties!$D:$D,$B30+5)*(IF(AND(CV$3&gt;=INDEX(Properties!$Q:$Q,$B30+5),CV$3&lt;INDEX(Properties!$T:$T,$B30+5)),INDEX(Properties!$N:$N,$B30+5)/INDEX(Properties!$R:$R,$B30+5),0))</f>
        <v>0</v>
      </c>
      <c r="CW30" s="123" cm="1">
        <f t="array" ref="CW30">INDEX(Properties!$D:$D,$B30+5)*(IF(AND(CW$3&gt;=INDEX(Properties!$Q:$Q,$B30+5),CW$3&lt;INDEX(Properties!$T:$T,$B30+5)),INDEX(Properties!$N:$N,$B30+5)/INDEX(Properties!$R:$R,$B30+5),0))</f>
        <v>0</v>
      </c>
      <c r="CX30" s="123" cm="1">
        <f t="array" ref="CX30">INDEX(Properties!$D:$D,$B30+5)*(IF(AND(CX$3&gt;=INDEX(Properties!$Q:$Q,$B30+5),CX$3&lt;INDEX(Properties!$T:$T,$B30+5)),INDEX(Properties!$N:$N,$B30+5)/INDEX(Properties!$R:$R,$B30+5),0))</f>
        <v>0</v>
      </c>
      <c r="CY30" s="123" cm="1">
        <f t="array" ref="CY30">INDEX(Properties!$D:$D,$B30+5)*(IF(AND(CY$3&gt;=INDEX(Properties!$Q:$Q,$B30+5),CY$3&lt;INDEX(Properties!$T:$T,$B30+5)),INDEX(Properties!$N:$N,$B30+5)/INDEX(Properties!$R:$R,$B30+5),0))</f>
        <v>0</v>
      </c>
      <c r="CZ30" s="123" cm="1">
        <f t="array" ref="CZ30">INDEX(Properties!$D:$D,$B30+5)*(IF(AND(CZ$3&gt;=INDEX(Properties!$Q:$Q,$B30+5),CZ$3&lt;INDEX(Properties!$T:$T,$B30+5)),INDEX(Properties!$N:$N,$B30+5)/INDEX(Properties!$R:$R,$B30+5),0))</f>
        <v>0</v>
      </c>
      <c r="DA30" s="123" cm="1">
        <f t="array" ref="DA30">INDEX(Properties!$D:$D,$B30+5)*(IF(AND(DA$3&gt;=INDEX(Properties!$Q:$Q,$B30+5),DA$3&lt;INDEX(Properties!$T:$T,$B30+5)),INDEX(Properties!$N:$N,$B30+5)/INDEX(Properties!$R:$R,$B30+5),0))</f>
        <v>0</v>
      </c>
      <c r="DB30" s="123" cm="1">
        <f t="array" ref="DB30">INDEX(Properties!$D:$D,$B30+5)*(IF(AND(DB$3&gt;=INDEX(Properties!$Q:$Q,$B30+5),DB$3&lt;INDEX(Properties!$T:$T,$B30+5)),INDEX(Properties!$N:$N,$B30+5)/INDEX(Properties!$R:$R,$B30+5),0))</f>
        <v>0</v>
      </c>
      <c r="DC30" s="123" cm="1">
        <f t="array" ref="DC30">INDEX(Properties!$D:$D,$B30+5)*(IF(AND(DC$3&gt;=INDEX(Properties!$Q:$Q,$B30+5),DC$3&lt;INDEX(Properties!$T:$T,$B30+5)),INDEX(Properties!$N:$N,$B30+5)/INDEX(Properties!$R:$R,$B30+5),0))</f>
        <v>0</v>
      </c>
      <c r="DD30" s="123" cm="1">
        <f t="array" ref="DD30">INDEX(Properties!$D:$D,$B30+5)*(IF(AND(DD$3&gt;=INDEX(Properties!$Q:$Q,$B30+5),DD$3&lt;INDEX(Properties!$T:$T,$B30+5)),INDEX(Properties!$N:$N,$B30+5)/INDEX(Properties!$R:$R,$B30+5),0))</f>
        <v>0</v>
      </c>
      <c r="DE30" s="123" cm="1">
        <f t="array" ref="DE30">INDEX(Properties!$D:$D,$B30+5)*(IF(AND(DE$3&gt;=INDEX(Properties!$Q:$Q,$B30+5),DE$3&lt;INDEX(Properties!$T:$T,$B30+5)),INDEX(Properties!$N:$N,$B30+5)/INDEX(Properties!$R:$R,$B30+5),0))</f>
        <v>0</v>
      </c>
      <c r="DF30" s="123" cm="1">
        <f t="array" ref="DF30">INDEX(Properties!$D:$D,$B30+5)*(IF(AND(DF$3&gt;=INDEX(Properties!$Q:$Q,$B30+5),DF$3&lt;INDEX(Properties!$T:$T,$B30+5)),INDEX(Properties!$N:$N,$B30+5)/INDEX(Properties!$R:$R,$B30+5),0))</f>
        <v>0</v>
      </c>
      <c r="DG30" s="123" cm="1">
        <f t="array" ref="DG30">INDEX(Properties!$D:$D,$B30+5)*(IF(AND(DG$3&gt;=INDEX(Properties!$Q:$Q,$B30+5),DG$3&lt;INDEX(Properties!$T:$T,$B30+5)),INDEX(Properties!$N:$N,$B30+5)/INDEX(Properties!$R:$R,$B30+5),0))</f>
        <v>0</v>
      </c>
      <c r="DH30" s="123" cm="1">
        <f t="array" ref="DH30">INDEX(Properties!$D:$D,$B30+5)*(IF(AND(DH$3&gt;=INDEX(Properties!$Q:$Q,$B30+5),DH$3&lt;INDEX(Properties!$T:$T,$B30+5)),INDEX(Properties!$N:$N,$B30+5)/INDEX(Properties!$R:$R,$B30+5),0))</f>
        <v>0</v>
      </c>
      <c r="DI30" s="123" cm="1">
        <f t="array" ref="DI30">INDEX(Properties!$D:$D,$B30+5)*(IF(AND(DI$3&gt;=INDEX(Properties!$Q:$Q,$B30+5),DI$3&lt;INDEX(Properties!$T:$T,$B30+5)),INDEX(Properties!$N:$N,$B30+5)/INDEX(Properties!$R:$R,$B30+5),0))</f>
        <v>0</v>
      </c>
      <c r="DJ30" s="123" cm="1">
        <f t="array" ref="DJ30">INDEX(Properties!$D:$D,$B30+5)*(IF(AND(DJ$3&gt;=INDEX(Properties!$Q:$Q,$B30+5),DJ$3&lt;INDEX(Properties!$T:$T,$B30+5)),INDEX(Properties!$N:$N,$B30+5)/INDEX(Properties!$R:$R,$B30+5),0))</f>
        <v>0</v>
      </c>
      <c r="DK30" s="123" cm="1">
        <f t="array" ref="DK30">INDEX(Properties!$D:$D,$B30+5)*(IF(AND(DK$3&gt;=INDEX(Properties!$Q:$Q,$B30+5),DK$3&lt;INDEX(Properties!$T:$T,$B30+5)),INDEX(Properties!$N:$N,$B30+5)/INDEX(Properties!$R:$R,$B30+5),0))</f>
        <v>0</v>
      </c>
      <c r="DL30" s="123" cm="1">
        <f t="array" ref="DL30">INDEX(Properties!$D:$D,$B30+5)*(IF(AND(DL$3&gt;=INDEX(Properties!$Q:$Q,$B30+5),DL$3&lt;INDEX(Properties!$T:$T,$B30+5)),INDEX(Properties!$N:$N,$B30+5)/INDEX(Properties!$R:$R,$B30+5),0))</f>
        <v>0</v>
      </c>
      <c r="DM30" s="123" cm="1">
        <f t="array" ref="DM30">INDEX(Properties!$D:$D,$B30+5)*(IF(AND(DM$3&gt;=INDEX(Properties!$Q:$Q,$B30+5),DM$3&lt;INDEX(Properties!$T:$T,$B30+5)),INDEX(Properties!$N:$N,$B30+5)/INDEX(Properties!$R:$R,$B30+5),0))</f>
        <v>0</v>
      </c>
      <c r="DN30" s="123" cm="1">
        <f t="array" ref="DN30">INDEX(Properties!$D:$D,$B30+5)*(IF(AND(DN$3&gt;=INDEX(Properties!$Q:$Q,$B30+5),DN$3&lt;INDEX(Properties!$T:$T,$B30+5)),INDEX(Properties!$N:$N,$B30+5)/INDEX(Properties!$R:$R,$B30+5),0))</f>
        <v>0</v>
      </c>
      <c r="DO30" s="123" cm="1">
        <f t="array" ref="DO30">INDEX(Properties!$D:$D,$B30+5)*(IF(AND(DO$3&gt;=INDEX(Properties!$Q:$Q,$B30+5),DO$3&lt;INDEX(Properties!$T:$T,$B30+5)),INDEX(Properties!$N:$N,$B30+5)/INDEX(Properties!$R:$R,$B30+5),0))</f>
        <v>0</v>
      </c>
      <c r="DP30" s="123" cm="1">
        <f t="array" ref="DP30">INDEX(Properties!$D:$D,$B30+5)*(IF(AND(DP$3&gt;=INDEX(Properties!$Q:$Q,$B30+5),DP$3&lt;INDEX(Properties!$T:$T,$B30+5)),INDEX(Properties!$N:$N,$B30+5)/INDEX(Properties!$R:$R,$B30+5),0))</f>
        <v>0</v>
      </c>
      <c r="DQ30" s="123" cm="1">
        <f t="array" ref="DQ30">INDEX(Properties!$D:$D,$B30+5)*(IF(AND(DQ$3&gt;=INDEX(Properties!$Q:$Q,$B30+5),DQ$3&lt;INDEX(Properties!$T:$T,$B30+5)),INDEX(Properties!$N:$N,$B30+5)/INDEX(Properties!$R:$R,$B30+5),0))</f>
        <v>0</v>
      </c>
      <c r="DR30" s="123" cm="1">
        <f t="array" ref="DR30">INDEX(Properties!$D:$D,$B30+5)*(IF(AND(DR$3&gt;=INDEX(Properties!$Q:$Q,$B30+5),DR$3&lt;INDEX(Properties!$T:$T,$B30+5)),INDEX(Properties!$N:$N,$B30+5)/INDEX(Properties!$R:$R,$B30+5),0))</f>
        <v>0</v>
      </c>
    </row>
    <row r="31" spans="1:122" ht="16.05" customHeight="1" x14ac:dyDescent="0.3">
      <c r="A31" s="5" t="s">
        <v>56</v>
      </c>
      <c r="B31" s="1"/>
      <c r="C31" s="243">
        <f t="shared" ref="C31:AH31" si="8">SUM(C21:C30)</f>
        <v>40992.448759439052</v>
      </c>
      <c r="D31" s="243">
        <f t="shared" si="8"/>
        <v>121898.59762675296</v>
      </c>
      <c r="E31" s="243">
        <f t="shared" si="8"/>
        <v>170442.28694714131</v>
      </c>
      <c r="F31" s="243">
        <f t="shared" si="8"/>
        <v>170442.28694714131</v>
      </c>
      <c r="G31" s="243">
        <f t="shared" si="8"/>
        <v>224379.71952535058</v>
      </c>
      <c r="H31" s="243">
        <f t="shared" si="8"/>
        <v>224379.71952535058</v>
      </c>
      <c r="I31" s="243">
        <f t="shared" si="8"/>
        <v>183387.27076591153</v>
      </c>
      <c r="J31" s="243">
        <f t="shared" si="8"/>
        <v>194174.75728155338</v>
      </c>
      <c r="K31" s="243">
        <f t="shared" si="8"/>
        <v>145631.06796116504</v>
      </c>
      <c r="L31" s="243">
        <f t="shared" si="8"/>
        <v>145631.06796116504</v>
      </c>
      <c r="M31" s="243">
        <f t="shared" si="8"/>
        <v>91693.635382955777</v>
      </c>
      <c r="N31" s="243">
        <f t="shared" si="8"/>
        <v>91693.635382955777</v>
      </c>
      <c r="O31" s="243">
        <f t="shared" si="8"/>
        <v>91693.635382955777</v>
      </c>
      <c r="P31" s="243">
        <f t="shared" si="8"/>
        <v>0</v>
      </c>
      <c r="Q31" s="243">
        <f t="shared" si="8"/>
        <v>0</v>
      </c>
      <c r="R31" s="243">
        <f t="shared" si="8"/>
        <v>0</v>
      </c>
      <c r="S31" s="243">
        <f t="shared" si="8"/>
        <v>0</v>
      </c>
      <c r="T31" s="243">
        <f t="shared" si="8"/>
        <v>0</v>
      </c>
      <c r="U31" s="243">
        <f t="shared" si="8"/>
        <v>0</v>
      </c>
      <c r="V31" s="243">
        <f t="shared" si="8"/>
        <v>0</v>
      </c>
      <c r="W31" s="243">
        <f t="shared" si="8"/>
        <v>0</v>
      </c>
      <c r="X31" s="243">
        <f t="shared" si="8"/>
        <v>0</v>
      </c>
      <c r="Y31" s="243">
        <f t="shared" si="8"/>
        <v>0</v>
      </c>
      <c r="Z31" s="243">
        <f t="shared" si="8"/>
        <v>0</v>
      </c>
      <c r="AA31" s="243">
        <f t="shared" si="8"/>
        <v>0</v>
      </c>
      <c r="AB31" s="243">
        <f t="shared" si="8"/>
        <v>0</v>
      </c>
      <c r="AC31" s="243">
        <f t="shared" si="8"/>
        <v>0</v>
      </c>
      <c r="AD31" s="243">
        <f t="shared" si="8"/>
        <v>0</v>
      </c>
      <c r="AE31" s="243">
        <f t="shared" si="8"/>
        <v>0</v>
      </c>
      <c r="AF31" s="243">
        <f t="shared" si="8"/>
        <v>0</v>
      </c>
      <c r="AG31" s="243">
        <f t="shared" si="8"/>
        <v>0</v>
      </c>
      <c r="AH31" s="243">
        <f t="shared" si="8"/>
        <v>0</v>
      </c>
      <c r="AI31" s="243">
        <f t="shared" ref="AI31:BN31" si="9">SUM(AI21:AI30)</f>
        <v>0</v>
      </c>
      <c r="AJ31" s="243">
        <f t="shared" si="9"/>
        <v>0</v>
      </c>
      <c r="AK31" s="243">
        <f t="shared" si="9"/>
        <v>0</v>
      </c>
      <c r="AL31" s="243">
        <f t="shared" si="9"/>
        <v>0</v>
      </c>
      <c r="AM31" s="243">
        <f t="shared" si="9"/>
        <v>0</v>
      </c>
      <c r="AN31" s="243">
        <f t="shared" si="9"/>
        <v>0</v>
      </c>
      <c r="AO31" s="243">
        <f t="shared" si="9"/>
        <v>0</v>
      </c>
      <c r="AP31" s="243">
        <f t="shared" si="9"/>
        <v>0</v>
      </c>
      <c r="AQ31" s="243">
        <f t="shared" si="9"/>
        <v>0</v>
      </c>
      <c r="AR31" s="243">
        <f t="shared" si="9"/>
        <v>0</v>
      </c>
      <c r="AS31" s="243">
        <f t="shared" si="9"/>
        <v>0</v>
      </c>
      <c r="AT31" s="243">
        <f t="shared" si="9"/>
        <v>0</v>
      </c>
      <c r="AU31" s="243">
        <f t="shared" si="9"/>
        <v>0</v>
      </c>
      <c r="AV31" s="243">
        <f t="shared" si="9"/>
        <v>0</v>
      </c>
      <c r="AW31" s="243">
        <f t="shared" si="9"/>
        <v>0</v>
      </c>
      <c r="AX31" s="243">
        <f t="shared" si="9"/>
        <v>0</v>
      </c>
      <c r="AY31" s="243">
        <f t="shared" si="9"/>
        <v>0</v>
      </c>
      <c r="AZ31" s="243">
        <f t="shared" si="9"/>
        <v>0</v>
      </c>
      <c r="BA31" s="243">
        <f t="shared" si="9"/>
        <v>0</v>
      </c>
      <c r="BB31" s="243">
        <f t="shared" si="9"/>
        <v>0</v>
      </c>
      <c r="BC31" s="243">
        <f t="shared" si="9"/>
        <v>0</v>
      </c>
      <c r="BD31" s="243">
        <f t="shared" si="9"/>
        <v>0</v>
      </c>
      <c r="BE31" s="243">
        <f t="shared" si="9"/>
        <v>0</v>
      </c>
      <c r="BF31" s="243">
        <f t="shared" si="9"/>
        <v>0</v>
      </c>
      <c r="BG31" s="243">
        <f t="shared" si="9"/>
        <v>0</v>
      </c>
      <c r="BH31" s="243">
        <f t="shared" si="9"/>
        <v>0</v>
      </c>
      <c r="BI31" s="243">
        <f t="shared" si="9"/>
        <v>0</v>
      </c>
      <c r="BJ31" s="243">
        <f t="shared" si="9"/>
        <v>0</v>
      </c>
      <c r="BK31" s="243">
        <f t="shared" si="9"/>
        <v>0</v>
      </c>
      <c r="BL31" s="243">
        <f t="shared" si="9"/>
        <v>0</v>
      </c>
      <c r="BM31" s="243">
        <f t="shared" si="9"/>
        <v>0</v>
      </c>
      <c r="BN31" s="243">
        <f t="shared" si="9"/>
        <v>0</v>
      </c>
      <c r="BO31" s="243">
        <f t="shared" ref="BO31:CT31" si="10">SUM(BO21:BO30)</f>
        <v>0</v>
      </c>
      <c r="BP31" s="243">
        <f t="shared" si="10"/>
        <v>0</v>
      </c>
      <c r="BQ31" s="243">
        <f t="shared" si="10"/>
        <v>0</v>
      </c>
      <c r="BR31" s="243">
        <f t="shared" si="10"/>
        <v>0</v>
      </c>
      <c r="BS31" s="243">
        <f t="shared" si="10"/>
        <v>0</v>
      </c>
      <c r="BT31" s="243">
        <f t="shared" si="10"/>
        <v>0</v>
      </c>
      <c r="BU31" s="243">
        <f t="shared" si="10"/>
        <v>0</v>
      </c>
      <c r="BV31" s="243">
        <f t="shared" si="10"/>
        <v>0</v>
      </c>
      <c r="BW31" s="243">
        <f t="shared" si="10"/>
        <v>0</v>
      </c>
      <c r="BX31" s="243">
        <f t="shared" si="10"/>
        <v>0</v>
      </c>
      <c r="BY31" s="243">
        <f t="shared" si="10"/>
        <v>0</v>
      </c>
      <c r="BZ31" s="243">
        <f t="shared" si="10"/>
        <v>0</v>
      </c>
      <c r="CA31" s="243">
        <f t="shared" si="10"/>
        <v>0</v>
      </c>
      <c r="CB31" s="243">
        <f t="shared" si="10"/>
        <v>0</v>
      </c>
      <c r="CC31" s="243">
        <f t="shared" si="10"/>
        <v>0</v>
      </c>
      <c r="CD31" s="243">
        <f t="shared" si="10"/>
        <v>0</v>
      </c>
      <c r="CE31" s="243">
        <f t="shared" si="10"/>
        <v>0</v>
      </c>
      <c r="CF31" s="243">
        <f t="shared" si="10"/>
        <v>0</v>
      </c>
      <c r="CG31" s="243">
        <f t="shared" si="10"/>
        <v>0</v>
      </c>
      <c r="CH31" s="243">
        <f t="shared" si="10"/>
        <v>0</v>
      </c>
      <c r="CI31" s="243">
        <f t="shared" si="10"/>
        <v>0</v>
      </c>
      <c r="CJ31" s="243">
        <f t="shared" si="10"/>
        <v>0</v>
      </c>
      <c r="CK31" s="243">
        <f t="shared" si="10"/>
        <v>0</v>
      </c>
      <c r="CL31" s="243">
        <f t="shared" si="10"/>
        <v>0</v>
      </c>
      <c r="CM31" s="243">
        <f t="shared" si="10"/>
        <v>0</v>
      </c>
      <c r="CN31" s="243">
        <f t="shared" si="10"/>
        <v>0</v>
      </c>
      <c r="CO31" s="243">
        <f t="shared" si="10"/>
        <v>0</v>
      </c>
      <c r="CP31" s="243">
        <f t="shared" si="10"/>
        <v>0</v>
      </c>
      <c r="CQ31" s="243">
        <f t="shared" si="10"/>
        <v>0</v>
      </c>
      <c r="CR31" s="243">
        <f t="shared" si="10"/>
        <v>0</v>
      </c>
      <c r="CS31" s="243">
        <f t="shared" si="10"/>
        <v>0</v>
      </c>
      <c r="CT31" s="243">
        <f t="shared" si="10"/>
        <v>0</v>
      </c>
      <c r="CU31" s="243">
        <f t="shared" ref="CU31:DR31" si="11">SUM(CU21:CU30)</f>
        <v>0</v>
      </c>
      <c r="CV31" s="243">
        <f t="shared" si="11"/>
        <v>0</v>
      </c>
      <c r="CW31" s="243">
        <f t="shared" si="11"/>
        <v>0</v>
      </c>
      <c r="CX31" s="243">
        <f t="shared" si="11"/>
        <v>0</v>
      </c>
      <c r="CY31" s="243">
        <f t="shared" si="11"/>
        <v>0</v>
      </c>
      <c r="CZ31" s="243">
        <f t="shared" si="11"/>
        <v>0</v>
      </c>
      <c r="DA31" s="243">
        <f t="shared" si="11"/>
        <v>0</v>
      </c>
      <c r="DB31" s="243">
        <f t="shared" si="11"/>
        <v>0</v>
      </c>
      <c r="DC31" s="243">
        <f t="shared" si="11"/>
        <v>0</v>
      </c>
      <c r="DD31" s="243">
        <f t="shared" si="11"/>
        <v>0</v>
      </c>
      <c r="DE31" s="243">
        <f t="shared" si="11"/>
        <v>0</v>
      </c>
      <c r="DF31" s="243">
        <f t="shared" si="11"/>
        <v>0</v>
      </c>
      <c r="DG31" s="243">
        <f t="shared" si="11"/>
        <v>0</v>
      </c>
      <c r="DH31" s="243">
        <f t="shared" si="11"/>
        <v>0</v>
      </c>
      <c r="DI31" s="243">
        <f t="shared" si="11"/>
        <v>0</v>
      </c>
      <c r="DJ31" s="243">
        <f t="shared" si="11"/>
        <v>0</v>
      </c>
      <c r="DK31" s="243">
        <f t="shared" si="11"/>
        <v>0</v>
      </c>
      <c r="DL31" s="243">
        <f t="shared" si="11"/>
        <v>0</v>
      </c>
      <c r="DM31" s="243">
        <f t="shared" si="11"/>
        <v>0</v>
      </c>
      <c r="DN31" s="243">
        <f t="shared" si="11"/>
        <v>0</v>
      </c>
      <c r="DO31" s="243">
        <f t="shared" si="11"/>
        <v>0</v>
      </c>
      <c r="DP31" s="243">
        <f t="shared" si="11"/>
        <v>0</v>
      </c>
      <c r="DQ31" s="243">
        <f t="shared" si="11"/>
        <v>0</v>
      </c>
      <c r="DR31" s="243">
        <f t="shared" si="11"/>
        <v>0</v>
      </c>
    </row>
    <row r="32" spans="1:122" ht="16.05" customHeight="1" x14ac:dyDescent="0.3">
      <c r="A32" s="1"/>
      <c r="B32" s="1"/>
      <c r="C32" s="123"/>
      <c r="D32" s="123"/>
      <c r="E32" s="123"/>
      <c r="F32" s="123"/>
      <c r="G32" s="123"/>
      <c r="H32" s="123"/>
      <c r="I32" s="123"/>
      <c r="J32" s="123"/>
      <c r="K32" s="123"/>
      <c r="L32" s="123"/>
      <c r="M32" s="123"/>
      <c r="N32" s="123"/>
      <c r="O32" s="123"/>
      <c r="P32" s="123"/>
      <c r="Q32" s="123"/>
      <c r="R32" s="123"/>
      <c r="S32" s="123"/>
      <c r="T32" s="123"/>
      <c r="U32" s="123"/>
      <c r="V32" s="123"/>
      <c r="W32" s="123"/>
      <c r="X32" s="123"/>
      <c r="Y32" s="123"/>
      <c r="Z32" s="123"/>
      <c r="AA32" s="123"/>
      <c r="AB32" s="123"/>
      <c r="AC32" s="123"/>
      <c r="AD32" s="123"/>
      <c r="AE32" s="123"/>
      <c r="AF32" s="123"/>
      <c r="AG32" s="123"/>
      <c r="AH32" s="123"/>
      <c r="AI32" s="123"/>
      <c r="AJ32" s="123"/>
      <c r="AK32" s="123"/>
      <c r="AL32" s="123"/>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3"/>
      <c r="BQ32" s="123"/>
      <c r="BR32" s="123"/>
      <c r="BS32" s="123"/>
      <c r="BT32" s="123"/>
      <c r="BU32" s="123"/>
      <c r="BV32" s="123"/>
      <c r="BW32" s="123"/>
      <c r="BX32" s="123"/>
      <c r="BY32" s="123"/>
      <c r="BZ32" s="123"/>
      <c r="CA32" s="123"/>
      <c r="CB32" s="123"/>
      <c r="CC32" s="123"/>
      <c r="CD32" s="123"/>
      <c r="CE32" s="123"/>
      <c r="CF32" s="123"/>
      <c r="CG32" s="123"/>
      <c r="CH32" s="123"/>
      <c r="CI32" s="123"/>
      <c r="CJ32" s="123"/>
      <c r="CK32" s="123"/>
      <c r="CL32" s="123"/>
      <c r="CM32" s="123"/>
      <c r="CN32" s="123"/>
      <c r="CO32" s="123"/>
      <c r="CP32" s="123"/>
      <c r="CQ32" s="123"/>
      <c r="CR32" s="123"/>
      <c r="CS32" s="123"/>
      <c r="CT32" s="123"/>
      <c r="CU32" s="123"/>
      <c r="CV32" s="123"/>
      <c r="CW32" s="123"/>
      <c r="CX32" s="123"/>
      <c r="CY32" s="123"/>
      <c r="CZ32" s="123"/>
      <c r="DA32" s="123"/>
      <c r="DB32" s="123"/>
      <c r="DC32" s="123"/>
      <c r="DD32" s="123"/>
      <c r="DE32" s="123"/>
      <c r="DF32" s="123"/>
      <c r="DG32" s="123"/>
      <c r="DH32" s="123"/>
      <c r="DI32" s="123"/>
      <c r="DJ32" s="123"/>
      <c r="DK32" s="123"/>
      <c r="DL32" s="123"/>
      <c r="DM32" s="123"/>
      <c r="DN32" s="123"/>
      <c r="DO32" s="123"/>
      <c r="DP32" s="123"/>
      <c r="DQ32" s="123"/>
      <c r="DR32" s="123"/>
    </row>
    <row r="33" spans="1:122" ht="19.95" customHeight="1" x14ac:dyDescent="0.3">
      <c r="A33" s="3" t="s">
        <v>1124</v>
      </c>
      <c r="B33" s="3"/>
      <c r="C33" s="244"/>
      <c r="D33" s="244"/>
      <c r="E33" s="244"/>
      <c r="F33" s="244"/>
      <c r="G33" s="244"/>
      <c r="H33" s="244"/>
      <c r="I33" s="244"/>
      <c r="J33" s="244"/>
      <c r="K33" s="244"/>
      <c r="L33" s="244"/>
      <c r="M33" s="244"/>
      <c r="N33" s="244"/>
      <c r="O33" s="244"/>
      <c r="P33" s="244"/>
      <c r="Q33" s="244"/>
      <c r="R33" s="244"/>
      <c r="S33" s="244"/>
      <c r="T33" s="244"/>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c r="CN33" s="244"/>
      <c r="CO33" s="244"/>
      <c r="CP33" s="244"/>
      <c r="CQ33" s="244"/>
      <c r="CR33" s="244"/>
      <c r="CS33" s="244"/>
      <c r="CT33" s="244"/>
      <c r="CU33" s="244"/>
      <c r="CV33" s="244"/>
      <c r="CW33" s="244"/>
      <c r="CX33" s="244"/>
      <c r="CY33" s="244"/>
      <c r="CZ33" s="244"/>
      <c r="DA33" s="244"/>
      <c r="DB33" s="244"/>
      <c r="DC33" s="244"/>
      <c r="DD33" s="244"/>
      <c r="DE33" s="244"/>
      <c r="DF33" s="244"/>
      <c r="DG33" s="244"/>
      <c r="DH33" s="244"/>
      <c r="DI33" s="244"/>
      <c r="DJ33" s="244"/>
      <c r="DK33" s="244"/>
      <c r="DL33" s="244"/>
      <c r="DM33" s="244"/>
      <c r="DN33" s="244"/>
      <c r="DO33" s="244"/>
      <c r="DP33" s="244"/>
      <c r="DQ33" s="244"/>
      <c r="DR33" s="244"/>
    </row>
    <row r="34" spans="1:122" ht="16.05" customHeight="1" x14ac:dyDescent="0.3">
      <c r="A34" s="148" t="str" cm="1">
        <f t="array" ref="A34">INDEX(Properties!$E:$E,$B34+5)</f>
        <v>Aires de Campestre Apto 801 (Penthouse)</v>
      </c>
      <c r="B34" s="1">
        <v>1</v>
      </c>
      <c r="C34" s="123" cm="1">
        <f t="array" ref="C34">INDEX(Properties!$D:$D,$B34+5)*(IF(AND(C$3&gt;=INDEX(Properties!$T:$T,$B34+5),C$3&lt;INDEX(Properties!$U:$U,$B34+5)),INDEX(_Seasonality!$C$50:$N$59,$B34,MONTH(EDATE(Input!$C$7,C$3-1)))*MIN(1,(C$3-INDEX(Properties!$T:$T,$B34+5)+1)/Input!$C$11),0))*(1+Input!$C$8)^(C$5-1)</f>
        <v>0</v>
      </c>
      <c r="D34" s="123" cm="1">
        <f t="array" ref="D34">INDEX(Properties!$D:$D,$B34+5)*(IF(AND(D$3&gt;=INDEX(Properties!$T:$T,$B34+5),D$3&lt;INDEX(Properties!$U:$U,$B34+5)),INDEX(_Seasonality!$C$50:$N$59,$B34,MONTH(EDATE(Input!$C$7,D$3-1)))*MIN(1,(D$3-INDEX(Properties!$T:$T,$B34+5)+1)/Input!$C$11),0))*(1+Input!$C$8)^(D$5-1)</f>
        <v>0</v>
      </c>
      <c r="E34" s="123" cm="1">
        <f t="array" ref="E34">INDEX(Properties!$D:$D,$B34+5)*(IF(AND(E$3&gt;=INDEX(Properties!$T:$T,$B34+5),E$3&lt;INDEX(Properties!$U:$U,$B34+5)),INDEX(_Seasonality!$C$50:$N$59,$B34,MONTH(EDATE(Input!$C$7,E$3-1)))*MIN(1,(E$3-INDEX(Properties!$T:$T,$B34+5)+1)/Input!$C$11),0))*(1+Input!$C$8)^(E$5-1)</f>
        <v>0</v>
      </c>
      <c r="F34" s="123" cm="1">
        <f t="array" ref="F34">INDEX(Properties!$D:$D,$B34+5)*(IF(AND(F$3&gt;=INDEX(Properties!$T:$T,$B34+5),F$3&lt;INDEX(Properties!$U:$U,$B34+5)),INDEX(_Seasonality!$C$50:$N$59,$B34,MONTH(EDATE(Input!$C$7,F$3-1)))*MIN(1,(F$3-INDEX(Properties!$T:$T,$B34+5)+1)/Input!$C$11),0))*(1+Input!$C$8)^(F$5-1)</f>
        <v>0</v>
      </c>
      <c r="G34" s="123" cm="1">
        <f t="array" ref="G34">INDEX(Properties!$D:$D,$B34+5)*(IF(AND(G$3&gt;=INDEX(Properties!$T:$T,$B34+5),G$3&lt;INDEX(Properties!$U:$U,$B34+5)),INDEX(_Seasonality!$C$50:$N$59,$B34,MONTH(EDATE(Input!$C$7,G$3-1)))*MIN(1,(G$3-INDEX(Properties!$T:$T,$B34+5)+1)/Input!$C$11),0))*(1+Input!$C$8)^(G$5-1)</f>
        <v>0</v>
      </c>
      <c r="H34" s="123" cm="1">
        <f t="array" ref="H34">INDEX(Properties!$D:$D,$B34+5)*(IF(AND(H$3&gt;=INDEX(Properties!$T:$T,$B34+5),H$3&lt;INDEX(Properties!$U:$U,$B34+5)),INDEX(_Seasonality!$C$50:$N$59,$B34,MONTH(EDATE(Input!$C$7,H$3-1)))*MIN(1,(H$3-INDEX(Properties!$T:$T,$B34+5)+1)/Input!$C$11),0))*(1+Input!$C$8)^(H$5-1)</f>
        <v>0</v>
      </c>
      <c r="I34" s="123" cm="1">
        <f t="array" ref="I34">INDEX(Properties!$D:$D,$B34+5)*(IF(AND(I$3&gt;=INDEX(Properties!$T:$T,$B34+5),I$3&lt;INDEX(Properties!$U:$U,$B34+5)),INDEX(_Seasonality!$C$50:$N$59,$B34,MONTH(EDATE(Input!$C$7,I$3-1)))*MIN(1,(I$3-INDEX(Properties!$T:$T,$B34+5)+1)/Input!$C$11),0))*(1+Input!$C$8)^(I$5-1)</f>
        <v>0</v>
      </c>
      <c r="J34" s="123" cm="1">
        <f t="array" ref="J34">INDEX(Properties!$D:$D,$B34+5)*(IF(AND(J$3&gt;=INDEX(Properties!$T:$T,$B34+5),J$3&lt;INDEX(Properties!$U:$U,$B34+5)),INDEX(_Seasonality!$C$50:$N$59,$B34,MONTH(EDATE(Input!$C$7,J$3-1)))*MIN(1,(J$3-INDEX(Properties!$T:$T,$B34+5)+1)/Input!$C$11),0))*(1+Input!$C$8)^(J$5-1)</f>
        <v>3841.8300000000008</v>
      </c>
      <c r="K34" s="123" cm="1">
        <f t="array" ref="K34">INDEX(Properties!$D:$D,$B34+5)*(IF(AND(K$3&gt;=INDEX(Properties!$T:$T,$B34+5),K$3&lt;INDEX(Properties!$U:$U,$B34+5)),INDEX(_Seasonality!$C$50:$N$59,$B34,MONTH(EDATE(Input!$C$7,K$3-1)))*MIN(1,(K$3-INDEX(Properties!$T:$T,$B34+5)+1)/Input!$C$11),0))*(1+Input!$C$8)^(K$5-1)</f>
        <v>5103</v>
      </c>
      <c r="L34" s="123" cm="1">
        <f t="array" ref="L34">INDEX(Properties!$D:$D,$B34+5)*(IF(AND(L$3&gt;=INDEX(Properties!$T:$T,$B34+5),L$3&lt;INDEX(Properties!$U:$U,$B34+5)),INDEX(_Seasonality!$C$50:$N$59,$B34,MONTH(EDATE(Input!$C$7,L$3-1)))*MIN(1,(L$3-INDEX(Properties!$T:$T,$B34+5)+1)/Input!$C$11),0))*(1+Input!$C$8)^(L$5-1)</f>
        <v>6064.0650000000005</v>
      </c>
      <c r="M34" s="123" cm="1">
        <f t="array" ref="M34">INDEX(Properties!$D:$D,$B34+5)*(IF(AND(M$3&gt;=INDEX(Properties!$T:$T,$B34+5),M$3&lt;INDEX(Properties!$U:$U,$B34+5)),INDEX(_Seasonality!$C$50:$N$59,$B34,MONTH(EDATE(Input!$C$7,M$3-1)))*MIN(1,(M$3-INDEX(Properties!$T:$T,$B34+5)+1)/Input!$C$11),0))*(1+Input!$C$8)^(M$5-1)</f>
        <v>6352.83</v>
      </c>
      <c r="N34" s="123" cm="1">
        <f t="array" ref="N34">INDEX(Properties!$D:$D,$B34+5)*(IF(AND(N$3&gt;=INDEX(Properties!$T:$T,$B34+5),N$3&lt;INDEX(Properties!$U:$U,$B34+5)),INDEX(_Seasonality!$C$50:$N$59,$B34,MONTH(EDATE(Input!$C$7,N$3-1)))*MIN(1,(N$3-INDEX(Properties!$T:$T,$B34+5)+1)/Input!$C$11),0))*(1+Input!$C$8)^(N$5-1)</f>
        <v>4155.3000000000011</v>
      </c>
      <c r="O34" s="123" cm="1">
        <f t="array" ref="O34">INDEX(Properties!$D:$D,$B34+5)*(IF(AND(O$3&gt;=INDEX(Properties!$T:$T,$B34+5),O$3&lt;INDEX(Properties!$U:$U,$B34+5)),INDEX(_Seasonality!$C$50:$N$59,$B34,MONTH(EDATE(Input!$C$7,O$3-1)))*MIN(1,(O$3-INDEX(Properties!$T:$T,$B34+5)+1)/Input!$C$11),0))*(1+Input!$C$8)^(O$5-1)</f>
        <v>4379.6862000000001</v>
      </c>
      <c r="P34" s="123" cm="1">
        <f t="array" ref="P34">INDEX(Properties!$D:$D,$B34+5)*(IF(AND(P$3&gt;=INDEX(Properties!$T:$T,$B34+5),P$3&lt;INDEX(Properties!$U:$U,$B34+5)),INDEX(_Seasonality!$C$50:$N$59,$B34,MONTH(EDATE(Input!$C$7,P$3-1)))*MIN(1,(P$3-INDEX(Properties!$T:$T,$B34+5)+1)/Input!$C$11),0))*(1+Input!$C$8)^(P$5-1)</f>
        <v>4473.8729999999996</v>
      </c>
      <c r="Q34" s="123" cm="1">
        <f t="array" ref="Q34">INDEX(Properties!$D:$D,$B34+5)*(IF(AND(Q$3&gt;=INDEX(Properties!$T:$T,$B34+5),Q$3&lt;INDEX(Properties!$U:$U,$B34+5)),INDEX(_Seasonality!$C$50:$N$59,$B34,MONTH(EDATE(Input!$C$7,Q$3-1)))*MIN(1,(Q$3-INDEX(Properties!$T:$T,$B34+5)+1)/Input!$C$11),0))*(1+Input!$C$8)^(Q$5-1)</f>
        <v>6198.1524000000018</v>
      </c>
      <c r="R34" s="123" cm="1">
        <f t="array" ref="R34">INDEX(Properties!$D:$D,$B34+5)*(IF(AND(R$3&gt;=INDEX(Properties!$T:$T,$B34+5),R$3&lt;INDEX(Properties!$U:$U,$B34+5)),INDEX(_Seasonality!$C$50:$N$59,$B34,MONTH(EDATE(Input!$C$7,R$3-1)))*MIN(1,(R$3-INDEX(Properties!$T:$T,$B34+5)+1)/Input!$C$11),0))*(1+Input!$C$8)^(R$5-1)</f>
        <v>6479.8865999999998</v>
      </c>
      <c r="S34" s="123" cm="1">
        <f t="array" ref="S34">INDEX(Properties!$D:$D,$B34+5)*(IF(AND(S$3&gt;=INDEX(Properties!$T:$T,$B34+5),S$3&lt;INDEX(Properties!$U:$U,$B34+5)),INDEX(_Seasonality!$C$50:$N$59,$B34,MONTH(EDATE(Input!$C$7,S$3-1)))*MIN(1,(S$3-INDEX(Properties!$T:$T,$B34+5)+1)/Input!$C$11),0))*(1+Input!$C$8)^(S$5-1)</f>
        <v>4626.72</v>
      </c>
      <c r="T34" s="123" cm="1">
        <f t="array" ref="T34">INDEX(Properties!$D:$D,$B34+5)*(IF(AND(T$3&gt;=INDEX(Properties!$T:$T,$B34+5),T$3&lt;INDEX(Properties!$U:$U,$B34+5)),INDEX(_Seasonality!$C$50:$N$59,$B34,MONTH(EDATE(Input!$C$7,T$3-1)))*MIN(1,(T$3-INDEX(Properties!$T:$T,$B34+5)+1)/Input!$C$11),0))*(1+Input!$C$8)^(T$5-1)</f>
        <v>4623.0020999999997</v>
      </c>
      <c r="U34" s="123" cm="1">
        <f t="array" ref="U34">INDEX(Properties!$D:$D,$B34+5)*(IF(AND(U$3&gt;=INDEX(Properties!$T:$T,$B34+5),U$3&lt;INDEX(Properties!$U:$U,$B34+5)),INDEX(_Seasonality!$C$50:$N$59,$B34,MONTH(EDATE(Input!$C$7,U$3-1)))*MIN(1,(U$3-INDEX(Properties!$T:$T,$B34+5)+1)/Input!$C$11),0))*(1+Input!$C$8)^(U$5-1)</f>
        <v>4002.9390000000003</v>
      </c>
      <c r="V34" s="123" cm="1">
        <f t="array" ref="V34">INDEX(Properties!$D:$D,$B34+5)*(IF(AND(V$3&gt;=INDEX(Properties!$T:$T,$B34+5),V$3&lt;INDEX(Properties!$U:$U,$B34+5)),INDEX(_Seasonality!$C$50:$N$59,$B34,MONTH(EDATE(Input!$C$7,V$3-1)))*MIN(1,(V$3-INDEX(Properties!$T:$T,$B34+5)+1)/Input!$C$11),0))*(1+Input!$C$8)^(V$5-1)</f>
        <v>3918.6666000000009</v>
      </c>
      <c r="W34" s="123" cm="1">
        <f t="array" ref="W34">INDEX(Properties!$D:$D,$B34+5)*(IF(AND(W$3&gt;=INDEX(Properties!$T:$T,$B34+5),W$3&lt;INDEX(Properties!$U:$U,$B34+5)),INDEX(_Seasonality!$C$50:$N$59,$B34,MONTH(EDATE(Input!$C$7,W$3-1)))*MIN(1,(W$3-INDEX(Properties!$T:$T,$B34+5)+1)/Input!$C$11),0))*(1+Input!$C$8)^(W$5-1)</f>
        <v>5205.0600000000004</v>
      </c>
      <c r="X34" s="123" cm="1">
        <f t="array" ref="X34">INDEX(Properties!$D:$D,$B34+5)*(IF(AND(X$3&gt;=INDEX(Properties!$T:$T,$B34+5),X$3&lt;INDEX(Properties!$U:$U,$B34+5)),INDEX(_Seasonality!$C$50:$N$59,$B34,MONTH(EDATE(Input!$C$7,X$3-1)))*MIN(1,(X$3-INDEX(Properties!$T:$T,$B34+5)+1)/Input!$C$11),0))*(1+Input!$C$8)^(X$5-1)</f>
        <v>6185.3463000000011</v>
      </c>
      <c r="Y34" s="123" cm="1">
        <f t="array" ref="Y34">INDEX(Properties!$D:$D,$B34+5)*(IF(AND(Y$3&gt;=INDEX(Properties!$T:$T,$B34+5),Y$3&lt;INDEX(Properties!$U:$U,$B34+5)),INDEX(_Seasonality!$C$50:$N$59,$B34,MONTH(EDATE(Input!$C$7,Y$3-1)))*MIN(1,(Y$3-INDEX(Properties!$T:$T,$B34+5)+1)/Input!$C$11),0))*(1+Input!$C$8)^(Y$5-1)</f>
        <v>6479.8865999999998</v>
      </c>
      <c r="Z34" s="123" cm="1">
        <f t="array" ref="Z34">INDEX(Properties!$D:$D,$B34+5)*(IF(AND(Z$3&gt;=INDEX(Properties!$T:$T,$B34+5),Z$3&lt;INDEX(Properties!$U:$U,$B34+5)),INDEX(_Seasonality!$C$50:$N$59,$B34,MONTH(EDATE(Input!$C$7,Z$3-1)))*MIN(1,(Z$3-INDEX(Properties!$T:$T,$B34+5)+1)/Input!$C$11),0))*(1+Input!$C$8)^(Z$5-1)</f>
        <v>4238.4060000000009</v>
      </c>
      <c r="AA34" s="123" cm="1">
        <f t="array" ref="AA34">INDEX(Properties!$D:$D,$B34+5)*(IF(AND(AA$3&gt;=INDEX(Properties!$T:$T,$B34+5),AA$3&lt;INDEX(Properties!$U:$U,$B34+5)),INDEX(_Seasonality!$C$50:$N$59,$B34,MONTH(EDATE(Input!$C$7,AA$3-1)))*MIN(1,(AA$3-INDEX(Properties!$T:$T,$B34+5)+1)/Input!$C$11),0))*(1+Input!$C$8)^(AA$5-1)</f>
        <v>4467.2799240000004</v>
      </c>
      <c r="AB34" s="123" cm="1">
        <f t="array" ref="AB34">INDEX(Properties!$D:$D,$B34+5)*(IF(AND(AB$3&gt;=INDEX(Properties!$T:$T,$B34+5),AB$3&lt;INDEX(Properties!$U:$U,$B34+5)),INDEX(_Seasonality!$C$50:$N$59,$B34,MONTH(EDATE(Input!$C$7,AB$3-1)))*MIN(1,(AB$3-INDEX(Properties!$T:$T,$B34+5)+1)/Input!$C$11),0))*(1+Input!$C$8)^(AB$5-1)</f>
        <v>4563.3504599999997</v>
      </c>
      <c r="AC34" s="123" cm="1">
        <f t="array" ref="AC34">INDEX(Properties!$D:$D,$B34+5)*(IF(AND(AC$3&gt;=INDEX(Properties!$T:$T,$B34+5),AC$3&lt;INDEX(Properties!$U:$U,$B34+5)),INDEX(_Seasonality!$C$50:$N$59,$B34,MONTH(EDATE(Input!$C$7,AC$3-1)))*MIN(1,(AC$3-INDEX(Properties!$T:$T,$B34+5)+1)/Input!$C$11),0))*(1+Input!$C$8)^(AC$5-1)</f>
        <v>6322.1154480000014</v>
      </c>
      <c r="AD34" s="123" cm="1">
        <f t="array" ref="AD34">INDEX(Properties!$D:$D,$B34+5)*(IF(AND(AD$3&gt;=INDEX(Properties!$T:$T,$B34+5),AD$3&lt;INDEX(Properties!$U:$U,$B34+5)),INDEX(_Seasonality!$C$50:$N$59,$B34,MONTH(EDATE(Input!$C$7,AD$3-1)))*MIN(1,(AD$3-INDEX(Properties!$T:$T,$B34+5)+1)/Input!$C$11),0))*(1+Input!$C$8)^(AD$5-1)</f>
        <v>6609.484332</v>
      </c>
      <c r="AE34" s="123" cm="1">
        <f t="array" ref="AE34">INDEX(Properties!$D:$D,$B34+5)*(IF(AND(AE$3&gt;=INDEX(Properties!$T:$T,$B34+5),AE$3&lt;INDEX(Properties!$U:$U,$B34+5)),INDEX(_Seasonality!$C$50:$N$59,$B34,MONTH(EDATE(Input!$C$7,AE$3-1)))*MIN(1,(AE$3-INDEX(Properties!$T:$T,$B34+5)+1)/Input!$C$11),0))*(1+Input!$C$8)^(AE$5-1)</f>
        <v>4719.2543999999998</v>
      </c>
      <c r="AF34" s="123" cm="1">
        <f t="array" ref="AF34">INDEX(Properties!$D:$D,$B34+5)*(IF(AND(AF$3&gt;=INDEX(Properties!$T:$T,$B34+5),AF$3&lt;INDEX(Properties!$U:$U,$B34+5)),INDEX(_Seasonality!$C$50:$N$59,$B34,MONTH(EDATE(Input!$C$7,AF$3-1)))*MIN(1,(AF$3-INDEX(Properties!$T:$T,$B34+5)+1)/Input!$C$11),0))*(1+Input!$C$8)^(AF$5-1)</f>
        <v>0</v>
      </c>
      <c r="AG34" s="123" cm="1">
        <f t="array" ref="AG34">INDEX(Properties!$D:$D,$B34+5)*(IF(AND(AG$3&gt;=INDEX(Properties!$T:$T,$B34+5),AG$3&lt;INDEX(Properties!$U:$U,$B34+5)),INDEX(_Seasonality!$C$50:$N$59,$B34,MONTH(EDATE(Input!$C$7,AG$3-1)))*MIN(1,(AG$3-INDEX(Properties!$T:$T,$B34+5)+1)/Input!$C$11),0))*(1+Input!$C$8)^(AG$5-1)</f>
        <v>0</v>
      </c>
      <c r="AH34" s="123" cm="1">
        <f t="array" ref="AH34">INDEX(Properties!$D:$D,$B34+5)*(IF(AND(AH$3&gt;=INDEX(Properties!$T:$T,$B34+5),AH$3&lt;INDEX(Properties!$U:$U,$B34+5)),INDEX(_Seasonality!$C$50:$N$59,$B34,MONTH(EDATE(Input!$C$7,AH$3-1)))*MIN(1,(AH$3-INDEX(Properties!$T:$T,$B34+5)+1)/Input!$C$11),0))*(1+Input!$C$8)^(AH$5-1)</f>
        <v>0</v>
      </c>
      <c r="AI34" s="123" cm="1">
        <f t="array" ref="AI34">INDEX(Properties!$D:$D,$B34+5)*(IF(AND(AI$3&gt;=INDEX(Properties!$T:$T,$B34+5),AI$3&lt;INDEX(Properties!$U:$U,$B34+5)),INDEX(_Seasonality!$C$50:$N$59,$B34,MONTH(EDATE(Input!$C$7,AI$3-1)))*MIN(1,(AI$3-INDEX(Properties!$T:$T,$B34+5)+1)/Input!$C$11),0))*(1+Input!$C$8)^(AI$5-1)</f>
        <v>0</v>
      </c>
      <c r="AJ34" s="123" cm="1">
        <f t="array" ref="AJ34">INDEX(Properties!$D:$D,$B34+5)*(IF(AND(AJ$3&gt;=INDEX(Properties!$T:$T,$B34+5),AJ$3&lt;INDEX(Properties!$U:$U,$B34+5)),INDEX(_Seasonality!$C$50:$N$59,$B34,MONTH(EDATE(Input!$C$7,AJ$3-1)))*MIN(1,(AJ$3-INDEX(Properties!$T:$T,$B34+5)+1)/Input!$C$11),0))*(1+Input!$C$8)^(AJ$5-1)</f>
        <v>0</v>
      </c>
      <c r="AK34" s="123" cm="1">
        <f t="array" ref="AK34">INDEX(Properties!$D:$D,$B34+5)*(IF(AND(AK$3&gt;=INDEX(Properties!$T:$T,$B34+5),AK$3&lt;INDEX(Properties!$U:$U,$B34+5)),INDEX(_Seasonality!$C$50:$N$59,$B34,MONTH(EDATE(Input!$C$7,AK$3-1)))*MIN(1,(AK$3-INDEX(Properties!$T:$T,$B34+5)+1)/Input!$C$11),0))*(1+Input!$C$8)^(AK$5-1)</f>
        <v>0</v>
      </c>
      <c r="AL34" s="123" cm="1">
        <f t="array" ref="AL34">INDEX(Properties!$D:$D,$B34+5)*(IF(AND(AL$3&gt;=INDEX(Properties!$T:$T,$B34+5),AL$3&lt;INDEX(Properties!$U:$U,$B34+5)),INDEX(_Seasonality!$C$50:$N$59,$B34,MONTH(EDATE(Input!$C$7,AL$3-1)))*MIN(1,(AL$3-INDEX(Properties!$T:$T,$B34+5)+1)/Input!$C$11),0))*(1+Input!$C$8)^(AL$5-1)</f>
        <v>0</v>
      </c>
      <c r="AM34" s="123" cm="1">
        <f t="array" ref="AM34">INDEX(Properties!$D:$D,$B34+5)*(IF(AND(AM$3&gt;=INDEX(Properties!$T:$T,$B34+5),AM$3&lt;INDEX(Properties!$U:$U,$B34+5)),INDEX(_Seasonality!$C$50:$N$59,$B34,MONTH(EDATE(Input!$C$7,AM$3-1)))*MIN(1,(AM$3-INDEX(Properties!$T:$T,$B34+5)+1)/Input!$C$11),0))*(1+Input!$C$8)^(AM$5-1)</f>
        <v>0</v>
      </c>
      <c r="AN34" s="123" cm="1">
        <f t="array" ref="AN34">INDEX(Properties!$D:$D,$B34+5)*(IF(AND(AN$3&gt;=INDEX(Properties!$T:$T,$B34+5),AN$3&lt;INDEX(Properties!$U:$U,$B34+5)),INDEX(_Seasonality!$C$50:$N$59,$B34,MONTH(EDATE(Input!$C$7,AN$3-1)))*MIN(1,(AN$3-INDEX(Properties!$T:$T,$B34+5)+1)/Input!$C$11),0))*(1+Input!$C$8)^(AN$5-1)</f>
        <v>0</v>
      </c>
      <c r="AO34" s="123" cm="1">
        <f t="array" ref="AO34">INDEX(Properties!$D:$D,$B34+5)*(IF(AND(AO$3&gt;=INDEX(Properties!$T:$T,$B34+5),AO$3&lt;INDEX(Properties!$U:$U,$B34+5)),INDEX(_Seasonality!$C$50:$N$59,$B34,MONTH(EDATE(Input!$C$7,AO$3-1)))*MIN(1,(AO$3-INDEX(Properties!$T:$T,$B34+5)+1)/Input!$C$11),0))*(1+Input!$C$8)^(AO$5-1)</f>
        <v>0</v>
      </c>
      <c r="AP34" s="123" cm="1">
        <f t="array" ref="AP34">INDEX(Properties!$D:$D,$B34+5)*(IF(AND(AP$3&gt;=INDEX(Properties!$T:$T,$B34+5),AP$3&lt;INDEX(Properties!$U:$U,$B34+5)),INDEX(_Seasonality!$C$50:$N$59,$B34,MONTH(EDATE(Input!$C$7,AP$3-1)))*MIN(1,(AP$3-INDEX(Properties!$T:$T,$B34+5)+1)/Input!$C$11),0))*(1+Input!$C$8)^(AP$5-1)</f>
        <v>0</v>
      </c>
      <c r="AQ34" s="123" cm="1">
        <f t="array" ref="AQ34">INDEX(Properties!$D:$D,$B34+5)*(IF(AND(AQ$3&gt;=INDEX(Properties!$T:$T,$B34+5),AQ$3&lt;INDEX(Properties!$U:$U,$B34+5)),INDEX(_Seasonality!$C$50:$N$59,$B34,MONTH(EDATE(Input!$C$7,AQ$3-1)))*MIN(1,(AQ$3-INDEX(Properties!$T:$T,$B34+5)+1)/Input!$C$11),0))*(1+Input!$C$8)^(AQ$5-1)</f>
        <v>0</v>
      </c>
      <c r="AR34" s="123" cm="1">
        <f t="array" ref="AR34">INDEX(Properties!$D:$D,$B34+5)*(IF(AND(AR$3&gt;=INDEX(Properties!$T:$T,$B34+5),AR$3&lt;INDEX(Properties!$U:$U,$B34+5)),INDEX(_Seasonality!$C$50:$N$59,$B34,MONTH(EDATE(Input!$C$7,AR$3-1)))*MIN(1,(AR$3-INDEX(Properties!$T:$T,$B34+5)+1)/Input!$C$11),0))*(1+Input!$C$8)^(AR$5-1)</f>
        <v>0</v>
      </c>
      <c r="AS34" s="123" cm="1">
        <f t="array" ref="AS34">INDEX(Properties!$D:$D,$B34+5)*(IF(AND(AS$3&gt;=INDEX(Properties!$T:$T,$B34+5),AS$3&lt;INDEX(Properties!$U:$U,$B34+5)),INDEX(_Seasonality!$C$50:$N$59,$B34,MONTH(EDATE(Input!$C$7,AS$3-1)))*MIN(1,(AS$3-INDEX(Properties!$T:$T,$B34+5)+1)/Input!$C$11),0))*(1+Input!$C$8)^(AS$5-1)</f>
        <v>0</v>
      </c>
      <c r="AT34" s="123" cm="1">
        <f t="array" ref="AT34">INDEX(Properties!$D:$D,$B34+5)*(IF(AND(AT$3&gt;=INDEX(Properties!$T:$T,$B34+5),AT$3&lt;INDEX(Properties!$U:$U,$B34+5)),INDEX(_Seasonality!$C$50:$N$59,$B34,MONTH(EDATE(Input!$C$7,AT$3-1)))*MIN(1,(AT$3-INDEX(Properties!$T:$T,$B34+5)+1)/Input!$C$11),0))*(1+Input!$C$8)^(AT$5-1)</f>
        <v>0</v>
      </c>
      <c r="AU34" s="123" cm="1">
        <f t="array" ref="AU34">INDEX(Properties!$D:$D,$B34+5)*(IF(AND(AU$3&gt;=INDEX(Properties!$T:$T,$B34+5),AU$3&lt;INDEX(Properties!$U:$U,$B34+5)),INDEX(_Seasonality!$C$50:$N$59,$B34,MONTH(EDATE(Input!$C$7,AU$3-1)))*MIN(1,(AU$3-INDEX(Properties!$T:$T,$B34+5)+1)/Input!$C$11),0))*(1+Input!$C$8)^(AU$5-1)</f>
        <v>0</v>
      </c>
      <c r="AV34" s="123" cm="1">
        <f t="array" ref="AV34">INDEX(Properties!$D:$D,$B34+5)*(IF(AND(AV$3&gt;=INDEX(Properties!$T:$T,$B34+5),AV$3&lt;INDEX(Properties!$U:$U,$B34+5)),INDEX(_Seasonality!$C$50:$N$59,$B34,MONTH(EDATE(Input!$C$7,AV$3-1)))*MIN(1,(AV$3-INDEX(Properties!$T:$T,$B34+5)+1)/Input!$C$11),0))*(1+Input!$C$8)^(AV$5-1)</f>
        <v>0</v>
      </c>
      <c r="AW34" s="123" cm="1">
        <f t="array" ref="AW34">INDEX(Properties!$D:$D,$B34+5)*(IF(AND(AW$3&gt;=INDEX(Properties!$T:$T,$B34+5),AW$3&lt;INDEX(Properties!$U:$U,$B34+5)),INDEX(_Seasonality!$C$50:$N$59,$B34,MONTH(EDATE(Input!$C$7,AW$3-1)))*MIN(1,(AW$3-INDEX(Properties!$T:$T,$B34+5)+1)/Input!$C$11),0))*(1+Input!$C$8)^(AW$5-1)</f>
        <v>0</v>
      </c>
      <c r="AX34" s="123" cm="1">
        <f t="array" ref="AX34">INDEX(Properties!$D:$D,$B34+5)*(IF(AND(AX$3&gt;=INDEX(Properties!$T:$T,$B34+5),AX$3&lt;INDEX(Properties!$U:$U,$B34+5)),INDEX(_Seasonality!$C$50:$N$59,$B34,MONTH(EDATE(Input!$C$7,AX$3-1)))*MIN(1,(AX$3-INDEX(Properties!$T:$T,$B34+5)+1)/Input!$C$11),0))*(1+Input!$C$8)^(AX$5-1)</f>
        <v>0</v>
      </c>
      <c r="AY34" s="123" cm="1">
        <f t="array" ref="AY34">INDEX(Properties!$D:$D,$B34+5)*(IF(AND(AY$3&gt;=INDEX(Properties!$T:$T,$B34+5),AY$3&lt;INDEX(Properties!$U:$U,$B34+5)),INDEX(_Seasonality!$C$50:$N$59,$B34,MONTH(EDATE(Input!$C$7,AY$3-1)))*MIN(1,(AY$3-INDEX(Properties!$T:$T,$B34+5)+1)/Input!$C$11),0))*(1+Input!$C$8)^(AY$5-1)</f>
        <v>0</v>
      </c>
      <c r="AZ34" s="123" cm="1">
        <f t="array" ref="AZ34">INDEX(Properties!$D:$D,$B34+5)*(IF(AND(AZ$3&gt;=INDEX(Properties!$T:$T,$B34+5),AZ$3&lt;INDEX(Properties!$U:$U,$B34+5)),INDEX(_Seasonality!$C$50:$N$59,$B34,MONTH(EDATE(Input!$C$7,AZ$3-1)))*MIN(1,(AZ$3-INDEX(Properties!$T:$T,$B34+5)+1)/Input!$C$11),0))*(1+Input!$C$8)^(AZ$5-1)</f>
        <v>0</v>
      </c>
      <c r="BA34" s="123" cm="1">
        <f t="array" ref="BA34">INDEX(Properties!$D:$D,$B34+5)*(IF(AND(BA$3&gt;=INDEX(Properties!$T:$T,$B34+5),BA$3&lt;INDEX(Properties!$U:$U,$B34+5)),INDEX(_Seasonality!$C$50:$N$59,$B34,MONTH(EDATE(Input!$C$7,BA$3-1)))*MIN(1,(BA$3-INDEX(Properties!$T:$T,$B34+5)+1)/Input!$C$11),0))*(1+Input!$C$8)^(BA$5-1)</f>
        <v>0</v>
      </c>
      <c r="BB34" s="123" cm="1">
        <f t="array" ref="BB34">INDEX(Properties!$D:$D,$B34+5)*(IF(AND(BB$3&gt;=INDEX(Properties!$T:$T,$B34+5),BB$3&lt;INDEX(Properties!$U:$U,$B34+5)),INDEX(_Seasonality!$C$50:$N$59,$B34,MONTH(EDATE(Input!$C$7,BB$3-1)))*MIN(1,(BB$3-INDEX(Properties!$T:$T,$B34+5)+1)/Input!$C$11),0))*(1+Input!$C$8)^(BB$5-1)</f>
        <v>0</v>
      </c>
      <c r="BC34" s="123" cm="1">
        <f t="array" ref="BC34">INDEX(Properties!$D:$D,$B34+5)*(IF(AND(BC$3&gt;=INDEX(Properties!$T:$T,$B34+5),BC$3&lt;INDEX(Properties!$U:$U,$B34+5)),INDEX(_Seasonality!$C$50:$N$59,$B34,MONTH(EDATE(Input!$C$7,BC$3-1)))*MIN(1,(BC$3-INDEX(Properties!$T:$T,$B34+5)+1)/Input!$C$11),0))*(1+Input!$C$8)^(BC$5-1)</f>
        <v>0</v>
      </c>
      <c r="BD34" s="123" cm="1">
        <f t="array" ref="BD34">INDEX(Properties!$D:$D,$B34+5)*(IF(AND(BD$3&gt;=INDEX(Properties!$T:$T,$B34+5),BD$3&lt;INDEX(Properties!$U:$U,$B34+5)),INDEX(_Seasonality!$C$50:$N$59,$B34,MONTH(EDATE(Input!$C$7,BD$3-1)))*MIN(1,(BD$3-INDEX(Properties!$T:$T,$B34+5)+1)/Input!$C$11),0))*(1+Input!$C$8)^(BD$5-1)</f>
        <v>0</v>
      </c>
      <c r="BE34" s="123" cm="1">
        <f t="array" ref="BE34">INDEX(Properties!$D:$D,$B34+5)*(IF(AND(BE$3&gt;=INDEX(Properties!$T:$T,$B34+5),BE$3&lt;INDEX(Properties!$U:$U,$B34+5)),INDEX(_Seasonality!$C$50:$N$59,$B34,MONTH(EDATE(Input!$C$7,BE$3-1)))*MIN(1,(BE$3-INDEX(Properties!$T:$T,$B34+5)+1)/Input!$C$11),0))*(1+Input!$C$8)^(BE$5-1)</f>
        <v>0</v>
      </c>
      <c r="BF34" s="123" cm="1">
        <f t="array" ref="BF34">INDEX(Properties!$D:$D,$B34+5)*(IF(AND(BF$3&gt;=INDEX(Properties!$T:$T,$B34+5),BF$3&lt;INDEX(Properties!$U:$U,$B34+5)),INDEX(_Seasonality!$C$50:$N$59,$B34,MONTH(EDATE(Input!$C$7,BF$3-1)))*MIN(1,(BF$3-INDEX(Properties!$T:$T,$B34+5)+1)/Input!$C$11),0))*(1+Input!$C$8)^(BF$5-1)</f>
        <v>0</v>
      </c>
      <c r="BG34" s="123" cm="1">
        <f t="array" ref="BG34">INDEX(Properties!$D:$D,$B34+5)*(IF(AND(BG$3&gt;=INDEX(Properties!$T:$T,$B34+5),BG$3&lt;INDEX(Properties!$U:$U,$B34+5)),INDEX(_Seasonality!$C$50:$N$59,$B34,MONTH(EDATE(Input!$C$7,BG$3-1)))*MIN(1,(BG$3-INDEX(Properties!$T:$T,$B34+5)+1)/Input!$C$11),0))*(1+Input!$C$8)^(BG$5-1)</f>
        <v>0</v>
      </c>
      <c r="BH34" s="123" cm="1">
        <f t="array" ref="BH34">INDEX(Properties!$D:$D,$B34+5)*(IF(AND(BH$3&gt;=INDEX(Properties!$T:$T,$B34+5),BH$3&lt;INDEX(Properties!$U:$U,$B34+5)),INDEX(_Seasonality!$C$50:$N$59,$B34,MONTH(EDATE(Input!$C$7,BH$3-1)))*MIN(1,(BH$3-INDEX(Properties!$T:$T,$B34+5)+1)/Input!$C$11),0))*(1+Input!$C$8)^(BH$5-1)</f>
        <v>0</v>
      </c>
      <c r="BI34" s="123" cm="1">
        <f t="array" ref="BI34">INDEX(Properties!$D:$D,$B34+5)*(IF(AND(BI$3&gt;=INDEX(Properties!$T:$T,$B34+5),BI$3&lt;INDEX(Properties!$U:$U,$B34+5)),INDEX(_Seasonality!$C$50:$N$59,$B34,MONTH(EDATE(Input!$C$7,BI$3-1)))*MIN(1,(BI$3-INDEX(Properties!$T:$T,$B34+5)+1)/Input!$C$11),0))*(1+Input!$C$8)^(BI$5-1)</f>
        <v>0</v>
      </c>
      <c r="BJ34" s="123" cm="1">
        <f t="array" ref="BJ34">INDEX(Properties!$D:$D,$B34+5)*(IF(AND(BJ$3&gt;=INDEX(Properties!$T:$T,$B34+5),BJ$3&lt;INDEX(Properties!$U:$U,$B34+5)),INDEX(_Seasonality!$C$50:$N$59,$B34,MONTH(EDATE(Input!$C$7,BJ$3-1)))*MIN(1,(BJ$3-INDEX(Properties!$T:$T,$B34+5)+1)/Input!$C$11),0))*(1+Input!$C$8)^(BJ$5-1)</f>
        <v>0</v>
      </c>
      <c r="BK34" s="123" cm="1">
        <f t="array" ref="BK34">INDEX(Properties!$D:$D,$B34+5)*(IF(AND(BK$3&gt;=INDEX(Properties!$T:$T,$B34+5),BK$3&lt;INDEX(Properties!$U:$U,$B34+5)),INDEX(_Seasonality!$C$50:$N$59,$B34,MONTH(EDATE(Input!$C$7,BK$3-1)))*MIN(1,(BK$3-INDEX(Properties!$T:$T,$B34+5)+1)/Input!$C$11),0))*(1+Input!$C$8)^(BK$5-1)</f>
        <v>0</v>
      </c>
      <c r="BL34" s="123" cm="1">
        <f t="array" ref="BL34">INDEX(Properties!$D:$D,$B34+5)*(IF(AND(BL$3&gt;=INDEX(Properties!$T:$T,$B34+5),BL$3&lt;INDEX(Properties!$U:$U,$B34+5)),INDEX(_Seasonality!$C$50:$N$59,$B34,MONTH(EDATE(Input!$C$7,BL$3-1)))*MIN(1,(BL$3-INDEX(Properties!$T:$T,$B34+5)+1)/Input!$C$11),0))*(1+Input!$C$8)^(BL$5-1)</f>
        <v>0</v>
      </c>
      <c r="BM34" s="123" cm="1">
        <f t="array" ref="BM34">INDEX(Properties!$D:$D,$B34+5)*(IF(AND(BM$3&gt;=INDEX(Properties!$T:$T,$B34+5),BM$3&lt;INDEX(Properties!$U:$U,$B34+5)),INDEX(_Seasonality!$C$50:$N$59,$B34,MONTH(EDATE(Input!$C$7,BM$3-1)))*MIN(1,(BM$3-INDEX(Properties!$T:$T,$B34+5)+1)/Input!$C$11),0))*(1+Input!$C$8)^(BM$5-1)</f>
        <v>0</v>
      </c>
      <c r="BN34" s="123" cm="1">
        <f t="array" ref="BN34">INDEX(Properties!$D:$D,$B34+5)*(IF(AND(BN$3&gt;=INDEX(Properties!$T:$T,$B34+5),BN$3&lt;INDEX(Properties!$U:$U,$B34+5)),INDEX(_Seasonality!$C$50:$N$59,$B34,MONTH(EDATE(Input!$C$7,BN$3-1)))*MIN(1,(BN$3-INDEX(Properties!$T:$T,$B34+5)+1)/Input!$C$11),0))*(1+Input!$C$8)^(BN$5-1)</f>
        <v>0</v>
      </c>
      <c r="BO34" s="123" cm="1">
        <f t="array" ref="BO34">INDEX(Properties!$D:$D,$B34+5)*(IF(AND(BO$3&gt;=INDEX(Properties!$T:$T,$B34+5),BO$3&lt;INDEX(Properties!$U:$U,$B34+5)),INDEX(_Seasonality!$C$50:$N$59,$B34,MONTH(EDATE(Input!$C$7,BO$3-1)))*MIN(1,(BO$3-INDEX(Properties!$T:$T,$B34+5)+1)/Input!$C$11),0))*(1+Input!$C$8)^(BO$5-1)</f>
        <v>0</v>
      </c>
      <c r="BP34" s="123" cm="1">
        <f t="array" ref="BP34">INDEX(Properties!$D:$D,$B34+5)*(IF(AND(BP$3&gt;=INDEX(Properties!$T:$T,$B34+5),BP$3&lt;INDEX(Properties!$U:$U,$B34+5)),INDEX(_Seasonality!$C$50:$N$59,$B34,MONTH(EDATE(Input!$C$7,BP$3-1)))*MIN(1,(BP$3-INDEX(Properties!$T:$T,$B34+5)+1)/Input!$C$11),0))*(1+Input!$C$8)^(BP$5-1)</f>
        <v>0</v>
      </c>
      <c r="BQ34" s="123" cm="1">
        <f t="array" ref="BQ34">INDEX(Properties!$D:$D,$B34+5)*(IF(AND(BQ$3&gt;=INDEX(Properties!$T:$T,$B34+5),BQ$3&lt;INDEX(Properties!$U:$U,$B34+5)),INDEX(_Seasonality!$C$50:$N$59,$B34,MONTH(EDATE(Input!$C$7,BQ$3-1)))*MIN(1,(BQ$3-INDEX(Properties!$T:$T,$B34+5)+1)/Input!$C$11),0))*(1+Input!$C$8)^(BQ$5-1)</f>
        <v>0</v>
      </c>
      <c r="BR34" s="123" cm="1">
        <f t="array" ref="BR34">INDEX(Properties!$D:$D,$B34+5)*(IF(AND(BR$3&gt;=INDEX(Properties!$T:$T,$B34+5),BR$3&lt;INDEX(Properties!$U:$U,$B34+5)),INDEX(_Seasonality!$C$50:$N$59,$B34,MONTH(EDATE(Input!$C$7,BR$3-1)))*MIN(1,(BR$3-INDEX(Properties!$T:$T,$B34+5)+1)/Input!$C$11),0))*(1+Input!$C$8)^(BR$5-1)</f>
        <v>0</v>
      </c>
      <c r="BS34" s="123" cm="1">
        <f t="array" ref="BS34">INDEX(Properties!$D:$D,$B34+5)*(IF(AND(BS$3&gt;=INDEX(Properties!$T:$T,$B34+5),BS$3&lt;INDEX(Properties!$U:$U,$B34+5)),INDEX(_Seasonality!$C$50:$N$59,$B34,MONTH(EDATE(Input!$C$7,BS$3-1)))*MIN(1,(BS$3-INDEX(Properties!$T:$T,$B34+5)+1)/Input!$C$11),0))*(1+Input!$C$8)^(BS$5-1)</f>
        <v>0</v>
      </c>
      <c r="BT34" s="123" cm="1">
        <f t="array" ref="BT34">INDEX(Properties!$D:$D,$B34+5)*(IF(AND(BT$3&gt;=INDEX(Properties!$T:$T,$B34+5),BT$3&lt;INDEX(Properties!$U:$U,$B34+5)),INDEX(_Seasonality!$C$50:$N$59,$B34,MONTH(EDATE(Input!$C$7,BT$3-1)))*MIN(1,(BT$3-INDEX(Properties!$T:$T,$B34+5)+1)/Input!$C$11),0))*(1+Input!$C$8)^(BT$5-1)</f>
        <v>0</v>
      </c>
      <c r="BU34" s="123" cm="1">
        <f t="array" ref="BU34">INDEX(Properties!$D:$D,$B34+5)*(IF(AND(BU$3&gt;=INDEX(Properties!$T:$T,$B34+5),BU$3&lt;INDEX(Properties!$U:$U,$B34+5)),INDEX(_Seasonality!$C$50:$N$59,$B34,MONTH(EDATE(Input!$C$7,BU$3-1)))*MIN(1,(BU$3-INDEX(Properties!$T:$T,$B34+5)+1)/Input!$C$11),0))*(1+Input!$C$8)^(BU$5-1)</f>
        <v>0</v>
      </c>
      <c r="BV34" s="123" cm="1">
        <f t="array" ref="BV34">INDEX(Properties!$D:$D,$B34+5)*(IF(AND(BV$3&gt;=INDEX(Properties!$T:$T,$B34+5),BV$3&lt;INDEX(Properties!$U:$U,$B34+5)),INDEX(_Seasonality!$C$50:$N$59,$B34,MONTH(EDATE(Input!$C$7,BV$3-1)))*MIN(1,(BV$3-INDEX(Properties!$T:$T,$B34+5)+1)/Input!$C$11),0))*(1+Input!$C$8)^(BV$5-1)</f>
        <v>0</v>
      </c>
      <c r="BW34" s="123" cm="1">
        <f t="array" ref="BW34">INDEX(Properties!$D:$D,$B34+5)*(IF(AND(BW$3&gt;=INDEX(Properties!$T:$T,$B34+5),BW$3&lt;INDEX(Properties!$U:$U,$B34+5)),INDEX(_Seasonality!$C$50:$N$59,$B34,MONTH(EDATE(Input!$C$7,BW$3-1)))*MIN(1,(BW$3-INDEX(Properties!$T:$T,$B34+5)+1)/Input!$C$11),0))*(1+Input!$C$8)^(BW$5-1)</f>
        <v>0</v>
      </c>
      <c r="BX34" s="123" cm="1">
        <f t="array" ref="BX34">INDEX(Properties!$D:$D,$B34+5)*(IF(AND(BX$3&gt;=INDEX(Properties!$T:$T,$B34+5),BX$3&lt;INDEX(Properties!$U:$U,$B34+5)),INDEX(_Seasonality!$C$50:$N$59,$B34,MONTH(EDATE(Input!$C$7,BX$3-1)))*MIN(1,(BX$3-INDEX(Properties!$T:$T,$B34+5)+1)/Input!$C$11),0))*(1+Input!$C$8)^(BX$5-1)</f>
        <v>0</v>
      </c>
      <c r="BY34" s="123" cm="1">
        <f t="array" ref="BY34">INDEX(Properties!$D:$D,$B34+5)*(IF(AND(BY$3&gt;=INDEX(Properties!$T:$T,$B34+5),BY$3&lt;INDEX(Properties!$U:$U,$B34+5)),INDEX(_Seasonality!$C$50:$N$59,$B34,MONTH(EDATE(Input!$C$7,BY$3-1)))*MIN(1,(BY$3-INDEX(Properties!$T:$T,$B34+5)+1)/Input!$C$11),0))*(1+Input!$C$8)^(BY$5-1)</f>
        <v>0</v>
      </c>
      <c r="BZ34" s="123" cm="1">
        <f t="array" ref="BZ34">INDEX(Properties!$D:$D,$B34+5)*(IF(AND(BZ$3&gt;=INDEX(Properties!$T:$T,$B34+5),BZ$3&lt;INDEX(Properties!$U:$U,$B34+5)),INDEX(_Seasonality!$C$50:$N$59,$B34,MONTH(EDATE(Input!$C$7,BZ$3-1)))*MIN(1,(BZ$3-INDEX(Properties!$T:$T,$B34+5)+1)/Input!$C$11),0))*(1+Input!$C$8)^(BZ$5-1)</f>
        <v>0</v>
      </c>
      <c r="CA34" s="123" cm="1">
        <f t="array" ref="CA34">INDEX(Properties!$D:$D,$B34+5)*(IF(AND(CA$3&gt;=INDEX(Properties!$T:$T,$B34+5),CA$3&lt;INDEX(Properties!$U:$U,$B34+5)),INDEX(_Seasonality!$C$50:$N$59,$B34,MONTH(EDATE(Input!$C$7,CA$3-1)))*MIN(1,(CA$3-INDEX(Properties!$T:$T,$B34+5)+1)/Input!$C$11),0))*(1+Input!$C$8)^(CA$5-1)</f>
        <v>0</v>
      </c>
      <c r="CB34" s="123" cm="1">
        <f t="array" ref="CB34">INDEX(Properties!$D:$D,$B34+5)*(IF(AND(CB$3&gt;=INDEX(Properties!$T:$T,$B34+5),CB$3&lt;INDEX(Properties!$U:$U,$B34+5)),INDEX(_Seasonality!$C$50:$N$59,$B34,MONTH(EDATE(Input!$C$7,CB$3-1)))*MIN(1,(CB$3-INDEX(Properties!$T:$T,$B34+5)+1)/Input!$C$11),0))*(1+Input!$C$8)^(CB$5-1)</f>
        <v>0</v>
      </c>
      <c r="CC34" s="123" cm="1">
        <f t="array" ref="CC34">INDEX(Properties!$D:$D,$B34+5)*(IF(AND(CC$3&gt;=INDEX(Properties!$T:$T,$B34+5),CC$3&lt;INDEX(Properties!$U:$U,$B34+5)),INDEX(_Seasonality!$C$50:$N$59,$B34,MONTH(EDATE(Input!$C$7,CC$3-1)))*MIN(1,(CC$3-INDEX(Properties!$T:$T,$B34+5)+1)/Input!$C$11),0))*(1+Input!$C$8)^(CC$5-1)</f>
        <v>0</v>
      </c>
      <c r="CD34" s="123" cm="1">
        <f t="array" ref="CD34">INDEX(Properties!$D:$D,$B34+5)*(IF(AND(CD$3&gt;=INDEX(Properties!$T:$T,$B34+5),CD$3&lt;INDEX(Properties!$U:$U,$B34+5)),INDEX(_Seasonality!$C$50:$N$59,$B34,MONTH(EDATE(Input!$C$7,CD$3-1)))*MIN(1,(CD$3-INDEX(Properties!$T:$T,$B34+5)+1)/Input!$C$11),0))*(1+Input!$C$8)^(CD$5-1)</f>
        <v>0</v>
      </c>
      <c r="CE34" s="123" cm="1">
        <f t="array" ref="CE34">INDEX(Properties!$D:$D,$B34+5)*(IF(AND(CE$3&gt;=INDEX(Properties!$T:$T,$B34+5),CE$3&lt;INDEX(Properties!$U:$U,$B34+5)),INDEX(_Seasonality!$C$50:$N$59,$B34,MONTH(EDATE(Input!$C$7,CE$3-1)))*MIN(1,(CE$3-INDEX(Properties!$T:$T,$B34+5)+1)/Input!$C$11),0))*(1+Input!$C$8)^(CE$5-1)</f>
        <v>0</v>
      </c>
      <c r="CF34" s="123" cm="1">
        <f t="array" ref="CF34">INDEX(Properties!$D:$D,$B34+5)*(IF(AND(CF$3&gt;=INDEX(Properties!$T:$T,$B34+5),CF$3&lt;INDEX(Properties!$U:$U,$B34+5)),INDEX(_Seasonality!$C$50:$N$59,$B34,MONTH(EDATE(Input!$C$7,CF$3-1)))*MIN(1,(CF$3-INDEX(Properties!$T:$T,$B34+5)+1)/Input!$C$11),0))*(1+Input!$C$8)^(CF$5-1)</f>
        <v>0</v>
      </c>
      <c r="CG34" s="123" cm="1">
        <f t="array" ref="CG34">INDEX(Properties!$D:$D,$B34+5)*(IF(AND(CG$3&gt;=INDEX(Properties!$T:$T,$B34+5),CG$3&lt;INDEX(Properties!$U:$U,$B34+5)),INDEX(_Seasonality!$C$50:$N$59,$B34,MONTH(EDATE(Input!$C$7,CG$3-1)))*MIN(1,(CG$3-INDEX(Properties!$T:$T,$B34+5)+1)/Input!$C$11),0))*(1+Input!$C$8)^(CG$5-1)</f>
        <v>0</v>
      </c>
      <c r="CH34" s="123" cm="1">
        <f t="array" ref="CH34">INDEX(Properties!$D:$D,$B34+5)*(IF(AND(CH$3&gt;=INDEX(Properties!$T:$T,$B34+5),CH$3&lt;INDEX(Properties!$U:$U,$B34+5)),INDEX(_Seasonality!$C$50:$N$59,$B34,MONTH(EDATE(Input!$C$7,CH$3-1)))*MIN(1,(CH$3-INDEX(Properties!$T:$T,$B34+5)+1)/Input!$C$11),0))*(1+Input!$C$8)^(CH$5-1)</f>
        <v>0</v>
      </c>
      <c r="CI34" s="123" cm="1">
        <f t="array" ref="CI34">INDEX(Properties!$D:$D,$B34+5)*(IF(AND(CI$3&gt;=INDEX(Properties!$T:$T,$B34+5),CI$3&lt;INDEX(Properties!$U:$U,$B34+5)),INDEX(_Seasonality!$C$50:$N$59,$B34,MONTH(EDATE(Input!$C$7,CI$3-1)))*MIN(1,(CI$3-INDEX(Properties!$T:$T,$B34+5)+1)/Input!$C$11),0))*(1+Input!$C$8)^(CI$5-1)</f>
        <v>0</v>
      </c>
      <c r="CJ34" s="123" cm="1">
        <f t="array" ref="CJ34">INDEX(Properties!$D:$D,$B34+5)*(IF(AND(CJ$3&gt;=INDEX(Properties!$T:$T,$B34+5),CJ$3&lt;INDEX(Properties!$U:$U,$B34+5)),INDEX(_Seasonality!$C$50:$N$59,$B34,MONTH(EDATE(Input!$C$7,CJ$3-1)))*MIN(1,(CJ$3-INDEX(Properties!$T:$T,$B34+5)+1)/Input!$C$11),0))*(1+Input!$C$8)^(CJ$5-1)</f>
        <v>0</v>
      </c>
      <c r="CK34" s="123" cm="1">
        <f t="array" ref="CK34">INDEX(Properties!$D:$D,$B34+5)*(IF(AND(CK$3&gt;=INDEX(Properties!$T:$T,$B34+5),CK$3&lt;INDEX(Properties!$U:$U,$B34+5)),INDEX(_Seasonality!$C$50:$N$59,$B34,MONTH(EDATE(Input!$C$7,CK$3-1)))*MIN(1,(CK$3-INDEX(Properties!$T:$T,$B34+5)+1)/Input!$C$11),0))*(1+Input!$C$8)^(CK$5-1)</f>
        <v>0</v>
      </c>
      <c r="CL34" s="123" cm="1">
        <f t="array" ref="CL34">INDEX(Properties!$D:$D,$B34+5)*(IF(AND(CL$3&gt;=INDEX(Properties!$T:$T,$B34+5),CL$3&lt;INDEX(Properties!$U:$U,$B34+5)),INDEX(_Seasonality!$C$50:$N$59,$B34,MONTH(EDATE(Input!$C$7,CL$3-1)))*MIN(1,(CL$3-INDEX(Properties!$T:$T,$B34+5)+1)/Input!$C$11),0))*(1+Input!$C$8)^(CL$5-1)</f>
        <v>0</v>
      </c>
      <c r="CM34" s="123" cm="1">
        <f t="array" ref="CM34">INDEX(Properties!$D:$D,$B34+5)*(IF(AND(CM$3&gt;=INDEX(Properties!$T:$T,$B34+5),CM$3&lt;INDEX(Properties!$U:$U,$B34+5)),INDEX(_Seasonality!$C$50:$N$59,$B34,MONTH(EDATE(Input!$C$7,CM$3-1)))*MIN(1,(CM$3-INDEX(Properties!$T:$T,$B34+5)+1)/Input!$C$11),0))*(1+Input!$C$8)^(CM$5-1)</f>
        <v>0</v>
      </c>
      <c r="CN34" s="123" cm="1">
        <f t="array" ref="CN34">INDEX(Properties!$D:$D,$B34+5)*(IF(AND(CN$3&gt;=INDEX(Properties!$T:$T,$B34+5),CN$3&lt;INDEX(Properties!$U:$U,$B34+5)),INDEX(_Seasonality!$C$50:$N$59,$B34,MONTH(EDATE(Input!$C$7,CN$3-1)))*MIN(1,(CN$3-INDEX(Properties!$T:$T,$B34+5)+1)/Input!$C$11),0))*(1+Input!$C$8)^(CN$5-1)</f>
        <v>0</v>
      </c>
      <c r="CO34" s="123" cm="1">
        <f t="array" ref="CO34">INDEX(Properties!$D:$D,$B34+5)*(IF(AND(CO$3&gt;=INDEX(Properties!$T:$T,$B34+5),CO$3&lt;INDEX(Properties!$U:$U,$B34+5)),INDEX(_Seasonality!$C$50:$N$59,$B34,MONTH(EDATE(Input!$C$7,CO$3-1)))*MIN(1,(CO$3-INDEX(Properties!$T:$T,$B34+5)+1)/Input!$C$11),0))*(1+Input!$C$8)^(CO$5-1)</f>
        <v>0</v>
      </c>
      <c r="CP34" s="123" cm="1">
        <f t="array" ref="CP34">INDEX(Properties!$D:$D,$B34+5)*(IF(AND(CP$3&gt;=INDEX(Properties!$T:$T,$B34+5),CP$3&lt;INDEX(Properties!$U:$U,$B34+5)),INDEX(_Seasonality!$C$50:$N$59,$B34,MONTH(EDATE(Input!$C$7,CP$3-1)))*MIN(1,(CP$3-INDEX(Properties!$T:$T,$B34+5)+1)/Input!$C$11),0))*(1+Input!$C$8)^(CP$5-1)</f>
        <v>0</v>
      </c>
      <c r="CQ34" s="123" cm="1">
        <f t="array" ref="CQ34">INDEX(Properties!$D:$D,$B34+5)*(IF(AND(CQ$3&gt;=INDEX(Properties!$T:$T,$B34+5),CQ$3&lt;INDEX(Properties!$U:$U,$B34+5)),INDEX(_Seasonality!$C$50:$N$59,$B34,MONTH(EDATE(Input!$C$7,CQ$3-1)))*MIN(1,(CQ$3-INDEX(Properties!$T:$T,$B34+5)+1)/Input!$C$11),0))*(1+Input!$C$8)^(CQ$5-1)</f>
        <v>0</v>
      </c>
      <c r="CR34" s="123" cm="1">
        <f t="array" ref="CR34">INDEX(Properties!$D:$D,$B34+5)*(IF(AND(CR$3&gt;=INDEX(Properties!$T:$T,$B34+5),CR$3&lt;INDEX(Properties!$U:$U,$B34+5)),INDEX(_Seasonality!$C$50:$N$59,$B34,MONTH(EDATE(Input!$C$7,CR$3-1)))*MIN(1,(CR$3-INDEX(Properties!$T:$T,$B34+5)+1)/Input!$C$11),0))*(1+Input!$C$8)^(CR$5-1)</f>
        <v>0</v>
      </c>
      <c r="CS34" s="123" cm="1">
        <f t="array" ref="CS34">INDEX(Properties!$D:$D,$B34+5)*(IF(AND(CS$3&gt;=INDEX(Properties!$T:$T,$B34+5),CS$3&lt;INDEX(Properties!$U:$U,$B34+5)),INDEX(_Seasonality!$C$50:$N$59,$B34,MONTH(EDATE(Input!$C$7,CS$3-1)))*MIN(1,(CS$3-INDEX(Properties!$T:$T,$B34+5)+1)/Input!$C$11),0))*(1+Input!$C$8)^(CS$5-1)</f>
        <v>0</v>
      </c>
      <c r="CT34" s="123" cm="1">
        <f t="array" ref="CT34">INDEX(Properties!$D:$D,$B34+5)*(IF(AND(CT$3&gt;=INDEX(Properties!$T:$T,$B34+5),CT$3&lt;INDEX(Properties!$U:$U,$B34+5)),INDEX(_Seasonality!$C$50:$N$59,$B34,MONTH(EDATE(Input!$C$7,CT$3-1)))*MIN(1,(CT$3-INDEX(Properties!$T:$T,$B34+5)+1)/Input!$C$11),0))*(1+Input!$C$8)^(CT$5-1)</f>
        <v>0</v>
      </c>
      <c r="CU34" s="123" cm="1">
        <f t="array" ref="CU34">INDEX(Properties!$D:$D,$B34+5)*(IF(AND(CU$3&gt;=INDEX(Properties!$T:$T,$B34+5),CU$3&lt;INDEX(Properties!$U:$U,$B34+5)),INDEX(_Seasonality!$C$50:$N$59,$B34,MONTH(EDATE(Input!$C$7,CU$3-1)))*MIN(1,(CU$3-INDEX(Properties!$T:$T,$B34+5)+1)/Input!$C$11),0))*(1+Input!$C$8)^(CU$5-1)</f>
        <v>0</v>
      </c>
      <c r="CV34" s="123" cm="1">
        <f t="array" ref="CV34">INDEX(Properties!$D:$D,$B34+5)*(IF(AND(CV$3&gt;=INDEX(Properties!$T:$T,$B34+5),CV$3&lt;INDEX(Properties!$U:$U,$B34+5)),INDEX(_Seasonality!$C$50:$N$59,$B34,MONTH(EDATE(Input!$C$7,CV$3-1)))*MIN(1,(CV$3-INDEX(Properties!$T:$T,$B34+5)+1)/Input!$C$11),0))*(1+Input!$C$8)^(CV$5-1)</f>
        <v>0</v>
      </c>
      <c r="CW34" s="123" cm="1">
        <f t="array" ref="CW34">INDEX(Properties!$D:$D,$B34+5)*(IF(AND(CW$3&gt;=INDEX(Properties!$T:$T,$B34+5),CW$3&lt;INDEX(Properties!$U:$U,$B34+5)),INDEX(_Seasonality!$C$50:$N$59,$B34,MONTH(EDATE(Input!$C$7,CW$3-1)))*MIN(1,(CW$3-INDEX(Properties!$T:$T,$B34+5)+1)/Input!$C$11),0))*(1+Input!$C$8)^(CW$5-1)</f>
        <v>0</v>
      </c>
      <c r="CX34" s="123" cm="1">
        <f t="array" ref="CX34">INDEX(Properties!$D:$D,$B34+5)*(IF(AND(CX$3&gt;=INDEX(Properties!$T:$T,$B34+5),CX$3&lt;INDEX(Properties!$U:$U,$B34+5)),INDEX(_Seasonality!$C$50:$N$59,$B34,MONTH(EDATE(Input!$C$7,CX$3-1)))*MIN(1,(CX$3-INDEX(Properties!$T:$T,$B34+5)+1)/Input!$C$11),0))*(1+Input!$C$8)^(CX$5-1)</f>
        <v>0</v>
      </c>
      <c r="CY34" s="123" cm="1">
        <f t="array" ref="CY34">INDEX(Properties!$D:$D,$B34+5)*(IF(AND(CY$3&gt;=INDEX(Properties!$T:$T,$B34+5),CY$3&lt;INDEX(Properties!$U:$U,$B34+5)),INDEX(_Seasonality!$C$50:$N$59,$B34,MONTH(EDATE(Input!$C$7,CY$3-1)))*MIN(1,(CY$3-INDEX(Properties!$T:$T,$B34+5)+1)/Input!$C$11),0))*(1+Input!$C$8)^(CY$5-1)</f>
        <v>0</v>
      </c>
      <c r="CZ34" s="123" cm="1">
        <f t="array" ref="CZ34">INDEX(Properties!$D:$D,$B34+5)*(IF(AND(CZ$3&gt;=INDEX(Properties!$T:$T,$B34+5),CZ$3&lt;INDEX(Properties!$U:$U,$B34+5)),INDEX(_Seasonality!$C$50:$N$59,$B34,MONTH(EDATE(Input!$C$7,CZ$3-1)))*MIN(1,(CZ$3-INDEX(Properties!$T:$T,$B34+5)+1)/Input!$C$11),0))*(1+Input!$C$8)^(CZ$5-1)</f>
        <v>0</v>
      </c>
      <c r="DA34" s="123" cm="1">
        <f t="array" ref="DA34">INDEX(Properties!$D:$D,$B34+5)*(IF(AND(DA$3&gt;=INDEX(Properties!$T:$T,$B34+5),DA$3&lt;INDEX(Properties!$U:$U,$B34+5)),INDEX(_Seasonality!$C$50:$N$59,$B34,MONTH(EDATE(Input!$C$7,DA$3-1)))*MIN(1,(DA$3-INDEX(Properties!$T:$T,$B34+5)+1)/Input!$C$11),0))*(1+Input!$C$8)^(DA$5-1)</f>
        <v>0</v>
      </c>
      <c r="DB34" s="123" cm="1">
        <f t="array" ref="DB34">INDEX(Properties!$D:$D,$B34+5)*(IF(AND(DB$3&gt;=INDEX(Properties!$T:$T,$B34+5),DB$3&lt;INDEX(Properties!$U:$U,$B34+5)),INDEX(_Seasonality!$C$50:$N$59,$B34,MONTH(EDATE(Input!$C$7,DB$3-1)))*MIN(1,(DB$3-INDEX(Properties!$T:$T,$B34+5)+1)/Input!$C$11),0))*(1+Input!$C$8)^(DB$5-1)</f>
        <v>0</v>
      </c>
      <c r="DC34" s="123" cm="1">
        <f t="array" ref="DC34">INDEX(Properties!$D:$D,$B34+5)*(IF(AND(DC$3&gt;=INDEX(Properties!$T:$T,$B34+5),DC$3&lt;INDEX(Properties!$U:$U,$B34+5)),INDEX(_Seasonality!$C$50:$N$59,$B34,MONTH(EDATE(Input!$C$7,DC$3-1)))*MIN(1,(DC$3-INDEX(Properties!$T:$T,$B34+5)+1)/Input!$C$11),0))*(1+Input!$C$8)^(DC$5-1)</f>
        <v>0</v>
      </c>
      <c r="DD34" s="123" cm="1">
        <f t="array" ref="DD34">INDEX(Properties!$D:$D,$B34+5)*(IF(AND(DD$3&gt;=INDEX(Properties!$T:$T,$B34+5),DD$3&lt;INDEX(Properties!$U:$U,$B34+5)),INDEX(_Seasonality!$C$50:$N$59,$B34,MONTH(EDATE(Input!$C$7,DD$3-1)))*MIN(1,(DD$3-INDEX(Properties!$T:$T,$B34+5)+1)/Input!$C$11),0))*(1+Input!$C$8)^(DD$5-1)</f>
        <v>0</v>
      </c>
      <c r="DE34" s="123" cm="1">
        <f t="array" ref="DE34">INDEX(Properties!$D:$D,$B34+5)*(IF(AND(DE$3&gt;=INDEX(Properties!$T:$T,$B34+5),DE$3&lt;INDEX(Properties!$U:$U,$B34+5)),INDEX(_Seasonality!$C$50:$N$59,$B34,MONTH(EDATE(Input!$C$7,DE$3-1)))*MIN(1,(DE$3-INDEX(Properties!$T:$T,$B34+5)+1)/Input!$C$11),0))*(1+Input!$C$8)^(DE$5-1)</f>
        <v>0</v>
      </c>
      <c r="DF34" s="123" cm="1">
        <f t="array" ref="DF34">INDEX(Properties!$D:$D,$B34+5)*(IF(AND(DF$3&gt;=INDEX(Properties!$T:$T,$B34+5),DF$3&lt;INDEX(Properties!$U:$U,$B34+5)),INDEX(_Seasonality!$C$50:$N$59,$B34,MONTH(EDATE(Input!$C$7,DF$3-1)))*MIN(1,(DF$3-INDEX(Properties!$T:$T,$B34+5)+1)/Input!$C$11),0))*(1+Input!$C$8)^(DF$5-1)</f>
        <v>0</v>
      </c>
      <c r="DG34" s="123" cm="1">
        <f t="array" ref="DG34">INDEX(Properties!$D:$D,$B34+5)*(IF(AND(DG$3&gt;=INDEX(Properties!$T:$T,$B34+5),DG$3&lt;INDEX(Properties!$U:$U,$B34+5)),INDEX(_Seasonality!$C$50:$N$59,$B34,MONTH(EDATE(Input!$C$7,DG$3-1)))*MIN(1,(DG$3-INDEX(Properties!$T:$T,$B34+5)+1)/Input!$C$11),0))*(1+Input!$C$8)^(DG$5-1)</f>
        <v>0</v>
      </c>
      <c r="DH34" s="123" cm="1">
        <f t="array" ref="DH34">INDEX(Properties!$D:$D,$B34+5)*(IF(AND(DH$3&gt;=INDEX(Properties!$T:$T,$B34+5),DH$3&lt;INDEX(Properties!$U:$U,$B34+5)),INDEX(_Seasonality!$C$50:$N$59,$B34,MONTH(EDATE(Input!$C$7,DH$3-1)))*MIN(1,(DH$3-INDEX(Properties!$T:$T,$B34+5)+1)/Input!$C$11),0))*(1+Input!$C$8)^(DH$5-1)</f>
        <v>0</v>
      </c>
      <c r="DI34" s="123" cm="1">
        <f t="array" ref="DI34">INDEX(Properties!$D:$D,$B34+5)*(IF(AND(DI$3&gt;=INDEX(Properties!$T:$T,$B34+5),DI$3&lt;INDEX(Properties!$U:$U,$B34+5)),INDEX(_Seasonality!$C$50:$N$59,$B34,MONTH(EDATE(Input!$C$7,DI$3-1)))*MIN(1,(DI$3-INDEX(Properties!$T:$T,$B34+5)+1)/Input!$C$11),0))*(1+Input!$C$8)^(DI$5-1)</f>
        <v>0</v>
      </c>
      <c r="DJ34" s="123" cm="1">
        <f t="array" ref="DJ34">INDEX(Properties!$D:$D,$B34+5)*(IF(AND(DJ$3&gt;=INDEX(Properties!$T:$T,$B34+5),DJ$3&lt;INDEX(Properties!$U:$U,$B34+5)),INDEX(_Seasonality!$C$50:$N$59,$B34,MONTH(EDATE(Input!$C$7,DJ$3-1)))*MIN(1,(DJ$3-INDEX(Properties!$T:$T,$B34+5)+1)/Input!$C$11),0))*(1+Input!$C$8)^(DJ$5-1)</f>
        <v>0</v>
      </c>
      <c r="DK34" s="123" cm="1">
        <f t="array" ref="DK34">INDEX(Properties!$D:$D,$B34+5)*(IF(AND(DK$3&gt;=INDEX(Properties!$T:$T,$B34+5),DK$3&lt;INDEX(Properties!$U:$U,$B34+5)),INDEX(_Seasonality!$C$50:$N$59,$B34,MONTH(EDATE(Input!$C$7,DK$3-1)))*MIN(1,(DK$3-INDEX(Properties!$T:$T,$B34+5)+1)/Input!$C$11),0))*(1+Input!$C$8)^(DK$5-1)</f>
        <v>0</v>
      </c>
      <c r="DL34" s="123" cm="1">
        <f t="array" ref="DL34">INDEX(Properties!$D:$D,$B34+5)*(IF(AND(DL$3&gt;=INDEX(Properties!$T:$T,$B34+5),DL$3&lt;INDEX(Properties!$U:$U,$B34+5)),INDEX(_Seasonality!$C$50:$N$59,$B34,MONTH(EDATE(Input!$C$7,DL$3-1)))*MIN(1,(DL$3-INDEX(Properties!$T:$T,$B34+5)+1)/Input!$C$11),0))*(1+Input!$C$8)^(DL$5-1)</f>
        <v>0</v>
      </c>
      <c r="DM34" s="123" cm="1">
        <f t="array" ref="DM34">INDEX(Properties!$D:$D,$B34+5)*(IF(AND(DM$3&gt;=INDEX(Properties!$T:$T,$B34+5),DM$3&lt;INDEX(Properties!$U:$U,$B34+5)),INDEX(_Seasonality!$C$50:$N$59,$B34,MONTH(EDATE(Input!$C$7,DM$3-1)))*MIN(1,(DM$3-INDEX(Properties!$T:$T,$B34+5)+1)/Input!$C$11),0))*(1+Input!$C$8)^(DM$5-1)</f>
        <v>0</v>
      </c>
      <c r="DN34" s="123" cm="1">
        <f t="array" ref="DN34">INDEX(Properties!$D:$D,$B34+5)*(IF(AND(DN$3&gt;=INDEX(Properties!$T:$T,$B34+5),DN$3&lt;INDEX(Properties!$U:$U,$B34+5)),INDEX(_Seasonality!$C$50:$N$59,$B34,MONTH(EDATE(Input!$C$7,DN$3-1)))*MIN(1,(DN$3-INDEX(Properties!$T:$T,$B34+5)+1)/Input!$C$11),0))*(1+Input!$C$8)^(DN$5-1)</f>
        <v>0</v>
      </c>
      <c r="DO34" s="123" cm="1">
        <f t="array" ref="DO34">INDEX(Properties!$D:$D,$B34+5)*(IF(AND(DO$3&gt;=INDEX(Properties!$T:$T,$B34+5),DO$3&lt;INDEX(Properties!$U:$U,$B34+5)),INDEX(_Seasonality!$C$50:$N$59,$B34,MONTH(EDATE(Input!$C$7,DO$3-1)))*MIN(1,(DO$3-INDEX(Properties!$T:$T,$B34+5)+1)/Input!$C$11),0))*(1+Input!$C$8)^(DO$5-1)</f>
        <v>0</v>
      </c>
      <c r="DP34" s="123" cm="1">
        <f t="array" ref="DP34">INDEX(Properties!$D:$D,$B34+5)*(IF(AND(DP$3&gt;=INDEX(Properties!$T:$T,$B34+5),DP$3&lt;INDEX(Properties!$U:$U,$B34+5)),INDEX(_Seasonality!$C$50:$N$59,$B34,MONTH(EDATE(Input!$C$7,DP$3-1)))*MIN(1,(DP$3-INDEX(Properties!$T:$T,$B34+5)+1)/Input!$C$11),0))*(1+Input!$C$8)^(DP$5-1)</f>
        <v>0</v>
      </c>
      <c r="DQ34" s="123" cm="1">
        <f t="array" ref="DQ34">INDEX(Properties!$D:$D,$B34+5)*(IF(AND(DQ$3&gt;=INDEX(Properties!$T:$T,$B34+5),DQ$3&lt;INDEX(Properties!$U:$U,$B34+5)),INDEX(_Seasonality!$C$50:$N$59,$B34,MONTH(EDATE(Input!$C$7,DQ$3-1)))*MIN(1,(DQ$3-INDEX(Properties!$T:$T,$B34+5)+1)/Input!$C$11),0))*(1+Input!$C$8)^(DQ$5-1)</f>
        <v>0</v>
      </c>
      <c r="DR34" s="123" cm="1">
        <f t="array" ref="DR34">INDEX(Properties!$D:$D,$B34+5)*(IF(AND(DR$3&gt;=INDEX(Properties!$T:$T,$B34+5),DR$3&lt;INDEX(Properties!$U:$U,$B34+5)),INDEX(_Seasonality!$C$50:$N$59,$B34,MONTH(EDATE(Input!$C$7,DR$3-1)))*MIN(1,(DR$3-INDEX(Properties!$T:$T,$B34+5)+1)/Input!$C$11),0))*(1+Input!$C$8)^(DR$5-1)</f>
        <v>0</v>
      </c>
    </row>
    <row r="35" spans="1:122" ht="16.05" customHeight="1" x14ac:dyDescent="0.3">
      <c r="A35" s="148" t="str" cm="1">
        <f t="array" ref="A35">INDEX(Properties!$E:$E,$B35+5)</f>
        <v>Fontanar Apto 201 (Penthouse)</v>
      </c>
      <c r="B35" s="1">
        <v>2</v>
      </c>
      <c r="C35" s="123" cm="1">
        <f t="array" ref="C35">INDEX(Properties!$D:$D,$B35+5)*(IF(AND(C$3&gt;=INDEX(Properties!$T:$T,$B35+5),C$3&lt;INDEX(Properties!$U:$U,$B35+5)),INDEX(_Seasonality!$C$50:$N$59,$B35,MONTH(EDATE(Input!$C$7,C$3-1)))*MIN(1,(C$3-INDEX(Properties!$T:$T,$B35+5)+1)/Input!$C$11),0))*(1+Input!$C$8)^(C$5-1)</f>
        <v>0</v>
      </c>
      <c r="D35" s="123" cm="1">
        <f t="array" ref="D35">INDEX(Properties!$D:$D,$B35+5)*(IF(AND(D$3&gt;=INDEX(Properties!$T:$T,$B35+5),D$3&lt;INDEX(Properties!$U:$U,$B35+5)),INDEX(_Seasonality!$C$50:$N$59,$B35,MONTH(EDATE(Input!$C$7,D$3-1)))*MIN(1,(D$3-INDEX(Properties!$T:$T,$B35+5)+1)/Input!$C$11),0))*(1+Input!$C$8)^(D$5-1)</f>
        <v>0</v>
      </c>
      <c r="E35" s="123" cm="1">
        <f t="array" ref="E35">INDEX(Properties!$D:$D,$B35+5)*(IF(AND(E$3&gt;=INDEX(Properties!$T:$T,$B35+5),E$3&lt;INDEX(Properties!$U:$U,$B35+5)),INDEX(_Seasonality!$C$50:$N$59,$B35,MONTH(EDATE(Input!$C$7,E$3-1)))*MIN(1,(E$3-INDEX(Properties!$T:$T,$B35+5)+1)/Input!$C$11),0))*(1+Input!$C$8)^(E$5-1)</f>
        <v>0</v>
      </c>
      <c r="F35" s="123" cm="1">
        <f t="array" ref="F35">INDEX(Properties!$D:$D,$B35+5)*(IF(AND(F$3&gt;=INDEX(Properties!$T:$T,$B35+5),F$3&lt;INDEX(Properties!$U:$U,$B35+5)),INDEX(_Seasonality!$C$50:$N$59,$B35,MONTH(EDATE(Input!$C$7,F$3-1)))*MIN(1,(F$3-INDEX(Properties!$T:$T,$B35+5)+1)/Input!$C$11),0))*(1+Input!$C$8)^(F$5-1)</f>
        <v>0</v>
      </c>
      <c r="G35" s="123" cm="1">
        <f t="array" ref="G35">INDEX(Properties!$D:$D,$B35+5)*(IF(AND(G$3&gt;=INDEX(Properties!$T:$T,$B35+5),G$3&lt;INDEX(Properties!$U:$U,$B35+5)),INDEX(_Seasonality!$C$50:$N$59,$B35,MONTH(EDATE(Input!$C$7,G$3-1)))*MIN(1,(G$3-INDEX(Properties!$T:$T,$B35+5)+1)/Input!$C$11),0))*(1+Input!$C$8)^(G$5-1)</f>
        <v>0</v>
      </c>
      <c r="H35" s="123" cm="1">
        <f t="array" ref="H35">INDEX(Properties!$D:$D,$B35+5)*(IF(AND(H$3&gt;=INDEX(Properties!$T:$T,$B35+5),H$3&lt;INDEX(Properties!$U:$U,$B35+5)),INDEX(_Seasonality!$C$50:$N$59,$B35,MONTH(EDATE(Input!$C$7,H$3-1)))*MIN(1,(H$3-INDEX(Properties!$T:$T,$B35+5)+1)/Input!$C$11),0))*(1+Input!$C$8)^(H$5-1)</f>
        <v>0</v>
      </c>
      <c r="I35" s="123" cm="1">
        <f t="array" ref="I35">INDEX(Properties!$D:$D,$B35+5)*(IF(AND(I$3&gt;=INDEX(Properties!$T:$T,$B35+5),I$3&lt;INDEX(Properties!$U:$U,$B35+5)),INDEX(_Seasonality!$C$50:$N$59,$B35,MONTH(EDATE(Input!$C$7,I$3-1)))*MIN(1,(I$3-INDEX(Properties!$T:$T,$B35+5)+1)/Input!$C$11),0))*(1+Input!$C$8)^(I$5-1)</f>
        <v>3924.4500000000003</v>
      </c>
      <c r="J35" s="123" cm="1">
        <f t="array" ref="J35">INDEX(Properties!$D:$D,$B35+5)*(IF(AND(J$3&gt;=INDEX(Properties!$T:$T,$B35+5),J$3&lt;INDEX(Properties!$U:$U,$B35+5)),INDEX(_Seasonality!$C$50:$N$59,$B35,MONTH(EDATE(Input!$C$7,J$3-1)))*MIN(1,(J$3-INDEX(Properties!$T:$T,$B35+5)+1)/Input!$C$11),0))*(1+Input!$C$8)^(J$5-1)</f>
        <v>3841.8300000000008</v>
      </c>
      <c r="K35" s="123" cm="1">
        <f t="array" ref="K35">INDEX(Properties!$D:$D,$B35+5)*(IF(AND(K$3&gt;=INDEX(Properties!$T:$T,$B35+5),K$3&lt;INDEX(Properties!$U:$U,$B35+5)),INDEX(_Seasonality!$C$50:$N$59,$B35,MONTH(EDATE(Input!$C$7,K$3-1)))*MIN(1,(K$3-INDEX(Properties!$T:$T,$B35+5)+1)/Input!$C$11),0))*(1+Input!$C$8)^(K$5-1)</f>
        <v>5103</v>
      </c>
      <c r="L35" s="123" cm="1">
        <f t="array" ref="L35">INDEX(Properties!$D:$D,$B35+5)*(IF(AND(L$3&gt;=INDEX(Properties!$T:$T,$B35+5),L$3&lt;INDEX(Properties!$U:$U,$B35+5)),INDEX(_Seasonality!$C$50:$N$59,$B35,MONTH(EDATE(Input!$C$7,L$3-1)))*MIN(1,(L$3-INDEX(Properties!$T:$T,$B35+5)+1)/Input!$C$11),0))*(1+Input!$C$8)^(L$5-1)</f>
        <v>6064.0650000000005</v>
      </c>
      <c r="M35" s="123" cm="1">
        <f t="array" ref="M35">INDEX(Properties!$D:$D,$B35+5)*(IF(AND(M$3&gt;=INDEX(Properties!$T:$T,$B35+5),M$3&lt;INDEX(Properties!$U:$U,$B35+5)),INDEX(_Seasonality!$C$50:$N$59,$B35,MONTH(EDATE(Input!$C$7,M$3-1)))*MIN(1,(M$3-INDEX(Properties!$T:$T,$B35+5)+1)/Input!$C$11),0))*(1+Input!$C$8)^(M$5-1)</f>
        <v>6352.83</v>
      </c>
      <c r="N35" s="123" cm="1">
        <f t="array" ref="N35">INDEX(Properties!$D:$D,$B35+5)*(IF(AND(N$3&gt;=INDEX(Properties!$T:$T,$B35+5),N$3&lt;INDEX(Properties!$U:$U,$B35+5)),INDEX(_Seasonality!$C$50:$N$59,$B35,MONTH(EDATE(Input!$C$7,N$3-1)))*MIN(1,(N$3-INDEX(Properties!$T:$T,$B35+5)+1)/Input!$C$11),0))*(1+Input!$C$8)^(N$5-1)</f>
        <v>4155.3000000000011</v>
      </c>
      <c r="O35" s="123" cm="1">
        <f t="array" ref="O35">INDEX(Properties!$D:$D,$B35+5)*(IF(AND(O$3&gt;=INDEX(Properties!$T:$T,$B35+5),O$3&lt;INDEX(Properties!$U:$U,$B35+5)),INDEX(_Seasonality!$C$50:$N$59,$B35,MONTH(EDATE(Input!$C$7,O$3-1)))*MIN(1,(O$3-INDEX(Properties!$T:$T,$B35+5)+1)/Input!$C$11),0))*(1+Input!$C$8)^(O$5-1)</f>
        <v>4379.6862000000001</v>
      </c>
      <c r="P35" s="123" cm="1">
        <f t="array" ref="P35">INDEX(Properties!$D:$D,$B35+5)*(IF(AND(P$3&gt;=INDEX(Properties!$T:$T,$B35+5),P$3&lt;INDEX(Properties!$U:$U,$B35+5)),INDEX(_Seasonality!$C$50:$N$59,$B35,MONTH(EDATE(Input!$C$7,P$3-1)))*MIN(1,(P$3-INDEX(Properties!$T:$T,$B35+5)+1)/Input!$C$11),0))*(1+Input!$C$8)^(P$5-1)</f>
        <v>4473.8729999999996</v>
      </c>
      <c r="Q35" s="123" cm="1">
        <f t="array" ref="Q35">INDEX(Properties!$D:$D,$B35+5)*(IF(AND(Q$3&gt;=INDEX(Properties!$T:$T,$B35+5),Q$3&lt;INDEX(Properties!$U:$U,$B35+5)),INDEX(_Seasonality!$C$50:$N$59,$B35,MONTH(EDATE(Input!$C$7,Q$3-1)))*MIN(1,(Q$3-INDEX(Properties!$T:$T,$B35+5)+1)/Input!$C$11),0))*(1+Input!$C$8)^(Q$5-1)</f>
        <v>6198.1524000000018</v>
      </c>
      <c r="R35" s="123" cm="1">
        <f t="array" ref="R35">INDEX(Properties!$D:$D,$B35+5)*(IF(AND(R$3&gt;=INDEX(Properties!$T:$T,$B35+5),R$3&lt;INDEX(Properties!$U:$U,$B35+5)),INDEX(_Seasonality!$C$50:$N$59,$B35,MONTH(EDATE(Input!$C$7,R$3-1)))*MIN(1,(R$3-INDEX(Properties!$T:$T,$B35+5)+1)/Input!$C$11),0))*(1+Input!$C$8)^(R$5-1)</f>
        <v>6479.8865999999998</v>
      </c>
      <c r="S35" s="123" cm="1">
        <f t="array" ref="S35">INDEX(Properties!$D:$D,$B35+5)*(IF(AND(S$3&gt;=INDEX(Properties!$T:$T,$B35+5),S$3&lt;INDEX(Properties!$U:$U,$B35+5)),INDEX(_Seasonality!$C$50:$N$59,$B35,MONTH(EDATE(Input!$C$7,S$3-1)))*MIN(1,(S$3-INDEX(Properties!$T:$T,$B35+5)+1)/Input!$C$11),0))*(1+Input!$C$8)^(S$5-1)</f>
        <v>4626.72</v>
      </c>
      <c r="T35" s="123" cm="1">
        <f t="array" ref="T35">INDEX(Properties!$D:$D,$B35+5)*(IF(AND(T$3&gt;=INDEX(Properties!$T:$T,$B35+5),T$3&lt;INDEX(Properties!$U:$U,$B35+5)),INDEX(_Seasonality!$C$50:$N$59,$B35,MONTH(EDATE(Input!$C$7,T$3-1)))*MIN(1,(T$3-INDEX(Properties!$T:$T,$B35+5)+1)/Input!$C$11),0))*(1+Input!$C$8)^(T$5-1)</f>
        <v>4623.0020999999997</v>
      </c>
      <c r="U35" s="123" cm="1">
        <f t="array" ref="U35">INDEX(Properties!$D:$D,$B35+5)*(IF(AND(U$3&gt;=INDEX(Properties!$T:$T,$B35+5),U$3&lt;INDEX(Properties!$U:$U,$B35+5)),INDEX(_Seasonality!$C$50:$N$59,$B35,MONTH(EDATE(Input!$C$7,U$3-1)))*MIN(1,(U$3-INDEX(Properties!$T:$T,$B35+5)+1)/Input!$C$11),0))*(1+Input!$C$8)^(U$5-1)</f>
        <v>4002.9390000000003</v>
      </c>
      <c r="V35" s="123" cm="1">
        <f t="array" ref="V35">INDEX(Properties!$D:$D,$B35+5)*(IF(AND(V$3&gt;=INDEX(Properties!$T:$T,$B35+5),V$3&lt;INDEX(Properties!$U:$U,$B35+5)),INDEX(_Seasonality!$C$50:$N$59,$B35,MONTH(EDATE(Input!$C$7,V$3-1)))*MIN(1,(V$3-INDEX(Properties!$T:$T,$B35+5)+1)/Input!$C$11),0))*(1+Input!$C$8)^(V$5-1)</f>
        <v>3918.6666000000009</v>
      </c>
      <c r="W35" s="123" cm="1">
        <f t="array" ref="W35">INDEX(Properties!$D:$D,$B35+5)*(IF(AND(W$3&gt;=INDEX(Properties!$T:$T,$B35+5),W$3&lt;INDEX(Properties!$U:$U,$B35+5)),INDEX(_Seasonality!$C$50:$N$59,$B35,MONTH(EDATE(Input!$C$7,W$3-1)))*MIN(1,(W$3-INDEX(Properties!$T:$T,$B35+5)+1)/Input!$C$11),0))*(1+Input!$C$8)^(W$5-1)</f>
        <v>5205.0600000000004</v>
      </c>
      <c r="X35" s="123" cm="1">
        <f t="array" ref="X35">INDEX(Properties!$D:$D,$B35+5)*(IF(AND(X$3&gt;=INDEX(Properties!$T:$T,$B35+5),X$3&lt;INDEX(Properties!$U:$U,$B35+5)),INDEX(_Seasonality!$C$50:$N$59,$B35,MONTH(EDATE(Input!$C$7,X$3-1)))*MIN(1,(X$3-INDEX(Properties!$T:$T,$B35+5)+1)/Input!$C$11),0))*(1+Input!$C$8)^(X$5-1)</f>
        <v>6185.3463000000011</v>
      </c>
      <c r="Y35" s="123" cm="1">
        <f t="array" ref="Y35">INDEX(Properties!$D:$D,$B35+5)*(IF(AND(Y$3&gt;=INDEX(Properties!$T:$T,$B35+5),Y$3&lt;INDEX(Properties!$U:$U,$B35+5)),INDEX(_Seasonality!$C$50:$N$59,$B35,MONTH(EDATE(Input!$C$7,Y$3-1)))*MIN(1,(Y$3-INDEX(Properties!$T:$T,$B35+5)+1)/Input!$C$11),0))*(1+Input!$C$8)^(Y$5-1)</f>
        <v>6479.8865999999998</v>
      </c>
      <c r="Z35" s="123" cm="1">
        <f t="array" ref="Z35">INDEX(Properties!$D:$D,$B35+5)*(IF(AND(Z$3&gt;=INDEX(Properties!$T:$T,$B35+5),Z$3&lt;INDEX(Properties!$U:$U,$B35+5)),INDEX(_Seasonality!$C$50:$N$59,$B35,MONTH(EDATE(Input!$C$7,Z$3-1)))*MIN(1,(Z$3-INDEX(Properties!$T:$T,$B35+5)+1)/Input!$C$11),0))*(1+Input!$C$8)^(Z$5-1)</f>
        <v>4238.4060000000009</v>
      </c>
      <c r="AA35" s="123" cm="1">
        <f t="array" ref="AA35">INDEX(Properties!$D:$D,$B35+5)*(IF(AND(AA$3&gt;=INDEX(Properties!$T:$T,$B35+5),AA$3&lt;INDEX(Properties!$U:$U,$B35+5)),INDEX(_Seasonality!$C$50:$N$59,$B35,MONTH(EDATE(Input!$C$7,AA$3-1)))*MIN(1,(AA$3-INDEX(Properties!$T:$T,$B35+5)+1)/Input!$C$11),0))*(1+Input!$C$8)^(AA$5-1)</f>
        <v>4467.2799240000004</v>
      </c>
      <c r="AB35" s="123" cm="1">
        <f t="array" ref="AB35">INDEX(Properties!$D:$D,$B35+5)*(IF(AND(AB$3&gt;=INDEX(Properties!$T:$T,$B35+5),AB$3&lt;INDEX(Properties!$U:$U,$B35+5)),INDEX(_Seasonality!$C$50:$N$59,$B35,MONTH(EDATE(Input!$C$7,AB$3-1)))*MIN(1,(AB$3-INDEX(Properties!$T:$T,$B35+5)+1)/Input!$C$11),0))*(1+Input!$C$8)^(AB$5-1)</f>
        <v>4563.3504599999997</v>
      </c>
      <c r="AC35" s="123" cm="1">
        <f t="array" ref="AC35">INDEX(Properties!$D:$D,$B35+5)*(IF(AND(AC$3&gt;=INDEX(Properties!$T:$T,$B35+5),AC$3&lt;INDEX(Properties!$U:$U,$B35+5)),INDEX(_Seasonality!$C$50:$N$59,$B35,MONTH(EDATE(Input!$C$7,AC$3-1)))*MIN(1,(AC$3-INDEX(Properties!$T:$T,$B35+5)+1)/Input!$C$11),0))*(1+Input!$C$8)^(AC$5-1)</f>
        <v>6322.1154480000014</v>
      </c>
      <c r="AD35" s="123" cm="1">
        <f t="array" ref="AD35">INDEX(Properties!$D:$D,$B35+5)*(IF(AND(AD$3&gt;=INDEX(Properties!$T:$T,$B35+5),AD$3&lt;INDEX(Properties!$U:$U,$B35+5)),INDEX(_Seasonality!$C$50:$N$59,$B35,MONTH(EDATE(Input!$C$7,AD$3-1)))*MIN(1,(AD$3-INDEX(Properties!$T:$T,$B35+5)+1)/Input!$C$11),0))*(1+Input!$C$8)^(AD$5-1)</f>
        <v>6609.484332</v>
      </c>
      <c r="AE35" s="123" cm="1">
        <f t="array" ref="AE35">INDEX(Properties!$D:$D,$B35+5)*(IF(AND(AE$3&gt;=INDEX(Properties!$T:$T,$B35+5),AE$3&lt;INDEX(Properties!$U:$U,$B35+5)),INDEX(_Seasonality!$C$50:$N$59,$B35,MONTH(EDATE(Input!$C$7,AE$3-1)))*MIN(1,(AE$3-INDEX(Properties!$T:$T,$B35+5)+1)/Input!$C$11),0))*(1+Input!$C$8)^(AE$5-1)</f>
        <v>4719.2543999999998</v>
      </c>
      <c r="AF35" s="123" cm="1">
        <f t="array" ref="AF35">INDEX(Properties!$D:$D,$B35+5)*(IF(AND(AF$3&gt;=INDEX(Properties!$T:$T,$B35+5),AF$3&lt;INDEX(Properties!$U:$U,$B35+5)),INDEX(_Seasonality!$C$50:$N$59,$B35,MONTH(EDATE(Input!$C$7,AF$3-1)))*MIN(1,(AF$3-INDEX(Properties!$T:$T,$B35+5)+1)/Input!$C$11),0))*(1+Input!$C$8)^(AF$5-1)</f>
        <v>4715.4621419999994</v>
      </c>
      <c r="AG35" s="123" cm="1">
        <f t="array" ref="AG35">INDEX(Properties!$D:$D,$B35+5)*(IF(AND(AG$3&gt;=INDEX(Properties!$T:$T,$B35+5),AG$3&lt;INDEX(Properties!$U:$U,$B35+5)),INDEX(_Seasonality!$C$50:$N$59,$B35,MONTH(EDATE(Input!$C$7,AG$3-1)))*MIN(1,(AG$3-INDEX(Properties!$T:$T,$B35+5)+1)/Input!$C$11),0))*(1+Input!$C$8)^(AG$5-1)</f>
        <v>0</v>
      </c>
      <c r="AH35" s="123" cm="1">
        <f t="array" ref="AH35">INDEX(Properties!$D:$D,$B35+5)*(IF(AND(AH$3&gt;=INDEX(Properties!$T:$T,$B35+5),AH$3&lt;INDEX(Properties!$U:$U,$B35+5)),INDEX(_Seasonality!$C$50:$N$59,$B35,MONTH(EDATE(Input!$C$7,AH$3-1)))*MIN(1,(AH$3-INDEX(Properties!$T:$T,$B35+5)+1)/Input!$C$11),0))*(1+Input!$C$8)^(AH$5-1)</f>
        <v>0</v>
      </c>
      <c r="AI35" s="123" cm="1">
        <f t="array" ref="AI35">INDEX(Properties!$D:$D,$B35+5)*(IF(AND(AI$3&gt;=INDEX(Properties!$T:$T,$B35+5),AI$3&lt;INDEX(Properties!$U:$U,$B35+5)),INDEX(_Seasonality!$C$50:$N$59,$B35,MONTH(EDATE(Input!$C$7,AI$3-1)))*MIN(1,(AI$3-INDEX(Properties!$T:$T,$B35+5)+1)/Input!$C$11),0))*(1+Input!$C$8)^(AI$5-1)</f>
        <v>0</v>
      </c>
      <c r="AJ35" s="123" cm="1">
        <f t="array" ref="AJ35">INDEX(Properties!$D:$D,$B35+5)*(IF(AND(AJ$3&gt;=INDEX(Properties!$T:$T,$B35+5),AJ$3&lt;INDEX(Properties!$U:$U,$B35+5)),INDEX(_Seasonality!$C$50:$N$59,$B35,MONTH(EDATE(Input!$C$7,AJ$3-1)))*MIN(1,(AJ$3-INDEX(Properties!$T:$T,$B35+5)+1)/Input!$C$11),0))*(1+Input!$C$8)^(AJ$5-1)</f>
        <v>0</v>
      </c>
      <c r="AK35" s="123" cm="1">
        <f t="array" ref="AK35">INDEX(Properties!$D:$D,$B35+5)*(IF(AND(AK$3&gt;=INDEX(Properties!$T:$T,$B35+5),AK$3&lt;INDEX(Properties!$U:$U,$B35+5)),INDEX(_Seasonality!$C$50:$N$59,$B35,MONTH(EDATE(Input!$C$7,AK$3-1)))*MIN(1,(AK$3-INDEX(Properties!$T:$T,$B35+5)+1)/Input!$C$11),0))*(1+Input!$C$8)^(AK$5-1)</f>
        <v>0</v>
      </c>
      <c r="AL35" s="123" cm="1">
        <f t="array" ref="AL35">INDEX(Properties!$D:$D,$B35+5)*(IF(AND(AL$3&gt;=INDEX(Properties!$T:$T,$B35+5),AL$3&lt;INDEX(Properties!$U:$U,$B35+5)),INDEX(_Seasonality!$C$50:$N$59,$B35,MONTH(EDATE(Input!$C$7,AL$3-1)))*MIN(1,(AL$3-INDEX(Properties!$T:$T,$B35+5)+1)/Input!$C$11),0))*(1+Input!$C$8)^(AL$5-1)</f>
        <v>0</v>
      </c>
      <c r="AM35" s="123" cm="1">
        <f t="array" ref="AM35">INDEX(Properties!$D:$D,$B35+5)*(IF(AND(AM$3&gt;=INDEX(Properties!$T:$T,$B35+5),AM$3&lt;INDEX(Properties!$U:$U,$B35+5)),INDEX(_Seasonality!$C$50:$N$59,$B35,MONTH(EDATE(Input!$C$7,AM$3-1)))*MIN(1,(AM$3-INDEX(Properties!$T:$T,$B35+5)+1)/Input!$C$11),0))*(1+Input!$C$8)^(AM$5-1)</f>
        <v>0</v>
      </c>
      <c r="AN35" s="123" cm="1">
        <f t="array" ref="AN35">INDEX(Properties!$D:$D,$B35+5)*(IF(AND(AN$3&gt;=INDEX(Properties!$T:$T,$B35+5),AN$3&lt;INDEX(Properties!$U:$U,$B35+5)),INDEX(_Seasonality!$C$50:$N$59,$B35,MONTH(EDATE(Input!$C$7,AN$3-1)))*MIN(1,(AN$3-INDEX(Properties!$T:$T,$B35+5)+1)/Input!$C$11),0))*(1+Input!$C$8)^(AN$5-1)</f>
        <v>0</v>
      </c>
      <c r="AO35" s="123" cm="1">
        <f t="array" ref="AO35">INDEX(Properties!$D:$D,$B35+5)*(IF(AND(AO$3&gt;=INDEX(Properties!$T:$T,$B35+5),AO$3&lt;INDEX(Properties!$U:$U,$B35+5)),INDEX(_Seasonality!$C$50:$N$59,$B35,MONTH(EDATE(Input!$C$7,AO$3-1)))*MIN(1,(AO$3-INDEX(Properties!$T:$T,$B35+5)+1)/Input!$C$11),0))*(1+Input!$C$8)^(AO$5-1)</f>
        <v>0</v>
      </c>
      <c r="AP35" s="123" cm="1">
        <f t="array" ref="AP35">INDEX(Properties!$D:$D,$B35+5)*(IF(AND(AP$3&gt;=INDEX(Properties!$T:$T,$B35+5),AP$3&lt;INDEX(Properties!$U:$U,$B35+5)),INDEX(_Seasonality!$C$50:$N$59,$B35,MONTH(EDATE(Input!$C$7,AP$3-1)))*MIN(1,(AP$3-INDEX(Properties!$T:$T,$B35+5)+1)/Input!$C$11),0))*(1+Input!$C$8)^(AP$5-1)</f>
        <v>0</v>
      </c>
      <c r="AQ35" s="123" cm="1">
        <f t="array" ref="AQ35">INDEX(Properties!$D:$D,$B35+5)*(IF(AND(AQ$3&gt;=INDEX(Properties!$T:$T,$B35+5),AQ$3&lt;INDEX(Properties!$U:$U,$B35+5)),INDEX(_Seasonality!$C$50:$N$59,$B35,MONTH(EDATE(Input!$C$7,AQ$3-1)))*MIN(1,(AQ$3-INDEX(Properties!$T:$T,$B35+5)+1)/Input!$C$11),0))*(1+Input!$C$8)^(AQ$5-1)</f>
        <v>0</v>
      </c>
      <c r="AR35" s="123" cm="1">
        <f t="array" ref="AR35">INDEX(Properties!$D:$D,$B35+5)*(IF(AND(AR$3&gt;=INDEX(Properties!$T:$T,$B35+5),AR$3&lt;INDEX(Properties!$U:$U,$B35+5)),INDEX(_Seasonality!$C$50:$N$59,$B35,MONTH(EDATE(Input!$C$7,AR$3-1)))*MIN(1,(AR$3-INDEX(Properties!$T:$T,$B35+5)+1)/Input!$C$11),0))*(1+Input!$C$8)^(AR$5-1)</f>
        <v>0</v>
      </c>
      <c r="AS35" s="123" cm="1">
        <f t="array" ref="AS35">INDEX(Properties!$D:$D,$B35+5)*(IF(AND(AS$3&gt;=INDEX(Properties!$T:$T,$B35+5),AS$3&lt;INDEX(Properties!$U:$U,$B35+5)),INDEX(_Seasonality!$C$50:$N$59,$B35,MONTH(EDATE(Input!$C$7,AS$3-1)))*MIN(1,(AS$3-INDEX(Properties!$T:$T,$B35+5)+1)/Input!$C$11),0))*(1+Input!$C$8)^(AS$5-1)</f>
        <v>0</v>
      </c>
      <c r="AT35" s="123" cm="1">
        <f t="array" ref="AT35">INDEX(Properties!$D:$D,$B35+5)*(IF(AND(AT$3&gt;=INDEX(Properties!$T:$T,$B35+5),AT$3&lt;INDEX(Properties!$U:$U,$B35+5)),INDEX(_Seasonality!$C$50:$N$59,$B35,MONTH(EDATE(Input!$C$7,AT$3-1)))*MIN(1,(AT$3-INDEX(Properties!$T:$T,$B35+5)+1)/Input!$C$11),0))*(1+Input!$C$8)^(AT$5-1)</f>
        <v>0</v>
      </c>
      <c r="AU35" s="123" cm="1">
        <f t="array" ref="AU35">INDEX(Properties!$D:$D,$B35+5)*(IF(AND(AU$3&gt;=INDEX(Properties!$T:$T,$B35+5),AU$3&lt;INDEX(Properties!$U:$U,$B35+5)),INDEX(_Seasonality!$C$50:$N$59,$B35,MONTH(EDATE(Input!$C$7,AU$3-1)))*MIN(1,(AU$3-INDEX(Properties!$T:$T,$B35+5)+1)/Input!$C$11),0))*(1+Input!$C$8)^(AU$5-1)</f>
        <v>0</v>
      </c>
      <c r="AV35" s="123" cm="1">
        <f t="array" ref="AV35">INDEX(Properties!$D:$D,$B35+5)*(IF(AND(AV$3&gt;=INDEX(Properties!$T:$T,$B35+5),AV$3&lt;INDEX(Properties!$U:$U,$B35+5)),INDEX(_Seasonality!$C$50:$N$59,$B35,MONTH(EDATE(Input!$C$7,AV$3-1)))*MIN(1,(AV$3-INDEX(Properties!$T:$T,$B35+5)+1)/Input!$C$11),0))*(1+Input!$C$8)^(AV$5-1)</f>
        <v>0</v>
      </c>
      <c r="AW35" s="123" cm="1">
        <f t="array" ref="AW35">INDEX(Properties!$D:$D,$B35+5)*(IF(AND(AW$3&gt;=INDEX(Properties!$T:$T,$B35+5),AW$3&lt;INDEX(Properties!$U:$U,$B35+5)),INDEX(_Seasonality!$C$50:$N$59,$B35,MONTH(EDATE(Input!$C$7,AW$3-1)))*MIN(1,(AW$3-INDEX(Properties!$T:$T,$B35+5)+1)/Input!$C$11),0))*(1+Input!$C$8)^(AW$5-1)</f>
        <v>0</v>
      </c>
      <c r="AX35" s="123" cm="1">
        <f t="array" ref="AX35">INDEX(Properties!$D:$D,$B35+5)*(IF(AND(AX$3&gt;=INDEX(Properties!$T:$T,$B35+5),AX$3&lt;INDEX(Properties!$U:$U,$B35+5)),INDEX(_Seasonality!$C$50:$N$59,$B35,MONTH(EDATE(Input!$C$7,AX$3-1)))*MIN(1,(AX$3-INDEX(Properties!$T:$T,$B35+5)+1)/Input!$C$11),0))*(1+Input!$C$8)^(AX$5-1)</f>
        <v>0</v>
      </c>
      <c r="AY35" s="123" cm="1">
        <f t="array" ref="AY35">INDEX(Properties!$D:$D,$B35+5)*(IF(AND(AY$3&gt;=INDEX(Properties!$T:$T,$B35+5),AY$3&lt;INDEX(Properties!$U:$U,$B35+5)),INDEX(_Seasonality!$C$50:$N$59,$B35,MONTH(EDATE(Input!$C$7,AY$3-1)))*MIN(1,(AY$3-INDEX(Properties!$T:$T,$B35+5)+1)/Input!$C$11),0))*(1+Input!$C$8)^(AY$5-1)</f>
        <v>0</v>
      </c>
      <c r="AZ35" s="123" cm="1">
        <f t="array" ref="AZ35">INDEX(Properties!$D:$D,$B35+5)*(IF(AND(AZ$3&gt;=INDEX(Properties!$T:$T,$B35+5),AZ$3&lt;INDEX(Properties!$U:$U,$B35+5)),INDEX(_Seasonality!$C$50:$N$59,$B35,MONTH(EDATE(Input!$C$7,AZ$3-1)))*MIN(1,(AZ$3-INDEX(Properties!$T:$T,$B35+5)+1)/Input!$C$11),0))*(1+Input!$C$8)^(AZ$5-1)</f>
        <v>0</v>
      </c>
      <c r="BA35" s="123" cm="1">
        <f t="array" ref="BA35">INDEX(Properties!$D:$D,$B35+5)*(IF(AND(BA$3&gt;=INDEX(Properties!$T:$T,$B35+5),BA$3&lt;INDEX(Properties!$U:$U,$B35+5)),INDEX(_Seasonality!$C$50:$N$59,$B35,MONTH(EDATE(Input!$C$7,BA$3-1)))*MIN(1,(BA$3-INDEX(Properties!$T:$T,$B35+5)+1)/Input!$C$11),0))*(1+Input!$C$8)^(BA$5-1)</f>
        <v>0</v>
      </c>
      <c r="BB35" s="123" cm="1">
        <f t="array" ref="BB35">INDEX(Properties!$D:$D,$B35+5)*(IF(AND(BB$3&gt;=INDEX(Properties!$T:$T,$B35+5),BB$3&lt;INDEX(Properties!$U:$U,$B35+5)),INDEX(_Seasonality!$C$50:$N$59,$B35,MONTH(EDATE(Input!$C$7,BB$3-1)))*MIN(1,(BB$3-INDEX(Properties!$T:$T,$B35+5)+1)/Input!$C$11),0))*(1+Input!$C$8)^(BB$5-1)</f>
        <v>0</v>
      </c>
      <c r="BC35" s="123" cm="1">
        <f t="array" ref="BC35">INDEX(Properties!$D:$D,$B35+5)*(IF(AND(BC$3&gt;=INDEX(Properties!$T:$T,$B35+5),BC$3&lt;INDEX(Properties!$U:$U,$B35+5)),INDEX(_Seasonality!$C$50:$N$59,$B35,MONTH(EDATE(Input!$C$7,BC$3-1)))*MIN(1,(BC$3-INDEX(Properties!$T:$T,$B35+5)+1)/Input!$C$11),0))*(1+Input!$C$8)^(BC$5-1)</f>
        <v>0</v>
      </c>
      <c r="BD35" s="123" cm="1">
        <f t="array" ref="BD35">INDEX(Properties!$D:$D,$B35+5)*(IF(AND(BD$3&gt;=INDEX(Properties!$T:$T,$B35+5),BD$3&lt;INDEX(Properties!$U:$U,$B35+5)),INDEX(_Seasonality!$C$50:$N$59,$B35,MONTH(EDATE(Input!$C$7,BD$3-1)))*MIN(1,(BD$3-INDEX(Properties!$T:$T,$B35+5)+1)/Input!$C$11),0))*(1+Input!$C$8)^(BD$5-1)</f>
        <v>0</v>
      </c>
      <c r="BE35" s="123" cm="1">
        <f t="array" ref="BE35">INDEX(Properties!$D:$D,$B35+5)*(IF(AND(BE$3&gt;=INDEX(Properties!$T:$T,$B35+5),BE$3&lt;INDEX(Properties!$U:$U,$B35+5)),INDEX(_Seasonality!$C$50:$N$59,$B35,MONTH(EDATE(Input!$C$7,BE$3-1)))*MIN(1,(BE$3-INDEX(Properties!$T:$T,$B35+5)+1)/Input!$C$11),0))*(1+Input!$C$8)^(BE$5-1)</f>
        <v>0</v>
      </c>
      <c r="BF35" s="123" cm="1">
        <f t="array" ref="BF35">INDEX(Properties!$D:$D,$B35+5)*(IF(AND(BF$3&gt;=INDEX(Properties!$T:$T,$B35+5),BF$3&lt;INDEX(Properties!$U:$U,$B35+5)),INDEX(_Seasonality!$C$50:$N$59,$B35,MONTH(EDATE(Input!$C$7,BF$3-1)))*MIN(1,(BF$3-INDEX(Properties!$T:$T,$B35+5)+1)/Input!$C$11),0))*(1+Input!$C$8)^(BF$5-1)</f>
        <v>0</v>
      </c>
      <c r="BG35" s="123" cm="1">
        <f t="array" ref="BG35">INDEX(Properties!$D:$D,$B35+5)*(IF(AND(BG$3&gt;=INDEX(Properties!$T:$T,$B35+5),BG$3&lt;INDEX(Properties!$U:$U,$B35+5)),INDEX(_Seasonality!$C$50:$N$59,$B35,MONTH(EDATE(Input!$C$7,BG$3-1)))*MIN(1,(BG$3-INDEX(Properties!$T:$T,$B35+5)+1)/Input!$C$11),0))*(1+Input!$C$8)^(BG$5-1)</f>
        <v>0</v>
      </c>
      <c r="BH35" s="123" cm="1">
        <f t="array" ref="BH35">INDEX(Properties!$D:$D,$B35+5)*(IF(AND(BH$3&gt;=INDEX(Properties!$T:$T,$B35+5),BH$3&lt;INDEX(Properties!$U:$U,$B35+5)),INDEX(_Seasonality!$C$50:$N$59,$B35,MONTH(EDATE(Input!$C$7,BH$3-1)))*MIN(1,(BH$3-INDEX(Properties!$T:$T,$B35+5)+1)/Input!$C$11),0))*(1+Input!$C$8)^(BH$5-1)</f>
        <v>0</v>
      </c>
      <c r="BI35" s="123" cm="1">
        <f t="array" ref="BI35">INDEX(Properties!$D:$D,$B35+5)*(IF(AND(BI$3&gt;=INDEX(Properties!$T:$T,$B35+5),BI$3&lt;INDEX(Properties!$U:$U,$B35+5)),INDEX(_Seasonality!$C$50:$N$59,$B35,MONTH(EDATE(Input!$C$7,BI$3-1)))*MIN(1,(BI$3-INDEX(Properties!$T:$T,$B35+5)+1)/Input!$C$11),0))*(1+Input!$C$8)^(BI$5-1)</f>
        <v>0</v>
      </c>
      <c r="BJ35" s="123" cm="1">
        <f t="array" ref="BJ35">INDEX(Properties!$D:$D,$B35+5)*(IF(AND(BJ$3&gt;=INDEX(Properties!$T:$T,$B35+5),BJ$3&lt;INDEX(Properties!$U:$U,$B35+5)),INDEX(_Seasonality!$C$50:$N$59,$B35,MONTH(EDATE(Input!$C$7,BJ$3-1)))*MIN(1,(BJ$3-INDEX(Properties!$T:$T,$B35+5)+1)/Input!$C$11),0))*(1+Input!$C$8)^(BJ$5-1)</f>
        <v>0</v>
      </c>
      <c r="BK35" s="123" cm="1">
        <f t="array" ref="BK35">INDEX(Properties!$D:$D,$B35+5)*(IF(AND(BK$3&gt;=INDEX(Properties!$T:$T,$B35+5),BK$3&lt;INDEX(Properties!$U:$U,$B35+5)),INDEX(_Seasonality!$C$50:$N$59,$B35,MONTH(EDATE(Input!$C$7,BK$3-1)))*MIN(1,(BK$3-INDEX(Properties!$T:$T,$B35+5)+1)/Input!$C$11),0))*(1+Input!$C$8)^(BK$5-1)</f>
        <v>0</v>
      </c>
      <c r="BL35" s="123" cm="1">
        <f t="array" ref="BL35">INDEX(Properties!$D:$D,$B35+5)*(IF(AND(BL$3&gt;=INDEX(Properties!$T:$T,$B35+5),BL$3&lt;INDEX(Properties!$U:$U,$B35+5)),INDEX(_Seasonality!$C$50:$N$59,$B35,MONTH(EDATE(Input!$C$7,BL$3-1)))*MIN(1,(BL$3-INDEX(Properties!$T:$T,$B35+5)+1)/Input!$C$11),0))*(1+Input!$C$8)^(BL$5-1)</f>
        <v>0</v>
      </c>
      <c r="BM35" s="123" cm="1">
        <f t="array" ref="BM35">INDEX(Properties!$D:$D,$B35+5)*(IF(AND(BM$3&gt;=INDEX(Properties!$T:$T,$B35+5),BM$3&lt;INDEX(Properties!$U:$U,$B35+5)),INDEX(_Seasonality!$C$50:$N$59,$B35,MONTH(EDATE(Input!$C$7,BM$3-1)))*MIN(1,(BM$3-INDEX(Properties!$T:$T,$B35+5)+1)/Input!$C$11),0))*(1+Input!$C$8)^(BM$5-1)</f>
        <v>0</v>
      </c>
      <c r="BN35" s="123" cm="1">
        <f t="array" ref="BN35">INDEX(Properties!$D:$D,$B35+5)*(IF(AND(BN$3&gt;=INDEX(Properties!$T:$T,$B35+5),BN$3&lt;INDEX(Properties!$U:$U,$B35+5)),INDEX(_Seasonality!$C$50:$N$59,$B35,MONTH(EDATE(Input!$C$7,BN$3-1)))*MIN(1,(BN$3-INDEX(Properties!$T:$T,$B35+5)+1)/Input!$C$11),0))*(1+Input!$C$8)^(BN$5-1)</f>
        <v>0</v>
      </c>
      <c r="BO35" s="123" cm="1">
        <f t="array" ref="BO35">INDEX(Properties!$D:$D,$B35+5)*(IF(AND(BO$3&gt;=INDEX(Properties!$T:$T,$B35+5),BO$3&lt;INDEX(Properties!$U:$U,$B35+5)),INDEX(_Seasonality!$C$50:$N$59,$B35,MONTH(EDATE(Input!$C$7,BO$3-1)))*MIN(1,(BO$3-INDEX(Properties!$T:$T,$B35+5)+1)/Input!$C$11),0))*(1+Input!$C$8)^(BO$5-1)</f>
        <v>0</v>
      </c>
      <c r="BP35" s="123" cm="1">
        <f t="array" ref="BP35">INDEX(Properties!$D:$D,$B35+5)*(IF(AND(BP$3&gt;=INDEX(Properties!$T:$T,$B35+5),BP$3&lt;INDEX(Properties!$U:$U,$B35+5)),INDEX(_Seasonality!$C$50:$N$59,$B35,MONTH(EDATE(Input!$C$7,BP$3-1)))*MIN(1,(BP$3-INDEX(Properties!$T:$T,$B35+5)+1)/Input!$C$11),0))*(1+Input!$C$8)^(BP$5-1)</f>
        <v>0</v>
      </c>
      <c r="BQ35" s="123" cm="1">
        <f t="array" ref="BQ35">INDEX(Properties!$D:$D,$B35+5)*(IF(AND(BQ$3&gt;=INDEX(Properties!$T:$T,$B35+5),BQ$3&lt;INDEX(Properties!$U:$U,$B35+5)),INDEX(_Seasonality!$C$50:$N$59,$B35,MONTH(EDATE(Input!$C$7,BQ$3-1)))*MIN(1,(BQ$3-INDEX(Properties!$T:$T,$B35+5)+1)/Input!$C$11),0))*(1+Input!$C$8)^(BQ$5-1)</f>
        <v>0</v>
      </c>
      <c r="BR35" s="123" cm="1">
        <f t="array" ref="BR35">INDEX(Properties!$D:$D,$B35+5)*(IF(AND(BR$3&gt;=INDEX(Properties!$T:$T,$B35+5),BR$3&lt;INDEX(Properties!$U:$U,$B35+5)),INDEX(_Seasonality!$C$50:$N$59,$B35,MONTH(EDATE(Input!$C$7,BR$3-1)))*MIN(1,(BR$3-INDEX(Properties!$T:$T,$B35+5)+1)/Input!$C$11),0))*(1+Input!$C$8)^(BR$5-1)</f>
        <v>0</v>
      </c>
      <c r="BS35" s="123" cm="1">
        <f t="array" ref="BS35">INDEX(Properties!$D:$D,$B35+5)*(IF(AND(BS$3&gt;=INDEX(Properties!$T:$T,$B35+5),BS$3&lt;INDEX(Properties!$U:$U,$B35+5)),INDEX(_Seasonality!$C$50:$N$59,$B35,MONTH(EDATE(Input!$C$7,BS$3-1)))*MIN(1,(BS$3-INDEX(Properties!$T:$T,$B35+5)+1)/Input!$C$11),0))*(1+Input!$C$8)^(BS$5-1)</f>
        <v>0</v>
      </c>
      <c r="BT35" s="123" cm="1">
        <f t="array" ref="BT35">INDEX(Properties!$D:$D,$B35+5)*(IF(AND(BT$3&gt;=INDEX(Properties!$T:$T,$B35+5),BT$3&lt;INDEX(Properties!$U:$U,$B35+5)),INDEX(_Seasonality!$C$50:$N$59,$B35,MONTH(EDATE(Input!$C$7,BT$3-1)))*MIN(1,(BT$3-INDEX(Properties!$T:$T,$B35+5)+1)/Input!$C$11),0))*(1+Input!$C$8)^(BT$5-1)</f>
        <v>0</v>
      </c>
      <c r="BU35" s="123" cm="1">
        <f t="array" ref="BU35">INDEX(Properties!$D:$D,$B35+5)*(IF(AND(BU$3&gt;=INDEX(Properties!$T:$T,$B35+5),BU$3&lt;INDEX(Properties!$U:$U,$B35+5)),INDEX(_Seasonality!$C$50:$N$59,$B35,MONTH(EDATE(Input!$C$7,BU$3-1)))*MIN(1,(BU$3-INDEX(Properties!$T:$T,$B35+5)+1)/Input!$C$11),0))*(1+Input!$C$8)^(BU$5-1)</f>
        <v>0</v>
      </c>
      <c r="BV35" s="123" cm="1">
        <f t="array" ref="BV35">INDEX(Properties!$D:$D,$B35+5)*(IF(AND(BV$3&gt;=INDEX(Properties!$T:$T,$B35+5),BV$3&lt;INDEX(Properties!$U:$U,$B35+5)),INDEX(_Seasonality!$C$50:$N$59,$B35,MONTH(EDATE(Input!$C$7,BV$3-1)))*MIN(1,(BV$3-INDEX(Properties!$T:$T,$B35+5)+1)/Input!$C$11),0))*(1+Input!$C$8)^(BV$5-1)</f>
        <v>0</v>
      </c>
      <c r="BW35" s="123" cm="1">
        <f t="array" ref="BW35">INDEX(Properties!$D:$D,$B35+5)*(IF(AND(BW$3&gt;=INDEX(Properties!$T:$T,$B35+5),BW$3&lt;INDEX(Properties!$U:$U,$B35+5)),INDEX(_Seasonality!$C$50:$N$59,$B35,MONTH(EDATE(Input!$C$7,BW$3-1)))*MIN(1,(BW$3-INDEX(Properties!$T:$T,$B35+5)+1)/Input!$C$11),0))*(1+Input!$C$8)^(BW$5-1)</f>
        <v>0</v>
      </c>
      <c r="BX35" s="123" cm="1">
        <f t="array" ref="BX35">INDEX(Properties!$D:$D,$B35+5)*(IF(AND(BX$3&gt;=INDEX(Properties!$T:$T,$B35+5),BX$3&lt;INDEX(Properties!$U:$U,$B35+5)),INDEX(_Seasonality!$C$50:$N$59,$B35,MONTH(EDATE(Input!$C$7,BX$3-1)))*MIN(1,(BX$3-INDEX(Properties!$T:$T,$B35+5)+1)/Input!$C$11),0))*(1+Input!$C$8)^(BX$5-1)</f>
        <v>0</v>
      </c>
      <c r="BY35" s="123" cm="1">
        <f t="array" ref="BY35">INDEX(Properties!$D:$D,$B35+5)*(IF(AND(BY$3&gt;=INDEX(Properties!$T:$T,$B35+5),BY$3&lt;INDEX(Properties!$U:$U,$B35+5)),INDEX(_Seasonality!$C$50:$N$59,$B35,MONTH(EDATE(Input!$C$7,BY$3-1)))*MIN(1,(BY$3-INDEX(Properties!$T:$T,$B35+5)+1)/Input!$C$11),0))*(1+Input!$C$8)^(BY$5-1)</f>
        <v>0</v>
      </c>
      <c r="BZ35" s="123" cm="1">
        <f t="array" ref="BZ35">INDEX(Properties!$D:$D,$B35+5)*(IF(AND(BZ$3&gt;=INDEX(Properties!$T:$T,$B35+5),BZ$3&lt;INDEX(Properties!$U:$U,$B35+5)),INDEX(_Seasonality!$C$50:$N$59,$B35,MONTH(EDATE(Input!$C$7,BZ$3-1)))*MIN(1,(BZ$3-INDEX(Properties!$T:$T,$B35+5)+1)/Input!$C$11),0))*(1+Input!$C$8)^(BZ$5-1)</f>
        <v>0</v>
      </c>
      <c r="CA35" s="123" cm="1">
        <f t="array" ref="CA35">INDEX(Properties!$D:$D,$B35+5)*(IF(AND(CA$3&gt;=INDEX(Properties!$T:$T,$B35+5),CA$3&lt;INDEX(Properties!$U:$U,$B35+5)),INDEX(_Seasonality!$C$50:$N$59,$B35,MONTH(EDATE(Input!$C$7,CA$3-1)))*MIN(1,(CA$3-INDEX(Properties!$T:$T,$B35+5)+1)/Input!$C$11),0))*(1+Input!$C$8)^(CA$5-1)</f>
        <v>0</v>
      </c>
      <c r="CB35" s="123" cm="1">
        <f t="array" ref="CB35">INDEX(Properties!$D:$D,$B35+5)*(IF(AND(CB$3&gt;=INDEX(Properties!$T:$T,$B35+5),CB$3&lt;INDEX(Properties!$U:$U,$B35+5)),INDEX(_Seasonality!$C$50:$N$59,$B35,MONTH(EDATE(Input!$C$7,CB$3-1)))*MIN(1,(CB$3-INDEX(Properties!$T:$T,$B35+5)+1)/Input!$C$11),0))*(1+Input!$C$8)^(CB$5-1)</f>
        <v>0</v>
      </c>
      <c r="CC35" s="123" cm="1">
        <f t="array" ref="CC35">INDEX(Properties!$D:$D,$B35+5)*(IF(AND(CC$3&gt;=INDEX(Properties!$T:$T,$B35+5),CC$3&lt;INDEX(Properties!$U:$U,$B35+5)),INDEX(_Seasonality!$C$50:$N$59,$B35,MONTH(EDATE(Input!$C$7,CC$3-1)))*MIN(1,(CC$3-INDEX(Properties!$T:$T,$B35+5)+1)/Input!$C$11),0))*(1+Input!$C$8)^(CC$5-1)</f>
        <v>0</v>
      </c>
      <c r="CD35" s="123" cm="1">
        <f t="array" ref="CD35">INDEX(Properties!$D:$D,$B35+5)*(IF(AND(CD$3&gt;=INDEX(Properties!$T:$T,$B35+5),CD$3&lt;INDEX(Properties!$U:$U,$B35+5)),INDEX(_Seasonality!$C$50:$N$59,$B35,MONTH(EDATE(Input!$C$7,CD$3-1)))*MIN(1,(CD$3-INDEX(Properties!$T:$T,$B35+5)+1)/Input!$C$11),0))*(1+Input!$C$8)^(CD$5-1)</f>
        <v>0</v>
      </c>
      <c r="CE35" s="123" cm="1">
        <f t="array" ref="CE35">INDEX(Properties!$D:$D,$B35+5)*(IF(AND(CE$3&gt;=INDEX(Properties!$T:$T,$B35+5),CE$3&lt;INDEX(Properties!$U:$U,$B35+5)),INDEX(_Seasonality!$C$50:$N$59,$B35,MONTH(EDATE(Input!$C$7,CE$3-1)))*MIN(1,(CE$3-INDEX(Properties!$T:$T,$B35+5)+1)/Input!$C$11),0))*(1+Input!$C$8)^(CE$5-1)</f>
        <v>0</v>
      </c>
      <c r="CF35" s="123" cm="1">
        <f t="array" ref="CF35">INDEX(Properties!$D:$D,$B35+5)*(IF(AND(CF$3&gt;=INDEX(Properties!$T:$T,$B35+5),CF$3&lt;INDEX(Properties!$U:$U,$B35+5)),INDEX(_Seasonality!$C$50:$N$59,$B35,MONTH(EDATE(Input!$C$7,CF$3-1)))*MIN(1,(CF$3-INDEX(Properties!$T:$T,$B35+5)+1)/Input!$C$11),0))*(1+Input!$C$8)^(CF$5-1)</f>
        <v>0</v>
      </c>
      <c r="CG35" s="123" cm="1">
        <f t="array" ref="CG35">INDEX(Properties!$D:$D,$B35+5)*(IF(AND(CG$3&gt;=INDEX(Properties!$T:$T,$B35+5),CG$3&lt;INDEX(Properties!$U:$U,$B35+5)),INDEX(_Seasonality!$C$50:$N$59,$B35,MONTH(EDATE(Input!$C$7,CG$3-1)))*MIN(1,(CG$3-INDEX(Properties!$T:$T,$B35+5)+1)/Input!$C$11),0))*(1+Input!$C$8)^(CG$5-1)</f>
        <v>0</v>
      </c>
      <c r="CH35" s="123" cm="1">
        <f t="array" ref="CH35">INDEX(Properties!$D:$D,$B35+5)*(IF(AND(CH$3&gt;=INDEX(Properties!$T:$T,$B35+5),CH$3&lt;INDEX(Properties!$U:$U,$B35+5)),INDEX(_Seasonality!$C$50:$N$59,$B35,MONTH(EDATE(Input!$C$7,CH$3-1)))*MIN(1,(CH$3-INDEX(Properties!$T:$T,$B35+5)+1)/Input!$C$11),0))*(1+Input!$C$8)^(CH$5-1)</f>
        <v>0</v>
      </c>
      <c r="CI35" s="123" cm="1">
        <f t="array" ref="CI35">INDEX(Properties!$D:$D,$B35+5)*(IF(AND(CI$3&gt;=INDEX(Properties!$T:$T,$B35+5),CI$3&lt;INDEX(Properties!$U:$U,$B35+5)),INDEX(_Seasonality!$C$50:$N$59,$B35,MONTH(EDATE(Input!$C$7,CI$3-1)))*MIN(1,(CI$3-INDEX(Properties!$T:$T,$B35+5)+1)/Input!$C$11),0))*(1+Input!$C$8)^(CI$5-1)</f>
        <v>0</v>
      </c>
      <c r="CJ35" s="123" cm="1">
        <f t="array" ref="CJ35">INDEX(Properties!$D:$D,$B35+5)*(IF(AND(CJ$3&gt;=INDEX(Properties!$T:$T,$B35+5),CJ$3&lt;INDEX(Properties!$U:$U,$B35+5)),INDEX(_Seasonality!$C$50:$N$59,$B35,MONTH(EDATE(Input!$C$7,CJ$3-1)))*MIN(1,(CJ$3-INDEX(Properties!$T:$T,$B35+5)+1)/Input!$C$11),0))*(1+Input!$C$8)^(CJ$5-1)</f>
        <v>0</v>
      </c>
      <c r="CK35" s="123" cm="1">
        <f t="array" ref="CK35">INDEX(Properties!$D:$D,$B35+5)*(IF(AND(CK$3&gt;=INDEX(Properties!$T:$T,$B35+5),CK$3&lt;INDEX(Properties!$U:$U,$B35+5)),INDEX(_Seasonality!$C$50:$N$59,$B35,MONTH(EDATE(Input!$C$7,CK$3-1)))*MIN(1,(CK$3-INDEX(Properties!$T:$T,$B35+5)+1)/Input!$C$11),0))*(1+Input!$C$8)^(CK$5-1)</f>
        <v>0</v>
      </c>
      <c r="CL35" s="123" cm="1">
        <f t="array" ref="CL35">INDEX(Properties!$D:$D,$B35+5)*(IF(AND(CL$3&gt;=INDEX(Properties!$T:$T,$B35+5),CL$3&lt;INDEX(Properties!$U:$U,$B35+5)),INDEX(_Seasonality!$C$50:$N$59,$B35,MONTH(EDATE(Input!$C$7,CL$3-1)))*MIN(1,(CL$3-INDEX(Properties!$T:$T,$B35+5)+1)/Input!$C$11),0))*(1+Input!$C$8)^(CL$5-1)</f>
        <v>0</v>
      </c>
      <c r="CM35" s="123" cm="1">
        <f t="array" ref="CM35">INDEX(Properties!$D:$D,$B35+5)*(IF(AND(CM$3&gt;=INDEX(Properties!$T:$T,$B35+5),CM$3&lt;INDEX(Properties!$U:$U,$B35+5)),INDEX(_Seasonality!$C$50:$N$59,$B35,MONTH(EDATE(Input!$C$7,CM$3-1)))*MIN(1,(CM$3-INDEX(Properties!$T:$T,$B35+5)+1)/Input!$C$11),0))*(1+Input!$C$8)^(CM$5-1)</f>
        <v>0</v>
      </c>
      <c r="CN35" s="123" cm="1">
        <f t="array" ref="CN35">INDEX(Properties!$D:$D,$B35+5)*(IF(AND(CN$3&gt;=INDEX(Properties!$T:$T,$B35+5),CN$3&lt;INDEX(Properties!$U:$U,$B35+5)),INDEX(_Seasonality!$C$50:$N$59,$B35,MONTH(EDATE(Input!$C$7,CN$3-1)))*MIN(1,(CN$3-INDEX(Properties!$T:$T,$B35+5)+1)/Input!$C$11),0))*(1+Input!$C$8)^(CN$5-1)</f>
        <v>0</v>
      </c>
      <c r="CO35" s="123" cm="1">
        <f t="array" ref="CO35">INDEX(Properties!$D:$D,$B35+5)*(IF(AND(CO$3&gt;=INDEX(Properties!$T:$T,$B35+5),CO$3&lt;INDEX(Properties!$U:$U,$B35+5)),INDEX(_Seasonality!$C$50:$N$59,$B35,MONTH(EDATE(Input!$C$7,CO$3-1)))*MIN(1,(CO$3-INDEX(Properties!$T:$T,$B35+5)+1)/Input!$C$11),0))*(1+Input!$C$8)^(CO$5-1)</f>
        <v>0</v>
      </c>
      <c r="CP35" s="123" cm="1">
        <f t="array" ref="CP35">INDEX(Properties!$D:$D,$B35+5)*(IF(AND(CP$3&gt;=INDEX(Properties!$T:$T,$B35+5),CP$3&lt;INDEX(Properties!$U:$U,$B35+5)),INDEX(_Seasonality!$C$50:$N$59,$B35,MONTH(EDATE(Input!$C$7,CP$3-1)))*MIN(1,(CP$3-INDEX(Properties!$T:$T,$B35+5)+1)/Input!$C$11),0))*(1+Input!$C$8)^(CP$5-1)</f>
        <v>0</v>
      </c>
      <c r="CQ35" s="123" cm="1">
        <f t="array" ref="CQ35">INDEX(Properties!$D:$D,$B35+5)*(IF(AND(CQ$3&gt;=INDEX(Properties!$T:$T,$B35+5),CQ$3&lt;INDEX(Properties!$U:$U,$B35+5)),INDEX(_Seasonality!$C$50:$N$59,$B35,MONTH(EDATE(Input!$C$7,CQ$3-1)))*MIN(1,(CQ$3-INDEX(Properties!$T:$T,$B35+5)+1)/Input!$C$11),0))*(1+Input!$C$8)^(CQ$5-1)</f>
        <v>0</v>
      </c>
      <c r="CR35" s="123" cm="1">
        <f t="array" ref="CR35">INDEX(Properties!$D:$D,$B35+5)*(IF(AND(CR$3&gt;=INDEX(Properties!$T:$T,$B35+5),CR$3&lt;INDEX(Properties!$U:$U,$B35+5)),INDEX(_Seasonality!$C$50:$N$59,$B35,MONTH(EDATE(Input!$C$7,CR$3-1)))*MIN(1,(CR$3-INDEX(Properties!$T:$T,$B35+5)+1)/Input!$C$11),0))*(1+Input!$C$8)^(CR$5-1)</f>
        <v>0</v>
      </c>
      <c r="CS35" s="123" cm="1">
        <f t="array" ref="CS35">INDEX(Properties!$D:$D,$B35+5)*(IF(AND(CS$3&gt;=INDEX(Properties!$T:$T,$B35+5),CS$3&lt;INDEX(Properties!$U:$U,$B35+5)),INDEX(_Seasonality!$C$50:$N$59,$B35,MONTH(EDATE(Input!$C$7,CS$3-1)))*MIN(1,(CS$3-INDEX(Properties!$T:$T,$B35+5)+1)/Input!$C$11),0))*(1+Input!$C$8)^(CS$5-1)</f>
        <v>0</v>
      </c>
      <c r="CT35" s="123" cm="1">
        <f t="array" ref="CT35">INDEX(Properties!$D:$D,$B35+5)*(IF(AND(CT$3&gt;=INDEX(Properties!$T:$T,$B35+5),CT$3&lt;INDEX(Properties!$U:$U,$B35+5)),INDEX(_Seasonality!$C$50:$N$59,$B35,MONTH(EDATE(Input!$C$7,CT$3-1)))*MIN(1,(CT$3-INDEX(Properties!$T:$T,$B35+5)+1)/Input!$C$11),0))*(1+Input!$C$8)^(CT$5-1)</f>
        <v>0</v>
      </c>
      <c r="CU35" s="123" cm="1">
        <f t="array" ref="CU35">INDEX(Properties!$D:$D,$B35+5)*(IF(AND(CU$3&gt;=INDEX(Properties!$T:$T,$B35+5),CU$3&lt;INDEX(Properties!$U:$U,$B35+5)),INDEX(_Seasonality!$C$50:$N$59,$B35,MONTH(EDATE(Input!$C$7,CU$3-1)))*MIN(1,(CU$3-INDEX(Properties!$T:$T,$B35+5)+1)/Input!$C$11),0))*(1+Input!$C$8)^(CU$5-1)</f>
        <v>0</v>
      </c>
      <c r="CV35" s="123" cm="1">
        <f t="array" ref="CV35">INDEX(Properties!$D:$D,$B35+5)*(IF(AND(CV$3&gt;=INDEX(Properties!$T:$T,$B35+5),CV$3&lt;INDEX(Properties!$U:$U,$B35+5)),INDEX(_Seasonality!$C$50:$N$59,$B35,MONTH(EDATE(Input!$C$7,CV$3-1)))*MIN(1,(CV$3-INDEX(Properties!$T:$T,$B35+5)+1)/Input!$C$11),0))*(1+Input!$C$8)^(CV$5-1)</f>
        <v>0</v>
      </c>
      <c r="CW35" s="123" cm="1">
        <f t="array" ref="CW35">INDEX(Properties!$D:$D,$B35+5)*(IF(AND(CW$3&gt;=INDEX(Properties!$T:$T,$B35+5),CW$3&lt;INDEX(Properties!$U:$U,$B35+5)),INDEX(_Seasonality!$C$50:$N$59,$B35,MONTH(EDATE(Input!$C$7,CW$3-1)))*MIN(1,(CW$3-INDEX(Properties!$T:$T,$B35+5)+1)/Input!$C$11),0))*(1+Input!$C$8)^(CW$5-1)</f>
        <v>0</v>
      </c>
      <c r="CX35" s="123" cm="1">
        <f t="array" ref="CX35">INDEX(Properties!$D:$D,$B35+5)*(IF(AND(CX$3&gt;=INDEX(Properties!$T:$T,$B35+5),CX$3&lt;INDEX(Properties!$U:$U,$B35+5)),INDEX(_Seasonality!$C$50:$N$59,$B35,MONTH(EDATE(Input!$C$7,CX$3-1)))*MIN(1,(CX$3-INDEX(Properties!$T:$T,$B35+5)+1)/Input!$C$11),0))*(1+Input!$C$8)^(CX$5-1)</f>
        <v>0</v>
      </c>
      <c r="CY35" s="123" cm="1">
        <f t="array" ref="CY35">INDEX(Properties!$D:$D,$B35+5)*(IF(AND(CY$3&gt;=INDEX(Properties!$T:$T,$B35+5),CY$3&lt;INDEX(Properties!$U:$U,$B35+5)),INDEX(_Seasonality!$C$50:$N$59,$B35,MONTH(EDATE(Input!$C$7,CY$3-1)))*MIN(1,(CY$3-INDEX(Properties!$T:$T,$B35+5)+1)/Input!$C$11),0))*(1+Input!$C$8)^(CY$5-1)</f>
        <v>0</v>
      </c>
      <c r="CZ35" s="123" cm="1">
        <f t="array" ref="CZ35">INDEX(Properties!$D:$D,$B35+5)*(IF(AND(CZ$3&gt;=INDEX(Properties!$T:$T,$B35+5),CZ$3&lt;INDEX(Properties!$U:$U,$B35+5)),INDEX(_Seasonality!$C$50:$N$59,$B35,MONTH(EDATE(Input!$C$7,CZ$3-1)))*MIN(1,(CZ$3-INDEX(Properties!$T:$T,$B35+5)+1)/Input!$C$11),0))*(1+Input!$C$8)^(CZ$5-1)</f>
        <v>0</v>
      </c>
      <c r="DA35" s="123" cm="1">
        <f t="array" ref="DA35">INDEX(Properties!$D:$D,$B35+5)*(IF(AND(DA$3&gt;=INDEX(Properties!$T:$T,$B35+5),DA$3&lt;INDEX(Properties!$U:$U,$B35+5)),INDEX(_Seasonality!$C$50:$N$59,$B35,MONTH(EDATE(Input!$C$7,DA$3-1)))*MIN(1,(DA$3-INDEX(Properties!$T:$T,$B35+5)+1)/Input!$C$11),0))*(1+Input!$C$8)^(DA$5-1)</f>
        <v>0</v>
      </c>
      <c r="DB35" s="123" cm="1">
        <f t="array" ref="DB35">INDEX(Properties!$D:$D,$B35+5)*(IF(AND(DB$3&gt;=INDEX(Properties!$T:$T,$B35+5),DB$3&lt;INDEX(Properties!$U:$U,$B35+5)),INDEX(_Seasonality!$C$50:$N$59,$B35,MONTH(EDATE(Input!$C$7,DB$3-1)))*MIN(1,(DB$3-INDEX(Properties!$T:$T,$B35+5)+1)/Input!$C$11),0))*(1+Input!$C$8)^(DB$5-1)</f>
        <v>0</v>
      </c>
      <c r="DC35" s="123" cm="1">
        <f t="array" ref="DC35">INDEX(Properties!$D:$D,$B35+5)*(IF(AND(DC$3&gt;=INDEX(Properties!$T:$T,$B35+5),DC$3&lt;INDEX(Properties!$U:$U,$B35+5)),INDEX(_Seasonality!$C$50:$N$59,$B35,MONTH(EDATE(Input!$C$7,DC$3-1)))*MIN(1,(DC$3-INDEX(Properties!$T:$T,$B35+5)+1)/Input!$C$11),0))*(1+Input!$C$8)^(DC$5-1)</f>
        <v>0</v>
      </c>
      <c r="DD35" s="123" cm="1">
        <f t="array" ref="DD35">INDEX(Properties!$D:$D,$B35+5)*(IF(AND(DD$3&gt;=INDEX(Properties!$T:$T,$B35+5),DD$3&lt;INDEX(Properties!$U:$U,$B35+5)),INDEX(_Seasonality!$C$50:$N$59,$B35,MONTH(EDATE(Input!$C$7,DD$3-1)))*MIN(1,(DD$3-INDEX(Properties!$T:$T,$B35+5)+1)/Input!$C$11),0))*(1+Input!$C$8)^(DD$5-1)</f>
        <v>0</v>
      </c>
      <c r="DE35" s="123" cm="1">
        <f t="array" ref="DE35">INDEX(Properties!$D:$D,$B35+5)*(IF(AND(DE$3&gt;=INDEX(Properties!$T:$T,$B35+5),DE$3&lt;INDEX(Properties!$U:$U,$B35+5)),INDEX(_Seasonality!$C$50:$N$59,$B35,MONTH(EDATE(Input!$C$7,DE$3-1)))*MIN(1,(DE$3-INDEX(Properties!$T:$T,$B35+5)+1)/Input!$C$11),0))*(1+Input!$C$8)^(DE$5-1)</f>
        <v>0</v>
      </c>
      <c r="DF35" s="123" cm="1">
        <f t="array" ref="DF35">INDEX(Properties!$D:$D,$B35+5)*(IF(AND(DF$3&gt;=INDEX(Properties!$T:$T,$B35+5),DF$3&lt;INDEX(Properties!$U:$U,$B35+5)),INDEX(_Seasonality!$C$50:$N$59,$B35,MONTH(EDATE(Input!$C$7,DF$3-1)))*MIN(1,(DF$3-INDEX(Properties!$T:$T,$B35+5)+1)/Input!$C$11),0))*(1+Input!$C$8)^(DF$5-1)</f>
        <v>0</v>
      </c>
      <c r="DG35" s="123" cm="1">
        <f t="array" ref="DG35">INDEX(Properties!$D:$D,$B35+5)*(IF(AND(DG$3&gt;=INDEX(Properties!$T:$T,$B35+5),DG$3&lt;INDEX(Properties!$U:$U,$B35+5)),INDEX(_Seasonality!$C$50:$N$59,$B35,MONTH(EDATE(Input!$C$7,DG$3-1)))*MIN(1,(DG$3-INDEX(Properties!$T:$T,$B35+5)+1)/Input!$C$11),0))*(1+Input!$C$8)^(DG$5-1)</f>
        <v>0</v>
      </c>
      <c r="DH35" s="123" cm="1">
        <f t="array" ref="DH35">INDEX(Properties!$D:$D,$B35+5)*(IF(AND(DH$3&gt;=INDEX(Properties!$T:$T,$B35+5),DH$3&lt;INDEX(Properties!$U:$U,$B35+5)),INDEX(_Seasonality!$C$50:$N$59,$B35,MONTH(EDATE(Input!$C$7,DH$3-1)))*MIN(1,(DH$3-INDEX(Properties!$T:$T,$B35+5)+1)/Input!$C$11),0))*(1+Input!$C$8)^(DH$5-1)</f>
        <v>0</v>
      </c>
      <c r="DI35" s="123" cm="1">
        <f t="array" ref="DI35">INDEX(Properties!$D:$D,$B35+5)*(IF(AND(DI$3&gt;=INDEX(Properties!$T:$T,$B35+5),DI$3&lt;INDEX(Properties!$U:$U,$B35+5)),INDEX(_Seasonality!$C$50:$N$59,$B35,MONTH(EDATE(Input!$C$7,DI$3-1)))*MIN(1,(DI$3-INDEX(Properties!$T:$T,$B35+5)+1)/Input!$C$11),0))*(1+Input!$C$8)^(DI$5-1)</f>
        <v>0</v>
      </c>
      <c r="DJ35" s="123" cm="1">
        <f t="array" ref="DJ35">INDEX(Properties!$D:$D,$B35+5)*(IF(AND(DJ$3&gt;=INDEX(Properties!$T:$T,$B35+5),DJ$3&lt;INDEX(Properties!$U:$U,$B35+5)),INDEX(_Seasonality!$C$50:$N$59,$B35,MONTH(EDATE(Input!$C$7,DJ$3-1)))*MIN(1,(DJ$3-INDEX(Properties!$T:$T,$B35+5)+1)/Input!$C$11),0))*(1+Input!$C$8)^(DJ$5-1)</f>
        <v>0</v>
      </c>
      <c r="DK35" s="123" cm="1">
        <f t="array" ref="DK35">INDEX(Properties!$D:$D,$B35+5)*(IF(AND(DK$3&gt;=INDEX(Properties!$T:$T,$B35+5),DK$3&lt;INDEX(Properties!$U:$U,$B35+5)),INDEX(_Seasonality!$C$50:$N$59,$B35,MONTH(EDATE(Input!$C$7,DK$3-1)))*MIN(1,(DK$3-INDEX(Properties!$T:$T,$B35+5)+1)/Input!$C$11),0))*(1+Input!$C$8)^(DK$5-1)</f>
        <v>0</v>
      </c>
      <c r="DL35" s="123" cm="1">
        <f t="array" ref="DL35">INDEX(Properties!$D:$D,$B35+5)*(IF(AND(DL$3&gt;=INDEX(Properties!$T:$T,$B35+5),DL$3&lt;INDEX(Properties!$U:$U,$B35+5)),INDEX(_Seasonality!$C$50:$N$59,$B35,MONTH(EDATE(Input!$C$7,DL$3-1)))*MIN(1,(DL$3-INDEX(Properties!$T:$T,$B35+5)+1)/Input!$C$11),0))*(1+Input!$C$8)^(DL$5-1)</f>
        <v>0</v>
      </c>
      <c r="DM35" s="123" cm="1">
        <f t="array" ref="DM35">INDEX(Properties!$D:$D,$B35+5)*(IF(AND(DM$3&gt;=INDEX(Properties!$T:$T,$B35+5),DM$3&lt;INDEX(Properties!$U:$U,$B35+5)),INDEX(_Seasonality!$C$50:$N$59,$B35,MONTH(EDATE(Input!$C$7,DM$3-1)))*MIN(1,(DM$3-INDEX(Properties!$T:$T,$B35+5)+1)/Input!$C$11),0))*(1+Input!$C$8)^(DM$5-1)</f>
        <v>0</v>
      </c>
      <c r="DN35" s="123" cm="1">
        <f t="array" ref="DN35">INDEX(Properties!$D:$D,$B35+5)*(IF(AND(DN$3&gt;=INDEX(Properties!$T:$T,$B35+5),DN$3&lt;INDEX(Properties!$U:$U,$B35+5)),INDEX(_Seasonality!$C$50:$N$59,$B35,MONTH(EDATE(Input!$C$7,DN$3-1)))*MIN(1,(DN$3-INDEX(Properties!$T:$T,$B35+5)+1)/Input!$C$11),0))*(1+Input!$C$8)^(DN$5-1)</f>
        <v>0</v>
      </c>
      <c r="DO35" s="123" cm="1">
        <f t="array" ref="DO35">INDEX(Properties!$D:$D,$B35+5)*(IF(AND(DO$3&gt;=INDEX(Properties!$T:$T,$B35+5),DO$3&lt;INDEX(Properties!$U:$U,$B35+5)),INDEX(_Seasonality!$C$50:$N$59,$B35,MONTH(EDATE(Input!$C$7,DO$3-1)))*MIN(1,(DO$3-INDEX(Properties!$T:$T,$B35+5)+1)/Input!$C$11),0))*(1+Input!$C$8)^(DO$5-1)</f>
        <v>0</v>
      </c>
      <c r="DP35" s="123" cm="1">
        <f t="array" ref="DP35">INDEX(Properties!$D:$D,$B35+5)*(IF(AND(DP$3&gt;=INDEX(Properties!$T:$T,$B35+5),DP$3&lt;INDEX(Properties!$U:$U,$B35+5)),INDEX(_Seasonality!$C$50:$N$59,$B35,MONTH(EDATE(Input!$C$7,DP$3-1)))*MIN(1,(DP$3-INDEX(Properties!$T:$T,$B35+5)+1)/Input!$C$11),0))*(1+Input!$C$8)^(DP$5-1)</f>
        <v>0</v>
      </c>
      <c r="DQ35" s="123" cm="1">
        <f t="array" ref="DQ35">INDEX(Properties!$D:$D,$B35+5)*(IF(AND(DQ$3&gt;=INDEX(Properties!$T:$T,$B35+5),DQ$3&lt;INDEX(Properties!$U:$U,$B35+5)),INDEX(_Seasonality!$C$50:$N$59,$B35,MONTH(EDATE(Input!$C$7,DQ$3-1)))*MIN(1,(DQ$3-INDEX(Properties!$T:$T,$B35+5)+1)/Input!$C$11),0))*(1+Input!$C$8)^(DQ$5-1)</f>
        <v>0</v>
      </c>
      <c r="DR35" s="123" cm="1">
        <f t="array" ref="DR35">INDEX(Properties!$D:$D,$B35+5)*(IF(AND(DR$3&gt;=INDEX(Properties!$T:$T,$B35+5),DR$3&lt;INDEX(Properties!$U:$U,$B35+5)),INDEX(_Seasonality!$C$50:$N$59,$B35,MONTH(EDATE(Input!$C$7,DR$3-1)))*MIN(1,(DR$3-INDEX(Properties!$T:$T,$B35+5)+1)/Input!$C$11),0))*(1+Input!$C$8)^(DR$5-1)</f>
        <v>0</v>
      </c>
    </row>
    <row r="36" spans="1:122" ht="16.05" customHeight="1" x14ac:dyDescent="0.3">
      <c r="A36" s="148" t="str" cm="1">
        <f t="array" ref="A36">INDEX(Properties!$E:$E,$B36+5)</f>
        <v>San Lucas Apto 101</v>
      </c>
      <c r="B36" s="1">
        <v>3</v>
      </c>
      <c r="C36" s="123" cm="1">
        <f t="array" ref="C36">INDEX(Properties!$D:$D,$B36+5)*(IF(AND(C$3&gt;=INDEX(Properties!$T:$T,$B36+5),C$3&lt;INDEX(Properties!$U:$U,$B36+5)),INDEX(_Seasonality!$C$50:$N$59,$B36,MONTH(EDATE(Input!$C$7,C$3-1)))*MIN(1,(C$3-INDEX(Properties!$T:$T,$B36+5)+1)/Input!$C$11),0))*(1+Input!$C$8)^(C$5-1)</f>
        <v>0</v>
      </c>
      <c r="D36" s="123" cm="1">
        <f t="array" ref="D36">INDEX(Properties!$D:$D,$B36+5)*(IF(AND(D$3&gt;=INDEX(Properties!$T:$T,$B36+5),D$3&lt;INDEX(Properties!$U:$U,$B36+5)),INDEX(_Seasonality!$C$50:$N$59,$B36,MONTH(EDATE(Input!$C$7,D$3-1)))*MIN(1,(D$3-INDEX(Properties!$T:$T,$B36+5)+1)/Input!$C$11),0))*(1+Input!$C$8)^(D$5-1)</f>
        <v>0</v>
      </c>
      <c r="E36" s="123" cm="1">
        <f t="array" ref="E36">INDEX(Properties!$D:$D,$B36+5)*(IF(AND(E$3&gt;=INDEX(Properties!$T:$T,$B36+5),E$3&lt;INDEX(Properties!$U:$U,$B36+5)),INDEX(_Seasonality!$C$50:$N$59,$B36,MONTH(EDATE(Input!$C$7,E$3-1)))*MIN(1,(E$3-INDEX(Properties!$T:$T,$B36+5)+1)/Input!$C$11),0))*(1+Input!$C$8)^(E$5-1)</f>
        <v>0</v>
      </c>
      <c r="F36" s="123" cm="1">
        <f t="array" ref="F36">INDEX(Properties!$D:$D,$B36+5)*(IF(AND(F$3&gt;=INDEX(Properties!$T:$T,$B36+5),F$3&lt;INDEX(Properties!$U:$U,$B36+5)),INDEX(_Seasonality!$C$50:$N$59,$B36,MONTH(EDATE(Input!$C$7,F$3-1)))*MIN(1,(F$3-INDEX(Properties!$T:$T,$B36+5)+1)/Input!$C$11),0))*(1+Input!$C$8)^(F$5-1)</f>
        <v>0</v>
      </c>
      <c r="G36" s="123" cm="1">
        <f t="array" ref="G36">INDEX(Properties!$D:$D,$B36+5)*(IF(AND(G$3&gt;=INDEX(Properties!$T:$T,$B36+5),G$3&lt;INDEX(Properties!$U:$U,$B36+5)),INDEX(_Seasonality!$C$50:$N$59,$B36,MONTH(EDATE(Input!$C$7,G$3-1)))*MIN(1,(G$3-INDEX(Properties!$T:$T,$B36+5)+1)/Input!$C$11),0))*(1+Input!$C$8)^(G$5-1)</f>
        <v>0</v>
      </c>
      <c r="H36" s="123" cm="1">
        <f t="array" ref="H36">INDEX(Properties!$D:$D,$B36+5)*(IF(AND(H$3&gt;=INDEX(Properties!$T:$T,$B36+5),H$3&lt;INDEX(Properties!$U:$U,$B36+5)),INDEX(_Seasonality!$C$50:$N$59,$B36,MONTH(EDATE(Input!$C$7,H$3-1)))*MIN(1,(H$3-INDEX(Properties!$T:$T,$B36+5)+1)/Input!$C$11),0))*(1+Input!$C$8)^(H$5-1)</f>
        <v>0</v>
      </c>
      <c r="I36" s="123" cm="1">
        <f t="array" ref="I36">INDEX(Properties!$D:$D,$B36+5)*(IF(AND(I$3&gt;=INDEX(Properties!$T:$T,$B36+5),I$3&lt;INDEX(Properties!$U:$U,$B36+5)),INDEX(_Seasonality!$C$50:$N$59,$B36,MONTH(EDATE(Input!$C$7,I$3-1)))*MIN(1,(I$3-INDEX(Properties!$T:$T,$B36+5)+1)/Input!$C$11),0))*(1+Input!$C$8)^(I$5-1)</f>
        <v>0</v>
      </c>
      <c r="J36" s="123" cm="1">
        <f t="array" ref="J36">INDEX(Properties!$D:$D,$B36+5)*(IF(AND(J$3&gt;=INDEX(Properties!$T:$T,$B36+5),J$3&lt;INDEX(Properties!$U:$U,$B36+5)),INDEX(_Seasonality!$C$50:$N$59,$B36,MONTH(EDATE(Input!$C$7,J$3-1)))*MIN(1,(J$3-INDEX(Properties!$T:$T,$B36+5)+1)/Input!$C$11),0))*(1+Input!$C$8)^(J$5-1)</f>
        <v>0</v>
      </c>
      <c r="K36" s="123" cm="1">
        <f t="array" ref="K36">INDEX(Properties!$D:$D,$B36+5)*(IF(AND(K$3&gt;=INDEX(Properties!$T:$T,$B36+5),K$3&lt;INDEX(Properties!$U:$U,$B36+5)),INDEX(_Seasonality!$C$50:$N$59,$B36,MONTH(EDATE(Input!$C$7,K$3-1)))*MIN(1,(K$3-INDEX(Properties!$T:$T,$B36+5)+1)/Input!$C$11),0))*(1+Input!$C$8)^(K$5-1)</f>
        <v>4725</v>
      </c>
      <c r="L36" s="123" cm="1">
        <f t="array" ref="L36">INDEX(Properties!$D:$D,$B36+5)*(IF(AND(L$3&gt;=INDEX(Properties!$T:$T,$B36+5),L$3&lt;INDEX(Properties!$U:$U,$B36+5)),INDEX(_Seasonality!$C$50:$N$59,$B36,MONTH(EDATE(Input!$C$7,L$3-1)))*MIN(1,(L$3-INDEX(Properties!$T:$T,$B36+5)+1)/Input!$C$11),0))*(1+Input!$C$8)^(L$5-1)</f>
        <v>5614.875</v>
      </c>
      <c r="M36" s="123" cm="1">
        <f t="array" ref="M36">INDEX(Properties!$D:$D,$B36+5)*(IF(AND(M$3&gt;=INDEX(Properties!$T:$T,$B36+5),M$3&lt;INDEX(Properties!$U:$U,$B36+5)),INDEX(_Seasonality!$C$50:$N$59,$B36,MONTH(EDATE(Input!$C$7,M$3-1)))*MIN(1,(M$3-INDEX(Properties!$T:$T,$B36+5)+1)/Input!$C$11),0))*(1+Input!$C$8)^(M$5-1)</f>
        <v>5882.25</v>
      </c>
      <c r="N36" s="123" cm="1">
        <f t="array" ref="N36">INDEX(Properties!$D:$D,$B36+5)*(IF(AND(N$3&gt;=INDEX(Properties!$T:$T,$B36+5),N$3&lt;INDEX(Properties!$U:$U,$B36+5)),INDEX(_Seasonality!$C$50:$N$59,$B36,MONTH(EDATE(Input!$C$7,N$3-1)))*MIN(1,(N$3-INDEX(Properties!$T:$T,$B36+5)+1)/Input!$C$11),0))*(1+Input!$C$8)^(N$5-1)</f>
        <v>3847.5000000000018</v>
      </c>
      <c r="O36" s="123" cm="1">
        <f t="array" ref="O36">INDEX(Properties!$D:$D,$B36+5)*(IF(AND(O$3&gt;=INDEX(Properties!$T:$T,$B36+5),O$3&lt;INDEX(Properties!$U:$U,$B36+5)),INDEX(_Seasonality!$C$50:$N$59,$B36,MONTH(EDATE(Input!$C$7,O$3-1)))*MIN(1,(O$3-INDEX(Properties!$T:$T,$B36+5)+1)/Input!$C$11),0))*(1+Input!$C$8)^(O$5-1)</f>
        <v>4055.2650000000012</v>
      </c>
      <c r="P36" s="123" cm="1">
        <f t="array" ref="P36">INDEX(Properties!$D:$D,$B36+5)*(IF(AND(P$3&gt;=INDEX(Properties!$T:$T,$B36+5),P$3&lt;INDEX(Properties!$U:$U,$B36+5)),INDEX(_Seasonality!$C$50:$N$59,$B36,MONTH(EDATE(Input!$C$7,P$3-1)))*MIN(1,(P$3-INDEX(Properties!$T:$T,$B36+5)+1)/Input!$C$11),0))*(1+Input!$C$8)^(P$5-1)</f>
        <v>4142.4750000000004</v>
      </c>
      <c r="Q36" s="123" cm="1">
        <f t="array" ref="Q36">INDEX(Properties!$D:$D,$B36+5)*(IF(AND(Q$3&gt;=INDEX(Properties!$T:$T,$B36+5),Q$3&lt;INDEX(Properties!$U:$U,$B36+5)),INDEX(_Seasonality!$C$50:$N$59,$B36,MONTH(EDATE(Input!$C$7,Q$3-1)))*MIN(1,(Q$3-INDEX(Properties!$T:$T,$B36+5)+1)/Input!$C$11),0))*(1+Input!$C$8)^(Q$5-1)</f>
        <v>5739.0300000000016</v>
      </c>
      <c r="R36" s="123" cm="1">
        <f t="array" ref="R36">INDEX(Properties!$D:$D,$B36+5)*(IF(AND(R$3&gt;=INDEX(Properties!$T:$T,$B36+5),R$3&lt;INDEX(Properties!$U:$U,$B36+5)),INDEX(_Seasonality!$C$50:$N$59,$B36,MONTH(EDATE(Input!$C$7,R$3-1)))*MIN(1,(R$3-INDEX(Properties!$T:$T,$B36+5)+1)/Input!$C$11),0))*(1+Input!$C$8)^(R$5-1)</f>
        <v>5999.8950000000004</v>
      </c>
      <c r="S36" s="123" cm="1">
        <f t="array" ref="S36">INDEX(Properties!$D:$D,$B36+5)*(IF(AND(S$3&gt;=INDEX(Properties!$T:$T,$B36+5),S$3&lt;INDEX(Properties!$U:$U,$B36+5)),INDEX(_Seasonality!$C$50:$N$59,$B36,MONTH(EDATE(Input!$C$7,S$3-1)))*MIN(1,(S$3-INDEX(Properties!$T:$T,$B36+5)+1)/Input!$C$11),0))*(1+Input!$C$8)^(S$5-1)</f>
        <v>4284</v>
      </c>
      <c r="T36" s="123" cm="1">
        <f t="array" ref="T36">INDEX(Properties!$D:$D,$B36+5)*(IF(AND(T$3&gt;=INDEX(Properties!$T:$T,$B36+5),T$3&lt;INDEX(Properties!$U:$U,$B36+5)),INDEX(_Seasonality!$C$50:$N$59,$B36,MONTH(EDATE(Input!$C$7,T$3-1)))*MIN(1,(T$3-INDEX(Properties!$T:$T,$B36+5)+1)/Input!$C$11),0))*(1+Input!$C$8)^(T$5-1)</f>
        <v>4280.5575000000008</v>
      </c>
      <c r="U36" s="123" cm="1">
        <f t="array" ref="U36">INDEX(Properties!$D:$D,$B36+5)*(IF(AND(U$3&gt;=INDEX(Properties!$T:$T,$B36+5),U$3&lt;INDEX(Properties!$U:$U,$B36+5)),INDEX(_Seasonality!$C$50:$N$59,$B36,MONTH(EDATE(Input!$C$7,U$3-1)))*MIN(1,(U$3-INDEX(Properties!$T:$T,$B36+5)+1)/Input!$C$11),0))*(1+Input!$C$8)^(U$5-1)</f>
        <v>3706.4250000000011</v>
      </c>
      <c r="V36" s="123" cm="1">
        <f t="array" ref="V36">INDEX(Properties!$D:$D,$B36+5)*(IF(AND(V$3&gt;=INDEX(Properties!$T:$T,$B36+5),V$3&lt;INDEX(Properties!$U:$U,$B36+5)),INDEX(_Seasonality!$C$50:$N$59,$B36,MONTH(EDATE(Input!$C$7,V$3-1)))*MIN(1,(V$3-INDEX(Properties!$T:$T,$B36+5)+1)/Input!$C$11),0))*(1+Input!$C$8)^(V$5-1)</f>
        <v>3628.3950000000004</v>
      </c>
      <c r="W36" s="123" cm="1">
        <f t="array" ref="W36">INDEX(Properties!$D:$D,$B36+5)*(IF(AND(W$3&gt;=INDEX(Properties!$T:$T,$B36+5),W$3&lt;INDEX(Properties!$U:$U,$B36+5)),INDEX(_Seasonality!$C$50:$N$59,$B36,MONTH(EDATE(Input!$C$7,W$3-1)))*MIN(1,(W$3-INDEX(Properties!$T:$T,$B36+5)+1)/Input!$C$11),0))*(1+Input!$C$8)^(W$5-1)</f>
        <v>4819.5</v>
      </c>
      <c r="X36" s="123" cm="1">
        <f t="array" ref="X36">INDEX(Properties!$D:$D,$B36+5)*(IF(AND(X$3&gt;=INDEX(Properties!$T:$T,$B36+5),X$3&lt;INDEX(Properties!$U:$U,$B36+5)),INDEX(_Seasonality!$C$50:$N$59,$B36,MONTH(EDATE(Input!$C$7,X$3-1)))*MIN(1,(X$3-INDEX(Properties!$T:$T,$B36+5)+1)/Input!$C$11),0))*(1+Input!$C$8)^(X$5-1)</f>
        <v>5727.1724999999997</v>
      </c>
      <c r="Y36" s="123" cm="1">
        <f t="array" ref="Y36">INDEX(Properties!$D:$D,$B36+5)*(IF(AND(Y$3&gt;=INDEX(Properties!$T:$T,$B36+5),Y$3&lt;INDEX(Properties!$U:$U,$B36+5)),INDEX(_Seasonality!$C$50:$N$59,$B36,MONTH(EDATE(Input!$C$7,Y$3-1)))*MIN(1,(Y$3-INDEX(Properties!$T:$T,$B36+5)+1)/Input!$C$11),0))*(1+Input!$C$8)^(Y$5-1)</f>
        <v>5999.8950000000004</v>
      </c>
      <c r="Z36" s="123" cm="1">
        <f t="array" ref="Z36">INDEX(Properties!$D:$D,$B36+5)*(IF(AND(Z$3&gt;=INDEX(Properties!$T:$T,$B36+5),Z$3&lt;INDEX(Properties!$U:$U,$B36+5)),INDEX(_Seasonality!$C$50:$N$59,$B36,MONTH(EDATE(Input!$C$7,Z$3-1)))*MIN(1,(Z$3-INDEX(Properties!$T:$T,$B36+5)+1)/Input!$C$11),0))*(1+Input!$C$8)^(Z$5-1)</f>
        <v>3924.4500000000021</v>
      </c>
      <c r="AA36" s="123" cm="1">
        <f t="array" ref="AA36">INDEX(Properties!$D:$D,$B36+5)*(IF(AND(AA$3&gt;=INDEX(Properties!$T:$T,$B36+5),AA$3&lt;INDEX(Properties!$U:$U,$B36+5)),INDEX(_Seasonality!$C$50:$N$59,$B36,MONTH(EDATE(Input!$C$7,AA$3-1)))*MIN(1,(AA$3-INDEX(Properties!$T:$T,$B36+5)+1)/Input!$C$11),0))*(1+Input!$C$8)^(AA$5-1)</f>
        <v>4136.3703000000014</v>
      </c>
      <c r="AB36" s="123" cm="1">
        <f t="array" ref="AB36">INDEX(Properties!$D:$D,$B36+5)*(IF(AND(AB$3&gt;=INDEX(Properties!$T:$T,$B36+5),AB$3&lt;INDEX(Properties!$U:$U,$B36+5)),INDEX(_Seasonality!$C$50:$N$59,$B36,MONTH(EDATE(Input!$C$7,AB$3-1)))*MIN(1,(AB$3-INDEX(Properties!$T:$T,$B36+5)+1)/Input!$C$11),0))*(1+Input!$C$8)^(AB$5-1)</f>
        <v>4225.3245000000006</v>
      </c>
      <c r="AC36" s="123" cm="1">
        <f t="array" ref="AC36">INDEX(Properties!$D:$D,$B36+5)*(IF(AND(AC$3&gt;=INDEX(Properties!$T:$T,$B36+5),AC$3&lt;INDEX(Properties!$U:$U,$B36+5)),INDEX(_Seasonality!$C$50:$N$59,$B36,MONTH(EDATE(Input!$C$7,AC$3-1)))*MIN(1,(AC$3-INDEX(Properties!$T:$T,$B36+5)+1)/Input!$C$11),0))*(1+Input!$C$8)^(AC$5-1)</f>
        <v>5853.8106000000016</v>
      </c>
      <c r="AD36" s="123" cm="1">
        <f t="array" ref="AD36">INDEX(Properties!$D:$D,$B36+5)*(IF(AND(AD$3&gt;=INDEX(Properties!$T:$T,$B36+5),AD$3&lt;INDEX(Properties!$U:$U,$B36+5)),INDEX(_Seasonality!$C$50:$N$59,$B36,MONTH(EDATE(Input!$C$7,AD$3-1)))*MIN(1,(AD$3-INDEX(Properties!$T:$T,$B36+5)+1)/Input!$C$11),0))*(1+Input!$C$8)^(AD$5-1)</f>
        <v>0</v>
      </c>
      <c r="AE36" s="123" cm="1">
        <f t="array" ref="AE36">INDEX(Properties!$D:$D,$B36+5)*(IF(AND(AE$3&gt;=INDEX(Properties!$T:$T,$B36+5),AE$3&lt;INDEX(Properties!$U:$U,$B36+5)),INDEX(_Seasonality!$C$50:$N$59,$B36,MONTH(EDATE(Input!$C$7,AE$3-1)))*MIN(1,(AE$3-INDEX(Properties!$T:$T,$B36+5)+1)/Input!$C$11),0))*(1+Input!$C$8)^(AE$5-1)</f>
        <v>0</v>
      </c>
      <c r="AF36" s="123" cm="1">
        <f t="array" ref="AF36">INDEX(Properties!$D:$D,$B36+5)*(IF(AND(AF$3&gt;=INDEX(Properties!$T:$T,$B36+5),AF$3&lt;INDEX(Properties!$U:$U,$B36+5)),INDEX(_Seasonality!$C$50:$N$59,$B36,MONTH(EDATE(Input!$C$7,AF$3-1)))*MIN(1,(AF$3-INDEX(Properties!$T:$T,$B36+5)+1)/Input!$C$11),0))*(1+Input!$C$8)^(AF$5-1)</f>
        <v>0</v>
      </c>
      <c r="AG36" s="123" cm="1">
        <f t="array" ref="AG36">INDEX(Properties!$D:$D,$B36+5)*(IF(AND(AG$3&gt;=INDEX(Properties!$T:$T,$B36+5),AG$3&lt;INDEX(Properties!$U:$U,$B36+5)),INDEX(_Seasonality!$C$50:$N$59,$B36,MONTH(EDATE(Input!$C$7,AG$3-1)))*MIN(1,(AG$3-INDEX(Properties!$T:$T,$B36+5)+1)/Input!$C$11),0))*(1+Input!$C$8)^(AG$5-1)</f>
        <v>0</v>
      </c>
      <c r="AH36" s="123" cm="1">
        <f t="array" ref="AH36">INDEX(Properties!$D:$D,$B36+5)*(IF(AND(AH$3&gt;=INDEX(Properties!$T:$T,$B36+5),AH$3&lt;INDEX(Properties!$U:$U,$B36+5)),INDEX(_Seasonality!$C$50:$N$59,$B36,MONTH(EDATE(Input!$C$7,AH$3-1)))*MIN(1,(AH$3-INDEX(Properties!$T:$T,$B36+5)+1)/Input!$C$11),0))*(1+Input!$C$8)^(AH$5-1)</f>
        <v>0</v>
      </c>
      <c r="AI36" s="123" cm="1">
        <f t="array" ref="AI36">INDEX(Properties!$D:$D,$B36+5)*(IF(AND(AI$3&gt;=INDEX(Properties!$T:$T,$B36+5),AI$3&lt;INDEX(Properties!$U:$U,$B36+5)),INDEX(_Seasonality!$C$50:$N$59,$B36,MONTH(EDATE(Input!$C$7,AI$3-1)))*MIN(1,(AI$3-INDEX(Properties!$T:$T,$B36+5)+1)/Input!$C$11),0))*(1+Input!$C$8)^(AI$5-1)</f>
        <v>0</v>
      </c>
      <c r="AJ36" s="123" cm="1">
        <f t="array" ref="AJ36">INDEX(Properties!$D:$D,$B36+5)*(IF(AND(AJ$3&gt;=INDEX(Properties!$T:$T,$B36+5),AJ$3&lt;INDEX(Properties!$U:$U,$B36+5)),INDEX(_Seasonality!$C$50:$N$59,$B36,MONTH(EDATE(Input!$C$7,AJ$3-1)))*MIN(1,(AJ$3-INDEX(Properties!$T:$T,$B36+5)+1)/Input!$C$11),0))*(1+Input!$C$8)^(AJ$5-1)</f>
        <v>0</v>
      </c>
      <c r="AK36" s="123" cm="1">
        <f t="array" ref="AK36">INDEX(Properties!$D:$D,$B36+5)*(IF(AND(AK$3&gt;=INDEX(Properties!$T:$T,$B36+5),AK$3&lt;INDEX(Properties!$U:$U,$B36+5)),INDEX(_Seasonality!$C$50:$N$59,$B36,MONTH(EDATE(Input!$C$7,AK$3-1)))*MIN(1,(AK$3-INDEX(Properties!$T:$T,$B36+5)+1)/Input!$C$11),0))*(1+Input!$C$8)^(AK$5-1)</f>
        <v>0</v>
      </c>
      <c r="AL36" s="123" cm="1">
        <f t="array" ref="AL36">INDEX(Properties!$D:$D,$B36+5)*(IF(AND(AL$3&gt;=INDEX(Properties!$T:$T,$B36+5),AL$3&lt;INDEX(Properties!$U:$U,$B36+5)),INDEX(_Seasonality!$C$50:$N$59,$B36,MONTH(EDATE(Input!$C$7,AL$3-1)))*MIN(1,(AL$3-INDEX(Properties!$T:$T,$B36+5)+1)/Input!$C$11),0))*(1+Input!$C$8)^(AL$5-1)</f>
        <v>0</v>
      </c>
      <c r="AM36" s="123" cm="1">
        <f t="array" ref="AM36">INDEX(Properties!$D:$D,$B36+5)*(IF(AND(AM$3&gt;=INDEX(Properties!$T:$T,$B36+5),AM$3&lt;INDEX(Properties!$U:$U,$B36+5)),INDEX(_Seasonality!$C$50:$N$59,$B36,MONTH(EDATE(Input!$C$7,AM$3-1)))*MIN(1,(AM$3-INDEX(Properties!$T:$T,$B36+5)+1)/Input!$C$11),0))*(1+Input!$C$8)^(AM$5-1)</f>
        <v>0</v>
      </c>
      <c r="AN36" s="123" cm="1">
        <f t="array" ref="AN36">INDEX(Properties!$D:$D,$B36+5)*(IF(AND(AN$3&gt;=INDEX(Properties!$T:$T,$B36+5),AN$3&lt;INDEX(Properties!$U:$U,$B36+5)),INDEX(_Seasonality!$C$50:$N$59,$B36,MONTH(EDATE(Input!$C$7,AN$3-1)))*MIN(1,(AN$3-INDEX(Properties!$T:$T,$B36+5)+1)/Input!$C$11),0))*(1+Input!$C$8)^(AN$5-1)</f>
        <v>0</v>
      </c>
      <c r="AO36" s="123" cm="1">
        <f t="array" ref="AO36">INDEX(Properties!$D:$D,$B36+5)*(IF(AND(AO$3&gt;=INDEX(Properties!$T:$T,$B36+5),AO$3&lt;INDEX(Properties!$U:$U,$B36+5)),INDEX(_Seasonality!$C$50:$N$59,$B36,MONTH(EDATE(Input!$C$7,AO$3-1)))*MIN(1,(AO$3-INDEX(Properties!$T:$T,$B36+5)+1)/Input!$C$11),0))*(1+Input!$C$8)^(AO$5-1)</f>
        <v>0</v>
      </c>
      <c r="AP36" s="123" cm="1">
        <f t="array" ref="AP36">INDEX(Properties!$D:$D,$B36+5)*(IF(AND(AP$3&gt;=INDEX(Properties!$T:$T,$B36+5),AP$3&lt;INDEX(Properties!$U:$U,$B36+5)),INDEX(_Seasonality!$C$50:$N$59,$B36,MONTH(EDATE(Input!$C$7,AP$3-1)))*MIN(1,(AP$3-INDEX(Properties!$T:$T,$B36+5)+1)/Input!$C$11),0))*(1+Input!$C$8)^(AP$5-1)</f>
        <v>0</v>
      </c>
      <c r="AQ36" s="123" cm="1">
        <f t="array" ref="AQ36">INDEX(Properties!$D:$D,$B36+5)*(IF(AND(AQ$3&gt;=INDEX(Properties!$T:$T,$B36+5),AQ$3&lt;INDEX(Properties!$U:$U,$B36+5)),INDEX(_Seasonality!$C$50:$N$59,$B36,MONTH(EDATE(Input!$C$7,AQ$3-1)))*MIN(1,(AQ$3-INDEX(Properties!$T:$T,$B36+5)+1)/Input!$C$11),0))*(1+Input!$C$8)^(AQ$5-1)</f>
        <v>0</v>
      </c>
      <c r="AR36" s="123" cm="1">
        <f t="array" ref="AR36">INDEX(Properties!$D:$D,$B36+5)*(IF(AND(AR$3&gt;=INDEX(Properties!$T:$T,$B36+5),AR$3&lt;INDEX(Properties!$U:$U,$B36+5)),INDEX(_Seasonality!$C$50:$N$59,$B36,MONTH(EDATE(Input!$C$7,AR$3-1)))*MIN(1,(AR$3-INDEX(Properties!$T:$T,$B36+5)+1)/Input!$C$11),0))*(1+Input!$C$8)^(AR$5-1)</f>
        <v>0</v>
      </c>
      <c r="AS36" s="123" cm="1">
        <f t="array" ref="AS36">INDEX(Properties!$D:$D,$B36+5)*(IF(AND(AS$3&gt;=INDEX(Properties!$T:$T,$B36+5),AS$3&lt;INDEX(Properties!$U:$U,$B36+5)),INDEX(_Seasonality!$C$50:$N$59,$B36,MONTH(EDATE(Input!$C$7,AS$3-1)))*MIN(1,(AS$3-INDEX(Properties!$T:$T,$B36+5)+1)/Input!$C$11),0))*(1+Input!$C$8)^(AS$5-1)</f>
        <v>0</v>
      </c>
      <c r="AT36" s="123" cm="1">
        <f t="array" ref="AT36">INDEX(Properties!$D:$D,$B36+5)*(IF(AND(AT$3&gt;=INDEX(Properties!$T:$T,$B36+5),AT$3&lt;INDEX(Properties!$U:$U,$B36+5)),INDEX(_Seasonality!$C$50:$N$59,$B36,MONTH(EDATE(Input!$C$7,AT$3-1)))*MIN(1,(AT$3-INDEX(Properties!$T:$T,$B36+5)+1)/Input!$C$11),0))*(1+Input!$C$8)^(AT$5-1)</f>
        <v>0</v>
      </c>
      <c r="AU36" s="123" cm="1">
        <f t="array" ref="AU36">INDEX(Properties!$D:$D,$B36+5)*(IF(AND(AU$3&gt;=INDEX(Properties!$T:$T,$B36+5),AU$3&lt;INDEX(Properties!$U:$U,$B36+5)),INDEX(_Seasonality!$C$50:$N$59,$B36,MONTH(EDATE(Input!$C$7,AU$3-1)))*MIN(1,(AU$3-INDEX(Properties!$T:$T,$B36+5)+1)/Input!$C$11),0))*(1+Input!$C$8)^(AU$5-1)</f>
        <v>0</v>
      </c>
      <c r="AV36" s="123" cm="1">
        <f t="array" ref="AV36">INDEX(Properties!$D:$D,$B36+5)*(IF(AND(AV$3&gt;=INDEX(Properties!$T:$T,$B36+5),AV$3&lt;INDEX(Properties!$U:$U,$B36+5)),INDEX(_Seasonality!$C$50:$N$59,$B36,MONTH(EDATE(Input!$C$7,AV$3-1)))*MIN(1,(AV$3-INDEX(Properties!$T:$T,$B36+5)+1)/Input!$C$11),0))*(1+Input!$C$8)^(AV$5-1)</f>
        <v>0</v>
      </c>
      <c r="AW36" s="123" cm="1">
        <f t="array" ref="AW36">INDEX(Properties!$D:$D,$B36+5)*(IF(AND(AW$3&gt;=INDEX(Properties!$T:$T,$B36+5),AW$3&lt;INDEX(Properties!$U:$U,$B36+5)),INDEX(_Seasonality!$C$50:$N$59,$B36,MONTH(EDATE(Input!$C$7,AW$3-1)))*MIN(1,(AW$3-INDEX(Properties!$T:$T,$B36+5)+1)/Input!$C$11),0))*(1+Input!$C$8)^(AW$5-1)</f>
        <v>0</v>
      </c>
      <c r="AX36" s="123" cm="1">
        <f t="array" ref="AX36">INDEX(Properties!$D:$D,$B36+5)*(IF(AND(AX$3&gt;=INDEX(Properties!$T:$T,$B36+5),AX$3&lt;INDEX(Properties!$U:$U,$B36+5)),INDEX(_Seasonality!$C$50:$N$59,$B36,MONTH(EDATE(Input!$C$7,AX$3-1)))*MIN(1,(AX$3-INDEX(Properties!$T:$T,$B36+5)+1)/Input!$C$11),0))*(1+Input!$C$8)^(AX$5-1)</f>
        <v>0</v>
      </c>
      <c r="AY36" s="123" cm="1">
        <f t="array" ref="AY36">INDEX(Properties!$D:$D,$B36+5)*(IF(AND(AY$3&gt;=INDEX(Properties!$T:$T,$B36+5),AY$3&lt;INDEX(Properties!$U:$U,$B36+5)),INDEX(_Seasonality!$C$50:$N$59,$B36,MONTH(EDATE(Input!$C$7,AY$3-1)))*MIN(1,(AY$3-INDEX(Properties!$T:$T,$B36+5)+1)/Input!$C$11),0))*(1+Input!$C$8)^(AY$5-1)</f>
        <v>0</v>
      </c>
      <c r="AZ36" s="123" cm="1">
        <f t="array" ref="AZ36">INDEX(Properties!$D:$D,$B36+5)*(IF(AND(AZ$3&gt;=INDEX(Properties!$T:$T,$B36+5),AZ$3&lt;INDEX(Properties!$U:$U,$B36+5)),INDEX(_Seasonality!$C$50:$N$59,$B36,MONTH(EDATE(Input!$C$7,AZ$3-1)))*MIN(1,(AZ$3-INDEX(Properties!$T:$T,$B36+5)+1)/Input!$C$11),0))*(1+Input!$C$8)^(AZ$5-1)</f>
        <v>0</v>
      </c>
      <c r="BA36" s="123" cm="1">
        <f t="array" ref="BA36">INDEX(Properties!$D:$D,$B36+5)*(IF(AND(BA$3&gt;=INDEX(Properties!$T:$T,$B36+5),BA$3&lt;INDEX(Properties!$U:$U,$B36+5)),INDEX(_Seasonality!$C$50:$N$59,$B36,MONTH(EDATE(Input!$C$7,BA$3-1)))*MIN(1,(BA$3-INDEX(Properties!$T:$T,$B36+5)+1)/Input!$C$11),0))*(1+Input!$C$8)^(BA$5-1)</f>
        <v>0</v>
      </c>
      <c r="BB36" s="123" cm="1">
        <f t="array" ref="BB36">INDEX(Properties!$D:$D,$B36+5)*(IF(AND(BB$3&gt;=INDEX(Properties!$T:$T,$B36+5),BB$3&lt;INDEX(Properties!$U:$U,$B36+5)),INDEX(_Seasonality!$C$50:$N$59,$B36,MONTH(EDATE(Input!$C$7,BB$3-1)))*MIN(1,(BB$3-INDEX(Properties!$T:$T,$B36+5)+1)/Input!$C$11),0))*(1+Input!$C$8)^(BB$5-1)</f>
        <v>0</v>
      </c>
      <c r="BC36" s="123" cm="1">
        <f t="array" ref="BC36">INDEX(Properties!$D:$D,$B36+5)*(IF(AND(BC$3&gt;=INDEX(Properties!$T:$T,$B36+5),BC$3&lt;INDEX(Properties!$U:$U,$B36+5)),INDEX(_Seasonality!$C$50:$N$59,$B36,MONTH(EDATE(Input!$C$7,BC$3-1)))*MIN(1,(BC$3-INDEX(Properties!$T:$T,$B36+5)+1)/Input!$C$11),0))*(1+Input!$C$8)^(BC$5-1)</f>
        <v>0</v>
      </c>
      <c r="BD36" s="123" cm="1">
        <f t="array" ref="BD36">INDEX(Properties!$D:$D,$B36+5)*(IF(AND(BD$3&gt;=INDEX(Properties!$T:$T,$B36+5),BD$3&lt;INDEX(Properties!$U:$U,$B36+5)),INDEX(_Seasonality!$C$50:$N$59,$B36,MONTH(EDATE(Input!$C$7,BD$3-1)))*MIN(1,(BD$3-INDEX(Properties!$T:$T,$B36+5)+1)/Input!$C$11),0))*(1+Input!$C$8)^(BD$5-1)</f>
        <v>0</v>
      </c>
      <c r="BE36" s="123" cm="1">
        <f t="array" ref="BE36">INDEX(Properties!$D:$D,$B36+5)*(IF(AND(BE$3&gt;=INDEX(Properties!$T:$T,$B36+5),BE$3&lt;INDEX(Properties!$U:$U,$B36+5)),INDEX(_Seasonality!$C$50:$N$59,$B36,MONTH(EDATE(Input!$C$7,BE$3-1)))*MIN(1,(BE$3-INDEX(Properties!$T:$T,$B36+5)+1)/Input!$C$11),0))*(1+Input!$C$8)^(BE$5-1)</f>
        <v>0</v>
      </c>
      <c r="BF36" s="123" cm="1">
        <f t="array" ref="BF36">INDEX(Properties!$D:$D,$B36+5)*(IF(AND(BF$3&gt;=INDEX(Properties!$T:$T,$B36+5),BF$3&lt;INDEX(Properties!$U:$U,$B36+5)),INDEX(_Seasonality!$C$50:$N$59,$B36,MONTH(EDATE(Input!$C$7,BF$3-1)))*MIN(1,(BF$3-INDEX(Properties!$T:$T,$B36+5)+1)/Input!$C$11),0))*(1+Input!$C$8)^(BF$5-1)</f>
        <v>0</v>
      </c>
      <c r="BG36" s="123" cm="1">
        <f t="array" ref="BG36">INDEX(Properties!$D:$D,$B36+5)*(IF(AND(BG$3&gt;=INDEX(Properties!$T:$T,$B36+5),BG$3&lt;INDEX(Properties!$U:$U,$B36+5)),INDEX(_Seasonality!$C$50:$N$59,$B36,MONTH(EDATE(Input!$C$7,BG$3-1)))*MIN(1,(BG$3-INDEX(Properties!$T:$T,$B36+5)+1)/Input!$C$11),0))*(1+Input!$C$8)^(BG$5-1)</f>
        <v>0</v>
      </c>
      <c r="BH36" s="123" cm="1">
        <f t="array" ref="BH36">INDEX(Properties!$D:$D,$B36+5)*(IF(AND(BH$3&gt;=INDEX(Properties!$T:$T,$B36+5),BH$3&lt;INDEX(Properties!$U:$U,$B36+5)),INDEX(_Seasonality!$C$50:$N$59,$B36,MONTH(EDATE(Input!$C$7,BH$3-1)))*MIN(1,(BH$3-INDEX(Properties!$T:$T,$B36+5)+1)/Input!$C$11),0))*(1+Input!$C$8)^(BH$5-1)</f>
        <v>0</v>
      </c>
      <c r="BI36" s="123" cm="1">
        <f t="array" ref="BI36">INDEX(Properties!$D:$D,$B36+5)*(IF(AND(BI$3&gt;=INDEX(Properties!$T:$T,$B36+5),BI$3&lt;INDEX(Properties!$U:$U,$B36+5)),INDEX(_Seasonality!$C$50:$N$59,$B36,MONTH(EDATE(Input!$C$7,BI$3-1)))*MIN(1,(BI$3-INDEX(Properties!$T:$T,$B36+5)+1)/Input!$C$11),0))*(1+Input!$C$8)^(BI$5-1)</f>
        <v>0</v>
      </c>
      <c r="BJ36" s="123" cm="1">
        <f t="array" ref="BJ36">INDEX(Properties!$D:$D,$B36+5)*(IF(AND(BJ$3&gt;=INDEX(Properties!$T:$T,$B36+5),BJ$3&lt;INDEX(Properties!$U:$U,$B36+5)),INDEX(_Seasonality!$C$50:$N$59,$B36,MONTH(EDATE(Input!$C$7,BJ$3-1)))*MIN(1,(BJ$3-INDEX(Properties!$T:$T,$B36+5)+1)/Input!$C$11),0))*(1+Input!$C$8)^(BJ$5-1)</f>
        <v>0</v>
      </c>
      <c r="BK36" s="123" cm="1">
        <f t="array" ref="BK36">INDEX(Properties!$D:$D,$B36+5)*(IF(AND(BK$3&gt;=INDEX(Properties!$T:$T,$B36+5),BK$3&lt;INDEX(Properties!$U:$U,$B36+5)),INDEX(_Seasonality!$C$50:$N$59,$B36,MONTH(EDATE(Input!$C$7,BK$3-1)))*MIN(1,(BK$3-INDEX(Properties!$T:$T,$B36+5)+1)/Input!$C$11),0))*(1+Input!$C$8)^(BK$5-1)</f>
        <v>0</v>
      </c>
      <c r="BL36" s="123" cm="1">
        <f t="array" ref="BL36">INDEX(Properties!$D:$D,$B36+5)*(IF(AND(BL$3&gt;=INDEX(Properties!$T:$T,$B36+5),BL$3&lt;INDEX(Properties!$U:$U,$B36+5)),INDEX(_Seasonality!$C$50:$N$59,$B36,MONTH(EDATE(Input!$C$7,BL$3-1)))*MIN(1,(BL$3-INDEX(Properties!$T:$T,$B36+5)+1)/Input!$C$11),0))*(1+Input!$C$8)^(BL$5-1)</f>
        <v>0</v>
      </c>
      <c r="BM36" s="123" cm="1">
        <f t="array" ref="BM36">INDEX(Properties!$D:$D,$B36+5)*(IF(AND(BM$3&gt;=INDEX(Properties!$T:$T,$B36+5),BM$3&lt;INDEX(Properties!$U:$U,$B36+5)),INDEX(_Seasonality!$C$50:$N$59,$B36,MONTH(EDATE(Input!$C$7,BM$3-1)))*MIN(1,(BM$3-INDEX(Properties!$T:$T,$B36+5)+1)/Input!$C$11),0))*(1+Input!$C$8)^(BM$5-1)</f>
        <v>0</v>
      </c>
      <c r="BN36" s="123" cm="1">
        <f t="array" ref="BN36">INDEX(Properties!$D:$D,$B36+5)*(IF(AND(BN$3&gt;=INDEX(Properties!$T:$T,$B36+5),BN$3&lt;INDEX(Properties!$U:$U,$B36+5)),INDEX(_Seasonality!$C$50:$N$59,$B36,MONTH(EDATE(Input!$C$7,BN$3-1)))*MIN(1,(BN$3-INDEX(Properties!$T:$T,$B36+5)+1)/Input!$C$11),0))*(1+Input!$C$8)^(BN$5-1)</f>
        <v>0</v>
      </c>
      <c r="BO36" s="123" cm="1">
        <f t="array" ref="BO36">INDEX(Properties!$D:$D,$B36+5)*(IF(AND(BO$3&gt;=INDEX(Properties!$T:$T,$B36+5),BO$3&lt;INDEX(Properties!$U:$U,$B36+5)),INDEX(_Seasonality!$C$50:$N$59,$B36,MONTH(EDATE(Input!$C$7,BO$3-1)))*MIN(1,(BO$3-INDEX(Properties!$T:$T,$B36+5)+1)/Input!$C$11),0))*(1+Input!$C$8)^(BO$5-1)</f>
        <v>0</v>
      </c>
      <c r="BP36" s="123" cm="1">
        <f t="array" ref="BP36">INDEX(Properties!$D:$D,$B36+5)*(IF(AND(BP$3&gt;=INDEX(Properties!$T:$T,$B36+5),BP$3&lt;INDEX(Properties!$U:$U,$B36+5)),INDEX(_Seasonality!$C$50:$N$59,$B36,MONTH(EDATE(Input!$C$7,BP$3-1)))*MIN(1,(BP$3-INDEX(Properties!$T:$T,$B36+5)+1)/Input!$C$11),0))*(1+Input!$C$8)^(BP$5-1)</f>
        <v>0</v>
      </c>
      <c r="BQ36" s="123" cm="1">
        <f t="array" ref="BQ36">INDEX(Properties!$D:$D,$B36+5)*(IF(AND(BQ$3&gt;=INDEX(Properties!$T:$T,$B36+5),BQ$3&lt;INDEX(Properties!$U:$U,$B36+5)),INDEX(_Seasonality!$C$50:$N$59,$B36,MONTH(EDATE(Input!$C$7,BQ$3-1)))*MIN(1,(BQ$3-INDEX(Properties!$T:$T,$B36+5)+1)/Input!$C$11),0))*(1+Input!$C$8)^(BQ$5-1)</f>
        <v>0</v>
      </c>
      <c r="BR36" s="123" cm="1">
        <f t="array" ref="BR36">INDEX(Properties!$D:$D,$B36+5)*(IF(AND(BR$3&gt;=INDEX(Properties!$T:$T,$B36+5),BR$3&lt;INDEX(Properties!$U:$U,$B36+5)),INDEX(_Seasonality!$C$50:$N$59,$B36,MONTH(EDATE(Input!$C$7,BR$3-1)))*MIN(1,(BR$3-INDEX(Properties!$T:$T,$B36+5)+1)/Input!$C$11),0))*(1+Input!$C$8)^(BR$5-1)</f>
        <v>0</v>
      </c>
      <c r="BS36" s="123" cm="1">
        <f t="array" ref="BS36">INDEX(Properties!$D:$D,$B36+5)*(IF(AND(BS$3&gt;=INDEX(Properties!$T:$T,$B36+5),BS$3&lt;INDEX(Properties!$U:$U,$B36+5)),INDEX(_Seasonality!$C$50:$N$59,$B36,MONTH(EDATE(Input!$C$7,BS$3-1)))*MIN(1,(BS$3-INDEX(Properties!$T:$T,$B36+5)+1)/Input!$C$11),0))*(1+Input!$C$8)^(BS$5-1)</f>
        <v>0</v>
      </c>
      <c r="BT36" s="123" cm="1">
        <f t="array" ref="BT36">INDEX(Properties!$D:$D,$B36+5)*(IF(AND(BT$3&gt;=INDEX(Properties!$T:$T,$B36+5),BT$3&lt;INDEX(Properties!$U:$U,$B36+5)),INDEX(_Seasonality!$C$50:$N$59,$B36,MONTH(EDATE(Input!$C$7,BT$3-1)))*MIN(1,(BT$3-INDEX(Properties!$T:$T,$B36+5)+1)/Input!$C$11),0))*(1+Input!$C$8)^(BT$5-1)</f>
        <v>0</v>
      </c>
      <c r="BU36" s="123" cm="1">
        <f t="array" ref="BU36">INDEX(Properties!$D:$D,$B36+5)*(IF(AND(BU$3&gt;=INDEX(Properties!$T:$T,$B36+5),BU$3&lt;INDEX(Properties!$U:$U,$B36+5)),INDEX(_Seasonality!$C$50:$N$59,$B36,MONTH(EDATE(Input!$C$7,BU$3-1)))*MIN(1,(BU$3-INDEX(Properties!$T:$T,$B36+5)+1)/Input!$C$11),0))*(1+Input!$C$8)^(BU$5-1)</f>
        <v>0</v>
      </c>
      <c r="BV36" s="123" cm="1">
        <f t="array" ref="BV36">INDEX(Properties!$D:$D,$B36+5)*(IF(AND(BV$3&gt;=INDEX(Properties!$T:$T,$B36+5),BV$3&lt;INDEX(Properties!$U:$U,$B36+5)),INDEX(_Seasonality!$C$50:$N$59,$B36,MONTH(EDATE(Input!$C$7,BV$3-1)))*MIN(1,(BV$3-INDEX(Properties!$T:$T,$B36+5)+1)/Input!$C$11),0))*(1+Input!$C$8)^(BV$5-1)</f>
        <v>0</v>
      </c>
      <c r="BW36" s="123" cm="1">
        <f t="array" ref="BW36">INDEX(Properties!$D:$D,$B36+5)*(IF(AND(BW$3&gt;=INDEX(Properties!$T:$T,$B36+5),BW$3&lt;INDEX(Properties!$U:$U,$B36+5)),INDEX(_Seasonality!$C$50:$N$59,$B36,MONTH(EDATE(Input!$C$7,BW$3-1)))*MIN(1,(BW$3-INDEX(Properties!$T:$T,$B36+5)+1)/Input!$C$11),0))*(1+Input!$C$8)^(BW$5-1)</f>
        <v>0</v>
      </c>
      <c r="BX36" s="123" cm="1">
        <f t="array" ref="BX36">INDEX(Properties!$D:$D,$B36+5)*(IF(AND(BX$3&gt;=INDEX(Properties!$T:$T,$B36+5),BX$3&lt;INDEX(Properties!$U:$U,$B36+5)),INDEX(_Seasonality!$C$50:$N$59,$B36,MONTH(EDATE(Input!$C$7,BX$3-1)))*MIN(1,(BX$3-INDEX(Properties!$T:$T,$B36+5)+1)/Input!$C$11),0))*(1+Input!$C$8)^(BX$5-1)</f>
        <v>0</v>
      </c>
      <c r="BY36" s="123" cm="1">
        <f t="array" ref="BY36">INDEX(Properties!$D:$D,$B36+5)*(IF(AND(BY$3&gt;=INDEX(Properties!$T:$T,$B36+5),BY$3&lt;INDEX(Properties!$U:$U,$B36+5)),INDEX(_Seasonality!$C$50:$N$59,$B36,MONTH(EDATE(Input!$C$7,BY$3-1)))*MIN(1,(BY$3-INDEX(Properties!$T:$T,$B36+5)+1)/Input!$C$11),0))*(1+Input!$C$8)^(BY$5-1)</f>
        <v>0</v>
      </c>
      <c r="BZ36" s="123" cm="1">
        <f t="array" ref="BZ36">INDEX(Properties!$D:$D,$B36+5)*(IF(AND(BZ$3&gt;=INDEX(Properties!$T:$T,$B36+5),BZ$3&lt;INDEX(Properties!$U:$U,$B36+5)),INDEX(_Seasonality!$C$50:$N$59,$B36,MONTH(EDATE(Input!$C$7,BZ$3-1)))*MIN(1,(BZ$3-INDEX(Properties!$T:$T,$B36+5)+1)/Input!$C$11),0))*(1+Input!$C$8)^(BZ$5-1)</f>
        <v>0</v>
      </c>
      <c r="CA36" s="123" cm="1">
        <f t="array" ref="CA36">INDEX(Properties!$D:$D,$B36+5)*(IF(AND(CA$3&gt;=INDEX(Properties!$T:$T,$B36+5),CA$3&lt;INDEX(Properties!$U:$U,$B36+5)),INDEX(_Seasonality!$C$50:$N$59,$B36,MONTH(EDATE(Input!$C$7,CA$3-1)))*MIN(1,(CA$3-INDEX(Properties!$T:$T,$B36+5)+1)/Input!$C$11),0))*(1+Input!$C$8)^(CA$5-1)</f>
        <v>0</v>
      </c>
      <c r="CB36" s="123" cm="1">
        <f t="array" ref="CB36">INDEX(Properties!$D:$D,$B36+5)*(IF(AND(CB$3&gt;=INDEX(Properties!$T:$T,$B36+5),CB$3&lt;INDEX(Properties!$U:$U,$B36+5)),INDEX(_Seasonality!$C$50:$N$59,$B36,MONTH(EDATE(Input!$C$7,CB$3-1)))*MIN(1,(CB$3-INDEX(Properties!$T:$T,$B36+5)+1)/Input!$C$11),0))*(1+Input!$C$8)^(CB$5-1)</f>
        <v>0</v>
      </c>
      <c r="CC36" s="123" cm="1">
        <f t="array" ref="CC36">INDEX(Properties!$D:$D,$B36+5)*(IF(AND(CC$3&gt;=INDEX(Properties!$T:$T,$B36+5),CC$3&lt;INDEX(Properties!$U:$U,$B36+5)),INDEX(_Seasonality!$C$50:$N$59,$B36,MONTH(EDATE(Input!$C$7,CC$3-1)))*MIN(1,(CC$3-INDEX(Properties!$T:$T,$B36+5)+1)/Input!$C$11),0))*(1+Input!$C$8)^(CC$5-1)</f>
        <v>0</v>
      </c>
      <c r="CD36" s="123" cm="1">
        <f t="array" ref="CD36">INDEX(Properties!$D:$D,$B36+5)*(IF(AND(CD$3&gt;=INDEX(Properties!$T:$T,$B36+5),CD$3&lt;INDEX(Properties!$U:$U,$B36+5)),INDEX(_Seasonality!$C$50:$N$59,$B36,MONTH(EDATE(Input!$C$7,CD$3-1)))*MIN(1,(CD$3-INDEX(Properties!$T:$T,$B36+5)+1)/Input!$C$11),0))*(1+Input!$C$8)^(CD$5-1)</f>
        <v>0</v>
      </c>
      <c r="CE36" s="123" cm="1">
        <f t="array" ref="CE36">INDEX(Properties!$D:$D,$B36+5)*(IF(AND(CE$3&gt;=INDEX(Properties!$T:$T,$B36+5),CE$3&lt;INDEX(Properties!$U:$U,$B36+5)),INDEX(_Seasonality!$C$50:$N$59,$B36,MONTH(EDATE(Input!$C$7,CE$3-1)))*MIN(1,(CE$3-INDEX(Properties!$T:$T,$B36+5)+1)/Input!$C$11),0))*(1+Input!$C$8)^(CE$5-1)</f>
        <v>0</v>
      </c>
      <c r="CF36" s="123" cm="1">
        <f t="array" ref="CF36">INDEX(Properties!$D:$D,$B36+5)*(IF(AND(CF$3&gt;=INDEX(Properties!$T:$T,$B36+5),CF$3&lt;INDEX(Properties!$U:$U,$B36+5)),INDEX(_Seasonality!$C$50:$N$59,$B36,MONTH(EDATE(Input!$C$7,CF$3-1)))*MIN(1,(CF$3-INDEX(Properties!$T:$T,$B36+5)+1)/Input!$C$11),0))*(1+Input!$C$8)^(CF$5-1)</f>
        <v>0</v>
      </c>
      <c r="CG36" s="123" cm="1">
        <f t="array" ref="CG36">INDEX(Properties!$D:$D,$B36+5)*(IF(AND(CG$3&gt;=INDEX(Properties!$T:$T,$B36+5),CG$3&lt;INDEX(Properties!$U:$U,$B36+5)),INDEX(_Seasonality!$C$50:$N$59,$B36,MONTH(EDATE(Input!$C$7,CG$3-1)))*MIN(1,(CG$3-INDEX(Properties!$T:$T,$B36+5)+1)/Input!$C$11),0))*(1+Input!$C$8)^(CG$5-1)</f>
        <v>0</v>
      </c>
      <c r="CH36" s="123" cm="1">
        <f t="array" ref="CH36">INDEX(Properties!$D:$D,$B36+5)*(IF(AND(CH$3&gt;=INDEX(Properties!$T:$T,$B36+5),CH$3&lt;INDEX(Properties!$U:$U,$B36+5)),INDEX(_Seasonality!$C$50:$N$59,$B36,MONTH(EDATE(Input!$C$7,CH$3-1)))*MIN(1,(CH$3-INDEX(Properties!$T:$T,$B36+5)+1)/Input!$C$11),0))*(1+Input!$C$8)^(CH$5-1)</f>
        <v>0</v>
      </c>
      <c r="CI36" s="123" cm="1">
        <f t="array" ref="CI36">INDEX(Properties!$D:$D,$B36+5)*(IF(AND(CI$3&gt;=INDEX(Properties!$T:$T,$B36+5),CI$3&lt;INDEX(Properties!$U:$U,$B36+5)),INDEX(_Seasonality!$C$50:$N$59,$B36,MONTH(EDATE(Input!$C$7,CI$3-1)))*MIN(1,(CI$3-INDEX(Properties!$T:$T,$B36+5)+1)/Input!$C$11),0))*(1+Input!$C$8)^(CI$5-1)</f>
        <v>0</v>
      </c>
      <c r="CJ36" s="123" cm="1">
        <f t="array" ref="CJ36">INDEX(Properties!$D:$D,$B36+5)*(IF(AND(CJ$3&gt;=INDEX(Properties!$T:$T,$B36+5),CJ$3&lt;INDEX(Properties!$U:$U,$B36+5)),INDEX(_Seasonality!$C$50:$N$59,$B36,MONTH(EDATE(Input!$C$7,CJ$3-1)))*MIN(1,(CJ$3-INDEX(Properties!$T:$T,$B36+5)+1)/Input!$C$11),0))*(1+Input!$C$8)^(CJ$5-1)</f>
        <v>0</v>
      </c>
      <c r="CK36" s="123" cm="1">
        <f t="array" ref="CK36">INDEX(Properties!$D:$D,$B36+5)*(IF(AND(CK$3&gt;=INDEX(Properties!$T:$T,$B36+5),CK$3&lt;INDEX(Properties!$U:$U,$B36+5)),INDEX(_Seasonality!$C$50:$N$59,$B36,MONTH(EDATE(Input!$C$7,CK$3-1)))*MIN(1,(CK$3-INDEX(Properties!$T:$T,$B36+5)+1)/Input!$C$11),0))*(1+Input!$C$8)^(CK$5-1)</f>
        <v>0</v>
      </c>
      <c r="CL36" s="123" cm="1">
        <f t="array" ref="CL36">INDEX(Properties!$D:$D,$B36+5)*(IF(AND(CL$3&gt;=INDEX(Properties!$T:$T,$B36+5),CL$3&lt;INDEX(Properties!$U:$U,$B36+5)),INDEX(_Seasonality!$C$50:$N$59,$B36,MONTH(EDATE(Input!$C$7,CL$3-1)))*MIN(1,(CL$3-INDEX(Properties!$T:$T,$B36+5)+1)/Input!$C$11),0))*(1+Input!$C$8)^(CL$5-1)</f>
        <v>0</v>
      </c>
      <c r="CM36" s="123" cm="1">
        <f t="array" ref="CM36">INDEX(Properties!$D:$D,$B36+5)*(IF(AND(CM$3&gt;=INDEX(Properties!$T:$T,$B36+5),CM$3&lt;INDEX(Properties!$U:$U,$B36+5)),INDEX(_Seasonality!$C$50:$N$59,$B36,MONTH(EDATE(Input!$C$7,CM$3-1)))*MIN(1,(CM$3-INDEX(Properties!$T:$T,$B36+5)+1)/Input!$C$11),0))*(1+Input!$C$8)^(CM$5-1)</f>
        <v>0</v>
      </c>
      <c r="CN36" s="123" cm="1">
        <f t="array" ref="CN36">INDEX(Properties!$D:$D,$B36+5)*(IF(AND(CN$3&gt;=INDEX(Properties!$T:$T,$B36+5),CN$3&lt;INDEX(Properties!$U:$U,$B36+5)),INDEX(_Seasonality!$C$50:$N$59,$B36,MONTH(EDATE(Input!$C$7,CN$3-1)))*MIN(1,(CN$3-INDEX(Properties!$T:$T,$B36+5)+1)/Input!$C$11),0))*(1+Input!$C$8)^(CN$5-1)</f>
        <v>0</v>
      </c>
      <c r="CO36" s="123" cm="1">
        <f t="array" ref="CO36">INDEX(Properties!$D:$D,$B36+5)*(IF(AND(CO$3&gt;=INDEX(Properties!$T:$T,$B36+5),CO$3&lt;INDEX(Properties!$U:$U,$B36+5)),INDEX(_Seasonality!$C$50:$N$59,$B36,MONTH(EDATE(Input!$C$7,CO$3-1)))*MIN(1,(CO$3-INDEX(Properties!$T:$T,$B36+5)+1)/Input!$C$11),0))*(1+Input!$C$8)^(CO$5-1)</f>
        <v>0</v>
      </c>
      <c r="CP36" s="123" cm="1">
        <f t="array" ref="CP36">INDEX(Properties!$D:$D,$B36+5)*(IF(AND(CP$3&gt;=INDEX(Properties!$T:$T,$B36+5),CP$3&lt;INDEX(Properties!$U:$U,$B36+5)),INDEX(_Seasonality!$C$50:$N$59,$B36,MONTH(EDATE(Input!$C$7,CP$3-1)))*MIN(1,(CP$3-INDEX(Properties!$T:$T,$B36+5)+1)/Input!$C$11),0))*(1+Input!$C$8)^(CP$5-1)</f>
        <v>0</v>
      </c>
      <c r="CQ36" s="123" cm="1">
        <f t="array" ref="CQ36">INDEX(Properties!$D:$D,$B36+5)*(IF(AND(CQ$3&gt;=INDEX(Properties!$T:$T,$B36+5),CQ$3&lt;INDEX(Properties!$U:$U,$B36+5)),INDEX(_Seasonality!$C$50:$N$59,$B36,MONTH(EDATE(Input!$C$7,CQ$3-1)))*MIN(1,(CQ$3-INDEX(Properties!$T:$T,$B36+5)+1)/Input!$C$11),0))*(1+Input!$C$8)^(CQ$5-1)</f>
        <v>0</v>
      </c>
      <c r="CR36" s="123" cm="1">
        <f t="array" ref="CR36">INDEX(Properties!$D:$D,$B36+5)*(IF(AND(CR$3&gt;=INDEX(Properties!$T:$T,$B36+5),CR$3&lt;INDEX(Properties!$U:$U,$B36+5)),INDEX(_Seasonality!$C$50:$N$59,$B36,MONTH(EDATE(Input!$C$7,CR$3-1)))*MIN(1,(CR$3-INDEX(Properties!$T:$T,$B36+5)+1)/Input!$C$11),0))*(1+Input!$C$8)^(CR$5-1)</f>
        <v>0</v>
      </c>
      <c r="CS36" s="123" cm="1">
        <f t="array" ref="CS36">INDEX(Properties!$D:$D,$B36+5)*(IF(AND(CS$3&gt;=INDEX(Properties!$T:$T,$B36+5),CS$3&lt;INDEX(Properties!$U:$U,$B36+5)),INDEX(_Seasonality!$C$50:$N$59,$B36,MONTH(EDATE(Input!$C$7,CS$3-1)))*MIN(1,(CS$3-INDEX(Properties!$T:$T,$B36+5)+1)/Input!$C$11),0))*(1+Input!$C$8)^(CS$5-1)</f>
        <v>0</v>
      </c>
      <c r="CT36" s="123" cm="1">
        <f t="array" ref="CT36">INDEX(Properties!$D:$D,$B36+5)*(IF(AND(CT$3&gt;=INDEX(Properties!$T:$T,$B36+5),CT$3&lt;INDEX(Properties!$U:$U,$B36+5)),INDEX(_Seasonality!$C$50:$N$59,$B36,MONTH(EDATE(Input!$C$7,CT$3-1)))*MIN(1,(CT$3-INDEX(Properties!$T:$T,$B36+5)+1)/Input!$C$11),0))*(1+Input!$C$8)^(CT$5-1)</f>
        <v>0</v>
      </c>
      <c r="CU36" s="123" cm="1">
        <f t="array" ref="CU36">INDEX(Properties!$D:$D,$B36+5)*(IF(AND(CU$3&gt;=INDEX(Properties!$T:$T,$B36+5),CU$3&lt;INDEX(Properties!$U:$U,$B36+5)),INDEX(_Seasonality!$C$50:$N$59,$B36,MONTH(EDATE(Input!$C$7,CU$3-1)))*MIN(1,(CU$3-INDEX(Properties!$T:$T,$B36+5)+1)/Input!$C$11),0))*(1+Input!$C$8)^(CU$5-1)</f>
        <v>0</v>
      </c>
      <c r="CV36" s="123" cm="1">
        <f t="array" ref="CV36">INDEX(Properties!$D:$D,$B36+5)*(IF(AND(CV$3&gt;=INDEX(Properties!$T:$T,$B36+5),CV$3&lt;INDEX(Properties!$U:$U,$B36+5)),INDEX(_Seasonality!$C$50:$N$59,$B36,MONTH(EDATE(Input!$C$7,CV$3-1)))*MIN(1,(CV$3-INDEX(Properties!$T:$T,$B36+5)+1)/Input!$C$11),0))*(1+Input!$C$8)^(CV$5-1)</f>
        <v>0</v>
      </c>
      <c r="CW36" s="123" cm="1">
        <f t="array" ref="CW36">INDEX(Properties!$D:$D,$B36+5)*(IF(AND(CW$3&gt;=INDEX(Properties!$T:$T,$B36+5),CW$3&lt;INDEX(Properties!$U:$U,$B36+5)),INDEX(_Seasonality!$C$50:$N$59,$B36,MONTH(EDATE(Input!$C$7,CW$3-1)))*MIN(1,(CW$3-INDEX(Properties!$T:$T,$B36+5)+1)/Input!$C$11),0))*(1+Input!$C$8)^(CW$5-1)</f>
        <v>0</v>
      </c>
      <c r="CX36" s="123" cm="1">
        <f t="array" ref="CX36">INDEX(Properties!$D:$D,$B36+5)*(IF(AND(CX$3&gt;=INDEX(Properties!$T:$T,$B36+5),CX$3&lt;INDEX(Properties!$U:$U,$B36+5)),INDEX(_Seasonality!$C$50:$N$59,$B36,MONTH(EDATE(Input!$C$7,CX$3-1)))*MIN(1,(CX$3-INDEX(Properties!$T:$T,$B36+5)+1)/Input!$C$11),0))*(1+Input!$C$8)^(CX$5-1)</f>
        <v>0</v>
      </c>
      <c r="CY36" s="123" cm="1">
        <f t="array" ref="CY36">INDEX(Properties!$D:$D,$B36+5)*(IF(AND(CY$3&gt;=INDEX(Properties!$T:$T,$B36+5),CY$3&lt;INDEX(Properties!$U:$U,$B36+5)),INDEX(_Seasonality!$C$50:$N$59,$B36,MONTH(EDATE(Input!$C$7,CY$3-1)))*MIN(1,(CY$3-INDEX(Properties!$T:$T,$B36+5)+1)/Input!$C$11),0))*(1+Input!$C$8)^(CY$5-1)</f>
        <v>0</v>
      </c>
      <c r="CZ36" s="123" cm="1">
        <f t="array" ref="CZ36">INDEX(Properties!$D:$D,$B36+5)*(IF(AND(CZ$3&gt;=INDEX(Properties!$T:$T,$B36+5),CZ$3&lt;INDEX(Properties!$U:$U,$B36+5)),INDEX(_Seasonality!$C$50:$N$59,$B36,MONTH(EDATE(Input!$C$7,CZ$3-1)))*MIN(1,(CZ$3-INDEX(Properties!$T:$T,$B36+5)+1)/Input!$C$11),0))*(1+Input!$C$8)^(CZ$5-1)</f>
        <v>0</v>
      </c>
      <c r="DA36" s="123" cm="1">
        <f t="array" ref="DA36">INDEX(Properties!$D:$D,$B36+5)*(IF(AND(DA$3&gt;=INDEX(Properties!$T:$T,$B36+5),DA$3&lt;INDEX(Properties!$U:$U,$B36+5)),INDEX(_Seasonality!$C$50:$N$59,$B36,MONTH(EDATE(Input!$C$7,DA$3-1)))*MIN(1,(DA$3-INDEX(Properties!$T:$T,$B36+5)+1)/Input!$C$11),0))*(1+Input!$C$8)^(DA$5-1)</f>
        <v>0</v>
      </c>
      <c r="DB36" s="123" cm="1">
        <f t="array" ref="DB36">INDEX(Properties!$D:$D,$B36+5)*(IF(AND(DB$3&gt;=INDEX(Properties!$T:$T,$B36+5),DB$3&lt;INDEX(Properties!$U:$U,$B36+5)),INDEX(_Seasonality!$C$50:$N$59,$B36,MONTH(EDATE(Input!$C$7,DB$3-1)))*MIN(1,(DB$3-INDEX(Properties!$T:$T,$B36+5)+1)/Input!$C$11),0))*(1+Input!$C$8)^(DB$5-1)</f>
        <v>0</v>
      </c>
      <c r="DC36" s="123" cm="1">
        <f t="array" ref="DC36">INDEX(Properties!$D:$D,$B36+5)*(IF(AND(DC$3&gt;=INDEX(Properties!$T:$T,$B36+5),DC$3&lt;INDEX(Properties!$U:$U,$B36+5)),INDEX(_Seasonality!$C$50:$N$59,$B36,MONTH(EDATE(Input!$C$7,DC$3-1)))*MIN(1,(DC$3-INDEX(Properties!$T:$T,$B36+5)+1)/Input!$C$11),0))*(1+Input!$C$8)^(DC$5-1)</f>
        <v>0</v>
      </c>
      <c r="DD36" s="123" cm="1">
        <f t="array" ref="DD36">INDEX(Properties!$D:$D,$B36+5)*(IF(AND(DD$3&gt;=INDEX(Properties!$T:$T,$B36+5),DD$3&lt;INDEX(Properties!$U:$U,$B36+5)),INDEX(_Seasonality!$C$50:$N$59,$B36,MONTH(EDATE(Input!$C$7,DD$3-1)))*MIN(1,(DD$3-INDEX(Properties!$T:$T,$B36+5)+1)/Input!$C$11),0))*(1+Input!$C$8)^(DD$5-1)</f>
        <v>0</v>
      </c>
      <c r="DE36" s="123" cm="1">
        <f t="array" ref="DE36">INDEX(Properties!$D:$D,$B36+5)*(IF(AND(DE$3&gt;=INDEX(Properties!$T:$T,$B36+5),DE$3&lt;INDEX(Properties!$U:$U,$B36+5)),INDEX(_Seasonality!$C$50:$N$59,$B36,MONTH(EDATE(Input!$C$7,DE$3-1)))*MIN(1,(DE$3-INDEX(Properties!$T:$T,$B36+5)+1)/Input!$C$11),0))*(1+Input!$C$8)^(DE$5-1)</f>
        <v>0</v>
      </c>
      <c r="DF36" s="123" cm="1">
        <f t="array" ref="DF36">INDEX(Properties!$D:$D,$B36+5)*(IF(AND(DF$3&gt;=INDEX(Properties!$T:$T,$B36+5),DF$3&lt;INDEX(Properties!$U:$U,$B36+5)),INDEX(_Seasonality!$C$50:$N$59,$B36,MONTH(EDATE(Input!$C$7,DF$3-1)))*MIN(1,(DF$3-INDEX(Properties!$T:$T,$B36+5)+1)/Input!$C$11),0))*(1+Input!$C$8)^(DF$5-1)</f>
        <v>0</v>
      </c>
      <c r="DG36" s="123" cm="1">
        <f t="array" ref="DG36">INDEX(Properties!$D:$D,$B36+5)*(IF(AND(DG$3&gt;=INDEX(Properties!$T:$T,$B36+5),DG$3&lt;INDEX(Properties!$U:$U,$B36+5)),INDEX(_Seasonality!$C$50:$N$59,$B36,MONTH(EDATE(Input!$C$7,DG$3-1)))*MIN(1,(DG$3-INDEX(Properties!$T:$T,$B36+5)+1)/Input!$C$11),0))*(1+Input!$C$8)^(DG$5-1)</f>
        <v>0</v>
      </c>
      <c r="DH36" s="123" cm="1">
        <f t="array" ref="DH36">INDEX(Properties!$D:$D,$B36+5)*(IF(AND(DH$3&gt;=INDEX(Properties!$T:$T,$B36+5),DH$3&lt;INDEX(Properties!$U:$U,$B36+5)),INDEX(_Seasonality!$C$50:$N$59,$B36,MONTH(EDATE(Input!$C$7,DH$3-1)))*MIN(1,(DH$3-INDEX(Properties!$T:$T,$B36+5)+1)/Input!$C$11),0))*(1+Input!$C$8)^(DH$5-1)</f>
        <v>0</v>
      </c>
      <c r="DI36" s="123" cm="1">
        <f t="array" ref="DI36">INDEX(Properties!$D:$D,$B36+5)*(IF(AND(DI$3&gt;=INDEX(Properties!$T:$T,$B36+5),DI$3&lt;INDEX(Properties!$U:$U,$B36+5)),INDEX(_Seasonality!$C$50:$N$59,$B36,MONTH(EDATE(Input!$C$7,DI$3-1)))*MIN(1,(DI$3-INDEX(Properties!$T:$T,$B36+5)+1)/Input!$C$11),0))*(1+Input!$C$8)^(DI$5-1)</f>
        <v>0</v>
      </c>
      <c r="DJ36" s="123" cm="1">
        <f t="array" ref="DJ36">INDEX(Properties!$D:$D,$B36+5)*(IF(AND(DJ$3&gt;=INDEX(Properties!$T:$T,$B36+5),DJ$3&lt;INDEX(Properties!$U:$U,$B36+5)),INDEX(_Seasonality!$C$50:$N$59,$B36,MONTH(EDATE(Input!$C$7,DJ$3-1)))*MIN(1,(DJ$3-INDEX(Properties!$T:$T,$B36+5)+1)/Input!$C$11),0))*(1+Input!$C$8)^(DJ$5-1)</f>
        <v>0</v>
      </c>
      <c r="DK36" s="123" cm="1">
        <f t="array" ref="DK36">INDEX(Properties!$D:$D,$B36+5)*(IF(AND(DK$3&gt;=INDEX(Properties!$T:$T,$B36+5),DK$3&lt;INDEX(Properties!$U:$U,$B36+5)),INDEX(_Seasonality!$C$50:$N$59,$B36,MONTH(EDATE(Input!$C$7,DK$3-1)))*MIN(1,(DK$3-INDEX(Properties!$T:$T,$B36+5)+1)/Input!$C$11),0))*(1+Input!$C$8)^(DK$5-1)</f>
        <v>0</v>
      </c>
      <c r="DL36" s="123" cm="1">
        <f t="array" ref="DL36">INDEX(Properties!$D:$D,$B36+5)*(IF(AND(DL$3&gt;=INDEX(Properties!$T:$T,$B36+5),DL$3&lt;INDEX(Properties!$U:$U,$B36+5)),INDEX(_Seasonality!$C$50:$N$59,$B36,MONTH(EDATE(Input!$C$7,DL$3-1)))*MIN(1,(DL$3-INDEX(Properties!$T:$T,$B36+5)+1)/Input!$C$11),0))*(1+Input!$C$8)^(DL$5-1)</f>
        <v>0</v>
      </c>
      <c r="DM36" s="123" cm="1">
        <f t="array" ref="DM36">INDEX(Properties!$D:$D,$B36+5)*(IF(AND(DM$3&gt;=INDEX(Properties!$T:$T,$B36+5),DM$3&lt;INDEX(Properties!$U:$U,$B36+5)),INDEX(_Seasonality!$C$50:$N$59,$B36,MONTH(EDATE(Input!$C$7,DM$3-1)))*MIN(1,(DM$3-INDEX(Properties!$T:$T,$B36+5)+1)/Input!$C$11),0))*(1+Input!$C$8)^(DM$5-1)</f>
        <v>0</v>
      </c>
      <c r="DN36" s="123" cm="1">
        <f t="array" ref="DN36">INDEX(Properties!$D:$D,$B36+5)*(IF(AND(DN$3&gt;=INDEX(Properties!$T:$T,$B36+5),DN$3&lt;INDEX(Properties!$U:$U,$B36+5)),INDEX(_Seasonality!$C$50:$N$59,$B36,MONTH(EDATE(Input!$C$7,DN$3-1)))*MIN(1,(DN$3-INDEX(Properties!$T:$T,$B36+5)+1)/Input!$C$11),0))*(1+Input!$C$8)^(DN$5-1)</f>
        <v>0</v>
      </c>
      <c r="DO36" s="123" cm="1">
        <f t="array" ref="DO36">INDEX(Properties!$D:$D,$B36+5)*(IF(AND(DO$3&gt;=INDEX(Properties!$T:$T,$B36+5),DO$3&lt;INDEX(Properties!$U:$U,$B36+5)),INDEX(_Seasonality!$C$50:$N$59,$B36,MONTH(EDATE(Input!$C$7,DO$3-1)))*MIN(1,(DO$3-INDEX(Properties!$T:$T,$B36+5)+1)/Input!$C$11),0))*(1+Input!$C$8)^(DO$5-1)</f>
        <v>0</v>
      </c>
      <c r="DP36" s="123" cm="1">
        <f t="array" ref="DP36">INDEX(Properties!$D:$D,$B36+5)*(IF(AND(DP$3&gt;=INDEX(Properties!$T:$T,$B36+5),DP$3&lt;INDEX(Properties!$U:$U,$B36+5)),INDEX(_Seasonality!$C$50:$N$59,$B36,MONTH(EDATE(Input!$C$7,DP$3-1)))*MIN(1,(DP$3-INDEX(Properties!$T:$T,$B36+5)+1)/Input!$C$11),0))*(1+Input!$C$8)^(DP$5-1)</f>
        <v>0</v>
      </c>
      <c r="DQ36" s="123" cm="1">
        <f t="array" ref="DQ36">INDEX(Properties!$D:$D,$B36+5)*(IF(AND(DQ$3&gt;=INDEX(Properties!$T:$T,$B36+5),DQ$3&lt;INDEX(Properties!$U:$U,$B36+5)),INDEX(_Seasonality!$C$50:$N$59,$B36,MONTH(EDATE(Input!$C$7,DQ$3-1)))*MIN(1,(DQ$3-INDEX(Properties!$T:$T,$B36+5)+1)/Input!$C$11),0))*(1+Input!$C$8)^(DQ$5-1)</f>
        <v>0</v>
      </c>
      <c r="DR36" s="123" cm="1">
        <f t="array" ref="DR36">INDEX(Properties!$D:$D,$B36+5)*(IF(AND(DR$3&gt;=INDEX(Properties!$T:$T,$B36+5),DR$3&lt;INDEX(Properties!$U:$U,$B36+5)),INDEX(_Seasonality!$C$50:$N$59,$B36,MONTH(EDATE(Input!$C$7,DR$3-1)))*MIN(1,(DR$3-INDEX(Properties!$T:$T,$B36+5)+1)/Input!$C$11),0))*(1+Input!$C$8)^(DR$5-1)</f>
        <v>0</v>
      </c>
    </row>
    <row r="37" spans="1:122" ht="16.05" customHeight="1" x14ac:dyDescent="0.3">
      <c r="A37" s="148" t="str" cm="1">
        <f t="array" ref="A37">INDEX(Properties!$E:$E,$B37+5)</f>
        <v>Casa Montana Lote 2 (Samuel Gaviria House)</v>
      </c>
      <c r="B37" s="1">
        <v>4</v>
      </c>
      <c r="C37" s="123" cm="1">
        <f t="array" ref="C37">INDEX(Properties!$D:$D,$B37+5)*(IF(AND(C$3&gt;=INDEX(Properties!$T:$T,$B37+5),C$3&lt;INDEX(Properties!$U:$U,$B37+5)),INDEX(_Seasonality!$C$50:$N$59,$B37,MONTH(EDATE(Input!$C$7,C$3-1)))*MIN(1,(C$3-INDEX(Properties!$T:$T,$B37+5)+1)/Input!$C$11),0))*(1+Input!$C$8)^(C$5-1)</f>
        <v>0</v>
      </c>
      <c r="D37" s="123" cm="1">
        <f t="array" ref="D37">INDEX(Properties!$D:$D,$B37+5)*(IF(AND(D$3&gt;=INDEX(Properties!$T:$T,$B37+5),D$3&lt;INDEX(Properties!$U:$U,$B37+5)),INDEX(_Seasonality!$C$50:$N$59,$B37,MONTH(EDATE(Input!$C$7,D$3-1)))*MIN(1,(D$3-INDEX(Properties!$T:$T,$B37+5)+1)/Input!$C$11),0))*(1+Input!$C$8)^(D$5-1)</f>
        <v>0</v>
      </c>
      <c r="E37" s="123" cm="1">
        <f t="array" ref="E37">INDEX(Properties!$D:$D,$B37+5)*(IF(AND(E$3&gt;=INDEX(Properties!$T:$T,$B37+5),E$3&lt;INDEX(Properties!$U:$U,$B37+5)),INDEX(_Seasonality!$C$50:$N$59,$B37,MONTH(EDATE(Input!$C$7,E$3-1)))*MIN(1,(E$3-INDEX(Properties!$T:$T,$B37+5)+1)/Input!$C$11),0))*(1+Input!$C$8)^(E$5-1)</f>
        <v>0</v>
      </c>
      <c r="F37" s="123" cm="1">
        <f t="array" ref="F37">INDEX(Properties!$D:$D,$B37+5)*(IF(AND(F$3&gt;=INDEX(Properties!$T:$T,$B37+5),F$3&lt;INDEX(Properties!$U:$U,$B37+5)),INDEX(_Seasonality!$C$50:$N$59,$B37,MONTH(EDATE(Input!$C$7,F$3-1)))*MIN(1,(F$3-INDEX(Properties!$T:$T,$B37+5)+1)/Input!$C$11),0))*(1+Input!$C$8)^(F$5-1)</f>
        <v>0</v>
      </c>
      <c r="G37" s="123" cm="1">
        <f t="array" ref="G37">INDEX(Properties!$D:$D,$B37+5)*(IF(AND(G$3&gt;=INDEX(Properties!$T:$T,$B37+5),G$3&lt;INDEX(Properties!$U:$U,$B37+5)),INDEX(_Seasonality!$C$50:$N$59,$B37,MONTH(EDATE(Input!$C$7,G$3-1)))*MIN(1,(G$3-INDEX(Properties!$T:$T,$B37+5)+1)/Input!$C$11),0))*(1+Input!$C$8)^(G$5-1)</f>
        <v>0</v>
      </c>
      <c r="H37" s="123" cm="1">
        <f t="array" ref="H37">INDEX(Properties!$D:$D,$B37+5)*(IF(AND(H$3&gt;=INDEX(Properties!$T:$T,$B37+5),H$3&lt;INDEX(Properties!$U:$U,$B37+5)),INDEX(_Seasonality!$C$50:$N$59,$B37,MONTH(EDATE(Input!$C$7,H$3-1)))*MIN(1,(H$3-INDEX(Properties!$T:$T,$B37+5)+1)/Input!$C$11),0))*(1+Input!$C$8)^(H$5-1)</f>
        <v>0</v>
      </c>
      <c r="I37" s="123" cm="1">
        <f t="array" ref="I37">INDEX(Properties!$D:$D,$B37+5)*(IF(AND(I$3&gt;=INDEX(Properties!$T:$T,$B37+5),I$3&lt;INDEX(Properties!$U:$U,$B37+5)),INDEX(_Seasonality!$C$50:$N$59,$B37,MONTH(EDATE(Input!$C$7,I$3-1)))*MIN(1,(I$3-INDEX(Properties!$T:$T,$B37+5)+1)/Input!$C$11),0))*(1+Input!$C$8)^(I$5-1)</f>
        <v>0</v>
      </c>
      <c r="J37" s="123" cm="1">
        <f t="array" ref="J37">INDEX(Properties!$D:$D,$B37+5)*(IF(AND(J$3&gt;=INDEX(Properties!$T:$T,$B37+5),J$3&lt;INDEX(Properties!$U:$U,$B37+5)),INDEX(_Seasonality!$C$50:$N$59,$B37,MONTH(EDATE(Input!$C$7,J$3-1)))*MIN(1,(J$3-INDEX(Properties!$T:$T,$B37+5)+1)/Input!$C$11),0))*(1+Input!$C$8)^(J$5-1)</f>
        <v>0</v>
      </c>
      <c r="K37" s="123" cm="1">
        <f t="array" ref="K37">INDEX(Properties!$D:$D,$B37+5)*(IF(AND(K$3&gt;=INDEX(Properties!$T:$T,$B37+5),K$3&lt;INDEX(Properties!$U:$U,$B37+5)),INDEX(_Seasonality!$C$50:$N$59,$B37,MONTH(EDATE(Input!$C$7,K$3-1)))*MIN(1,(K$3-INDEX(Properties!$T:$T,$B37+5)+1)/Input!$C$11),0))*(1+Input!$C$8)^(K$5-1)</f>
        <v>0</v>
      </c>
      <c r="L37" s="123" cm="1">
        <f t="array" ref="L37">INDEX(Properties!$D:$D,$B37+5)*(IF(AND(L$3&gt;=INDEX(Properties!$T:$T,$B37+5),L$3&lt;INDEX(Properties!$U:$U,$B37+5)),INDEX(_Seasonality!$C$50:$N$59,$B37,MONTH(EDATE(Input!$C$7,L$3-1)))*MIN(1,(L$3-INDEX(Properties!$T:$T,$B37+5)+1)/Input!$C$11),0))*(1+Input!$C$8)^(L$5-1)</f>
        <v>0</v>
      </c>
      <c r="M37" s="123" cm="1">
        <f t="array" ref="M37">INDEX(Properties!$D:$D,$B37+5)*(IF(AND(M$3&gt;=INDEX(Properties!$T:$T,$B37+5),M$3&lt;INDEX(Properties!$U:$U,$B37+5)),INDEX(_Seasonality!$C$50:$N$59,$B37,MONTH(EDATE(Input!$C$7,M$3-1)))*MIN(1,(M$3-INDEX(Properties!$T:$T,$B37+5)+1)/Input!$C$11),0))*(1+Input!$C$8)^(M$5-1)</f>
        <v>0</v>
      </c>
      <c r="N37" s="123" cm="1">
        <f t="array" ref="N37">INDEX(Properties!$D:$D,$B37+5)*(IF(AND(N$3&gt;=INDEX(Properties!$T:$T,$B37+5),N$3&lt;INDEX(Properties!$U:$U,$B37+5)),INDEX(_Seasonality!$C$50:$N$59,$B37,MONTH(EDATE(Input!$C$7,N$3-1)))*MIN(1,(N$3-INDEX(Properties!$T:$T,$B37+5)+1)/Input!$C$11),0))*(1+Input!$C$8)^(N$5-1)</f>
        <v>0</v>
      </c>
      <c r="O37" s="123" cm="1">
        <f t="array" ref="O37">INDEX(Properties!$D:$D,$B37+5)*(IF(AND(O$3&gt;=INDEX(Properties!$T:$T,$B37+5),O$3&lt;INDEX(Properties!$U:$U,$B37+5)),INDEX(_Seasonality!$C$50:$N$59,$B37,MONTH(EDATE(Input!$C$7,O$3-1)))*MIN(1,(O$3-INDEX(Properties!$T:$T,$B37+5)+1)/Input!$C$11),0))*(1+Input!$C$8)^(O$5-1)</f>
        <v>0</v>
      </c>
      <c r="P37" s="123" cm="1">
        <f t="array" ref="P37">INDEX(Properties!$D:$D,$B37+5)*(IF(AND(P$3&gt;=INDEX(Properties!$T:$T,$B37+5),P$3&lt;INDEX(Properties!$U:$U,$B37+5)),INDEX(_Seasonality!$C$50:$N$59,$B37,MONTH(EDATE(Input!$C$7,P$3-1)))*MIN(1,(P$3-INDEX(Properties!$T:$T,$B37+5)+1)/Input!$C$11),0))*(1+Input!$C$8)^(P$5-1)</f>
        <v>5633.7659999999996</v>
      </c>
      <c r="Q37" s="123" cm="1">
        <f t="array" ref="Q37">INDEX(Properties!$D:$D,$B37+5)*(IF(AND(Q$3&gt;=INDEX(Properties!$T:$T,$B37+5),Q$3&lt;INDEX(Properties!$U:$U,$B37+5)),INDEX(_Seasonality!$C$50:$N$59,$B37,MONTH(EDATE(Input!$C$7,Q$3-1)))*MIN(1,(Q$3-INDEX(Properties!$T:$T,$B37+5)+1)/Input!$C$11),0))*(1+Input!$C$8)^(Q$5-1)</f>
        <v>8706.9554742857144</v>
      </c>
      <c r="R37" s="123" cm="1">
        <f t="array" ref="R37">INDEX(Properties!$D:$D,$B37+5)*(IF(AND(R$3&gt;=INDEX(Properties!$T:$T,$B37+5),R$3&lt;INDEX(Properties!$U:$U,$B37+5)),INDEX(_Seasonality!$C$50:$N$59,$B37,MONTH(EDATE(Input!$C$7,R$3-1)))*MIN(1,(R$3-INDEX(Properties!$T:$T,$B37+5)+1)/Input!$C$11),0))*(1+Input!$C$8)^(R$5-1)</f>
        <v>8291.4415714285715</v>
      </c>
      <c r="S37" s="123" cm="1">
        <f t="array" ref="S37">INDEX(Properties!$D:$D,$B37+5)*(IF(AND(S$3&gt;=INDEX(Properties!$T:$T,$B37+5),S$3&lt;INDEX(Properties!$U:$U,$B37+5)),INDEX(_Seasonality!$C$50:$N$59,$B37,MONTH(EDATE(Input!$C$7,S$3-1)))*MIN(1,(S$3-INDEX(Properties!$T:$T,$B37+5)+1)/Input!$C$11),0))*(1+Input!$C$8)^(S$5-1)</f>
        <v>5534.9280000000008</v>
      </c>
      <c r="T37" s="123" cm="1">
        <f t="array" ref="T37">INDEX(Properties!$D:$D,$B37+5)*(IF(AND(T$3&gt;=INDEX(Properties!$T:$T,$B37+5),T$3&lt;INDEX(Properties!$U:$U,$B37+5)),INDEX(_Seasonality!$C$50:$N$59,$B37,MONTH(EDATE(Input!$C$7,T$3-1)))*MIN(1,(T$3-INDEX(Properties!$T:$T,$B37+5)+1)/Input!$C$11),0))*(1+Input!$C$8)^(T$5-1)</f>
        <v>5515.1604000000007</v>
      </c>
      <c r="U37" s="123" cm="1">
        <f t="array" ref="U37">INDEX(Properties!$D:$D,$B37+5)*(IF(AND(U$3&gt;=INDEX(Properties!$T:$T,$B37+5),U$3&lt;INDEX(Properties!$U:$U,$B37+5)),INDEX(_Seasonality!$C$50:$N$59,$B37,MONTH(EDATE(Input!$C$7,U$3-1)))*MIN(1,(U$3-INDEX(Properties!$T:$T,$B37+5)+1)/Input!$C$11),0))*(1+Input!$C$8)^(U$5-1)</f>
        <v>5297.1222857142866</v>
      </c>
      <c r="V37" s="123" cm="1">
        <f t="array" ref="V37">INDEX(Properties!$D:$D,$B37+5)*(IF(AND(V$3&gt;=INDEX(Properties!$T:$T,$B37+5),V$3&lt;INDEX(Properties!$U:$U,$B37+5)),INDEX(_Seasonality!$C$50:$N$59,$B37,MONTH(EDATE(Input!$C$7,V$3-1)))*MIN(1,(V$3-INDEX(Properties!$T:$T,$B37+5)+1)/Input!$C$11),0))*(1+Input!$C$8)^(V$5-1)</f>
        <v>4644.3456000000006</v>
      </c>
      <c r="W37" s="123" cm="1">
        <f t="array" ref="W37">INDEX(Properties!$D:$D,$B37+5)*(IF(AND(W$3&gt;=INDEX(Properties!$T:$T,$B37+5),W$3&lt;INDEX(Properties!$U:$U,$B37+5)),INDEX(_Seasonality!$C$50:$N$59,$B37,MONTH(EDATE(Input!$C$7,W$3-1)))*MIN(1,(W$3-INDEX(Properties!$T:$T,$B37+5)+1)/Input!$C$11),0))*(1+Input!$C$8)^(W$5-1)</f>
        <v>6543.5039999999999</v>
      </c>
      <c r="X37" s="123" cm="1">
        <f t="array" ref="X37">INDEX(Properties!$D:$D,$B37+5)*(IF(AND(X$3&gt;=INDEX(Properties!$T:$T,$B37+5),X$3&lt;INDEX(Properties!$U:$U,$B37+5)),INDEX(_Seasonality!$C$50:$N$59,$B37,MONTH(EDATE(Input!$C$7,X$3-1)))*MIN(1,(X$3-INDEX(Properties!$T:$T,$B37+5)+1)/Input!$C$11),0))*(1+Input!$C$8)^(X$5-1)</f>
        <v>7154.5580228571434</v>
      </c>
      <c r="Y37" s="123" cm="1">
        <f t="array" ref="Y37">INDEX(Properties!$D:$D,$B37+5)*(IF(AND(Y$3&gt;=INDEX(Properties!$T:$T,$B37+5),Y$3&lt;INDEX(Properties!$U:$U,$B37+5)),INDEX(_Seasonality!$C$50:$N$59,$B37,MONTH(EDATE(Input!$C$7,Y$3-1)))*MIN(1,(Y$3-INDEX(Properties!$T:$T,$B37+5)+1)/Input!$C$11),0))*(1+Input!$C$8)^(Y$5-1)</f>
        <v>6761.6208000000006</v>
      </c>
      <c r="Z37" s="123" cm="1">
        <f t="array" ref="Z37">INDEX(Properties!$D:$D,$B37+5)*(IF(AND(Z$3&gt;=INDEX(Properties!$T:$T,$B37+5),Z$3&lt;INDEX(Properties!$U:$U,$B37+5)),INDEX(_Seasonality!$C$50:$N$59,$B37,MONTH(EDATE(Input!$C$7,Z$3-1)))*MIN(1,(Z$3-INDEX(Properties!$T:$T,$B37+5)+1)/Input!$C$11),0))*(1+Input!$C$8)^(Z$5-1)</f>
        <v>5040.7380000000003</v>
      </c>
      <c r="AA37" s="123" cm="1">
        <f t="array" ref="AA37">INDEX(Properties!$D:$D,$B37+5)*(IF(AND(AA$3&gt;=INDEX(Properties!$T:$T,$B37+5),AA$3&lt;INDEX(Properties!$U:$U,$B37+5)),INDEX(_Seasonality!$C$50:$N$59,$B37,MONTH(EDATE(Input!$C$7,AA$3-1)))*MIN(1,(AA$3-INDEX(Properties!$T:$T,$B37+5)+1)/Input!$C$11),0))*(1+Input!$C$8)^(AA$5-1)</f>
        <v>5329.3865760000017</v>
      </c>
      <c r="AB37" s="123" cm="1">
        <f t="array" ref="AB37">INDEX(Properties!$D:$D,$B37+5)*(IF(AND(AB$3&gt;=INDEX(Properties!$T:$T,$B37+5),AB$3&lt;INDEX(Properties!$U:$U,$B37+5)),INDEX(_Seasonality!$C$50:$N$59,$B37,MONTH(EDATE(Input!$C$7,AB$3-1)))*MIN(1,(AB$3-INDEX(Properties!$T:$T,$B37+5)+1)/Input!$C$11),0))*(1+Input!$C$8)^(AB$5-1)</f>
        <v>5746.441319999999</v>
      </c>
      <c r="AC37" s="123" cm="1">
        <f t="array" ref="AC37">INDEX(Properties!$D:$D,$B37+5)*(IF(AND(AC$3&gt;=INDEX(Properties!$T:$T,$B37+5),AC$3&lt;INDEX(Properties!$U:$U,$B37+5)),INDEX(_Seasonality!$C$50:$N$59,$B37,MONTH(EDATE(Input!$C$7,AC$3-1)))*MIN(1,(AC$3-INDEX(Properties!$T:$T,$B37+5)+1)/Input!$C$11),0))*(1+Input!$C$8)^(AC$5-1)</f>
        <v>8881.094583771428</v>
      </c>
      <c r="AD37" s="123" cm="1">
        <f t="array" ref="AD37">INDEX(Properties!$D:$D,$B37+5)*(IF(AND(AD$3&gt;=INDEX(Properties!$T:$T,$B37+5),AD$3&lt;INDEX(Properties!$U:$U,$B37+5)),INDEX(_Seasonality!$C$50:$N$59,$B37,MONTH(EDATE(Input!$C$7,AD$3-1)))*MIN(1,(AD$3-INDEX(Properties!$T:$T,$B37+5)+1)/Input!$C$11),0))*(1+Input!$C$8)^(AD$5-1)</f>
        <v>8457.2704028571425</v>
      </c>
      <c r="AE37" s="123" cm="1">
        <f t="array" ref="AE37">INDEX(Properties!$D:$D,$B37+5)*(IF(AND(AE$3&gt;=INDEX(Properties!$T:$T,$B37+5),AE$3&lt;INDEX(Properties!$U:$U,$B37+5)),INDEX(_Seasonality!$C$50:$N$59,$B37,MONTH(EDATE(Input!$C$7,AE$3-1)))*MIN(1,(AE$3-INDEX(Properties!$T:$T,$B37+5)+1)/Input!$C$11),0))*(1+Input!$C$8)^(AE$5-1)</f>
        <v>5645.6265600000006</v>
      </c>
      <c r="AF37" s="123" cm="1">
        <f t="array" ref="AF37">INDEX(Properties!$D:$D,$B37+5)*(IF(AND(AF$3&gt;=INDEX(Properties!$T:$T,$B37+5),AF$3&lt;INDEX(Properties!$U:$U,$B37+5)),INDEX(_Seasonality!$C$50:$N$59,$B37,MONTH(EDATE(Input!$C$7,AF$3-1)))*MIN(1,(AF$3-INDEX(Properties!$T:$T,$B37+5)+1)/Input!$C$11),0))*(1+Input!$C$8)^(AF$5-1)</f>
        <v>5625.463608</v>
      </c>
      <c r="AG37" s="123" cm="1">
        <f t="array" ref="AG37">INDEX(Properties!$D:$D,$B37+5)*(IF(AND(AG$3&gt;=INDEX(Properties!$T:$T,$B37+5),AG$3&lt;INDEX(Properties!$U:$U,$B37+5)),INDEX(_Seasonality!$C$50:$N$59,$B37,MONTH(EDATE(Input!$C$7,AG$3-1)))*MIN(1,(AG$3-INDEX(Properties!$T:$T,$B37+5)+1)/Input!$C$11),0))*(1+Input!$C$8)^(AG$5-1)</f>
        <v>5403.0647314285725</v>
      </c>
      <c r="AH37" s="123" cm="1">
        <f t="array" ref="AH37">INDEX(Properties!$D:$D,$B37+5)*(IF(AND(AH$3&gt;=INDEX(Properties!$T:$T,$B37+5),AH$3&lt;INDEX(Properties!$U:$U,$B37+5)),INDEX(_Seasonality!$C$50:$N$59,$B37,MONTH(EDATE(Input!$C$7,AH$3-1)))*MIN(1,(AH$3-INDEX(Properties!$T:$T,$B37+5)+1)/Input!$C$11),0))*(1+Input!$C$8)^(AH$5-1)</f>
        <v>4737.2325120000005</v>
      </c>
      <c r="AI37" s="123" cm="1">
        <f t="array" ref="AI37">INDEX(Properties!$D:$D,$B37+5)*(IF(AND(AI$3&gt;=INDEX(Properties!$T:$T,$B37+5),AI$3&lt;INDEX(Properties!$U:$U,$B37+5)),INDEX(_Seasonality!$C$50:$N$59,$B37,MONTH(EDATE(Input!$C$7,AI$3-1)))*MIN(1,(AI$3-INDEX(Properties!$T:$T,$B37+5)+1)/Input!$C$11),0))*(1+Input!$C$8)^(AI$5-1)</f>
        <v>6674.3740799999996</v>
      </c>
      <c r="AJ37" s="123" cm="1">
        <f t="array" ref="AJ37">INDEX(Properties!$D:$D,$B37+5)*(IF(AND(AJ$3&gt;=INDEX(Properties!$T:$T,$B37+5),AJ$3&lt;INDEX(Properties!$U:$U,$B37+5)),INDEX(_Seasonality!$C$50:$N$59,$B37,MONTH(EDATE(Input!$C$7,AJ$3-1)))*MIN(1,(AJ$3-INDEX(Properties!$T:$T,$B37+5)+1)/Input!$C$11),0))*(1+Input!$C$8)^(AJ$5-1)</f>
        <v>7297.6491833142854</v>
      </c>
      <c r="AK37" s="123" cm="1">
        <f t="array" ref="AK37">INDEX(Properties!$D:$D,$B37+5)*(IF(AND(AK$3&gt;=INDEX(Properties!$T:$T,$B37+5),AK$3&lt;INDEX(Properties!$U:$U,$B37+5)),INDEX(_Seasonality!$C$50:$N$59,$B37,MONTH(EDATE(Input!$C$7,AK$3-1)))*MIN(1,(AK$3-INDEX(Properties!$T:$T,$B37+5)+1)/Input!$C$11),0))*(1+Input!$C$8)^(AK$5-1)</f>
        <v>6896.8532160000004</v>
      </c>
      <c r="AL37" s="123" cm="1">
        <f t="array" ref="AL37">INDEX(Properties!$D:$D,$B37+5)*(IF(AND(AL$3&gt;=INDEX(Properties!$T:$T,$B37+5),AL$3&lt;INDEX(Properties!$U:$U,$B37+5)),INDEX(_Seasonality!$C$50:$N$59,$B37,MONTH(EDATE(Input!$C$7,AL$3-1)))*MIN(1,(AL$3-INDEX(Properties!$T:$T,$B37+5)+1)/Input!$C$11),0))*(1+Input!$C$8)^(AL$5-1)</f>
        <v>5141.5527600000005</v>
      </c>
      <c r="AM37" s="123" cm="1">
        <f t="array" ref="AM37">INDEX(Properties!$D:$D,$B37+5)*(IF(AND(AM$3&gt;=INDEX(Properties!$T:$T,$B37+5),AM$3&lt;INDEX(Properties!$U:$U,$B37+5)),INDEX(_Seasonality!$C$50:$N$59,$B37,MONTH(EDATE(Input!$C$7,AM$3-1)))*MIN(1,(AM$3-INDEX(Properties!$T:$T,$B37+5)+1)/Input!$C$11),0))*(1+Input!$C$8)^(AM$5-1)</f>
        <v>5435.9743075200013</v>
      </c>
      <c r="AN37" s="123" cm="1">
        <f t="array" ref="AN37">INDEX(Properties!$D:$D,$B37+5)*(IF(AND(AN$3&gt;=INDEX(Properties!$T:$T,$B37+5),AN$3&lt;INDEX(Properties!$U:$U,$B37+5)),INDEX(_Seasonality!$C$50:$N$59,$B37,MONTH(EDATE(Input!$C$7,AN$3-1)))*MIN(1,(AN$3-INDEX(Properties!$T:$T,$B37+5)+1)/Input!$C$11),0))*(1+Input!$C$8)^(AN$5-1)</f>
        <v>5861.3701463999987</v>
      </c>
      <c r="AO37" s="123" cm="1">
        <f t="array" ref="AO37">INDEX(Properties!$D:$D,$B37+5)*(IF(AND(AO$3&gt;=INDEX(Properties!$T:$T,$B37+5),AO$3&lt;INDEX(Properties!$U:$U,$B37+5)),INDEX(_Seasonality!$C$50:$N$59,$B37,MONTH(EDATE(Input!$C$7,AO$3-1)))*MIN(1,(AO$3-INDEX(Properties!$T:$T,$B37+5)+1)/Input!$C$11),0))*(1+Input!$C$8)^(AO$5-1)</f>
        <v>9058.7164754468558</v>
      </c>
      <c r="AP37" s="123" cm="1">
        <f t="array" ref="AP37">INDEX(Properties!$D:$D,$B37+5)*(IF(AND(AP$3&gt;=INDEX(Properties!$T:$T,$B37+5),AP$3&lt;INDEX(Properties!$U:$U,$B37+5)),INDEX(_Seasonality!$C$50:$N$59,$B37,MONTH(EDATE(Input!$C$7,AP$3-1)))*MIN(1,(AP$3-INDEX(Properties!$T:$T,$B37+5)+1)/Input!$C$11),0))*(1+Input!$C$8)^(AP$5-1)</f>
        <v>8626.4158109142845</v>
      </c>
      <c r="AQ37" s="123" cm="1">
        <f t="array" ref="AQ37">INDEX(Properties!$D:$D,$B37+5)*(IF(AND(AQ$3&gt;=INDEX(Properties!$T:$T,$B37+5),AQ$3&lt;INDEX(Properties!$U:$U,$B37+5)),INDEX(_Seasonality!$C$50:$N$59,$B37,MONTH(EDATE(Input!$C$7,AQ$3-1)))*MIN(1,(AQ$3-INDEX(Properties!$T:$T,$B37+5)+1)/Input!$C$11),0))*(1+Input!$C$8)^(AQ$5-1)</f>
        <v>5758.5390912000003</v>
      </c>
      <c r="AR37" s="123" cm="1">
        <f t="array" ref="AR37">INDEX(Properties!$D:$D,$B37+5)*(IF(AND(AR$3&gt;=INDEX(Properties!$T:$T,$B37+5),AR$3&lt;INDEX(Properties!$U:$U,$B37+5)),INDEX(_Seasonality!$C$50:$N$59,$B37,MONTH(EDATE(Input!$C$7,AR$3-1)))*MIN(1,(AR$3-INDEX(Properties!$T:$T,$B37+5)+1)/Input!$C$11),0))*(1+Input!$C$8)^(AR$5-1)</f>
        <v>5737.9728801600004</v>
      </c>
      <c r="AS37" s="123" cm="1">
        <f t="array" ref="AS37">INDEX(Properties!$D:$D,$B37+5)*(IF(AND(AS$3&gt;=INDEX(Properties!$T:$T,$B37+5),AS$3&lt;INDEX(Properties!$U:$U,$B37+5)),INDEX(_Seasonality!$C$50:$N$59,$B37,MONTH(EDATE(Input!$C$7,AS$3-1)))*MIN(1,(AS$3-INDEX(Properties!$T:$T,$B37+5)+1)/Input!$C$11),0))*(1+Input!$C$8)^(AS$5-1)</f>
        <v>0</v>
      </c>
      <c r="AT37" s="123" cm="1">
        <f t="array" ref="AT37">INDEX(Properties!$D:$D,$B37+5)*(IF(AND(AT$3&gt;=INDEX(Properties!$T:$T,$B37+5),AT$3&lt;INDEX(Properties!$U:$U,$B37+5)),INDEX(_Seasonality!$C$50:$N$59,$B37,MONTH(EDATE(Input!$C$7,AT$3-1)))*MIN(1,(AT$3-INDEX(Properties!$T:$T,$B37+5)+1)/Input!$C$11),0))*(1+Input!$C$8)^(AT$5-1)</f>
        <v>0</v>
      </c>
      <c r="AU37" s="123" cm="1">
        <f t="array" ref="AU37">INDEX(Properties!$D:$D,$B37+5)*(IF(AND(AU$3&gt;=INDEX(Properties!$T:$T,$B37+5),AU$3&lt;INDEX(Properties!$U:$U,$B37+5)),INDEX(_Seasonality!$C$50:$N$59,$B37,MONTH(EDATE(Input!$C$7,AU$3-1)))*MIN(1,(AU$3-INDEX(Properties!$T:$T,$B37+5)+1)/Input!$C$11),0))*(1+Input!$C$8)^(AU$5-1)</f>
        <v>0</v>
      </c>
      <c r="AV37" s="123" cm="1">
        <f t="array" ref="AV37">INDEX(Properties!$D:$D,$B37+5)*(IF(AND(AV$3&gt;=INDEX(Properties!$T:$T,$B37+5),AV$3&lt;INDEX(Properties!$U:$U,$B37+5)),INDEX(_Seasonality!$C$50:$N$59,$B37,MONTH(EDATE(Input!$C$7,AV$3-1)))*MIN(1,(AV$3-INDEX(Properties!$T:$T,$B37+5)+1)/Input!$C$11),0))*(1+Input!$C$8)^(AV$5-1)</f>
        <v>0</v>
      </c>
      <c r="AW37" s="123" cm="1">
        <f t="array" ref="AW37">INDEX(Properties!$D:$D,$B37+5)*(IF(AND(AW$3&gt;=INDEX(Properties!$T:$T,$B37+5),AW$3&lt;INDEX(Properties!$U:$U,$B37+5)),INDEX(_Seasonality!$C$50:$N$59,$B37,MONTH(EDATE(Input!$C$7,AW$3-1)))*MIN(1,(AW$3-INDEX(Properties!$T:$T,$B37+5)+1)/Input!$C$11),0))*(1+Input!$C$8)^(AW$5-1)</f>
        <v>0</v>
      </c>
      <c r="AX37" s="123" cm="1">
        <f t="array" ref="AX37">INDEX(Properties!$D:$D,$B37+5)*(IF(AND(AX$3&gt;=INDEX(Properties!$T:$T,$B37+5),AX$3&lt;INDEX(Properties!$U:$U,$B37+5)),INDEX(_Seasonality!$C$50:$N$59,$B37,MONTH(EDATE(Input!$C$7,AX$3-1)))*MIN(1,(AX$3-INDEX(Properties!$T:$T,$B37+5)+1)/Input!$C$11),0))*(1+Input!$C$8)^(AX$5-1)</f>
        <v>0</v>
      </c>
      <c r="AY37" s="123" cm="1">
        <f t="array" ref="AY37">INDEX(Properties!$D:$D,$B37+5)*(IF(AND(AY$3&gt;=INDEX(Properties!$T:$T,$B37+5),AY$3&lt;INDEX(Properties!$U:$U,$B37+5)),INDEX(_Seasonality!$C$50:$N$59,$B37,MONTH(EDATE(Input!$C$7,AY$3-1)))*MIN(1,(AY$3-INDEX(Properties!$T:$T,$B37+5)+1)/Input!$C$11),0))*(1+Input!$C$8)^(AY$5-1)</f>
        <v>0</v>
      </c>
      <c r="AZ37" s="123" cm="1">
        <f t="array" ref="AZ37">INDEX(Properties!$D:$D,$B37+5)*(IF(AND(AZ$3&gt;=INDEX(Properties!$T:$T,$B37+5),AZ$3&lt;INDEX(Properties!$U:$U,$B37+5)),INDEX(_Seasonality!$C$50:$N$59,$B37,MONTH(EDATE(Input!$C$7,AZ$3-1)))*MIN(1,(AZ$3-INDEX(Properties!$T:$T,$B37+5)+1)/Input!$C$11),0))*(1+Input!$C$8)^(AZ$5-1)</f>
        <v>0</v>
      </c>
      <c r="BA37" s="123" cm="1">
        <f t="array" ref="BA37">INDEX(Properties!$D:$D,$B37+5)*(IF(AND(BA$3&gt;=INDEX(Properties!$T:$T,$B37+5),BA$3&lt;INDEX(Properties!$U:$U,$B37+5)),INDEX(_Seasonality!$C$50:$N$59,$B37,MONTH(EDATE(Input!$C$7,BA$3-1)))*MIN(1,(BA$3-INDEX(Properties!$T:$T,$B37+5)+1)/Input!$C$11),0))*(1+Input!$C$8)^(BA$5-1)</f>
        <v>0</v>
      </c>
      <c r="BB37" s="123" cm="1">
        <f t="array" ref="BB37">INDEX(Properties!$D:$D,$B37+5)*(IF(AND(BB$3&gt;=INDEX(Properties!$T:$T,$B37+5),BB$3&lt;INDEX(Properties!$U:$U,$B37+5)),INDEX(_Seasonality!$C$50:$N$59,$B37,MONTH(EDATE(Input!$C$7,BB$3-1)))*MIN(1,(BB$3-INDEX(Properties!$T:$T,$B37+5)+1)/Input!$C$11),0))*(1+Input!$C$8)^(BB$5-1)</f>
        <v>0</v>
      </c>
      <c r="BC37" s="123" cm="1">
        <f t="array" ref="BC37">INDEX(Properties!$D:$D,$B37+5)*(IF(AND(BC$3&gt;=INDEX(Properties!$T:$T,$B37+5),BC$3&lt;INDEX(Properties!$U:$U,$B37+5)),INDEX(_Seasonality!$C$50:$N$59,$B37,MONTH(EDATE(Input!$C$7,BC$3-1)))*MIN(1,(BC$3-INDEX(Properties!$T:$T,$B37+5)+1)/Input!$C$11),0))*(1+Input!$C$8)^(BC$5-1)</f>
        <v>0</v>
      </c>
      <c r="BD37" s="123" cm="1">
        <f t="array" ref="BD37">INDEX(Properties!$D:$D,$B37+5)*(IF(AND(BD$3&gt;=INDEX(Properties!$T:$T,$B37+5),BD$3&lt;INDEX(Properties!$U:$U,$B37+5)),INDEX(_Seasonality!$C$50:$N$59,$B37,MONTH(EDATE(Input!$C$7,BD$3-1)))*MIN(1,(BD$3-INDEX(Properties!$T:$T,$B37+5)+1)/Input!$C$11),0))*(1+Input!$C$8)^(BD$5-1)</f>
        <v>0</v>
      </c>
      <c r="BE37" s="123" cm="1">
        <f t="array" ref="BE37">INDEX(Properties!$D:$D,$B37+5)*(IF(AND(BE$3&gt;=INDEX(Properties!$T:$T,$B37+5),BE$3&lt;INDEX(Properties!$U:$U,$B37+5)),INDEX(_Seasonality!$C$50:$N$59,$B37,MONTH(EDATE(Input!$C$7,BE$3-1)))*MIN(1,(BE$3-INDEX(Properties!$T:$T,$B37+5)+1)/Input!$C$11),0))*(1+Input!$C$8)^(BE$5-1)</f>
        <v>0</v>
      </c>
      <c r="BF37" s="123" cm="1">
        <f t="array" ref="BF37">INDEX(Properties!$D:$D,$B37+5)*(IF(AND(BF$3&gt;=INDEX(Properties!$T:$T,$B37+5),BF$3&lt;INDEX(Properties!$U:$U,$B37+5)),INDEX(_Seasonality!$C$50:$N$59,$B37,MONTH(EDATE(Input!$C$7,BF$3-1)))*MIN(1,(BF$3-INDEX(Properties!$T:$T,$B37+5)+1)/Input!$C$11),0))*(1+Input!$C$8)^(BF$5-1)</f>
        <v>0</v>
      </c>
      <c r="BG37" s="123" cm="1">
        <f t="array" ref="BG37">INDEX(Properties!$D:$D,$B37+5)*(IF(AND(BG$3&gt;=INDEX(Properties!$T:$T,$B37+5),BG$3&lt;INDEX(Properties!$U:$U,$B37+5)),INDEX(_Seasonality!$C$50:$N$59,$B37,MONTH(EDATE(Input!$C$7,BG$3-1)))*MIN(1,(BG$3-INDEX(Properties!$T:$T,$B37+5)+1)/Input!$C$11),0))*(1+Input!$C$8)^(BG$5-1)</f>
        <v>0</v>
      </c>
      <c r="BH37" s="123" cm="1">
        <f t="array" ref="BH37">INDEX(Properties!$D:$D,$B37+5)*(IF(AND(BH$3&gt;=INDEX(Properties!$T:$T,$B37+5),BH$3&lt;INDEX(Properties!$U:$U,$B37+5)),INDEX(_Seasonality!$C$50:$N$59,$B37,MONTH(EDATE(Input!$C$7,BH$3-1)))*MIN(1,(BH$3-INDEX(Properties!$T:$T,$B37+5)+1)/Input!$C$11),0))*(1+Input!$C$8)^(BH$5-1)</f>
        <v>0</v>
      </c>
      <c r="BI37" s="123" cm="1">
        <f t="array" ref="BI37">INDEX(Properties!$D:$D,$B37+5)*(IF(AND(BI$3&gt;=INDEX(Properties!$T:$T,$B37+5),BI$3&lt;INDEX(Properties!$U:$U,$B37+5)),INDEX(_Seasonality!$C$50:$N$59,$B37,MONTH(EDATE(Input!$C$7,BI$3-1)))*MIN(1,(BI$3-INDEX(Properties!$T:$T,$B37+5)+1)/Input!$C$11),0))*(1+Input!$C$8)^(BI$5-1)</f>
        <v>0</v>
      </c>
      <c r="BJ37" s="123" cm="1">
        <f t="array" ref="BJ37">INDEX(Properties!$D:$D,$B37+5)*(IF(AND(BJ$3&gt;=INDEX(Properties!$T:$T,$B37+5),BJ$3&lt;INDEX(Properties!$U:$U,$B37+5)),INDEX(_Seasonality!$C$50:$N$59,$B37,MONTH(EDATE(Input!$C$7,BJ$3-1)))*MIN(1,(BJ$3-INDEX(Properties!$T:$T,$B37+5)+1)/Input!$C$11),0))*(1+Input!$C$8)^(BJ$5-1)</f>
        <v>0</v>
      </c>
      <c r="BK37" s="123" cm="1">
        <f t="array" ref="BK37">INDEX(Properties!$D:$D,$B37+5)*(IF(AND(BK$3&gt;=INDEX(Properties!$T:$T,$B37+5),BK$3&lt;INDEX(Properties!$U:$U,$B37+5)),INDEX(_Seasonality!$C$50:$N$59,$B37,MONTH(EDATE(Input!$C$7,BK$3-1)))*MIN(1,(BK$3-INDEX(Properties!$T:$T,$B37+5)+1)/Input!$C$11),0))*(1+Input!$C$8)^(BK$5-1)</f>
        <v>0</v>
      </c>
      <c r="BL37" s="123" cm="1">
        <f t="array" ref="BL37">INDEX(Properties!$D:$D,$B37+5)*(IF(AND(BL$3&gt;=INDEX(Properties!$T:$T,$B37+5),BL$3&lt;INDEX(Properties!$U:$U,$B37+5)),INDEX(_Seasonality!$C$50:$N$59,$B37,MONTH(EDATE(Input!$C$7,BL$3-1)))*MIN(1,(BL$3-INDEX(Properties!$T:$T,$B37+5)+1)/Input!$C$11),0))*(1+Input!$C$8)^(BL$5-1)</f>
        <v>0</v>
      </c>
      <c r="BM37" s="123" cm="1">
        <f t="array" ref="BM37">INDEX(Properties!$D:$D,$B37+5)*(IF(AND(BM$3&gt;=INDEX(Properties!$T:$T,$B37+5),BM$3&lt;INDEX(Properties!$U:$U,$B37+5)),INDEX(_Seasonality!$C$50:$N$59,$B37,MONTH(EDATE(Input!$C$7,BM$3-1)))*MIN(1,(BM$3-INDEX(Properties!$T:$T,$B37+5)+1)/Input!$C$11),0))*(1+Input!$C$8)^(BM$5-1)</f>
        <v>0</v>
      </c>
      <c r="BN37" s="123" cm="1">
        <f t="array" ref="BN37">INDEX(Properties!$D:$D,$B37+5)*(IF(AND(BN$3&gt;=INDEX(Properties!$T:$T,$B37+5),BN$3&lt;INDEX(Properties!$U:$U,$B37+5)),INDEX(_Seasonality!$C$50:$N$59,$B37,MONTH(EDATE(Input!$C$7,BN$3-1)))*MIN(1,(BN$3-INDEX(Properties!$T:$T,$B37+5)+1)/Input!$C$11),0))*(1+Input!$C$8)^(BN$5-1)</f>
        <v>0</v>
      </c>
      <c r="BO37" s="123" cm="1">
        <f t="array" ref="BO37">INDEX(Properties!$D:$D,$B37+5)*(IF(AND(BO$3&gt;=INDEX(Properties!$T:$T,$B37+5),BO$3&lt;INDEX(Properties!$U:$U,$B37+5)),INDEX(_Seasonality!$C$50:$N$59,$B37,MONTH(EDATE(Input!$C$7,BO$3-1)))*MIN(1,(BO$3-INDEX(Properties!$T:$T,$B37+5)+1)/Input!$C$11),0))*(1+Input!$C$8)^(BO$5-1)</f>
        <v>0</v>
      </c>
      <c r="BP37" s="123" cm="1">
        <f t="array" ref="BP37">INDEX(Properties!$D:$D,$B37+5)*(IF(AND(BP$3&gt;=INDEX(Properties!$T:$T,$B37+5),BP$3&lt;INDEX(Properties!$U:$U,$B37+5)),INDEX(_Seasonality!$C$50:$N$59,$B37,MONTH(EDATE(Input!$C$7,BP$3-1)))*MIN(1,(BP$3-INDEX(Properties!$T:$T,$B37+5)+1)/Input!$C$11),0))*(1+Input!$C$8)^(BP$5-1)</f>
        <v>0</v>
      </c>
      <c r="BQ37" s="123" cm="1">
        <f t="array" ref="BQ37">INDEX(Properties!$D:$D,$B37+5)*(IF(AND(BQ$3&gt;=INDEX(Properties!$T:$T,$B37+5),BQ$3&lt;INDEX(Properties!$U:$U,$B37+5)),INDEX(_Seasonality!$C$50:$N$59,$B37,MONTH(EDATE(Input!$C$7,BQ$3-1)))*MIN(1,(BQ$3-INDEX(Properties!$T:$T,$B37+5)+1)/Input!$C$11),0))*(1+Input!$C$8)^(BQ$5-1)</f>
        <v>0</v>
      </c>
      <c r="BR37" s="123" cm="1">
        <f t="array" ref="BR37">INDEX(Properties!$D:$D,$B37+5)*(IF(AND(BR$3&gt;=INDEX(Properties!$T:$T,$B37+5),BR$3&lt;INDEX(Properties!$U:$U,$B37+5)),INDEX(_Seasonality!$C$50:$N$59,$B37,MONTH(EDATE(Input!$C$7,BR$3-1)))*MIN(1,(BR$3-INDEX(Properties!$T:$T,$B37+5)+1)/Input!$C$11),0))*(1+Input!$C$8)^(BR$5-1)</f>
        <v>0</v>
      </c>
      <c r="BS37" s="123" cm="1">
        <f t="array" ref="BS37">INDEX(Properties!$D:$D,$B37+5)*(IF(AND(BS$3&gt;=INDEX(Properties!$T:$T,$B37+5),BS$3&lt;INDEX(Properties!$U:$U,$B37+5)),INDEX(_Seasonality!$C$50:$N$59,$B37,MONTH(EDATE(Input!$C$7,BS$3-1)))*MIN(1,(BS$3-INDEX(Properties!$T:$T,$B37+5)+1)/Input!$C$11),0))*(1+Input!$C$8)^(BS$5-1)</f>
        <v>0</v>
      </c>
      <c r="BT37" s="123" cm="1">
        <f t="array" ref="BT37">INDEX(Properties!$D:$D,$B37+5)*(IF(AND(BT$3&gt;=INDEX(Properties!$T:$T,$B37+5),BT$3&lt;INDEX(Properties!$U:$U,$B37+5)),INDEX(_Seasonality!$C$50:$N$59,$B37,MONTH(EDATE(Input!$C$7,BT$3-1)))*MIN(1,(BT$3-INDEX(Properties!$T:$T,$B37+5)+1)/Input!$C$11),0))*(1+Input!$C$8)^(BT$5-1)</f>
        <v>0</v>
      </c>
      <c r="BU37" s="123" cm="1">
        <f t="array" ref="BU37">INDEX(Properties!$D:$D,$B37+5)*(IF(AND(BU$3&gt;=INDEX(Properties!$T:$T,$B37+5),BU$3&lt;INDEX(Properties!$U:$U,$B37+5)),INDEX(_Seasonality!$C$50:$N$59,$B37,MONTH(EDATE(Input!$C$7,BU$3-1)))*MIN(1,(BU$3-INDEX(Properties!$T:$T,$B37+5)+1)/Input!$C$11),0))*(1+Input!$C$8)^(BU$5-1)</f>
        <v>0</v>
      </c>
      <c r="BV37" s="123" cm="1">
        <f t="array" ref="BV37">INDEX(Properties!$D:$D,$B37+5)*(IF(AND(BV$3&gt;=INDEX(Properties!$T:$T,$B37+5),BV$3&lt;INDEX(Properties!$U:$U,$B37+5)),INDEX(_Seasonality!$C$50:$N$59,$B37,MONTH(EDATE(Input!$C$7,BV$3-1)))*MIN(1,(BV$3-INDEX(Properties!$T:$T,$B37+5)+1)/Input!$C$11),0))*(1+Input!$C$8)^(BV$5-1)</f>
        <v>0</v>
      </c>
      <c r="BW37" s="123" cm="1">
        <f t="array" ref="BW37">INDEX(Properties!$D:$D,$B37+5)*(IF(AND(BW$3&gt;=INDEX(Properties!$T:$T,$B37+5),BW$3&lt;INDEX(Properties!$U:$U,$B37+5)),INDEX(_Seasonality!$C$50:$N$59,$B37,MONTH(EDATE(Input!$C$7,BW$3-1)))*MIN(1,(BW$3-INDEX(Properties!$T:$T,$B37+5)+1)/Input!$C$11),0))*(1+Input!$C$8)^(BW$5-1)</f>
        <v>0</v>
      </c>
      <c r="BX37" s="123" cm="1">
        <f t="array" ref="BX37">INDEX(Properties!$D:$D,$B37+5)*(IF(AND(BX$3&gt;=INDEX(Properties!$T:$T,$B37+5),BX$3&lt;INDEX(Properties!$U:$U,$B37+5)),INDEX(_Seasonality!$C$50:$N$59,$B37,MONTH(EDATE(Input!$C$7,BX$3-1)))*MIN(1,(BX$3-INDEX(Properties!$T:$T,$B37+5)+1)/Input!$C$11),0))*(1+Input!$C$8)^(BX$5-1)</f>
        <v>0</v>
      </c>
      <c r="BY37" s="123" cm="1">
        <f t="array" ref="BY37">INDEX(Properties!$D:$D,$B37+5)*(IF(AND(BY$3&gt;=INDEX(Properties!$T:$T,$B37+5),BY$3&lt;INDEX(Properties!$U:$U,$B37+5)),INDEX(_Seasonality!$C$50:$N$59,$B37,MONTH(EDATE(Input!$C$7,BY$3-1)))*MIN(1,(BY$3-INDEX(Properties!$T:$T,$B37+5)+1)/Input!$C$11),0))*(1+Input!$C$8)^(BY$5-1)</f>
        <v>0</v>
      </c>
      <c r="BZ37" s="123" cm="1">
        <f t="array" ref="BZ37">INDEX(Properties!$D:$D,$B37+5)*(IF(AND(BZ$3&gt;=INDEX(Properties!$T:$T,$B37+5),BZ$3&lt;INDEX(Properties!$U:$U,$B37+5)),INDEX(_Seasonality!$C$50:$N$59,$B37,MONTH(EDATE(Input!$C$7,BZ$3-1)))*MIN(1,(BZ$3-INDEX(Properties!$T:$T,$B37+5)+1)/Input!$C$11),0))*(1+Input!$C$8)^(BZ$5-1)</f>
        <v>0</v>
      </c>
      <c r="CA37" s="123" cm="1">
        <f t="array" ref="CA37">INDEX(Properties!$D:$D,$B37+5)*(IF(AND(CA$3&gt;=INDEX(Properties!$T:$T,$B37+5),CA$3&lt;INDEX(Properties!$U:$U,$B37+5)),INDEX(_Seasonality!$C$50:$N$59,$B37,MONTH(EDATE(Input!$C$7,CA$3-1)))*MIN(1,(CA$3-INDEX(Properties!$T:$T,$B37+5)+1)/Input!$C$11),0))*(1+Input!$C$8)^(CA$5-1)</f>
        <v>0</v>
      </c>
      <c r="CB37" s="123" cm="1">
        <f t="array" ref="CB37">INDEX(Properties!$D:$D,$B37+5)*(IF(AND(CB$3&gt;=INDEX(Properties!$T:$T,$B37+5),CB$3&lt;INDEX(Properties!$U:$U,$B37+5)),INDEX(_Seasonality!$C$50:$N$59,$B37,MONTH(EDATE(Input!$C$7,CB$3-1)))*MIN(1,(CB$3-INDEX(Properties!$T:$T,$B37+5)+1)/Input!$C$11),0))*(1+Input!$C$8)^(CB$5-1)</f>
        <v>0</v>
      </c>
      <c r="CC37" s="123" cm="1">
        <f t="array" ref="CC37">INDEX(Properties!$D:$D,$B37+5)*(IF(AND(CC$3&gt;=INDEX(Properties!$T:$T,$B37+5),CC$3&lt;INDEX(Properties!$U:$U,$B37+5)),INDEX(_Seasonality!$C$50:$N$59,$B37,MONTH(EDATE(Input!$C$7,CC$3-1)))*MIN(1,(CC$3-INDEX(Properties!$T:$T,$B37+5)+1)/Input!$C$11),0))*(1+Input!$C$8)^(CC$5-1)</f>
        <v>0</v>
      </c>
      <c r="CD37" s="123" cm="1">
        <f t="array" ref="CD37">INDEX(Properties!$D:$D,$B37+5)*(IF(AND(CD$3&gt;=INDEX(Properties!$T:$T,$B37+5),CD$3&lt;INDEX(Properties!$U:$U,$B37+5)),INDEX(_Seasonality!$C$50:$N$59,$B37,MONTH(EDATE(Input!$C$7,CD$3-1)))*MIN(1,(CD$3-INDEX(Properties!$T:$T,$B37+5)+1)/Input!$C$11),0))*(1+Input!$C$8)^(CD$5-1)</f>
        <v>0</v>
      </c>
      <c r="CE37" s="123" cm="1">
        <f t="array" ref="CE37">INDEX(Properties!$D:$D,$B37+5)*(IF(AND(CE$3&gt;=INDEX(Properties!$T:$T,$B37+5),CE$3&lt;INDEX(Properties!$U:$U,$B37+5)),INDEX(_Seasonality!$C$50:$N$59,$B37,MONTH(EDATE(Input!$C$7,CE$3-1)))*MIN(1,(CE$3-INDEX(Properties!$T:$T,$B37+5)+1)/Input!$C$11),0))*(1+Input!$C$8)^(CE$5-1)</f>
        <v>0</v>
      </c>
      <c r="CF37" s="123" cm="1">
        <f t="array" ref="CF37">INDEX(Properties!$D:$D,$B37+5)*(IF(AND(CF$3&gt;=INDEX(Properties!$T:$T,$B37+5),CF$3&lt;INDEX(Properties!$U:$U,$B37+5)),INDEX(_Seasonality!$C$50:$N$59,$B37,MONTH(EDATE(Input!$C$7,CF$3-1)))*MIN(1,(CF$3-INDEX(Properties!$T:$T,$B37+5)+1)/Input!$C$11),0))*(1+Input!$C$8)^(CF$5-1)</f>
        <v>0</v>
      </c>
      <c r="CG37" s="123" cm="1">
        <f t="array" ref="CG37">INDEX(Properties!$D:$D,$B37+5)*(IF(AND(CG$3&gt;=INDEX(Properties!$T:$T,$B37+5),CG$3&lt;INDEX(Properties!$U:$U,$B37+5)),INDEX(_Seasonality!$C$50:$N$59,$B37,MONTH(EDATE(Input!$C$7,CG$3-1)))*MIN(1,(CG$3-INDEX(Properties!$T:$T,$B37+5)+1)/Input!$C$11),0))*(1+Input!$C$8)^(CG$5-1)</f>
        <v>0</v>
      </c>
      <c r="CH37" s="123" cm="1">
        <f t="array" ref="CH37">INDEX(Properties!$D:$D,$B37+5)*(IF(AND(CH$3&gt;=INDEX(Properties!$T:$T,$B37+5),CH$3&lt;INDEX(Properties!$U:$U,$B37+5)),INDEX(_Seasonality!$C$50:$N$59,$B37,MONTH(EDATE(Input!$C$7,CH$3-1)))*MIN(1,(CH$3-INDEX(Properties!$T:$T,$B37+5)+1)/Input!$C$11),0))*(1+Input!$C$8)^(CH$5-1)</f>
        <v>0</v>
      </c>
      <c r="CI37" s="123" cm="1">
        <f t="array" ref="CI37">INDEX(Properties!$D:$D,$B37+5)*(IF(AND(CI$3&gt;=INDEX(Properties!$T:$T,$B37+5),CI$3&lt;INDEX(Properties!$U:$U,$B37+5)),INDEX(_Seasonality!$C$50:$N$59,$B37,MONTH(EDATE(Input!$C$7,CI$3-1)))*MIN(1,(CI$3-INDEX(Properties!$T:$T,$B37+5)+1)/Input!$C$11),0))*(1+Input!$C$8)^(CI$5-1)</f>
        <v>0</v>
      </c>
      <c r="CJ37" s="123" cm="1">
        <f t="array" ref="CJ37">INDEX(Properties!$D:$D,$B37+5)*(IF(AND(CJ$3&gt;=INDEX(Properties!$T:$T,$B37+5),CJ$3&lt;INDEX(Properties!$U:$U,$B37+5)),INDEX(_Seasonality!$C$50:$N$59,$B37,MONTH(EDATE(Input!$C$7,CJ$3-1)))*MIN(1,(CJ$3-INDEX(Properties!$T:$T,$B37+5)+1)/Input!$C$11),0))*(1+Input!$C$8)^(CJ$5-1)</f>
        <v>0</v>
      </c>
      <c r="CK37" s="123" cm="1">
        <f t="array" ref="CK37">INDEX(Properties!$D:$D,$B37+5)*(IF(AND(CK$3&gt;=INDEX(Properties!$T:$T,$B37+5),CK$3&lt;INDEX(Properties!$U:$U,$B37+5)),INDEX(_Seasonality!$C$50:$N$59,$B37,MONTH(EDATE(Input!$C$7,CK$3-1)))*MIN(1,(CK$3-INDEX(Properties!$T:$T,$B37+5)+1)/Input!$C$11),0))*(1+Input!$C$8)^(CK$5-1)</f>
        <v>0</v>
      </c>
      <c r="CL37" s="123" cm="1">
        <f t="array" ref="CL37">INDEX(Properties!$D:$D,$B37+5)*(IF(AND(CL$3&gt;=INDEX(Properties!$T:$T,$B37+5),CL$3&lt;INDEX(Properties!$U:$U,$B37+5)),INDEX(_Seasonality!$C$50:$N$59,$B37,MONTH(EDATE(Input!$C$7,CL$3-1)))*MIN(1,(CL$3-INDEX(Properties!$T:$T,$B37+5)+1)/Input!$C$11),0))*(1+Input!$C$8)^(CL$5-1)</f>
        <v>0</v>
      </c>
      <c r="CM37" s="123" cm="1">
        <f t="array" ref="CM37">INDEX(Properties!$D:$D,$B37+5)*(IF(AND(CM$3&gt;=INDEX(Properties!$T:$T,$B37+5),CM$3&lt;INDEX(Properties!$U:$U,$B37+5)),INDEX(_Seasonality!$C$50:$N$59,$B37,MONTH(EDATE(Input!$C$7,CM$3-1)))*MIN(1,(CM$3-INDEX(Properties!$T:$T,$B37+5)+1)/Input!$C$11),0))*(1+Input!$C$8)^(CM$5-1)</f>
        <v>0</v>
      </c>
      <c r="CN37" s="123" cm="1">
        <f t="array" ref="CN37">INDEX(Properties!$D:$D,$B37+5)*(IF(AND(CN$3&gt;=INDEX(Properties!$T:$T,$B37+5),CN$3&lt;INDEX(Properties!$U:$U,$B37+5)),INDEX(_Seasonality!$C$50:$N$59,$B37,MONTH(EDATE(Input!$C$7,CN$3-1)))*MIN(1,(CN$3-INDEX(Properties!$T:$T,$B37+5)+1)/Input!$C$11),0))*(1+Input!$C$8)^(CN$5-1)</f>
        <v>0</v>
      </c>
      <c r="CO37" s="123" cm="1">
        <f t="array" ref="CO37">INDEX(Properties!$D:$D,$B37+5)*(IF(AND(CO$3&gt;=INDEX(Properties!$T:$T,$B37+5),CO$3&lt;INDEX(Properties!$U:$U,$B37+5)),INDEX(_Seasonality!$C$50:$N$59,$B37,MONTH(EDATE(Input!$C$7,CO$3-1)))*MIN(1,(CO$3-INDEX(Properties!$T:$T,$B37+5)+1)/Input!$C$11),0))*(1+Input!$C$8)^(CO$5-1)</f>
        <v>0</v>
      </c>
      <c r="CP37" s="123" cm="1">
        <f t="array" ref="CP37">INDEX(Properties!$D:$D,$B37+5)*(IF(AND(CP$3&gt;=INDEX(Properties!$T:$T,$B37+5),CP$3&lt;INDEX(Properties!$U:$U,$B37+5)),INDEX(_Seasonality!$C$50:$N$59,$B37,MONTH(EDATE(Input!$C$7,CP$3-1)))*MIN(1,(CP$3-INDEX(Properties!$T:$T,$B37+5)+1)/Input!$C$11),0))*(1+Input!$C$8)^(CP$5-1)</f>
        <v>0</v>
      </c>
      <c r="CQ37" s="123" cm="1">
        <f t="array" ref="CQ37">INDEX(Properties!$D:$D,$B37+5)*(IF(AND(CQ$3&gt;=INDEX(Properties!$T:$T,$B37+5),CQ$3&lt;INDEX(Properties!$U:$U,$B37+5)),INDEX(_Seasonality!$C$50:$N$59,$B37,MONTH(EDATE(Input!$C$7,CQ$3-1)))*MIN(1,(CQ$3-INDEX(Properties!$T:$T,$B37+5)+1)/Input!$C$11),0))*(1+Input!$C$8)^(CQ$5-1)</f>
        <v>0</v>
      </c>
      <c r="CR37" s="123" cm="1">
        <f t="array" ref="CR37">INDEX(Properties!$D:$D,$B37+5)*(IF(AND(CR$3&gt;=INDEX(Properties!$T:$T,$B37+5),CR$3&lt;INDEX(Properties!$U:$U,$B37+5)),INDEX(_Seasonality!$C$50:$N$59,$B37,MONTH(EDATE(Input!$C$7,CR$3-1)))*MIN(1,(CR$3-INDEX(Properties!$T:$T,$B37+5)+1)/Input!$C$11),0))*(1+Input!$C$8)^(CR$5-1)</f>
        <v>0</v>
      </c>
      <c r="CS37" s="123" cm="1">
        <f t="array" ref="CS37">INDEX(Properties!$D:$D,$B37+5)*(IF(AND(CS$3&gt;=INDEX(Properties!$T:$T,$B37+5),CS$3&lt;INDEX(Properties!$U:$U,$B37+5)),INDEX(_Seasonality!$C$50:$N$59,$B37,MONTH(EDATE(Input!$C$7,CS$3-1)))*MIN(1,(CS$3-INDEX(Properties!$T:$T,$B37+5)+1)/Input!$C$11),0))*(1+Input!$C$8)^(CS$5-1)</f>
        <v>0</v>
      </c>
      <c r="CT37" s="123" cm="1">
        <f t="array" ref="CT37">INDEX(Properties!$D:$D,$B37+5)*(IF(AND(CT$3&gt;=INDEX(Properties!$T:$T,$B37+5),CT$3&lt;INDEX(Properties!$U:$U,$B37+5)),INDEX(_Seasonality!$C$50:$N$59,$B37,MONTH(EDATE(Input!$C$7,CT$3-1)))*MIN(1,(CT$3-INDEX(Properties!$T:$T,$B37+5)+1)/Input!$C$11),0))*(1+Input!$C$8)^(CT$5-1)</f>
        <v>0</v>
      </c>
      <c r="CU37" s="123" cm="1">
        <f t="array" ref="CU37">INDEX(Properties!$D:$D,$B37+5)*(IF(AND(CU$3&gt;=INDEX(Properties!$T:$T,$B37+5),CU$3&lt;INDEX(Properties!$U:$U,$B37+5)),INDEX(_Seasonality!$C$50:$N$59,$B37,MONTH(EDATE(Input!$C$7,CU$3-1)))*MIN(1,(CU$3-INDEX(Properties!$T:$T,$B37+5)+1)/Input!$C$11),0))*(1+Input!$C$8)^(CU$5-1)</f>
        <v>0</v>
      </c>
      <c r="CV37" s="123" cm="1">
        <f t="array" ref="CV37">INDEX(Properties!$D:$D,$B37+5)*(IF(AND(CV$3&gt;=INDEX(Properties!$T:$T,$B37+5),CV$3&lt;INDEX(Properties!$U:$U,$B37+5)),INDEX(_Seasonality!$C$50:$N$59,$B37,MONTH(EDATE(Input!$C$7,CV$3-1)))*MIN(1,(CV$3-INDEX(Properties!$T:$T,$B37+5)+1)/Input!$C$11),0))*(1+Input!$C$8)^(CV$5-1)</f>
        <v>0</v>
      </c>
      <c r="CW37" s="123" cm="1">
        <f t="array" ref="CW37">INDEX(Properties!$D:$D,$B37+5)*(IF(AND(CW$3&gt;=INDEX(Properties!$T:$T,$B37+5),CW$3&lt;INDEX(Properties!$U:$U,$B37+5)),INDEX(_Seasonality!$C$50:$N$59,$B37,MONTH(EDATE(Input!$C$7,CW$3-1)))*MIN(1,(CW$3-INDEX(Properties!$T:$T,$B37+5)+1)/Input!$C$11),0))*(1+Input!$C$8)^(CW$5-1)</f>
        <v>0</v>
      </c>
      <c r="CX37" s="123" cm="1">
        <f t="array" ref="CX37">INDEX(Properties!$D:$D,$B37+5)*(IF(AND(CX$3&gt;=INDEX(Properties!$T:$T,$B37+5),CX$3&lt;INDEX(Properties!$U:$U,$B37+5)),INDEX(_Seasonality!$C$50:$N$59,$B37,MONTH(EDATE(Input!$C$7,CX$3-1)))*MIN(1,(CX$3-INDEX(Properties!$T:$T,$B37+5)+1)/Input!$C$11),0))*(1+Input!$C$8)^(CX$5-1)</f>
        <v>0</v>
      </c>
      <c r="CY37" s="123" cm="1">
        <f t="array" ref="CY37">INDEX(Properties!$D:$D,$B37+5)*(IF(AND(CY$3&gt;=INDEX(Properties!$T:$T,$B37+5),CY$3&lt;INDEX(Properties!$U:$U,$B37+5)),INDEX(_Seasonality!$C$50:$N$59,$B37,MONTH(EDATE(Input!$C$7,CY$3-1)))*MIN(1,(CY$3-INDEX(Properties!$T:$T,$B37+5)+1)/Input!$C$11),0))*(1+Input!$C$8)^(CY$5-1)</f>
        <v>0</v>
      </c>
      <c r="CZ37" s="123" cm="1">
        <f t="array" ref="CZ37">INDEX(Properties!$D:$D,$B37+5)*(IF(AND(CZ$3&gt;=INDEX(Properties!$T:$T,$B37+5),CZ$3&lt;INDEX(Properties!$U:$U,$B37+5)),INDEX(_Seasonality!$C$50:$N$59,$B37,MONTH(EDATE(Input!$C$7,CZ$3-1)))*MIN(1,(CZ$3-INDEX(Properties!$T:$T,$B37+5)+1)/Input!$C$11),0))*(1+Input!$C$8)^(CZ$5-1)</f>
        <v>0</v>
      </c>
      <c r="DA37" s="123" cm="1">
        <f t="array" ref="DA37">INDEX(Properties!$D:$D,$B37+5)*(IF(AND(DA$3&gt;=INDEX(Properties!$T:$T,$B37+5),DA$3&lt;INDEX(Properties!$U:$U,$B37+5)),INDEX(_Seasonality!$C$50:$N$59,$B37,MONTH(EDATE(Input!$C$7,DA$3-1)))*MIN(1,(DA$3-INDEX(Properties!$T:$T,$B37+5)+1)/Input!$C$11),0))*(1+Input!$C$8)^(DA$5-1)</f>
        <v>0</v>
      </c>
      <c r="DB37" s="123" cm="1">
        <f t="array" ref="DB37">INDEX(Properties!$D:$D,$B37+5)*(IF(AND(DB$3&gt;=INDEX(Properties!$T:$T,$B37+5),DB$3&lt;INDEX(Properties!$U:$U,$B37+5)),INDEX(_Seasonality!$C$50:$N$59,$B37,MONTH(EDATE(Input!$C$7,DB$3-1)))*MIN(1,(DB$3-INDEX(Properties!$T:$T,$B37+5)+1)/Input!$C$11),0))*(1+Input!$C$8)^(DB$5-1)</f>
        <v>0</v>
      </c>
      <c r="DC37" s="123" cm="1">
        <f t="array" ref="DC37">INDEX(Properties!$D:$D,$B37+5)*(IF(AND(DC$3&gt;=INDEX(Properties!$T:$T,$B37+5),DC$3&lt;INDEX(Properties!$U:$U,$B37+5)),INDEX(_Seasonality!$C$50:$N$59,$B37,MONTH(EDATE(Input!$C$7,DC$3-1)))*MIN(1,(DC$3-INDEX(Properties!$T:$T,$B37+5)+1)/Input!$C$11),0))*(1+Input!$C$8)^(DC$5-1)</f>
        <v>0</v>
      </c>
      <c r="DD37" s="123" cm="1">
        <f t="array" ref="DD37">INDEX(Properties!$D:$D,$B37+5)*(IF(AND(DD$3&gt;=INDEX(Properties!$T:$T,$B37+5),DD$3&lt;INDEX(Properties!$U:$U,$B37+5)),INDEX(_Seasonality!$C$50:$N$59,$B37,MONTH(EDATE(Input!$C$7,DD$3-1)))*MIN(1,(DD$3-INDEX(Properties!$T:$T,$B37+5)+1)/Input!$C$11),0))*(1+Input!$C$8)^(DD$5-1)</f>
        <v>0</v>
      </c>
      <c r="DE37" s="123" cm="1">
        <f t="array" ref="DE37">INDEX(Properties!$D:$D,$B37+5)*(IF(AND(DE$3&gt;=INDEX(Properties!$T:$T,$B37+5),DE$3&lt;INDEX(Properties!$U:$U,$B37+5)),INDEX(_Seasonality!$C$50:$N$59,$B37,MONTH(EDATE(Input!$C$7,DE$3-1)))*MIN(1,(DE$3-INDEX(Properties!$T:$T,$B37+5)+1)/Input!$C$11),0))*(1+Input!$C$8)^(DE$5-1)</f>
        <v>0</v>
      </c>
      <c r="DF37" s="123" cm="1">
        <f t="array" ref="DF37">INDEX(Properties!$D:$D,$B37+5)*(IF(AND(DF$3&gt;=INDEX(Properties!$T:$T,$B37+5),DF$3&lt;INDEX(Properties!$U:$U,$B37+5)),INDEX(_Seasonality!$C$50:$N$59,$B37,MONTH(EDATE(Input!$C$7,DF$3-1)))*MIN(1,(DF$3-INDEX(Properties!$T:$T,$B37+5)+1)/Input!$C$11),0))*(1+Input!$C$8)^(DF$5-1)</f>
        <v>0</v>
      </c>
      <c r="DG37" s="123" cm="1">
        <f t="array" ref="DG37">INDEX(Properties!$D:$D,$B37+5)*(IF(AND(DG$3&gt;=INDEX(Properties!$T:$T,$B37+5),DG$3&lt;INDEX(Properties!$U:$U,$B37+5)),INDEX(_Seasonality!$C$50:$N$59,$B37,MONTH(EDATE(Input!$C$7,DG$3-1)))*MIN(1,(DG$3-INDEX(Properties!$T:$T,$B37+5)+1)/Input!$C$11),0))*(1+Input!$C$8)^(DG$5-1)</f>
        <v>0</v>
      </c>
      <c r="DH37" s="123" cm="1">
        <f t="array" ref="DH37">INDEX(Properties!$D:$D,$B37+5)*(IF(AND(DH$3&gt;=INDEX(Properties!$T:$T,$B37+5),DH$3&lt;INDEX(Properties!$U:$U,$B37+5)),INDEX(_Seasonality!$C$50:$N$59,$B37,MONTH(EDATE(Input!$C$7,DH$3-1)))*MIN(1,(DH$3-INDEX(Properties!$T:$T,$B37+5)+1)/Input!$C$11),0))*(1+Input!$C$8)^(DH$5-1)</f>
        <v>0</v>
      </c>
      <c r="DI37" s="123" cm="1">
        <f t="array" ref="DI37">INDEX(Properties!$D:$D,$B37+5)*(IF(AND(DI$3&gt;=INDEX(Properties!$T:$T,$B37+5),DI$3&lt;INDEX(Properties!$U:$U,$B37+5)),INDEX(_Seasonality!$C$50:$N$59,$B37,MONTH(EDATE(Input!$C$7,DI$3-1)))*MIN(1,(DI$3-INDEX(Properties!$T:$T,$B37+5)+1)/Input!$C$11),0))*(1+Input!$C$8)^(DI$5-1)</f>
        <v>0</v>
      </c>
      <c r="DJ37" s="123" cm="1">
        <f t="array" ref="DJ37">INDEX(Properties!$D:$D,$B37+5)*(IF(AND(DJ$3&gt;=INDEX(Properties!$T:$T,$B37+5),DJ$3&lt;INDEX(Properties!$U:$U,$B37+5)),INDEX(_Seasonality!$C$50:$N$59,$B37,MONTH(EDATE(Input!$C$7,DJ$3-1)))*MIN(1,(DJ$3-INDEX(Properties!$T:$T,$B37+5)+1)/Input!$C$11),0))*(1+Input!$C$8)^(DJ$5-1)</f>
        <v>0</v>
      </c>
      <c r="DK37" s="123" cm="1">
        <f t="array" ref="DK37">INDEX(Properties!$D:$D,$B37+5)*(IF(AND(DK$3&gt;=INDEX(Properties!$T:$T,$B37+5),DK$3&lt;INDEX(Properties!$U:$U,$B37+5)),INDEX(_Seasonality!$C$50:$N$59,$B37,MONTH(EDATE(Input!$C$7,DK$3-1)))*MIN(1,(DK$3-INDEX(Properties!$T:$T,$B37+5)+1)/Input!$C$11),0))*(1+Input!$C$8)^(DK$5-1)</f>
        <v>0</v>
      </c>
      <c r="DL37" s="123" cm="1">
        <f t="array" ref="DL37">INDEX(Properties!$D:$D,$B37+5)*(IF(AND(DL$3&gt;=INDEX(Properties!$T:$T,$B37+5),DL$3&lt;INDEX(Properties!$U:$U,$B37+5)),INDEX(_Seasonality!$C$50:$N$59,$B37,MONTH(EDATE(Input!$C$7,DL$3-1)))*MIN(1,(DL$3-INDEX(Properties!$T:$T,$B37+5)+1)/Input!$C$11),0))*(1+Input!$C$8)^(DL$5-1)</f>
        <v>0</v>
      </c>
      <c r="DM37" s="123" cm="1">
        <f t="array" ref="DM37">INDEX(Properties!$D:$D,$B37+5)*(IF(AND(DM$3&gt;=INDEX(Properties!$T:$T,$B37+5),DM$3&lt;INDEX(Properties!$U:$U,$B37+5)),INDEX(_Seasonality!$C$50:$N$59,$B37,MONTH(EDATE(Input!$C$7,DM$3-1)))*MIN(1,(DM$3-INDEX(Properties!$T:$T,$B37+5)+1)/Input!$C$11),0))*(1+Input!$C$8)^(DM$5-1)</f>
        <v>0</v>
      </c>
      <c r="DN37" s="123" cm="1">
        <f t="array" ref="DN37">INDEX(Properties!$D:$D,$B37+5)*(IF(AND(DN$3&gt;=INDEX(Properties!$T:$T,$B37+5),DN$3&lt;INDEX(Properties!$U:$U,$B37+5)),INDEX(_Seasonality!$C$50:$N$59,$B37,MONTH(EDATE(Input!$C$7,DN$3-1)))*MIN(1,(DN$3-INDEX(Properties!$T:$T,$B37+5)+1)/Input!$C$11),0))*(1+Input!$C$8)^(DN$5-1)</f>
        <v>0</v>
      </c>
      <c r="DO37" s="123" cm="1">
        <f t="array" ref="DO37">INDEX(Properties!$D:$D,$B37+5)*(IF(AND(DO$3&gt;=INDEX(Properties!$T:$T,$B37+5),DO$3&lt;INDEX(Properties!$U:$U,$B37+5)),INDEX(_Seasonality!$C$50:$N$59,$B37,MONTH(EDATE(Input!$C$7,DO$3-1)))*MIN(1,(DO$3-INDEX(Properties!$T:$T,$B37+5)+1)/Input!$C$11),0))*(1+Input!$C$8)^(DO$5-1)</f>
        <v>0</v>
      </c>
      <c r="DP37" s="123" cm="1">
        <f t="array" ref="DP37">INDEX(Properties!$D:$D,$B37+5)*(IF(AND(DP$3&gt;=INDEX(Properties!$T:$T,$B37+5),DP$3&lt;INDEX(Properties!$U:$U,$B37+5)),INDEX(_Seasonality!$C$50:$N$59,$B37,MONTH(EDATE(Input!$C$7,DP$3-1)))*MIN(1,(DP$3-INDEX(Properties!$T:$T,$B37+5)+1)/Input!$C$11),0))*(1+Input!$C$8)^(DP$5-1)</f>
        <v>0</v>
      </c>
      <c r="DQ37" s="123" cm="1">
        <f t="array" ref="DQ37">INDEX(Properties!$D:$D,$B37+5)*(IF(AND(DQ$3&gt;=INDEX(Properties!$T:$T,$B37+5),DQ$3&lt;INDEX(Properties!$U:$U,$B37+5)),INDEX(_Seasonality!$C$50:$N$59,$B37,MONTH(EDATE(Input!$C$7,DQ$3-1)))*MIN(1,(DQ$3-INDEX(Properties!$T:$T,$B37+5)+1)/Input!$C$11),0))*(1+Input!$C$8)^(DQ$5-1)</f>
        <v>0</v>
      </c>
      <c r="DR37" s="123" cm="1">
        <f t="array" ref="DR37">INDEX(Properties!$D:$D,$B37+5)*(IF(AND(DR$3&gt;=INDEX(Properties!$T:$T,$B37+5),DR$3&lt;INDEX(Properties!$U:$U,$B37+5)),INDEX(_Seasonality!$C$50:$N$59,$B37,MONTH(EDATE(Input!$C$7,DR$3-1)))*MIN(1,(DR$3-INDEX(Properties!$T:$T,$B37+5)+1)/Input!$C$11),0))*(1+Input!$C$8)^(DR$5-1)</f>
        <v>0</v>
      </c>
    </row>
    <row r="38" spans="1:122" ht="16.05" customHeight="1" x14ac:dyDescent="0.3">
      <c r="A38" s="148" t="str" cm="1">
        <f t="array" ref="A38">INDEX(Properties!$E:$E,$B38+5)</f>
        <v>Casa Monte Sereno</v>
      </c>
      <c r="B38" s="1">
        <v>5</v>
      </c>
      <c r="C38" s="123" cm="1">
        <f t="array" ref="C38">INDEX(Properties!$D:$D,$B38+5)*(IF(AND(C$3&gt;=INDEX(Properties!$T:$T,$B38+5),C$3&lt;INDEX(Properties!$U:$U,$B38+5)),INDEX(_Seasonality!$C$50:$N$59,$B38,MONTH(EDATE(Input!$C$7,C$3-1)))*MIN(1,(C$3-INDEX(Properties!$T:$T,$B38+5)+1)/Input!$C$11),0))*(1+Input!$C$8)^(C$5-1)</f>
        <v>0</v>
      </c>
      <c r="D38" s="123" cm="1">
        <f t="array" ref="D38">INDEX(Properties!$D:$D,$B38+5)*(IF(AND(D$3&gt;=INDEX(Properties!$T:$T,$B38+5),D$3&lt;INDEX(Properties!$U:$U,$B38+5)),INDEX(_Seasonality!$C$50:$N$59,$B38,MONTH(EDATE(Input!$C$7,D$3-1)))*MIN(1,(D$3-INDEX(Properties!$T:$T,$B38+5)+1)/Input!$C$11),0))*(1+Input!$C$8)^(D$5-1)</f>
        <v>0</v>
      </c>
      <c r="E38" s="123" cm="1">
        <f t="array" ref="E38">INDEX(Properties!$D:$D,$B38+5)*(IF(AND(E$3&gt;=INDEX(Properties!$T:$T,$B38+5),E$3&lt;INDEX(Properties!$U:$U,$B38+5)),INDEX(_Seasonality!$C$50:$N$59,$B38,MONTH(EDATE(Input!$C$7,E$3-1)))*MIN(1,(E$3-INDEX(Properties!$T:$T,$B38+5)+1)/Input!$C$11),0))*(1+Input!$C$8)^(E$5-1)</f>
        <v>0</v>
      </c>
      <c r="F38" s="123" cm="1">
        <f t="array" ref="F38">INDEX(Properties!$D:$D,$B38+5)*(IF(AND(F$3&gt;=INDEX(Properties!$T:$T,$B38+5),F$3&lt;INDEX(Properties!$U:$U,$B38+5)),INDEX(_Seasonality!$C$50:$N$59,$B38,MONTH(EDATE(Input!$C$7,F$3-1)))*MIN(1,(F$3-INDEX(Properties!$T:$T,$B38+5)+1)/Input!$C$11),0))*(1+Input!$C$8)^(F$5-1)</f>
        <v>0</v>
      </c>
      <c r="G38" s="123" cm="1">
        <f t="array" ref="G38">INDEX(Properties!$D:$D,$B38+5)*(IF(AND(G$3&gt;=INDEX(Properties!$T:$T,$B38+5),G$3&lt;INDEX(Properties!$U:$U,$B38+5)),INDEX(_Seasonality!$C$50:$N$59,$B38,MONTH(EDATE(Input!$C$7,G$3-1)))*MIN(1,(G$3-INDEX(Properties!$T:$T,$B38+5)+1)/Input!$C$11),0))*(1+Input!$C$8)^(G$5-1)</f>
        <v>0</v>
      </c>
      <c r="H38" s="123" cm="1">
        <f t="array" ref="H38">INDEX(Properties!$D:$D,$B38+5)*(IF(AND(H$3&gt;=INDEX(Properties!$T:$T,$B38+5),H$3&lt;INDEX(Properties!$U:$U,$B38+5)),INDEX(_Seasonality!$C$50:$N$59,$B38,MONTH(EDATE(Input!$C$7,H$3-1)))*MIN(1,(H$3-INDEX(Properties!$T:$T,$B38+5)+1)/Input!$C$11),0))*(1+Input!$C$8)^(H$5-1)</f>
        <v>0</v>
      </c>
      <c r="I38" s="123" cm="1">
        <f t="array" ref="I38">INDEX(Properties!$D:$D,$B38+5)*(IF(AND(I$3&gt;=INDEX(Properties!$T:$T,$B38+5),I$3&lt;INDEX(Properties!$U:$U,$B38+5)),INDEX(_Seasonality!$C$50:$N$59,$B38,MONTH(EDATE(Input!$C$7,I$3-1)))*MIN(1,(I$3-INDEX(Properties!$T:$T,$B38+5)+1)/Input!$C$11),0))*(1+Input!$C$8)^(I$5-1)</f>
        <v>0</v>
      </c>
      <c r="J38" s="123" cm="1">
        <f t="array" ref="J38">INDEX(Properties!$D:$D,$B38+5)*(IF(AND(J$3&gt;=INDEX(Properties!$T:$T,$B38+5),J$3&lt;INDEX(Properties!$U:$U,$B38+5)),INDEX(_Seasonality!$C$50:$N$59,$B38,MONTH(EDATE(Input!$C$7,J$3-1)))*MIN(1,(J$3-INDEX(Properties!$T:$T,$B38+5)+1)/Input!$C$11),0))*(1+Input!$C$8)^(J$5-1)</f>
        <v>0</v>
      </c>
      <c r="K38" s="123" cm="1">
        <f t="array" ref="K38">INDEX(Properties!$D:$D,$B38+5)*(IF(AND(K$3&gt;=INDEX(Properties!$T:$T,$B38+5),K$3&lt;INDEX(Properties!$U:$U,$B38+5)),INDEX(_Seasonality!$C$50:$N$59,$B38,MONTH(EDATE(Input!$C$7,K$3-1)))*MIN(1,(K$3-INDEX(Properties!$T:$T,$B38+5)+1)/Input!$C$11),0))*(1+Input!$C$8)^(K$5-1)</f>
        <v>0</v>
      </c>
      <c r="L38" s="123" cm="1">
        <f t="array" ref="L38">INDEX(Properties!$D:$D,$B38+5)*(IF(AND(L$3&gt;=INDEX(Properties!$T:$T,$B38+5),L$3&lt;INDEX(Properties!$U:$U,$B38+5)),INDEX(_Seasonality!$C$50:$N$59,$B38,MONTH(EDATE(Input!$C$7,L$3-1)))*MIN(1,(L$3-INDEX(Properties!$T:$T,$B38+5)+1)/Input!$C$11),0))*(1+Input!$C$8)^(L$5-1)</f>
        <v>0</v>
      </c>
      <c r="M38" s="123" cm="1">
        <f t="array" ref="M38">INDEX(Properties!$D:$D,$B38+5)*(IF(AND(M$3&gt;=INDEX(Properties!$T:$T,$B38+5),M$3&lt;INDEX(Properties!$U:$U,$B38+5)),INDEX(_Seasonality!$C$50:$N$59,$B38,MONTH(EDATE(Input!$C$7,M$3-1)))*MIN(1,(M$3-INDEX(Properties!$T:$T,$B38+5)+1)/Input!$C$11),0))*(1+Input!$C$8)^(M$5-1)</f>
        <v>5273.1</v>
      </c>
      <c r="N38" s="123" cm="1">
        <f t="array" ref="N38">INDEX(Properties!$D:$D,$B38+5)*(IF(AND(N$3&gt;=INDEX(Properties!$T:$T,$B38+5),N$3&lt;INDEX(Properties!$U:$U,$B38+5)),INDEX(_Seasonality!$C$50:$N$59,$B38,MONTH(EDATE(Input!$C$7,N$3-1)))*MIN(1,(N$3-INDEX(Properties!$T:$T,$B38+5)+1)/Input!$C$11),0))*(1+Input!$C$8)^(N$5-1)</f>
        <v>3924.4500000000003</v>
      </c>
      <c r="O38" s="123" cm="1">
        <f t="array" ref="O38">INDEX(Properties!$D:$D,$B38+5)*(IF(AND(O$3&gt;=INDEX(Properties!$T:$T,$B38+5),O$3&lt;INDEX(Properties!$U:$U,$B38+5)),INDEX(_Seasonality!$C$50:$N$59,$B38,MONTH(EDATE(Input!$C$7,O$3-1)))*MIN(1,(O$3-INDEX(Properties!$T:$T,$B38+5)+1)/Input!$C$11),0))*(1+Input!$C$8)^(O$5-1)</f>
        <v>4149.1764000000012</v>
      </c>
      <c r="P38" s="123" cm="1">
        <f t="array" ref="P38">INDEX(Properties!$D:$D,$B38+5)*(IF(AND(P$3&gt;=INDEX(Properties!$T:$T,$B38+5),P$3&lt;INDEX(Properties!$U:$U,$B38+5)),INDEX(_Seasonality!$C$50:$N$59,$B38,MONTH(EDATE(Input!$C$7,P$3-1)))*MIN(1,(P$3-INDEX(Properties!$T:$T,$B38+5)+1)/Input!$C$11),0))*(1+Input!$C$8)^(P$5-1)</f>
        <v>4473.8729999999996</v>
      </c>
      <c r="Q38" s="123" cm="1">
        <f t="array" ref="Q38">INDEX(Properties!$D:$D,$B38+5)*(IF(AND(Q$3&gt;=INDEX(Properties!$T:$T,$B38+5),Q$3&lt;INDEX(Properties!$U:$U,$B38+5)),INDEX(_Seasonality!$C$50:$N$59,$B38,MONTH(EDATE(Input!$C$7,Q$3-1)))*MIN(1,(Q$3-INDEX(Properties!$T:$T,$B38+5)+1)/Input!$C$11),0))*(1+Input!$C$8)^(Q$5-1)</f>
        <v>7991.006400000002</v>
      </c>
      <c r="R38" s="123" cm="1">
        <f t="array" ref="R38">INDEX(Properties!$D:$D,$B38+5)*(IF(AND(R$3&gt;=INDEX(Properties!$T:$T,$B38+5),R$3&lt;INDEX(Properties!$U:$U,$B38+5)),INDEX(_Seasonality!$C$50:$N$59,$B38,MONTH(EDATE(Input!$C$7,R$3-1)))*MIN(1,(R$3-INDEX(Properties!$T:$T,$B38+5)+1)/Input!$C$11),0))*(1+Input!$C$8)^(R$5-1)</f>
        <v>7363.5075000000006</v>
      </c>
      <c r="S38" s="123" cm="1">
        <f t="array" ref="S38">INDEX(Properties!$D:$D,$B38+5)*(IF(AND(S$3&gt;=INDEX(Properties!$T:$T,$B38+5),S$3&lt;INDEX(Properties!$U:$U,$B38+5)),INDEX(_Seasonality!$C$50:$N$59,$B38,MONTH(EDATE(Input!$C$7,S$3-1)))*MIN(1,(S$3-INDEX(Properties!$T:$T,$B38+5)+1)/Input!$C$11),0))*(1+Input!$C$8)^(S$5-1)</f>
        <v>4395.384</v>
      </c>
      <c r="T38" s="123" cm="1">
        <f t="array" ref="T38">INDEX(Properties!$D:$D,$B38+5)*(IF(AND(T$3&gt;=INDEX(Properties!$T:$T,$B38+5),T$3&lt;INDEX(Properties!$U:$U,$B38+5)),INDEX(_Seasonality!$C$50:$N$59,$B38,MONTH(EDATE(Input!$C$7,T$3-1)))*MIN(1,(T$3-INDEX(Properties!$T:$T,$B38+5)+1)/Input!$C$11),0))*(1+Input!$C$8)^(T$5-1)</f>
        <v>4379.6862000000001</v>
      </c>
      <c r="U38" s="123" cm="1">
        <f t="array" ref="U38">INDEX(Properties!$D:$D,$B38+5)*(IF(AND(U$3&gt;=INDEX(Properties!$T:$T,$B38+5),U$3&lt;INDEX(Properties!$U:$U,$B38+5)),INDEX(_Seasonality!$C$50:$N$59,$B38,MONTH(EDATE(Input!$C$7,U$3-1)))*MIN(1,(U$3-INDEX(Properties!$T:$T,$B38+5)+1)/Input!$C$11),0))*(1+Input!$C$8)^(U$5-1)</f>
        <v>4213.62</v>
      </c>
      <c r="V38" s="123" cm="1">
        <f t="array" ref="V38">INDEX(Properties!$D:$D,$B38+5)*(IF(AND(V$3&gt;=INDEX(Properties!$T:$T,$B38+5),V$3&lt;INDEX(Properties!$U:$U,$B38+5)),INDEX(_Seasonality!$C$50:$N$59,$B38,MONTH(EDATE(Input!$C$7,V$3-1)))*MIN(1,(V$3-INDEX(Properties!$T:$T,$B38+5)+1)/Input!$C$11),0))*(1+Input!$C$8)^(V$5-1)</f>
        <v>3688.1568000000007</v>
      </c>
      <c r="W38" s="123" cm="1">
        <f t="array" ref="W38">INDEX(Properties!$D:$D,$B38+5)*(IF(AND(W$3&gt;=INDEX(Properties!$T:$T,$B38+5),W$3&lt;INDEX(Properties!$U:$U,$B38+5)),INDEX(_Seasonality!$C$50:$N$59,$B38,MONTH(EDATE(Input!$C$7,W$3-1)))*MIN(1,(W$3-INDEX(Properties!$T:$T,$B38+5)+1)/Input!$C$11),0))*(1+Input!$C$8)^(W$5-1)</f>
        <v>5205.0600000000004</v>
      </c>
      <c r="X38" s="123" cm="1">
        <f t="array" ref="X38">INDEX(Properties!$D:$D,$B38+5)*(IF(AND(X$3&gt;=INDEX(Properties!$T:$T,$B38+5),X$3&lt;INDEX(Properties!$U:$U,$B38+5)),INDEX(_Seasonality!$C$50:$N$59,$B38,MONTH(EDATE(Input!$C$7,X$3-1)))*MIN(1,(X$3-INDEX(Properties!$T:$T,$B38+5)+1)/Input!$C$11),0))*(1+Input!$C$8)^(X$5-1)</f>
        <v>5916.4182000000019</v>
      </c>
      <c r="Y38" s="123" cm="1">
        <f t="array" ref="Y38">INDEX(Properties!$D:$D,$B38+5)*(IF(AND(Y$3&gt;=INDEX(Properties!$T:$T,$B38+5),Y$3&lt;INDEX(Properties!$U:$U,$B38+5)),INDEX(_Seasonality!$C$50:$N$59,$B38,MONTH(EDATE(Input!$C$7,Y$3-1)))*MIN(1,(Y$3-INDEX(Properties!$T:$T,$B38+5)+1)/Input!$C$11),0))*(1+Input!$C$8)^(Y$5-1)</f>
        <v>5378.5620000000008</v>
      </c>
      <c r="Z38" s="123" cm="1">
        <f t="array" ref="Z38">INDEX(Properties!$D:$D,$B38+5)*(IF(AND(Z$3&gt;=INDEX(Properties!$T:$T,$B38+5),Z$3&lt;INDEX(Properties!$U:$U,$B38+5)),INDEX(_Seasonality!$C$50:$N$59,$B38,MONTH(EDATE(Input!$C$7,Z$3-1)))*MIN(1,(Z$3-INDEX(Properties!$T:$T,$B38+5)+1)/Input!$C$11),0))*(1+Input!$C$8)^(Z$5-1)</f>
        <v>4002.9390000000003</v>
      </c>
      <c r="AA38" s="123" cm="1">
        <f t="array" ref="AA38">INDEX(Properties!$D:$D,$B38+5)*(IF(AND(AA$3&gt;=INDEX(Properties!$T:$T,$B38+5),AA$3&lt;INDEX(Properties!$U:$U,$B38+5)),INDEX(_Seasonality!$C$50:$N$59,$B38,MONTH(EDATE(Input!$C$7,AA$3-1)))*MIN(1,(AA$3-INDEX(Properties!$T:$T,$B38+5)+1)/Input!$C$11),0))*(1+Input!$C$8)^(AA$5-1)</f>
        <v>4232.1599280000019</v>
      </c>
      <c r="AB38" s="123" cm="1">
        <f t="array" ref="AB38">INDEX(Properties!$D:$D,$B38+5)*(IF(AND(AB$3&gt;=INDEX(Properties!$T:$T,$B38+5),AB$3&lt;INDEX(Properties!$U:$U,$B38+5)),INDEX(_Seasonality!$C$50:$N$59,$B38,MONTH(EDATE(Input!$C$7,AB$3-1)))*MIN(1,(AB$3-INDEX(Properties!$T:$T,$B38+5)+1)/Input!$C$11),0))*(1+Input!$C$8)^(AB$5-1)</f>
        <v>4563.3504599999997</v>
      </c>
      <c r="AC38" s="123" cm="1">
        <f t="array" ref="AC38">INDEX(Properties!$D:$D,$B38+5)*(IF(AND(AC$3&gt;=INDEX(Properties!$T:$T,$B38+5),AC$3&lt;INDEX(Properties!$U:$U,$B38+5)),INDEX(_Seasonality!$C$50:$N$59,$B38,MONTH(EDATE(Input!$C$7,AC$3-1)))*MIN(1,(AC$3-INDEX(Properties!$T:$T,$B38+5)+1)/Input!$C$11),0))*(1+Input!$C$8)^(AC$5-1)</f>
        <v>8150.8265280000014</v>
      </c>
      <c r="AD38" s="123" cm="1">
        <f t="array" ref="AD38">INDEX(Properties!$D:$D,$B38+5)*(IF(AND(AD$3&gt;=INDEX(Properties!$T:$T,$B38+5),AD$3&lt;INDEX(Properties!$U:$U,$B38+5)),INDEX(_Seasonality!$C$50:$N$59,$B38,MONTH(EDATE(Input!$C$7,AD$3-1)))*MIN(1,(AD$3-INDEX(Properties!$T:$T,$B38+5)+1)/Input!$C$11),0))*(1+Input!$C$8)^(AD$5-1)</f>
        <v>7510.7776500000009</v>
      </c>
      <c r="AE38" s="123" cm="1">
        <f t="array" ref="AE38">INDEX(Properties!$D:$D,$B38+5)*(IF(AND(AE$3&gt;=INDEX(Properties!$T:$T,$B38+5),AE$3&lt;INDEX(Properties!$U:$U,$B38+5)),INDEX(_Seasonality!$C$50:$N$59,$B38,MONTH(EDATE(Input!$C$7,AE$3-1)))*MIN(1,(AE$3-INDEX(Properties!$T:$T,$B38+5)+1)/Input!$C$11),0))*(1+Input!$C$8)^(AE$5-1)</f>
        <v>4483.2916799999994</v>
      </c>
      <c r="AF38" s="123" cm="1">
        <f t="array" ref="AF38">INDEX(Properties!$D:$D,$B38+5)*(IF(AND(AF$3&gt;=INDEX(Properties!$T:$T,$B38+5),AF$3&lt;INDEX(Properties!$U:$U,$B38+5)),INDEX(_Seasonality!$C$50:$N$59,$B38,MONTH(EDATE(Input!$C$7,AF$3-1)))*MIN(1,(AF$3-INDEX(Properties!$T:$T,$B38+5)+1)/Input!$C$11),0))*(1+Input!$C$8)^(AF$5-1)</f>
        <v>4467.2799240000004</v>
      </c>
      <c r="AG38" s="123" cm="1">
        <f t="array" ref="AG38">INDEX(Properties!$D:$D,$B38+5)*(IF(AND(AG$3&gt;=INDEX(Properties!$T:$T,$B38+5),AG$3&lt;INDEX(Properties!$U:$U,$B38+5)),INDEX(_Seasonality!$C$50:$N$59,$B38,MONTH(EDATE(Input!$C$7,AG$3-1)))*MIN(1,(AG$3-INDEX(Properties!$T:$T,$B38+5)+1)/Input!$C$11),0))*(1+Input!$C$8)^(AG$5-1)</f>
        <v>4297.8923999999997</v>
      </c>
      <c r="AH38" s="123" cm="1">
        <f t="array" ref="AH38">INDEX(Properties!$D:$D,$B38+5)*(IF(AND(AH$3&gt;=INDEX(Properties!$T:$T,$B38+5),AH$3&lt;INDEX(Properties!$U:$U,$B38+5)),INDEX(_Seasonality!$C$50:$N$59,$B38,MONTH(EDATE(Input!$C$7,AH$3-1)))*MIN(1,(AH$3-INDEX(Properties!$T:$T,$B38+5)+1)/Input!$C$11),0))*(1+Input!$C$8)^(AH$5-1)</f>
        <v>3761.9199360000007</v>
      </c>
      <c r="AI38" s="123" cm="1">
        <f t="array" ref="AI38">INDEX(Properties!$D:$D,$B38+5)*(IF(AND(AI$3&gt;=INDEX(Properties!$T:$T,$B38+5),AI$3&lt;INDEX(Properties!$U:$U,$B38+5)),INDEX(_Seasonality!$C$50:$N$59,$B38,MONTH(EDATE(Input!$C$7,AI$3-1)))*MIN(1,(AI$3-INDEX(Properties!$T:$T,$B38+5)+1)/Input!$C$11),0))*(1+Input!$C$8)^(AI$5-1)</f>
        <v>5309.1611999999996</v>
      </c>
      <c r="AJ38" s="123" cm="1">
        <f t="array" ref="AJ38">INDEX(Properties!$D:$D,$B38+5)*(IF(AND(AJ$3&gt;=INDEX(Properties!$T:$T,$B38+5),AJ$3&lt;INDEX(Properties!$U:$U,$B38+5)),INDEX(_Seasonality!$C$50:$N$59,$B38,MONTH(EDATE(Input!$C$7,AJ$3-1)))*MIN(1,(AJ$3-INDEX(Properties!$T:$T,$B38+5)+1)/Input!$C$11),0))*(1+Input!$C$8)^(AJ$5-1)</f>
        <v>6034.7465640000019</v>
      </c>
      <c r="AK38" s="123" cm="1">
        <f t="array" ref="AK38">INDEX(Properties!$D:$D,$B38+5)*(IF(AND(AK$3&gt;=INDEX(Properties!$T:$T,$B38+5),AK$3&lt;INDEX(Properties!$U:$U,$B38+5)),INDEX(_Seasonality!$C$50:$N$59,$B38,MONTH(EDATE(Input!$C$7,AK$3-1)))*MIN(1,(AK$3-INDEX(Properties!$T:$T,$B38+5)+1)/Input!$C$11),0))*(1+Input!$C$8)^(AK$5-1)</f>
        <v>5486.1332400000001</v>
      </c>
      <c r="AL38" s="123" cm="1">
        <f t="array" ref="AL38">INDEX(Properties!$D:$D,$B38+5)*(IF(AND(AL$3&gt;=INDEX(Properties!$T:$T,$B38+5),AL$3&lt;INDEX(Properties!$U:$U,$B38+5)),INDEX(_Seasonality!$C$50:$N$59,$B38,MONTH(EDATE(Input!$C$7,AL$3-1)))*MIN(1,(AL$3-INDEX(Properties!$T:$T,$B38+5)+1)/Input!$C$11),0))*(1+Input!$C$8)^(AL$5-1)</f>
        <v>4082.9977800000001</v>
      </c>
      <c r="AM38" s="123" cm="1">
        <f t="array" ref="AM38">INDEX(Properties!$D:$D,$B38+5)*(IF(AND(AM$3&gt;=INDEX(Properties!$T:$T,$B38+5),AM$3&lt;INDEX(Properties!$U:$U,$B38+5)),INDEX(_Seasonality!$C$50:$N$59,$B38,MONTH(EDATE(Input!$C$7,AM$3-1)))*MIN(1,(AM$3-INDEX(Properties!$T:$T,$B38+5)+1)/Input!$C$11),0))*(1+Input!$C$8)^(AM$5-1)</f>
        <v>0</v>
      </c>
      <c r="AN38" s="123" cm="1">
        <f t="array" ref="AN38">INDEX(Properties!$D:$D,$B38+5)*(IF(AND(AN$3&gt;=INDEX(Properties!$T:$T,$B38+5),AN$3&lt;INDEX(Properties!$U:$U,$B38+5)),INDEX(_Seasonality!$C$50:$N$59,$B38,MONTH(EDATE(Input!$C$7,AN$3-1)))*MIN(1,(AN$3-INDEX(Properties!$T:$T,$B38+5)+1)/Input!$C$11),0))*(1+Input!$C$8)^(AN$5-1)</f>
        <v>0</v>
      </c>
      <c r="AO38" s="123" cm="1">
        <f t="array" ref="AO38">INDEX(Properties!$D:$D,$B38+5)*(IF(AND(AO$3&gt;=INDEX(Properties!$T:$T,$B38+5),AO$3&lt;INDEX(Properties!$U:$U,$B38+5)),INDEX(_Seasonality!$C$50:$N$59,$B38,MONTH(EDATE(Input!$C$7,AO$3-1)))*MIN(1,(AO$3-INDEX(Properties!$T:$T,$B38+5)+1)/Input!$C$11),0))*(1+Input!$C$8)^(AO$5-1)</f>
        <v>0</v>
      </c>
      <c r="AP38" s="123" cm="1">
        <f t="array" ref="AP38">INDEX(Properties!$D:$D,$B38+5)*(IF(AND(AP$3&gt;=INDEX(Properties!$T:$T,$B38+5),AP$3&lt;INDEX(Properties!$U:$U,$B38+5)),INDEX(_Seasonality!$C$50:$N$59,$B38,MONTH(EDATE(Input!$C$7,AP$3-1)))*MIN(1,(AP$3-INDEX(Properties!$T:$T,$B38+5)+1)/Input!$C$11),0))*(1+Input!$C$8)^(AP$5-1)</f>
        <v>0</v>
      </c>
      <c r="AQ38" s="123" cm="1">
        <f t="array" ref="AQ38">INDEX(Properties!$D:$D,$B38+5)*(IF(AND(AQ$3&gt;=INDEX(Properties!$T:$T,$B38+5),AQ$3&lt;INDEX(Properties!$U:$U,$B38+5)),INDEX(_Seasonality!$C$50:$N$59,$B38,MONTH(EDATE(Input!$C$7,AQ$3-1)))*MIN(1,(AQ$3-INDEX(Properties!$T:$T,$B38+5)+1)/Input!$C$11),0))*(1+Input!$C$8)^(AQ$5-1)</f>
        <v>0</v>
      </c>
      <c r="AR38" s="123" cm="1">
        <f t="array" ref="AR38">INDEX(Properties!$D:$D,$B38+5)*(IF(AND(AR$3&gt;=INDEX(Properties!$T:$T,$B38+5),AR$3&lt;INDEX(Properties!$U:$U,$B38+5)),INDEX(_Seasonality!$C$50:$N$59,$B38,MONTH(EDATE(Input!$C$7,AR$3-1)))*MIN(1,(AR$3-INDEX(Properties!$T:$T,$B38+5)+1)/Input!$C$11),0))*(1+Input!$C$8)^(AR$5-1)</f>
        <v>0</v>
      </c>
      <c r="AS38" s="123" cm="1">
        <f t="array" ref="AS38">INDEX(Properties!$D:$D,$B38+5)*(IF(AND(AS$3&gt;=INDEX(Properties!$T:$T,$B38+5),AS$3&lt;INDEX(Properties!$U:$U,$B38+5)),INDEX(_Seasonality!$C$50:$N$59,$B38,MONTH(EDATE(Input!$C$7,AS$3-1)))*MIN(1,(AS$3-INDEX(Properties!$T:$T,$B38+5)+1)/Input!$C$11),0))*(1+Input!$C$8)^(AS$5-1)</f>
        <v>0</v>
      </c>
      <c r="AT38" s="123" cm="1">
        <f t="array" ref="AT38">INDEX(Properties!$D:$D,$B38+5)*(IF(AND(AT$3&gt;=INDEX(Properties!$T:$T,$B38+5),AT$3&lt;INDEX(Properties!$U:$U,$B38+5)),INDEX(_Seasonality!$C$50:$N$59,$B38,MONTH(EDATE(Input!$C$7,AT$3-1)))*MIN(1,(AT$3-INDEX(Properties!$T:$T,$B38+5)+1)/Input!$C$11),0))*(1+Input!$C$8)^(AT$5-1)</f>
        <v>0</v>
      </c>
      <c r="AU38" s="123" cm="1">
        <f t="array" ref="AU38">INDEX(Properties!$D:$D,$B38+5)*(IF(AND(AU$3&gt;=INDEX(Properties!$T:$T,$B38+5),AU$3&lt;INDEX(Properties!$U:$U,$B38+5)),INDEX(_Seasonality!$C$50:$N$59,$B38,MONTH(EDATE(Input!$C$7,AU$3-1)))*MIN(1,(AU$3-INDEX(Properties!$T:$T,$B38+5)+1)/Input!$C$11),0))*(1+Input!$C$8)^(AU$5-1)</f>
        <v>0</v>
      </c>
      <c r="AV38" s="123" cm="1">
        <f t="array" ref="AV38">INDEX(Properties!$D:$D,$B38+5)*(IF(AND(AV$3&gt;=INDEX(Properties!$T:$T,$B38+5),AV$3&lt;INDEX(Properties!$U:$U,$B38+5)),INDEX(_Seasonality!$C$50:$N$59,$B38,MONTH(EDATE(Input!$C$7,AV$3-1)))*MIN(1,(AV$3-INDEX(Properties!$T:$T,$B38+5)+1)/Input!$C$11),0))*(1+Input!$C$8)^(AV$5-1)</f>
        <v>0</v>
      </c>
      <c r="AW38" s="123" cm="1">
        <f t="array" ref="AW38">INDEX(Properties!$D:$D,$B38+5)*(IF(AND(AW$3&gt;=INDEX(Properties!$T:$T,$B38+5),AW$3&lt;INDEX(Properties!$U:$U,$B38+5)),INDEX(_Seasonality!$C$50:$N$59,$B38,MONTH(EDATE(Input!$C$7,AW$3-1)))*MIN(1,(AW$3-INDEX(Properties!$T:$T,$B38+5)+1)/Input!$C$11),0))*(1+Input!$C$8)^(AW$5-1)</f>
        <v>0</v>
      </c>
      <c r="AX38" s="123" cm="1">
        <f t="array" ref="AX38">INDEX(Properties!$D:$D,$B38+5)*(IF(AND(AX$3&gt;=INDEX(Properties!$T:$T,$B38+5),AX$3&lt;INDEX(Properties!$U:$U,$B38+5)),INDEX(_Seasonality!$C$50:$N$59,$B38,MONTH(EDATE(Input!$C$7,AX$3-1)))*MIN(1,(AX$3-INDEX(Properties!$T:$T,$B38+5)+1)/Input!$C$11),0))*(1+Input!$C$8)^(AX$5-1)</f>
        <v>0</v>
      </c>
      <c r="AY38" s="123" cm="1">
        <f t="array" ref="AY38">INDEX(Properties!$D:$D,$B38+5)*(IF(AND(AY$3&gt;=INDEX(Properties!$T:$T,$B38+5),AY$3&lt;INDEX(Properties!$U:$U,$B38+5)),INDEX(_Seasonality!$C$50:$N$59,$B38,MONTH(EDATE(Input!$C$7,AY$3-1)))*MIN(1,(AY$3-INDEX(Properties!$T:$T,$B38+5)+1)/Input!$C$11),0))*(1+Input!$C$8)^(AY$5-1)</f>
        <v>0</v>
      </c>
      <c r="AZ38" s="123" cm="1">
        <f t="array" ref="AZ38">INDEX(Properties!$D:$D,$B38+5)*(IF(AND(AZ$3&gt;=INDEX(Properties!$T:$T,$B38+5),AZ$3&lt;INDEX(Properties!$U:$U,$B38+5)),INDEX(_Seasonality!$C$50:$N$59,$B38,MONTH(EDATE(Input!$C$7,AZ$3-1)))*MIN(1,(AZ$3-INDEX(Properties!$T:$T,$B38+5)+1)/Input!$C$11),0))*(1+Input!$C$8)^(AZ$5-1)</f>
        <v>0</v>
      </c>
      <c r="BA38" s="123" cm="1">
        <f t="array" ref="BA38">INDEX(Properties!$D:$D,$B38+5)*(IF(AND(BA$3&gt;=INDEX(Properties!$T:$T,$B38+5),BA$3&lt;INDEX(Properties!$U:$U,$B38+5)),INDEX(_Seasonality!$C$50:$N$59,$B38,MONTH(EDATE(Input!$C$7,BA$3-1)))*MIN(1,(BA$3-INDEX(Properties!$T:$T,$B38+5)+1)/Input!$C$11),0))*(1+Input!$C$8)^(BA$5-1)</f>
        <v>0</v>
      </c>
      <c r="BB38" s="123" cm="1">
        <f t="array" ref="BB38">INDEX(Properties!$D:$D,$B38+5)*(IF(AND(BB$3&gt;=INDEX(Properties!$T:$T,$B38+5),BB$3&lt;INDEX(Properties!$U:$U,$B38+5)),INDEX(_Seasonality!$C$50:$N$59,$B38,MONTH(EDATE(Input!$C$7,BB$3-1)))*MIN(1,(BB$3-INDEX(Properties!$T:$T,$B38+5)+1)/Input!$C$11),0))*(1+Input!$C$8)^(BB$5-1)</f>
        <v>0</v>
      </c>
      <c r="BC38" s="123" cm="1">
        <f t="array" ref="BC38">INDEX(Properties!$D:$D,$B38+5)*(IF(AND(BC$3&gt;=INDEX(Properties!$T:$T,$B38+5),BC$3&lt;INDEX(Properties!$U:$U,$B38+5)),INDEX(_Seasonality!$C$50:$N$59,$B38,MONTH(EDATE(Input!$C$7,BC$3-1)))*MIN(1,(BC$3-INDEX(Properties!$T:$T,$B38+5)+1)/Input!$C$11),0))*(1+Input!$C$8)^(BC$5-1)</f>
        <v>0</v>
      </c>
      <c r="BD38" s="123" cm="1">
        <f t="array" ref="BD38">INDEX(Properties!$D:$D,$B38+5)*(IF(AND(BD$3&gt;=INDEX(Properties!$T:$T,$B38+5),BD$3&lt;INDEX(Properties!$U:$U,$B38+5)),INDEX(_Seasonality!$C$50:$N$59,$B38,MONTH(EDATE(Input!$C$7,BD$3-1)))*MIN(1,(BD$3-INDEX(Properties!$T:$T,$B38+5)+1)/Input!$C$11),0))*(1+Input!$C$8)^(BD$5-1)</f>
        <v>0</v>
      </c>
      <c r="BE38" s="123" cm="1">
        <f t="array" ref="BE38">INDEX(Properties!$D:$D,$B38+5)*(IF(AND(BE$3&gt;=INDEX(Properties!$T:$T,$B38+5),BE$3&lt;INDEX(Properties!$U:$U,$B38+5)),INDEX(_Seasonality!$C$50:$N$59,$B38,MONTH(EDATE(Input!$C$7,BE$3-1)))*MIN(1,(BE$3-INDEX(Properties!$T:$T,$B38+5)+1)/Input!$C$11),0))*(1+Input!$C$8)^(BE$5-1)</f>
        <v>0</v>
      </c>
      <c r="BF38" s="123" cm="1">
        <f t="array" ref="BF38">INDEX(Properties!$D:$D,$B38+5)*(IF(AND(BF$3&gt;=INDEX(Properties!$T:$T,$B38+5),BF$3&lt;INDEX(Properties!$U:$U,$B38+5)),INDEX(_Seasonality!$C$50:$N$59,$B38,MONTH(EDATE(Input!$C$7,BF$3-1)))*MIN(1,(BF$3-INDEX(Properties!$T:$T,$B38+5)+1)/Input!$C$11),0))*(1+Input!$C$8)^(BF$5-1)</f>
        <v>0</v>
      </c>
      <c r="BG38" s="123" cm="1">
        <f t="array" ref="BG38">INDEX(Properties!$D:$D,$B38+5)*(IF(AND(BG$3&gt;=INDEX(Properties!$T:$T,$B38+5),BG$3&lt;INDEX(Properties!$U:$U,$B38+5)),INDEX(_Seasonality!$C$50:$N$59,$B38,MONTH(EDATE(Input!$C$7,BG$3-1)))*MIN(1,(BG$3-INDEX(Properties!$T:$T,$B38+5)+1)/Input!$C$11),0))*(1+Input!$C$8)^(BG$5-1)</f>
        <v>0</v>
      </c>
      <c r="BH38" s="123" cm="1">
        <f t="array" ref="BH38">INDEX(Properties!$D:$D,$B38+5)*(IF(AND(BH$3&gt;=INDEX(Properties!$T:$T,$B38+5),BH$3&lt;INDEX(Properties!$U:$U,$B38+5)),INDEX(_Seasonality!$C$50:$N$59,$B38,MONTH(EDATE(Input!$C$7,BH$3-1)))*MIN(1,(BH$3-INDEX(Properties!$T:$T,$B38+5)+1)/Input!$C$11),0))*(1+Input!$C$8)^(BH$5-1)</f>
        <v>0</v>
      </c>
      <c r="BI38" s="123" cm="1">
        <f t="array" ref="BI38">INDEX(Properties!$D:$D,$B38+5)*(IF(AND(BI$3&gt;=INDEX(Properties!$T:$T,$B38+5),BI$3&lt;INDEX(Properties!$U:$U,$B38+5)),INDEX(_Seasonality!$C$50:$N$59,$B38,MONTH(EDATE(Input!$C$7,BI$3-1)))*MIN(1,(BI$3-INDEX(Properties!$T:$T,$B38+5)+1)/Input!$C$11),0))*(1+Input!$C$8)^(BI$5-1)</f>
        <v>0</v>
      </c>
      <c r="BJ38" s="123" cm="1">
        <f t="array" ref="BJ38">INDEX(Properties!$D:$D,$B38+5)*(IF(AND(BJ$3&gt;=INDEX(Properties!$T:$T,$B38+5),BJ$3&lt;INDEX(Properties!$U:$U,$B38+5)),INDEX(_Seasonality!$C$50:$N$59,$B38,MONTH(EDATE(Input!$C$7,BJ$3-1)))*MIN(1,(BJ$3-INDEX(Properties!$T:$T,$B38+5)+1)/Input!$C$11),0))*(1+Input!$C$8)^(BJ$5-1)</f>
        <v>0</v>
      </c>
      <c r="BK38" s="123" cm="1">
        <f t="array" ref="BK38">INDEX(Properties!$D:$D,$B38+5)*(IF(AND(BK$3&gt;=INDEX(Properties!$T:$T,$B38+5),BK$3&lt;INDEX(Properties!$U:$U,$B38+5)),INDEX(_Seasonality!$C$50:$N$59,$B38,MONTH(EDATE(Input!$C$7,BK$3-1)))*MIN(1,(BK$3-INDEX(Properties!$T:$T,$B38+5)+1)/Input!$C$11),0))*(1+Input!$C$8)^(BK$5-1)</f>
        <v>0</v>
      </c>
      <c r="BL38" s="123" cm="1">
        <f t="array" ref="BL38">INDEX(Properties!$D:$D,$B38+5)*(IF(AND(BL$3&gt;=INDEX(Properties!$T:$T,$B38+5),BL$3&lt;INDEX(Properties!$U:$U,$B38+5)),INDEX(_Seasonality!$C$50:$N$59,$B38,MONTH(EDATE(Input!$C$7,BL$3-1)))*MIN(1,(BL$3-INDEX(Properties!$T:$T,$B38+5)+1)/Input!$C$11),0))*(1+Input!$C$8)^(BL$5-1)</f>
        <v>0</v>
      </c>
      <c r="BM38" s="123" cm="1">
        <f t="array" ref="BM38">INDEX(Properties!$D:$D,$B38+5)*(IF(AND(BM$3&gt;=INDEX(Properties!$T:$T,$B38+5),BM$3&lt;INDEX(Properties!$U:$U,$B38+5)),INDEX(_Seasonality!$C$50:$N$59,$B38,MONTH(EDATE(Input!$C$7,BM$3-1)))*MIN(1,(BM$3-INDEX(Properties!$T:$T,$B38+5)+1)/Input!$C$11),0))*(1+Input!$C$8)^(BM$5-1)</f>
        <v>0</v>
      </c>
      <c r="BN38" s="123" cm="1">
        <f t="array" ref="BN38">INDEX(Properties!$D:$D,$B38+5)*(IF(AND(BN$3&gt;=INDEX(Properties!$T:$T,$B38+5),BN$3&lt;INDEX(Properties!$U:$U,$B38+5)),INDEX(_Seasonality!$C$50:$N$59,$B38,MONTH(EDATE(Input!$C$7,BN$3-1)))*MIN(1,(BN$3-INDEX(Properties!$T:$T,$B38+5)+1)/Input!$C$11),0))*(1+Input!$C$8)^(BN$5-1)</f>
        <v>0</v>
      </c>
      <c r="BO38" s="123" cm="1">
        <f t="array" ref="BO38">INDEX(Properties!$D:$D,$B38+5)*(IF(AND(BO$3&gt;=INDEX(Properties!$T:$T,$B38+5),BO$3&lt;INDEX(Properties!$U:$U,$B38+5)),INDEX(_Seasonality!$C$50:$N$59,$B38,MONTH(EDATE(Input!$C$7,BO$3-1)))*MIN(1,(BO$3-INDEX(Properties!$T:$T,$B38+5)+1)/Input!$C$11),0))*(1+Input!$C$8)^(BO$5-1)</f>
        <v>0</v>
      </c>
      <c r="BP38" s="123" cm="1">
        <f t="array" ref="BP38">INDEX(Properties!$D:$D,$B38+5)*(IF(AND(BP$3&gt;=INDEX(Properties!$T:$T,$B38+5),BP$3&lt;INDEX(Properties!$U:$U,$B38+5)),INDEX(_Seasonality!$C$50:$N$59,$B38,MONTH(EDATE(Input!$C$7,BP$3-1)))*MIN(1,(BP$3-INDEX(Properties!$T:$T,$B38+5)+1)/Input!$C$11),0))*(1+Input!$C$8)^(BP$5-1)</f>
        <v>0</v>
      </c>
      <c r="BQ38" s="123" cm="1">
        <f t="array" ref="BQ38">INDEX(Properties!$D:$D,$B38+5)*(IF(AND(BQ$3&gt;=INDEX(Properties!$T:$T,$B38+5),BQ$3&lt;INDEX(Properties!$U:$U,$B38+5)),INDEX(_Seasonality!$C$50:$N$59,$B38,MONTH(EDATE(Input!$C$7,BQ$3-1)))*MIN(1,(BQ$3-INDEX(Properties!$T:$T,$B38+5)+1)/Input!$C$11),0))*(1+Input!$C$8)^(BQ$5-1)</f>
        <v>0</v>
      </c>
      <c r="BR38" s="123" cm="1">
        <f t="array" ref="BR38">INDEX(Properties!$D:$D,$B38+5)*(IF(AND(BR$3&gt;=INDEX(Properties!$T:$T,$B38+5),BR$3&lt;INDEX(Properties!$U:$U,$B38+5)),INDEX(_Seasonality!$C$50:$N$59,$B38,MONTH(EDATE(Input!$C$7,BR$3-1)))*MIN(1,(BR$3-INDEX(Properties!$T:$T,$B38+5)+1)/Input!$C$11),0))*(1+Input!$C$8)^(BR$5-1)</f>
        <v>0</v>
      </c>
      <c r="BS38" s="123" cm="1">
        <f t="array" ref="BS38">INDEX(Properties!$D:$D,$B38+5)*(IF(AND(BS$3&gt;=INDEX(Properties!$T:$T,$B38+5),BS$3&lt;INDEX(Properties!$U:$U,$B38+5)),INDEX(_Seasonality!$C$50:$N$59,$B38,MONTH(EDATE(Input!$C$7,BS$3-1)))*MIN(1,(BS$3-INDEX(Properties!$T:$T,$B38+5)+1)/Input!$C$11),0))*(1+Input!$C$8)^(BS$5-1)</f>
        <v>0</v>
      </c>
      <c r="BT38" s="123" cm="1">
        <f t="array" ref="BT38">INDEX(Properties!$D:$D,$B38+5)*(IF(AND(BT$3&gt;=INDEX(Properties!$T:$T,$B38+5),BT$3&lt;INDEX(Properties!$U:$U,$B38+5)),INDEX(_Seasonality!$C$50:$N$59,$B38,MONTH(EDATE(Input!$C$7,BT$3-1)))*MIN(1,(BT$3-INDEX(Properties!$T:$T,$B38+5)+1)/Input!$C$11),0))*(1+Input!$C$8)^(BT$5-1)</f>
        <v>0</v>
      </c>
      <c r="BU38" s="123" cm="1">
        <f t="array" ref="BU38">INDEX(Properties!$D:$D,$B38+5)*(IF(AND(BU$3&gt;=INDEX(Properties!$T:$T,$B38+5),BU$3&lt;INDEX(Properties!$U:$U,$B38+5)),INDEX(_Seasonality!$C$50:$N$59,$B38,MONTH(EDATE(Input!$C$7,BU$3-1)))*MIN(1,(BU$3-INDEX(Properties!$T:$T,$B38+5)+1)/Input!$C$11),0))*(1+Input!$C$8)^(BU$5-1)</f>
        <v>0</v>
      </c>
      <c r="BV38" s="123" cm="1">
        <f t="array" ref="BV38">INDEX(Properties!$D:$D,$B38+5)*(IF(AND(BV$3&gt;=INDEX(Properties!$T:$T,$B38+5),BV$3&lt;INDEX(Properties!$U:$U,$B38+5)),INDEX(_Seasonality!$C$50:$N$59,$B38,MONTH(EDATE(Input!$C$7,BV$3-1)))*MIN(1,(BV$3-INDEX(Properties!$T:$T,$B38+5)+1)/Input!$C$11),0))*(1+Input!$C$8)^(BV$5-1)</f>
        <v>0</v>
      </c>
      <c r="BW38" s="123" cm="1">
        <f t="array" ref="BW38">INDEX(Properties!$D:$D,$B38+5)*(IF(AND(BW$3&gt;=INDEX(Properties!$T:$T,$B38+5),BW$3&lt;INDEX(Properties!$U:$U,$B38+5)),INDEX(_Seasonality!$C$50:$N$59,$B38,MONTH(EDATE(Input!$C$7,BW$3-1)))*MIN(1,(BW$3-INDEX(Properties!$T:$T,$B38+5)+1)/Input!$C$11),0))*(1+Input!$C$8)^(BW$5-1)</f>
        <v>0</v>
      </c>
      <c r="BX38" s="123" cm="1">
        <f t="array" ref="BX38">INDEX(Properties!$D:$D,$B38+5)*(IF(AND(BX$3&gt;=INDEX(Properties!$T:$T,$B38+5),BX$3&lt;INDEX(Properties!$U:$U,$B38+5)),INDEX(_Seasonality!$C$50:$N$59,$B38,MONTH(EDATE(Input!$C$7,BX$3-1)))*MIN(1,(BX$3-INDEX(Properties!$T:$T,$B38+5)+1)/Input!$C$11),0))*(1+Input!$C$8)^(BX$5-1)</f>
        <v>0</v>
      </c>
      <c r="BY38" s="123" cm="1">
        <f t="array" ref="BY38">INDEX(Properties!$D:$D,$B38+5)*(IF(AND(BY$3&gt;=INDEX(Properties!$T:$T,$B38+5),BY$3&lt;INDEX(Properties!$U:$U,$B38+5)),INDEX(_Seasonality!$C$50:$N$59,$B38,MONTH(EDATE(Input!$C$7,BY$3-1)))*MIN(1,(BY$3-INDEX(Properties!$T:$T,$B38+5)+1)/Input!$C$11),0))*(1+Input!$C$8)^(BY$5-1)</f>
        <v>0</v>
      </c>
      <c r="BZ38" s="123" cm="1">
        <f t="array" ref="BZ38">INDEX(Properties!$D:$D,$B38+5)*(IF(AND(BZ$3&gt;=INDEX(Properties!$T:$T,$B38+5),BZ$3&lt;INDEX(Properties!$U:$U,$B38+5)),INDEX(_Seasonality!$C$50:$N$59,$B38,MONTH(EDATE(Input!$C$7,BZ$3-1)))*MIN(1,(BZ$3-INDEX(Properties!$T:$T,$B38+5)+1)/Input!$C$11),0))*(1+Input!$C$8)^(BZ$5-1)</f>
        <v>0</v>
      </c>
      <c r="CA38" s="123" cm="1">
        <f t="array" ref="CA38">INDEX(Properties!$D:$D,$B38+5)*(IF(AND(CA$3&gt;=INDEX(Properties!$T:$T,$B38+5),CA$3&lt;INDEX(Properties!$U:$U,$B38+5)),INDEX(_Seasonality!$C$50:$N$59,$B38,MONTH(EDATE(Input!$C$7,CA$3-1)))*MIN(1,(CA$3-INDEX(Properties!$T:$T,$B38+5)+1)/Input!$C$11),0))*(1+Input!$C$8)^(CA$5-1)</f>
        <v>0</v>
      </c>
      <c r="CB38" s="123" cm="1">
        <f t="array" ref="CB38">INDEX(Properties!$D:$D,$B38+5)*(IF(AND(CB$3&gt;=INDEX(Properties!$T:$T,$B38+5),CB$3&lt;INDEX(Properties!$U:$U,$B38+5)),INDEX(_Seasonality!$C$50:$N$59,$B38,MONTH(EDATE(Input!$C$7,CB$3-1)))*MIN(1,(CB$3-INDEX(Properties!$T:$T,$B38+5)+1)/Input!$C$11),0))*(1+Input!$C$8)^(CB$5-1)</f>
        <v>0</v>
      </c>
      <c r="CC38" s="123" cm="1">
        <f t="array" ref="CC38">INDEX(Properties!$D:$D,$B38+5)*(IF(AND(CC$3&gt;=INDEX(Properties!$T:$T,$B38+5),CC$3&lt;INDEX(Properties!$U:$U,$B38+5)),INDEX(_Seasonality!$C$50:$N$59,$B38,MONTH(EDATE(Input!$C$7,CC$3-1)))*MIN(1,(CC$3-INDEX(Properties!$T:$T,$B38+5)+1)/Input!$C$11),0))*(1+Input!$C$8)^(CC$5-1)</f>
        <v>0</v>
      </c>
      <c r="CD38" s="123" cm="1">
        <f t="array" ref="CD38">INDEX(Properties!$D:$D,$B38+5)*(IF(AND(CD$3&gt;=INDEX(Properties!$T:$T,$B38+5),CD$3&lt;INDEX(Properties!$U:$U,$B38+5)),INDEX(_Seasonality!$C$50:$N$59,$B38,MONTH(EDATE(Input!$C$7,CD$3-1)))*MIN(1,(CD$3-INDEX(Properties!$T:$T,$B38+5)+1)/Input!$C$11),0))*(1+Input!$C$8)^(CD$5-1)</f>
        <v>0</v>
      </c>
      <c r="CE38" s="123" cm="1">
        <f t="array" ref="CE38">INDEX(Properties!$D:$D,$B38+5)*(IF(AND(CE$3&gt;=INDEX(Properties!$T:$T,$B38+5),CE$3&lt;INDEX(Properties!$U:$U,$B38+5)),INDEX(_Seasonality!$C$50:$N$59,$B38,MONTH(EDATE(Input!$C$7,CE$3-1)))*MIN(1,(CE$3-INDEX(Properties!$T:$T,$B38+5)+1)/Input!$C$11),0))*(1+Input!$C$8)^(CE$5-1)</f>
        <v>0</v>
      </c>
      <c r="CF38" s="123" cm="1">
        <f t="array" ref="CF38">INDEX(Properties!$D:$D,$B38+5)*(IF(AND(CF$3&gt;=INDEX(Properties!$T:$T,$B38+5),CF$3&lt;INDEX(Properties!$U:$U,$B38+5)),INDEX(_Seasonality!$C$50:$N$59,$B38,MONTH(EDATE(Input!$C$7,CF$3-1)))*MIN(1,(CF$3-INDEX(Properties!$T:$T,$B38+5)+1)/Input!$C$11),0))*(1+Input!$C$8)^(CF$5-1)</f>
        <v>0</v>
      </c>
      <c r="CG38" s="123" cm="1">
        <f t="array" ref="CG38">INDEX(Properties!$D:$D,$B38+5)*(IF(AND(CG$3&gt;=INDEX(Properties!$T:$T,$B38+5),CG$3&lt;INDEX(Properties!$U:$U,$B38+5)),INDEX(_Seasonality!$C$50:$N$59,$B38,MONTH(EDATE(Input!$C$7,CG$3-1)))*MIN(1,(CG$3-INDEX(Properties!$T:$T,$B38+5)+1)/Input!$C$11),0))*(1+Input!$C$8)^(CG$5-1)</f>
        <v>0</v>
      </c>
      <c r="CH38" s="123" cm="1">
        <f t="array" ref="CH38">INDEX(Properties!$D:$D,$B38+5)*(IF(AND(CH$3&gt;=INDEX(Properties!$T:$T,$B38+5),CH$3&lt;INDEX(Properties!$U:$U,$B38+5)),INDEX(_Seasonality!$C$50:$N$59,$B38,MONTH(EDATE(Input!$C$7,CH$3-1)))*MIN(1,(CH$3-INDEX(Properties!$T:$T,$B38+5)+1)/Input!$C$11),0))*(1+Input!$C$8)^(CH$5-1)</f>
        <v>0</v>
      </c>
      <c r="CI38" s="123" cm="1">
        <f t="array" ref="CI38">INDEX(Properties!$D:$D,$B38+5)*(IF(AND(CI$3&gt;=INDEX(Properties!$T:$T,$B38+5),CI$3&lt;INDEX(Properties!$U:$U,$B38+5)),INDEX(_Seasonality!$C$50:$N$59,$B38,MONTH(EDATE(Input!$C$7,CI$3-1)))*MIN(1,(CI$3-INDEX(Properties!$T:$T,$B38+5)+1)/Input!$C$11),0))*(1+Input!$C$8)^(CI$5-1)</f>
        <v>0</v>
      </c>
      <c r="CJ38" s="123" cm="1">
        <f t="array" ref="CJ38">INDEX(Properties!$D:$D,$B38+5)*(IF(AND(CJ$3&gt;=INDEX(Properties!$T:$T,$B38+5),CJ$3&lt;INDEX(Properties!$U:$U,$B38+5)),INDEX(_Seasonality!$C$50:$N$59,$B38,MONTH(EDATE(Input!$C$7,CJ$3-1)))*MIN(1,(CJ$3-INDEX(Properties!$T:$T,$B38+5)+1)/Input!$C$11),0))*(1+Input!$C$8)^(CJ$5-1)</f>
        <v>0</v>
      </c>
      <c r="CK38" s="123" cm="1">
        <f t="array" ref="CK38">INDEX(Properties!$D:$D,$B38+5)*(IF(AND(CK$3&gt;=INDEX(Properties!$T:$T,$B38+5),CK$3&lt;INDEX(Properties!$U:$U,$B38+5)),INDEX(_Seasonality!$C$50:$N$59,$B38,MONTH(EDATE(Input!$C$7,CK$3-1)))*MIN(1,(CK$3-INDEX(Properties!$T:$T,$B38+5)+1)/Input!$C$11),0))*(1+Input!$C$8)^(CK$5-1)</f>
        <v>0</v>
      </c>
      <c r="CL38" s="123" cm="1">
        <f t="array" ref="CL38">INDEX(Properties!$D:$D,$B38+5)*(IF(AND(CL$3&gt;=INDEX(Properties!$T:$T,$B38+5),CL$3&lt;INDEX(Properties!$U:$U,$B38+5)),INDEX(_Seasonality!$C$50:$N$59,$B38,MONTH(EDATE(Input!$C$7,CL$3-1)))*MIN(1,(CL$3-INDEX(Properties!$T:$T,$B38+5)+1)/Input!$C$11),0))*(1+Input!$C$8)^(CL$5-1)</f>
        <v>0</v>
      </c>
      <c r="CM38" s="123" cm="1">
        <f t="array" ref="CM38">INDEX(Properties!$D:$D,$B38+5)*(IF(AND(CM$3&gt;=INDEX(Properties!$T:$T,$B38+5),CM$3&lt;INDEX(Properties!$U:$U,$B38+5)),INDEX(_Seasonality!$C$50:$N$59,$B38,MONTH(EDATE(Input!$C$7,CM$3-1)))*MIN(1,(CM$3-INDEX(Properties!$T:$T,$B38+5)+1)/Input!$C$11),0))*(1+Input!$C$8)^(CM$5-1)</f>
        <v>0</v>
      </c>
      <c r="CN38" s="123" cm="1">
        <f t="array" ref="CN38">INDEX(Properties!$D:$D,$B38+5)*(IF(AND(CN$3&gt;=INDEX(Properties!$T:$T,$B38+5),CN$3&lt;INDEX(Properties!$U:$U,$B38+5)),INDEX(_Seasonality!$C$50:$N$59,$B38,MONTH(EDATE(Input!$C$7,CN$3-1)))*MIN(1,(CN$3-INDEX(Properties!$T:$T,$B38+5)+1)/Input!$C$11),0))*(1+Input!$C$8)^(CN$5-1)</f>
        <v>0</v>
      </c>
      <c r="CO38" s="123" cm="1">
        <f t="array" ref="CO38">INDEX(Properties!$D:$D,$B38+5)*(IF(AND(CO$3&gt;=INDEX(Properties!$T:$T,$B38+5),CO$3&lt;INDEX(Properties!$U:$U,$B38+5)),INDEX(_Seasonality!$C$50:$N$59,$B38,MONTH(EDATE(Input!$C$7,CO$3-1)))*MIN(1,(CO$3-INDEX(Properties!$T:$T,$B38+5)+1)/Input!$C$11),0))*(1+Input!$C$8)^(CO$5-1)</f>
        <v>0</v>
      </c>
      <c r="CP38" s="123" cm="1">
        <f t="array" ref="CP38">INDEX(Properties!$D:$D,$B38+5)*(IF(AND(CP$3&gt;=INDEX(Properties!$T:$T,$B38+5),CP$3&lt;INDEX(Properties!$U:$U,$B38+5)),INDEX(_Seasonality!$C$50:$N$59,$B38,MONTH(EDATE(Input!$C$7,CP$3-1)))*MIN(1,(CP$3-INDEX(Properties!$T:$T,$B38+5)+1)/Input!$C$11),0))*(1+Input!$C$8)^(CP$5-1)</f>
        <v>0</v>
      </c>
      <c r="CQ38" s="123" cm="1">
        <f t="array" ref="CQ38">INDEX(Properties!$D:$D,$B38+5)*(IF(AND(CQ$3&gt;=INDEX(Properties!$T:$T,$B38+5),CQ$3&lt;INDEX(Properties!$U:$U,$B38+5)),INDEX(_Seasonality!$C$50:$N$59,$B38,MONTH(EDATE(Input!$C$7,CQ$3-1)))*MIN(1,(CQ$3-INDEX(Properties!$T:$T,$B38+5)+1)/Input!$C$11),0))*(1+Input!$C$8)^(CQ$5-1)</f>
        <v>0</v>
      </c>
      <c r="CR38" s="123" cm="1">
        <f t="array" ref="CR38">INDEX(Properties!$D:$D,$B38+5)*(IF(AND(CR$3&gt;=INDEX(Properties!$T:$T,$B38+5),CR$3&lt;INDEX(Properties!$U:$U,$B38+5)),INDEX(_Seasonality!$C$50:$N$59,$B38,MONTH(EDATE(Input!$C$7,CR$3-1)))*MIN(1,(CR$3-INDEX(Properties!$T:$T,$B38+5)+1)/Input!$C$11),0))*(1+Input!$C$8)^(CR$5-1)</f>
        <v>0</v>
      </c>
      <c r="CS38" s="123" cm="1">
        <f t="array" ref="CS38">INDEX(Properties!$D:$D,$B38+5)*(IF(AND(CS$3&gt;=INDEX(Properties!$T:$T,$B38+5),CS$3&lt;INDEX(Properties!$U:$U,$B38+5)),INDEX(_Seasonality!$C$50:$N$59,$B38,MONTH(EDATE(Input!$C$7,CS$3-1)))*MIN(1,(CS$3-INDEX(Properties!$T:$T,$B38+5)+1)/Input!$C$11),0))*(1+Input!$C$8)^(CS$5-1)</f>
        <v>0</v>
      </c>
      <c r="CT38" s="123" cm="1">
        <f t="array" ref="CT38">INDEX(Properties!$D:$D,$B38+5)*(IF(AND(CT$3&gt;=INDEX(Properties!$T:$T,$B38+5),CT$3&lt;INDEX(Properties!$U:$U,$B38+5)),INDEX(_Seasonality!$C$50:$N$59,$B38,MONTH(EDATE(Input!$C$7,CT$3-1)))*MIN(1,(CT$3-INDEX(Properties!$T:$T,$B38+5)+1)/Input!$C$11),0))*(1+Input!$C$8)^(CT$5-1)</f>
        <v>0</v>
      </c>
      <c r="CU38" s="123" cm="1">
        <f t="array" ref="CU38">INDEX(Properties!$D:$D,$B38+5)*(IF(AND(CU$3&gt;=INDEX(Properties!$T:$T,$B38+5),CU$3&lt;INDEX(Properties!$U:$U,$B38+5)),INDEX(_Seasonality!$C$50:$N$59,$B38,MONTH(EDATE(Input!$C$7,CU$3-1)))*MIN(1,(CU$3-INDEX(Properties!$T:$T,$B38+5)+1)/Input!$C$11),0))*(1+Input!$C$8)^(CU$5-1)</f>
        <v>0</v>
      </c>
      <c r="CV38" s="123" cm="1">
        <f t="array" ref="CV38">INDEX(Properties!$D:$D,$B38+5)*(IF(AND(CV$3&gt;=INDEX(Properties!$T:$T,$B38+5),CV$3&lt;INDEX(Properties!$U:$U,$B38+5)),INDEX(_Seasonality!$C$50:$N$59,$B38,MONTH(EDATE(Input!$C$7,CV$3-1)))*MIN(1,(CV$3-INDEX(Properties!$T:$T,$B38+5)+1)/Input!$C$11),0))*(1+Input!$C$8)^(CV$5-1)</f>
        <v>0</v>
      </c>
      <c r="CW38" s="123" cm="1">
        <f t="array" ref="CW38">INDEX(Properties!$D:$D,$B38+5)*(IF(AND(CW$3&gt;=INDEX(Properties!$T:$T,$B38+5),CW$3&lt;INDEX(Properties!$U:$U,$B38+5)),INDEX(_Seasonality!$C$50:$N$59,$B38,MONTH(EDATE(Input!$C$7,CW$3-1)))*MIN(1,(CW$3-INDEX(Properties!$T:$T,$B38+5)+1)/Input!$C$11),0))*(1+Input!$C$8)^(CW$5-1)</f>
        <v>0</v>
      </c>
      <c r="CX38" s="123" cm="1">
        <f t="array" ref="CX38">INDEX(Properties!$D:$D,$B38+5)*(IF(AND(CX$3&gt;=INDEX(Properties!$T:$T,$B38+5),CX$3&lt;INDEX(Properties!$U:$U,$B38+5)),INDEX(_Seasonality!$C$50:$N$59,$B38,MONTH(EDATE(Input!$C$7,CX$3-1)))*MIN(1,(CX$3-INDEX(Properties!$T:$T,$B38+5)+1)/Input!$C$11),0))*(1+Input!$C$8)^(CX$5-1)</f>
        <v>0</v>
      </c>
      <c r="CY38" s="123" cm="1">
        <f t="array" ref="CY38">INDEX(Properties!$D:$D,$B38+5)*(IF(AND(CY$3&gt;=INDEX(Properties!$T:$T,$B38+5),CY$3&lt;INDEX(Properties!$U:$U,$B38+5)),INDEX(_Seasonality!$C$50:$N$59,$B38,MONTH(EDATE(Input!$C$7,CY$3-1)))*MIN(1,(CY$3-INDEX(Properties!$T:$T,$B38+5)+1)/Input!$C$11),0))*(1+Input!$C$8)^(CY$5-1)</f>
        <v>0</v>
      </c>
      <c r="CZ38" s="123" cm="1">
        <f t="array" ref="CZ38">INDEX(Properties!$D:$D,$B38+5)*(IF(AND(CZ$3&gt;=INDEX(Properties!$T:$T,$B38+5),CZ$3&lt;INDEX(Properties!$U:$U,$B38+5)),INDEX(_Seasonality!$C$50:$N$59,$B38,MONTH(EDATE(Input!$C$7,CZ$3-1)))*MIN(1,(CZ$3-INDEX(Properties!$T:$T,$B38+5)+1)/Input!$C$11),0))*(1+Input!$C$8)^(CZ$5-1)</f>
        <v>0</v>
      </c>
      <c r="DA38" s="123" cm="1">
        <f t="array" ref="DA38">INDEX(Properties!$D:$D,$B38+5)*(IF(AND(DA$3&gt;=INDEX(Properties!$T:$T,$B38+5),DA$3&lt;INDEX(Properties!$U:$U,$B38+5)),INDEX(_Seasonality!$C$50:$N$59,$B38,MONTH(EDATE(Input!$C$7,DA$3-1)))*MIN(1,(DA$3-INDEX(Properties!$T:$T,$B38+5)+1)/Input!$C$11),0))*(1+Input!$C$8)^(DA$5-1)</f>
        <v>0</v>
      </c>
      <c r="DB38" s="123" cm="1">
        <f t="array" ref="DB38">INDEX(Properties!$D:$D,$B38+5)*(IF(AND(DB$3&gt;=INDEX(Properties!$T:$T,$B38+5),DB$3&lt;INDEX(Properties!$U:$U,$B38+5)),INDEX(_Seasonality!$C$50:$N$59,$B38,MONTH(EDATE(Input!$C$7,DB$3-1)))*MIN(1,(DB$3-INDEX(Properties!$T:$T,$B38+5)+1)/Input!$C$11),0))*(1+Input!$C$8)^(DB$5-1)</f>
        <v>0</v>
      </c>
      <c r="DC38" s="123" cm="1">
        <f t="array" ref="DC38">INDEX(Properties!$D:$D,$B38+5)*(IF(AND(DC$3&gt;=INDEX(Properties!$T:$T,$B38+5),DC$3&lt;INDEX(Properties!$U:$U,$B38+5)),INDEX(_Seasonality!$C$50:$N$59,$B38,MONTH(EDATE(Input!$C$7,DC$3-1)))*MIN(1,(DC$3-INDEX(Properties!$T:$T,$B38+5)+1)/Input!$C$11),0))*(1+Input!$C$8)^(DC$5-1)</f>
        <v>0</v>
      </c>
      <c r="DD38" s="123" cm="1">
        <f t="array" ref="DD38">INDEX(Properties!$D:$D,$B38+5)*(IF(AND(DD$3&gt;=INDEX(Properties!$T:$T,$B38+5),DD$3&lt;INDEX(Properties!$U:$U,$B38+5)),INDEX(_Seasonality!$C$50:$N$59,$B38,MONTH(EDATE(Input!$C$7,DD$3-1)))*MIN(1,(DD$3-INDEX(Properties!$T:$T,$B38+5)+1)/Input!$C$11),0))*(1+Input!$C$8)^(DD$5-1)</f>
        <v>0</v>
      </c>
      <c r="DE38" s="123" cm="1">
        <f t="array" ref="DE38">INDEX(Properties!$D:$D,$B38+5)*(IF(AND(DE$3&gt;=INDEX(Properties!$T:$T,$B38+5),DE$3&lt;INDEX(Properties!$U:$U,$B38+5)),INDEX(_Seasonality!$C$50:$N$59,$B38,MONTH(EDATE(Input!$C$7,DE$3-1)))*MIN(1,(DE$3-INDEX(Properties!$T:$T,$B38+5)+1)/Input!$C$11),0))*(1+Input!$C$8)^(DE$5-1)</f>
        <v>0</v>
      </c>
      <c r="DF38" s="123" cm="1">
        <f t="array" ref="DF38">INDEX(Properties!$D:$D,$B38+5)*(IF(AND(DF$3&gt;=INDEX(Properties!$T:$T,$B38+5),DF$3&lt;INDEX(Properties!$U:$U,$B38+5)),INDEX(_Seasonality!$C$50:$N$59,$B38,MONTH(EDATE(Input!$C$7,DF$3-1)))*MIN(1,(DF$3-INDEX(Properties!$T:$T,$B38+5)+1)/Input!$C$11),0))*(1+Input!$C$8)^(DF$5-1)</f>
        <v>0</v>
      </c>
      <c r="DG38" s="123" cm="1">
        <f t="array" ref="DG38">INDEX(Properties!$D:$D,$B38+5)*(IF(AND(DG$3&gt;=INDEX(Properties!$T:$T,$B38+5),DG$3&lt;INDEX(Properties!$U:$U,$B38+5)),INDEX(_Seasonality!$C$50:$N$59,$B38,MONTH(EDATE(Input!$C$7,DG$3-1)))*MIN(1,(DG$3-INDEX(Properties!$T:$T,$B38+5)+1)/Input!$C$11),0))*(1+Input!$C$8)^(DG$5-1)</f>
        <v>0</v>
      </c>
      <c r="DH38" s="123" cm="1">
        <f t="array" ref="DH38">INDEX(Properties!$D:$D,$B38+5)*(IF(AND(DH$3&gt;=INDEX(Properties!$T:$T,$B38+5),DH$3&lt;INDEX(Properties!$U:$U,$B38+5)),INDEX(_Seasonality!$C$50:$N$59,$B38,MONTH(EDATE(Input!$C$7,DH$3-1)))*MIN(1,(DH$3-INDEX(Properties!$T:$T,$B38+5)+1)/Input!$C$11),0))*(1+Input!$C$8)^(DH$5-1)</f>
        <v>0</v>
      </c>
      <c r="DI38" s="123" cm="1">
        <f t="array" ref="DI38">INDEX(Properties!$D:$D,$B38+5)*(IF(AND(DI$3&gt;=INDEX(Properties!$T:$T,$B38+5),DI$3&lt;INDEX(Properties!$U:$U,$B38+5)),INDEX(_Seasonality!$C$50:$N$59,$B38,MONTH(EDATE(Input!$C$7,DI$3-1)))*MIN(1,(DI$3-INDEX(Properties!$T:$T,$B38+5)+1)/Input!$C$11),0))*(1+Input!$C$8)^(DI$5-1)</f>
        <v>0</v>
      </c>
      <c r="DJ38" s="123" cm="1">
        <f t="array" ref="DJ38">INDEX(Properties!$D:$D,$B38+5)*(IF(AND(DJ$3&gt;=INDEX(Properties!$T:$T,$B38+5),DJ$3&lt;INDEX(Properties!$U:$U,$B38+5)),INDEX(_Seasonality!$C$50:$N$59,$B38,MONTH(EDATE(Input!$C$7,DJ$3-1)))*MIN(1,(DJ$3-INDEX(Properties!$T:$T,$B38+5)+1)/Input!$C$11),0))*(1+Input!$C$8)^(DJ$5-1)</f>
        <v>0</v>
      </c>
      <c r="DK38" s="123" cm="1">
        <f t="array" ref="DK38">INDEX(Properties!$D:$D,$B38+5)*(IF(AND(DK$3&gt;=INDEX(Properties!$T:$T,$B38+5),DK$3&lt;INDEX(Properties!$U:$U,$B38+5)),INDEX(_Seasonality!$C$50:$N$59,$B38,MONTH(EDATE(Input!$C$7,DK$3-1)))*MIN(1,(DK$3-INDEX(Properties!$T:$T,$B38+5)+1)/Input!$C$11),0))*(1+Input!$C$8)^(DK$5-1)</f>
        <v>0</v>
      </c>
      <c r="DL38" s="123" cm="1">
        <f t="array" ref="DL38">INDEX(Properties!$D:$D,$B38+5)*(IF(AND(DL$3&gt;=INDEX(Properties!$T:$T,$B38+5),DL$3&lt;INDEX(Properties!$U:$U,$B38+5)),INDEX(_Seasonality!$C$50:$N$59,$B38,MONTH(EDATE(Input!$C$7,DL$3-1)))*MIN(1,(DL$3-INDEX(Properties!$T:$T,$B38+5)+1)/Input!$C$11),0))*(1+Input!$C$8)^(DL$5-1)</f>
        <v>0</v>
      </c>
      <c r="DM38" s="123" cm="1">
        <f t="array" ref="DM38">INDEX(Properties!$D:$D,$B38+5)*(IF(AND(DM$3&gt;=INDEX(Properties!$T:$T,$B38+5),DM$3&lt;INDEX(Properties!$U:$U,$B38+5)),INDEX(_Seasonality!$C$50:$N$59,$B38,MONTH(EDATE(Input!$C$7,DM$3-1)))*MIN(1,(DM$3-INDEX(Properties!$T:$T,$B38+5)+1)/Input!$C$11),0))*(1+Input!$C$8)^(DM$5-1)</f>
        <v>0</v>
      </c>
      <c r="DN38" s="123" cm="1">
        <f t="array" ref="DN38">INDEX(Properties!$D:$D,$B38+5)*(IF(AND(DN$3&gt;=INDEX(Properties!$T:$T,$B38+5),DN$3&lt;INDEX(Properties!$U:$U,$B38+5)),INDEX(_Seasonality!$C$50:$N$59,$B38,MONTH(EDATE(Input!$C$7,DN$3-1)))*MIN(1,(DN$3-INDEX(Properties!$T:$T,$B38+5)+1)/Input!$C$11),0))*(1+Input!$C$8)^(DN$5-1)</f>
        <v>0</v>
      </c>
      <c r="DO38" s="123" cm="1">
        <f t="array" ref="DO38">INDEX(Properties!$D:$D,$B38+5)*(IF(AND(DO$3&gt;=INDEX(Properties!$T:$T,$B38+5),DO$3&lt;INDEX(Properties!$U:$U,$B38+5)),INDEX(_Seasonality!$C$50:$N$59,$B38,MONTH(EDATE(Input!$C$7,DO$3-1)))*MIN(1,(DO$3-INDEX(Properties!$T:$T,$B38+5)+1)/Input!$C$11),0))*(1+Input!$C$8)^(DO$5-1)</f>
        <v>0</v>
      </c>
      <c r="DP38" s="123" cm="1">
        <f t="array" ref="DP38">INDEX(Properties!$D:$D,$B38+5)*(IF(AND(DP$3&gt;=INDEX(Properties!$T:$T,$B38+5),DP$3&lt;INDEX(Properties!$U:$U,$B38+5)),INDEX(_Seasonality!$C$50:$N$59,$B38,MONTH(EDATE(Input!$C$7,DP$3-1)))*MIN(1,(DP$3-INDEX(Properties!$T:$T,$B38+5)+1)/Input!$C$11),0))*(1+Input!$C$8)^(DP$5-1)</f>
        <v>0</v>
      </c>
      <c r="DQ38" s="123" cm="1">
        <f t="array" ref="DQ38">INDEX(Properties!$D:$D,$B38+5)*(IF(AND(DQ$3&gt;=INDEX(Properties!$T:$T,$B38+5),DQ$3&lt;INDEX(Properties!$U:$U,$B38+5)),INDEX(_Seasonality!$C$50:$N$59,$B38,MONTH(EDATE(Input!$C$7,DQ$3-1)))*MIN(1,(DQ$3-INDEX(Properties!$T:$T,$B38+5)+1)/Input!$C$11),0))*(1+Input!$C$8)^(DQ$5-1)</f>
        <v>0</v>
      </c>
      <c r="DR38" s="123" cm="1">
        <f t="array" ref="DR38">INDEX(Properties!$D:$D,$B38+5)*(IF(AND(DR$3&gt;=INDEX(Properties!$T:$T,$B38+5),DR$3&lt;INDEX(Properties!$U:$U,$B38+5)),INDEX(_Seasonality!$C$50:$N$59,$B38,MONTH(EDATE(Input!$C$7,DR$3-1)))*MIN(1,(DR$3-INDEX(Properties!$T:$T,$B38+5)+1)/Input!$C$11),0))*(1+Input!$C$8)^(DR$5-1)</f>
        <v>0</v>
      </c>
    </row>
    <row r="39" spans="1:122" ht="16.05" customHeight="1" x14ac:dyDescent="0.3">
      <c r="A39" s="148" cm="1">
        <f t="array" ref="A39">INDEX(Properties!$E:$E,$B39+5)</f>
        <v>0</v>
      </c>
      <c r="B39" s="1">
        <v>6</v>
      </c>
      <c r="C39" s="123" cm="1">
        <f t="array" ref="C39">INDEX(Properties!$D:$D,$B39+5)*(IF(AND(C$3&gt;=INDEX(Properties!$T:$T,$B39+5),C$3&lt;INDEX(Properties!$U:$U,$B39+5)),INDEX(_Seasonality!$C$50:$N$59,$B39,MONTH(EDATE(Input!$C$7,C$3-1)))*MIN(1,(C$3-INDEX(Properties!$T:$T,$B39+5)+1)/Input!$C$11),0))*(1+Input!$C$8)^(C$5-1)</f>
        <v>0</v>
      </c>
      <c r="D39" s="123" cm="1">
        <f t="array" ref="D39">INDEX(Properties!$D:$D,$B39+5)*(IF(AND(D$3&gt;=INDEX(Properties!$T:$T,$B39+5),D$3&lt;INDEX(Properties!$U:$U,$B39+5)),INDEX(_Seasonality!$C$50:$N$59,$B39,MONTH(EDATE(Input!$C$7,D$3-1)))*MIN(1,(D$3-INDEX(Properties!$T:$T,$B39+5)+1)/Input!$C$11),0))*(1+Input!$C$8)^(D$5-1)</f>
        <v>0</v>
      </c>
      <c r="E39" s="123" cm="1">
        <f t="array" ref="E39">INDEX(Properties!$D:$D,$B39+5)*(IF(AND(E$3&gt;=INDEX(Properties!$T:$T,$B39+5),E$3&lt;INDEX(Properties!$U:$U,$B39+5)),INDEX(_Seasonality!$C$50:$N$59,$B39,MONTH(EDATE(Input!$C$7,E$3-1)))*MIN(1,(E$3-INDEX(Properties!$T:$T,$B39+5)+1)/Input!$C$11),0))*(1+Input!$C$8)^(E$5-1)</f>
        <v>0</v>
      </c>
      <c r="F39" s="123" cm="1">
        <f t="array" ref="F39">INDEX(Properties!$D:$D,$B39+5)*(IF(AND(F$3&gt;=INDEX(Properties!$T:$T,$B39+5),F$3&lt;INDEX(Properties!$U:$U,$B39+5)),INDEX(_Seasonality!$C$50:$N$59,$B39,MONTH(EDATE(Input!$C$7,F$3-1)))*MIN(1,(F$3-INDEX(Properties!$T:$T,$B39+5)+1)/Input!$C$11),0))*(1+Input!$C$8)^(F$5-1)</f>
        <v>0</v>
      </c>
      <c r="G39" s="123" cm="1">
        <f t="array" ref="G39">INDEX(Properties!$D:$D,$B39+5)*(IF(AND(G$3&gt;=INDEX(Properties!$T:$T,$B39+5),G$3&lt;INDEX(Properties!$U:$U,$B39+5)),INDEX(_Seasonality!$C$50:$N$59,$B39,MONTH(EDATE(Input!$C$7,G$3-1)))*MIN(1,(G$3-INDEX(Properties!$T:$T,$B39+5)+1)/Input!$C$11),0))*(1+Input!$C$8)^(G$5-1)</f>
        <v>0</v>
      </c>
      <c r="H39" s="123" cm="1">
        <f t="array" ref="H39">INDEX(Properties!$D:$D,$B39+5)*(IF(AND(H$3&gt;=INDEX(Properties!$T:$T,$B39+5),H$3&lt;INDEX(Properties!$U:$U,$B39+5)),INDEX(_Seasonality!$C$50:$N$59,$B39,MONTH(EDATE(Input!$C$7,H$3-1)))*MIN(1,(H$3-INDEX(Properties!$T:$T,$B39+5)+1)/Input!$C$11),0))*(1+Input!$C$8)^(H$5-1)</f>
        <v>0</v>
      </c>
      <c r="I39" s="123" cm="1">
        <f t="array" ref="I39">INDEX(Properties!$D:$D,$B39+5)*(IF(AND(I$3&gt;=INDEX(Properties!$T:$T,$B39+5),I$3&lt;INDEX(Properties!$U:$U,$B39+5)),INDEX(_Seasonality!$C$50:$N$59,$B39,MONTH(EDATE(Input!$C$7,I$3-1)))*MIN(1,(I$3-INDEX(Properties!$T:$T,$B39+5)+1)/Input!$C$11),0))*(1+Input!$C$8)^(I$5-1)</f>
        <v>0</v>
      </c>
      <c r="J39" s="123" cm="1">
        <f t="array" ref="J39">INDEX(Properties!$D:$D,$B39+5)*(IF(AND(J$3&gt;=INDEX(Properties!$T:$T,$B39+5),J$3&lt;INDEX(Properties!$U:$U,$B39+5)),INDEX(_Seasonality!$C$50:$N$59,$B39,MONTH(EDATE(Input!$C$7,J$3-1)))*MIN(1,(J$3-INDEX(Properties!$T:$T,$B39+5)+1)/Input!$C$11),0))*(1+Input!$C$8)^(J$5-1)</f>
        <v>0</v>
      </c>
      <c r="K39" s="123" cm="1">
        <f t="array" ref="K39">INDEX(Properties!$D:$D,$B39+5)*(IF(AND(K$3&gt;=INDEX(Properties!$T:$T,$B39+5),K$3&lt;INDEX(Properties!$U:$U,$B39+5)),INDEX(_Seasonality!$C$50:$N$59,$B39,MONTH(EDATE(Input!$C$7,K$3-1)))*MIN(1,(K$3-INDEX(Properties!$T:$T,$B39+5)+1)/Input!$C$11),0))*(1+Input!$C$8)^(K$5-1)</f>
        <v>0</v>
      </c>
      <c r="L39" s="123" cm="1">
        <f t="array" ref="L39">INDEX(Properties!$D:$D,$B39+5)*(IF(AND(L$3&gt;=INDEX(Properties!$T:$T,$B39+5),L$3&lt;INDEX(Properties!$U:$U,$B39+5)),INDEX(_Seasonality!$C$50:$N$59,$B39,MONTH(EDATE(Input!$C$7,L$3-1)))*MIN(1,(L$3-INDEX(Properties!$T:$T,$B39+5)+1)/Input!$C$11),0))*(1+Input!$C$8)^(L$5-1)</f>
        <v>0</v>
      </c>
      <c r="M39" s="123" cm="1">
        <f t="array" ref="M39">INDEX(Properties!$D:$D,$B39+5)*(IF(AND(M$3&gt;=INDEX(Properties!$T:$T,$B39+5),M$3&lt;INDEX(Properties!$U:$U,$B39+5)),INDEX(_Seasonality!$C$50:$N$59,$B39,MONTH(EDATE(Input!$C$7,M$3-1)))*MIN(1,(M$3-INDEX(Properties!$T:$T,$B39+5)+1)/Input!$C$11),0))*(1+Input!$C$8)^(M$5-1)</f>
        <v>0</v>
      </c>
      <c r="N39" s="123" cm="1">
        <f t="array" ref="N39">INDEX(Properties!$D:$D,$B39+5)*(IF(AND(N$3&gt;=INDEX(Properties!$T:$T,$B39+5),N$3&lt;INDEX(Properties!$U:$U,$B39+5)),INDEX(_Seasonality!$C$50:$N$59,$B39,MONTH(EDATE(Input!$C$7,N$3-1)))*MIN(1,(N$3-INDEX(Properties!$T:$T,$B39+5)+1)/Input!$C$11),0))*(1+Input!$C$8)^(N$5-1)</f>
        <v>0</v>
      </c>
      <c r="O39" s="123" cm="1">
        <f t="array" ref="O39">INDEX(Properties!$D:$D,$B39+5)*(IF(AND(O$3&gt;=INDEX(Properties!$T:$T,$B39+5),O$3&lt;INDEX(Properties!$U:$U,$B39+5)),INDEX(_Seasonality!$C$50:$N$59,$B39,MONTH(EDATE(Input!$C$7,O$3-1)))*MIN(1,(O$3-INDEX(Properties!$T:$T,$B39+5)+1)/Input!$C$11),0))*(1+Input!$C$8)^(O$5-1)</f>
        <v>0</v>
      </c>
      <c r="P39" s="123" cm="1">
        <f t="array" ref="P39">INDEX(Properties!$D:$D,$B39+5)*(IF(AND(P$3&gt;=INDEX(Properties!$T:$T,$B39+5),P$3&lt;INDEX(Properties!$U:$U,$B39+5)),INDEX(_Seasonality!$C$50:$N$59,$B39,MONTH(EDATE(Input!$C$7,P$3-1)))*MIN(1,(P$3-INDEX(Properties!$T:$T,$B39+5)+1)/Input!$C$11),0))*(1+Input!$C$8)^(P$5-1)</f>
        <v>0</v>
      </c>
      <c r="Q39" s="123" cm="1">
        <f t="array" ref="Q39">INDEX(Properties!$D:$D,$B39+5)*(IF(AND(Q$3&gt;=INDEX(Properties!$T:$T,$B39+5),Q$3&lt;INDEX(Properties!$U:$U,$B39+5)),INDEX(_Seasonality!$C$50:$N$59,$B39,MONTH(EDATE(Input!$C$7,Q$3-1)))*MIN(1,(Q$3-INDEX(Properties!$T:$T,$B39+5)+1)/Input!$C$11),0))*(1+Input!$C$8)^(Q$5-1)</f>
        <v>0</v>
      </c>
      <c r="R39" s="123" cm="1">
        <f t="array" ref="R39">INDEX(Properties!$D:$D,$B39+5)*(IF(AND(R$3&gt;=INDEX(Properties!$T:$T,$B39+5),R$3&lt;INDEX(Properties!$U:$U,$B39+5)),INDEX(_Seasonality!$C$50:$N$59,$B39,MONTH(EDATE(Input!$C$7,R$3-1)))*MIN(1,(R$3-INDEX(Properties!$T:$T,$B39+5)+1)/Input!$C$11),0))*(1+Input!$C$8)^(R$5-1)</f>
        <v>0</v>
      </c>
      <c r="S39" s="123" cm="1">
        <f t="array" ref="S39">INDEX(Properties!$D:$D,$B39+5)*(IF(AND(S$3&gt;=INDEX(Properties!$T:$T,$B39+5),S$3&lt;INDEX(Properties!$U:$U,$B39+5)),INDEX(_Seasonality!$C$50:$N$59,$B39,MONTH(EDATE(Input!$C$7,S$3-1)))*MIN(1,(S$3-INDEX(Properties!$T:$T,$B39+5)+1)/Input!$C$11),0))*(1+Input!$C$8)^(S$5-1)</f>
        <v>0</v>
      </c>
      <c r="T39" s="123" cm="1">
        <f t="array" ref="T39">INDEX(Properties!$D:$D,$B39+5)*(IF(AND(T$3&gt;=INDEX(Properties!$T:$T,$B39+5),T$3&lt;INDEX(Properties!$U:$U,$B39+5)),INDEX(_Seasonality!$C$50:$N$59,$B39,MONTH(EDATE(Input!$C$7,T$3-1)))*MIN(1,(T$3-INDEX(Properties!$T:$T,$B39+5)+1)/Input!$C$11),0))*(1+Input!$C$8)^(T$5-1)</f>
        <v>0</v>
      </c>
      <c r="U39" s="123" cm="1">
        <f t="array" ref="U39">INDEX(Properties!$D:$D,$B39+5)*(IF(AND(U$3&gt;=INDEX(Properties!$T:$T,$B39+5),U$3&lt;INDEX(Properties!$U:$U,$B39+5)),INDEX(_Seasonality!$C$50:$N$59,$B39,MONTH(EDATE(Input!$C$7,U$3-1)))*MIN(1,(U$3-INDEX(Properties!$T:$T,$B39+5)+1)/Input!$C$11),0))*(1+Input!$C$8)^(U$5-1)</f>
        <v>0</v>
      </c>
      <c r="V39" s="123" cm="1">
        <f t="array" ref="V39">INDEX(Properties!$D:$D,$B39+5)*(IF(AND(V$3&gt;=INDEX(Properties!$T:$T,$B39+5),V$3&lt;INDEX(Properties!$U:$U,$B39+5)),INDEX(_Seasonality!$C$50:$N$59,$B39,MONTH(EDATE(Input!$C$7,V$3-1)))*MIN(1,(V$3-INDEX(Properties!$T:$T,$B39+5)+1)/Input!$C$11),0))*(1+Input!$C$8)^(V$5-1)</f>
        <v>0</v>
      </c>
      <c r="W39" s="123" cm="1">
        <f t="array" ref="W39">INDEX(Properties!$D:$D,$B39+5)*(IF(AND(W$3&gt;=INDEX(Properties!$T:$T,$B39+5),W$3&lt;INDEX(Properties!$U:$U,$B39+5)),INDEX(_Seasonality!$C$50:$N$59,$B39,MONTH(EDATE(Input!$C$7,W$3-1)))*MIN(1,(W$3-INDEX(Properties!$T:$T,$B39+5)+1)/Input!$C$11),0))*(1+Input!$C$8)^(W$5-1)</f>
        <v>0</v>
      </c>
      <c r="X39" s="123" cm="1">
        <f t="array" ref="X39">INDEX(Properties!$D:$D,$B39+5)*(IF(AND(X$3&gt;=INDEX(Properties!$T:$T,$B39+5),X$3&lt;INDEX(Properties!$U:$U,$B39+5)),INDEX(_Seasonality!$C$50:$N$59,$B39,MONTH(EDATE(Input!$C$7,X$3-1)))*MIN(1,(X$3-INDEX(Properties!$T:$T,$B39+5)+1)/Input!$C$11),0))*(1+Input!$C$8)^(X$5-1)</f>
        <v>0</v>
      </c>
      <c r="Y39" s="123" cm="1">
        <f t="array" ref="Y39">INDEX(Properties!$D:$D,$B39+5)*(IF(AND(Y$3&gt;=INDEX(Properties!$T:$T,$B39+5),Y$3&lt;INDEX(Properties!$U:$U,$B39+5)),INDEX(_Seasonality!$C$50:$N$59,$B39,MONTH(EDATE(Input!$C$7,Y$3-1)))*MIN(1,(Y$3-INDEX(Properties!$T:$T,$B39+5)+1)/Input!$C$11),0))*(1+Input!$C$8)^(Y$5-1)</f>
        <v>0</v>
      </c>
      <c r="Z39" s="123" cm="1">
        <f t="array" ref="Z39">INDEX(Properties!$D:$D,$B39+5)*(IF(AND(Z$3&gt;=INDEX(Properties!$T:$T,$B39+5),Z$3&lt;INDEX(Properties!$U:$U,$B39+5)),INDEX(_Seasonality!$C$50:$N$59,$B39,MONTH(EDATE(Input!$C$7,Z$3-1)))*MIN(1,(Z$3-INDEX(Properties!$T:$T,$B39+5)+1)/Input!$C$11),0))*(1+Input!$C$8)^(Z$5-1)</f>
        <v>0</v>
      </c>
      <c r="AA39" s="123" cm="1">
        <f t="array" ref="AA39">INDEX(Properties!$D:$D,$B39+5)*(IF(AND(AA$3&gt;=INDEX(Properties!$T:$T,$B39+5),AA$3&lt;INDEX(Properties!$U:$U,$B39+5)),INDEX(_Seasonality!$C$50:$N$59,$B39,MONTH(EDATE(Input!$C$7,AA$3-1)))*MIN(1,(AA$3-INDEX(Properties!$T:$T,$B39+5)+1)/Input!$C$11),0))*(1+Input!$C$8)^(AA$5-1)</f>
        <v>0</v>
      </c>
      <c r="AB39" s="123" cm="1">
        <f t="array" ref="AB39">INDEX(Properties!$D:$D,$B39+5)*(IF(AND(AB$3&gt;=INDEX(Properties!$T:$T,$B39+5),AB$3&lt;INDEX(Properties!$U:$U,$B39+5)),INDEX(_Seasonality!$C$50:$N$59,$B39,MONTH(EDATE(Input!$C$7,AB$3-1)))*MIN(1,(AB$3-INDEX(Properties!$T:$T,$B39+5)+1)/Input!$C$11),0))*(1+Input!$C$8)^(AB$5-1)</f>
        <v>0</v>
      </c>
      <c r="AC39" s="123" cm="1">
        <f t="array" ref="AC39">INDEX(Properties!$D:$D,$B39+5)*(IF(AND(AC$3&gt;=INDEX(Properties!$T:$T,$B39+5),AC$3&lt;INDEX(Properties!$U:$U,$B39+5)),INDEX(_Seasonality!$C$50:$N$59,$B39,MONTH(EDATE(Input!$C$7,AC$3-1)))*MIN(1,(AC$3-INDEX(Properties!$T:$T,$B39+5)+1)/Input!$C$11),0))*(1+Input!$C$8)^(AC$5-1)</f>
        <v>0</v>
      </c>
      <c r="AD39" s="123" cm="1">
        <f t="array" ref="AD39">INDEX(Properties!$D:$D,$B39+5)*(IF(AND(AD$3&gt;=INDEX(Properties!$T:$T,$B39+5),AD$3&lt;INDEX(Properties!$U:$U,$B39+5)),INDEX(_Seasonality!$C$50:$N$59,$B39,MONTH(EDATE(Input!$C$7,AD$3-1)))*MIN(1,(AD$3-INDEX(Properties!$T:$T,$B39+5)+1)/Input!$C$11),0))*(1+Input!$C$8)^(AD$5-1)</f>
        <v>0</v>
      </c>
      <c r="AE39" s="123" cm="1">
        <f t="array" ref="AE39">INDEX(Properties!$D:$D,$B39+5)*(IF(AND(AE$3&gt;=INDEX(Properties!$T:$T,$B39+5),AE$3&lt;INDEX(Properties!$U:$U,$B39+5)),INDEX(_Seasonality!$C$50:$N$59,$B39,MONTH(EDATE(Input!$C$7,AE$3-1)))*MIN(1,(AE$3-INDEX(Properties!$T:$T,$B39+5)+1)/Input!$C$11),0))*(1+Input!$C$8)^(AE$5-1)</f>
        <v>0</v>
      </c>
      <c r="AF39" s="123" cm="1">
        <f t="array" ref="AF39">INDEX(Properties!$D:$D,$B39+5)*(IF(AND(AF$3&gt;=INDEX(Properties!$T:$T,$B39+5),AF$3&lt;INDEX(Properties!$U:$U,$B39+5)),INDEX(_Seasonality!$C$50:$N$59,$B39,MONTH(EDATE(Input!$C$7,AF$3-1)))*MIN(1,(AF$3-INDEX(Properties!$T:$T,$B39+5)+1)/Input!$C$11),0))*(1+Input!$C$8)^(AF$5-1)</f>
        <v>0</v>
      </c>
      <c r="AG39" s="123" cm="1">
        <f t="array" ref="AG39">INDEX(Properties!$D:$D,$B39+5)*(IF(AND(AG$3&gt;=INDEX(Properties!$T:$T,$B39+5),AG$3&lt;INDEX(Properties!$U:$U,$B39+5)),INDEX(_Seasonality!$C$50:$N$59,$B39,MONTH(EDATE(Input!$C$7,AG$3-1)))*MIN(1,(AG$3-INDEX(Properties!$T:$T,$B39+5)+1)/Input!$C$11),0))*(1+Input!$C$8)^(AG$5-1)</f>
        <v>0</v>
      </c>
      <c r="AH39" s="123" cm="1">
        <f t="array" ref="AH39">INDEX(Properties!$D:$D,$B39+5)*(IF(AND(AH$3&gt;=INDEX(Properties!$T:$T,$B39+5),AH$3&lt;INDEX(Properties!$U:$U,$B39+5)),INDEX(_Seasonality!$C$50:$N$59,$B39,MONTH(EDATE(Input!$C$7,AH$3-1)))*MIN(1,(AH$3-INDEX(Properties!$T:$T,$B39+5)+1)/Input!$C$11),0))*(1+Input!$C$8)^(AH$5-1)</f>
        <v>0</v>
      </c>
      <c r="AI39" s="123" cm="1">
        <f t="array" ref="AI39">INDEX(Properties!$D:$D,$B39+5)*(IF(AND(AI$3&gt;=INDEX(Properties!$T:$T,$B39+5),AI$3&lt;INDEX(Properties!$U:$U,$B39+5)),INDEX(_Seasonality!$C$50:$N$59,$B39,MONTH(EDATE(Input!$C$7,AI$3-1)))*MIN(1,(AI$3-INDEX(Properties!$T:$T,$B39+5)+1)/Input!$C$11),0))*(1+Input!$C$8)^(AI$5-1)</f>
        <v>0</v>
      </c>
      <c r="AJ39" s="123" cm="1">
        <f t="array" ref="AJ39">INDEX(Properties!$D:$D,$B39+5)*(IF(AND(AJ$3&gt;=INDEX(Properties!$T:$T,$B39+5),AJ$3&lt;INDEX(Properties!$U:$U,$B39+5)),INDEX(_Seasonality!$C$50:$N$59,$B39,MONTH(EDATE(Input!$C$7,AJ$3-1)))*MIN(1,(AJ$3-INDEX(Properties!$T:$T,$B39+5)+1)/Input!$C$11),0))*(1+Input!$C$8)^(AJ$5-1)</f>
        <v>0</v>
      </c>
      <c r="AK39" s="123" cm="1">
        <f t="array" ref="AK39">INDEX(Properties!$D:$D,$B39+5)*(IF(AND(AK$3&gt;=INDEX(Properties!$T:$T,$B39+5),AK$3&lt;INDEX(Properties!$U:$U,$B39+5)),INDEX(_Seasonality!$C$50:$N$59,$B39,MONTH(EDATE(Input!$C$7,AK$3-1)))*MIN(1,(AK$3-INDEX(Properties!$T:$T,$B39+5)+1)/Input!$C$11),0))*(1+Input!$C$8)^(AK$5-1)</f>
        <v>0</v>
      </c>
      <c r="AL39" s="123" cm="1">
        <f t="array" ref="AL39">INDEX(Properties!$D:$D,$B39+5)*(IF(AND(AL$3&gt;=INDEX(Properties!$T:$T,$B39+5),AL$3&lt;INDEX(Properties!$U:$U,$B39+5)),INDEX(_Seasonality!$C$50:$N$59,$B39,MONTH(EDATE(Input!$C$7,AL$3-1)))*MIN(1,(AL$3-INDEX(Properties!$T:$T,$B39+5)+1)/Input!$C$11),0))*(1+Input!$C$8)^(AL$5-1)</f>
        <v>0</v>
      </c>
      <c r="AM39" s="123" cm="1">
        <f t="array" ref="AM39">INDEX(Properties!$D:$D,$B39+5)*(IF(AND(AM$3&gt;=INDEX(Properties!$T:$T,$B39+5),AM$3&lt;INDEX(Properties!$U:$U,$B39+5)),INDEX(_Seasonality!$C$50:$N$59,$B39,MONTH(EDATE(Input!$C$7,AM$3-1)))*MIN(1,(AM$3-INDEX(Properties!$T:$T,$B39+5)+1)/Input!$C$11),0))*(1+Input!$C$8)^(AM$5-1)</f>
        <v>0</v>
      </c>
      <c r="AN39" s="123" cm="1">
        <f t="array" ref="AN39">INDEX(Properties!$D:$D,$B39+5)*(IF(AND(AN$3&gt;=INDEX(Properties!$T:$T,$B39+5),AN$3&lt;INDEX(Properties!$U:$U,$B39+5)),INDEX(_Seasonality!$C$50:$N$59,$B39,MONTH(EDATE(Input!$C$7,AN$3-1)))*MIN(1,(AN$3-INDEX(Properties!$T:$T,$B39+5)+1)/Input!$C$11),0))*(1+Input!$C$8)^(AN$5-1)</f>
        <v>0</v>
      </c>
      <c r="AO39" s="123" cm="1">
        <f t="array" ref="AO39">INDEX(Properties!$D:$D,$B39+5)*(IF(AND(AO$3&gt;=INDEX(Properties!$T:$T,$B39+5),AO$3&lt;INDEX(Properties!$U:$U,$B39+5)),INDEX(_Seasonality!$C$50:$N$59,$B39,MONTH(EDATE(Input!$C$7,AO$3-1)))*MIN(1,(AO$3-INDEX(Properties!$T:$T,$B39+5)+1)/Input!$C$11),0))*(1+Input!$C$8)^(AO$5-1)</f>
        <v>0</v>
      </c>
      <c r="AP39" s="123" cm="1">
        <f t="array" ref="AP39">INDEX(Properties!$D:$D,$B39+5)*(IF(AND(AP$3&gt;=INDEX(Properties!$T:$T,$B39+5),AP$3&lt;INDEX(Properties!$U:$U,$B39+5)),INDEX(_Seasonality!$C$50:$N$59,$B39,MONTH(EDATE(Input!$C$7,AP$3-1)))*MIN(1,(AP$3-INDEX(Properties!$T:$T,$B39+5)+1)/Input!$C$11),0))*(1+Input!$C$8)^(AP$5-1)</f>
        <v>0</v>
      </c>
      <c r="AQ39" s="123" cm="1">
        <f t="array" ref="AQ39">INDEX(Properties!$D:$D,$B39+5)*(IF(AND(AQ$3&gt;=INDEX(Properties!$T:$T,$B39+5),AQ$3&lt;INDEX(Properties!$U:$U,$B39+5)),INDEX(_Seasonality!$C$50:$N$59,$B39,MONTH(EDATE(Input!$C$7,AQ$3-1)))*MIN(1,(AQ$3-INDEX(Properties!$T:$T,$B39+5)+1)/Input!$C$11),0))*(1+Input!$C$8)^(AQ$5-1)</f>
        <v>0</v>
      </c>
      <c r="AR39" s="123" cm="1">
        <f t="array" ref="AR39">INDEX(Properties!$D:$D,$B39+5)*(IF(AND(AR$3&gt;=INDEX(Properties!$T:$T,$B39+5),AR$3&lt;INDEX(Properties!$U:$U,$B39+5)),INDEX(_Seasonality!$C$50:$N$59,$B39,MONTH(EDATE(Input!$C$7,AR$3-1)))*MIN(1,(AR$3-INDEX(Properties!$T:$T,$B39+5)+1)/Input!$C$11),0))*(1+Input!$C$8)^(AR$5-1)</f>
        <v>0</v>
      </c>
      <c r="AS39" s="123" cm="1">
        <f t="array" ref="AS39">INDEX(Properties!$D:$D,$B39+5)*(IF(AND(AS$3&gt;=INDEX(Properties!$T:$T,$B39+5),AS$3&lt;INDEX(Properties!$U:$U,$B39+5)),INDEX(_Seasonality!$C$50:$N$59,$B39,MONTH(EDATE(Input!$C$7,AS$3-1)))*MIN(1,(AS$3-INDEX(Properties!$T:$T,$B39+5)+1)/Input!$C$11),0))*(1+Input!$C$8)^(AS$5-1)</f>
        <v>0</v>
      </c>
      <c r="AT39" s="123" cm="1">
        <f t="array" ref="AT39">INDEX(Properties!$D:$D,$B39+5)*(IF(AND(AT$3&gt;=INDEX(Properties!$T:$T,$B39+5),AT$3&lt;INDEX(Properties!$U:$U,$B39+5)),INDEX(_Seasonality!$C$50:$N$59,$B39,MONTH(EDATE(Input!$C$7,AT$3-1)))*MIN(1,(AT$3-INDEX(Properties!$T:$T,$B39+5)+1)/Input!$C$11),0))*(1+Input!$C$8)^(AT$5-1)</f>
        <v>0</v>
      </c>
      <c r="AU39" s="123" cm="1">
        <f t="array" ref="AU39">INDEX(Properties!$D:$D,$B39+5)*(IF(AND(AU$3&gt;=INDEX(Properties!$T:$T,$B39+5),AU$3&lt;INDEX(Properties!$U:$U,$B39+5)),INDEX(_Seasonality!$C$50:$N$59,$B39,MONTH(EDATE(Input!$C$7,AU$3-1)))*MIN(1,(AU$3-INDEX(Properties!$T:$T,$B39+5)+1)/Input!$C$11),0))*(1+Input!$C$8)^(AU$5-1)</f>
        <v>0</v>
      </c>
      <c r="AV39" s="123" cm="1">
        <f t="array" ref="AV39">INDEX(Properties!$D:$D,$B39+5)*(IF(AND(AV$3&gt;=INDEX(Properties!$T:$T,$B39+5),AV$3&lt;INDEX(Properties!$U:$U,$B39+5)),INDEX(_Seasonality!$C$50:$N$59,$B39,MONTH(EDATE(Input!$C$7,AV$3-1)))*MIN(1,(AV$3-INDEX(Properties!$T:$T,$B39+5)+1)/Input!$C$11),0))*(1+Input!$C$8)^(AV$5-1)</f>
        <v>0</v>
      </c>
      <c r="AW39" s="123" cm="1">
        <f t="array" ref="AW39">INDEX(Properties!$D:$D,$B39+5)*(IF(AND(AW$3&gt;=INDEX(Properties!$T:$T,$B39+5),AW$3&lt;INDEX(Properties!$U:$U,$B39+5)),INDEX(_Seasonality!$C$50:$N$59,$B39,MONTH(EDATE(Input!$C$7,AW$3-1)))*MIN(1,(AW$3-INDEX(Properties!$T:$T,$B39+5)+1)/Input!$C$11),0))*(1+Input!$C$8)^(AW$5-1)</f>
        <v>0</v>
      </c>
      <c r="AX39" s="123" cm="1">
        <f t="array" ref="AX39">INDEX(Properties!$D:$D,$B39+5)*(IF(AND(AX$3&gt;=INDEX(Properties!$T:$T,$B39+5),AX$3&lt;INDEX(Properties!$U:$U,$B39+5)),INDEX(_Seasonality!$C$50:$N$59,$B39,MONTH(EDATE(Input!$C$7,AX$3-1)))*MIN(1,(AX$3-INDEX(Properties!$T:$T,$B39+5)+1)/Input!$C$11),0))*(1+Input!$C$8)^(AX$5-1)</f>
        <v>0</v>
      </c>
      <c r="AY39" s="123" cm="1">
        <f t="array" ref="AY39">INDEX(Properties!$D:$D,$B39+5)*(IF(AND(AY$3&gt;=INDEX(Properties!$T:$T,$B39+5),AY$3&lt;INDEX(Properties!$U:$U,$B39+5)),INDEX(_Seasonality!$C$50:$N$59,$B39,MONTH(EDATE(Input!$C$7,AY$3-1)))*MIN(1,(AY$3-INDEX(Properties!$T:$T,$B39+5)+1)/Input!$C$11),0))*(1+Input!$C$8)^(AY$5-1)</f>
        <v>0</v>
      </c>
      <c r="AZ39" s="123" cm="1">
        <f t="array" ref="AZ39">INDEX(Properties!$D:$D,$B39+5)*(IF(AND(AZ$3&gt;=INDEX(Properties!$T:$T,$B39+5),AZ$3&lt;INDEX(Properties!$U:$U,$B39+5)),INDEX(_Seasonality!$C$50:$N$59,$B39,MONTH(EDATE(Input!$C$7,AZ$3-1)))*MIN(1,(AZ$3-INDEX(Properties!$T:$T,$B39+5)+1)/Input!$C$11),0))*(1+Input!$C$8)^(AZ$5-1)</f>
        <v>0</v>
      </c>
      <c r="BA39" s="123" cm="1">
        <f t="array" ref="BA39">INDEX(Properties!$D:$D,$B39+5)*(IF(AND(BA$3&gt;=INDEX(Properties!$T:$T,$B39+5),BA$3&lt;INDEX(Properties!$U:$U,$B39+5)),INDEX(_Seasonality!$C$50:$N$59,$B39,MONTH(EDATE(Input!$C$7,BA$3-1)))*MIN(1,(BA$3-INDEX(Properties!$T:$T,$B39+5)+1)/Input!$C$11),0))*(1+Input!$C$8)^(BA$5-1)</f>
        <v>0</v>
      </c>
      <c r="BB39" s="123" cm="1">
        <f t="array" ref="BB39">INDEX(Properties!$D:$D,$B39+5)*(IF(AND(BB$3&gt;=INDEX(Properties!$T:$T,$B39+5),BB$3&lt;INDEX(Properties!$U:$U,$B39+5)),INDEX(_Seasonality!$C$50:$N$59,$B39,MONTH(EDATE(Input!$C$7,BB$3-1)))*MIN(1,(BB$3-INDEX(Properties!$T:$T,$B39+5)+1)/Input!$C$11),0))*(1+Input!$C$8)^(BB$5-1)</f>
        <v>0</v>
      </c>
      <c r="BC39" s="123" cm="1">
        <f t="array" ref="BC39">INDEX(Properties!$D:$D,$B39+5)*(IF(AND(BC$3&gt;=INDEX(Properties!$T:$T,$B39+5),BC$3&lt;INDEX(Properties!$U:$U,$B39+5)),INDEX(_Seasonality!$C$50:$N$59,$B39,MONTH(EDATE(Input!$C$7,BC$3-1)))*MIN(1,(BC$3-INDEX(Properties!$T:$T,$B39+5)+1)/Input!$C$11),0))*(1+Input!$C$8)^(BC$5-1)</f>
        <v>0</v>
      </c>
      <c r="BD39" s="123" cm="1">
        <f t="array" ref="BD39">INDEX(Properties!$D:$D,$B39+5)*(IF(AND(BD$3&gt;=INDEX(Properties!$T:$T,$B39+5),BD$3&lt;INDEX(Properties!$U:$U,$B39+5)),INDEX(_Seasonality!$C$50:$N$59,$B39,MONTH(EDATE(Input!$C$7,BD$3-1)))*MIN(1,(BD$3-INDEX(Properties!$T:$T,$B39+5)+1)/Input!$C$11),0))*(1+Input!$C$8)^(BD$5-1)</f>
        <v>0</v>
      </c>
      <c r="BE39" s="123" cm="1">
        <f t="array" ref="BE39">INDEX(Properties!$D:$D,$B39+5)*(IF(AND(BE$3&gt;=INDEX(Properties!$T:$T,$B39+5),BE$3&lt;INDEX(Properties!$U:$U,$B39+5)),INDEX(_Seasonality!$C$50:$N$59,$B39,MONTH(EDATE(Input!$C$7,BE$3-1)))*MIN(1,(BE$3-INDEX(Properties!$T:$T,$B39+5)+1)/Input!$C$11),0))*(1+Input!$C$8)^(BE$5-1)</f>
        <v>0</v>
      </c>
      <c r="BF39" s="123" cm="1">
        <f t="array" ref="BF39">INDEX(Properties!$D:$D,$B39+5)*(IF(AND(BF$3&gt;=INDEX(Properties!$T:$T,$B39+5),BF$3&lt;INDEX(Properties!$U:$U,$B39+5)),INDEX(_Seasonality!$C$50:$N$59,$B39,MONTH(EDATE(Input!$C$7,BF$3-1)))*MIN(1,(BF$3-INDEX(Properties!$T:$T,$B39+5)+1)/Input!$C$11),0))*(1+Input!$C$8)^(BF$5-1)</f>
        <v>0</v>
      </c>
      <c r="BG39" s="123" cm="1">
        <f t="array" ref="BG39">INDEX(Properties!$D:$D,$B39+5)*(IF(AND(BG$3&gt;=INDEX(Properties!$T:$T,$B39+5),BG$3&lt;INDEX(Properties!$U:$U,$B39+5)),INDEX(_Seasonality!$C$50:$N$59,$B39,MONTH(EDATE(Input!$C$7,BG$3-1)))*MIN(1,(BG$3-INDEX(Properties!$T:$T,$B39+5)+1)/Input!$C$11),0))*(1+Input!$C$8)^(BG$5-1)</f>
        <v>0</v>
      </c>
      <c r="BH39" s="123" cm="1">
        <f t="array" ref="BH39">INDEX(Properties!$D:$D,$B39+5)*(IF(AND(BH$3&gt;=INDEX(Properties!$T:$T,$B39+5),BH$3&lt;INDEX(Properties!$U:$U,$B39+5)),INDEX(_Seasonality!$C$50:$N$59,$B39,MONTH(EDATE(Input!$C$7,BH$3-1)))*MIN(1,(BH$3-INDEX(Properties!$T:$T,$B39+5)+1)/Input!$C$11),0))*(1+Input!$C$8)^(BH$5-1)</f>
        <v>0</v>
      </c>
      <c r="BI39" s="123" cm="1">
        <f t="array" ref="BI39">INDEX(Properties!$D:$D,$B39+5)*(IF(AND(BI$3&gt;=INDEX(Properties!$T:$T,$B39+5),BI$3&lt;INDEX(Properties!$U:$U,$B39+5)),INDEX(_Seasonality!$C$50:$N$59,$B39,MONTH(EDATE(Input!$C$7,BI$3-1)))*MIN(1,(BI$3-INDEX(Properties!$T:$T,$B39+5)+1)/Input!$C$11),0))*(1+Input!$C$8)^(BI$5-1)</f>
        <v>0</v>
      </c>
      <c r="BJ39" s="123" cm="1">
        <f t="array" ref="BJ39">INDEX(Properties!$D:$D,$B39+5)*(IF(AND(BJ$3&gt;=INDEX(Properties!$T:$T,$B39+5),BJ$3&lt;INDEX(Properties!$U:$U,$B39+5)),INDEX(_Seasonality!$C$50:$N$59,$B39,MONTH(EDATE(Input!$C$7,BJ$3-1)))*MIN(1,(BJ$3-INDEX(Properties!$T:$T,$B39+5)+1)/Input!$C$11),0))*(1+Input!$C$8)^(BJ$5-1)</f>
        <v>0</v>
      </c>
      <c r="BK39" s="123" cm="1">
        <f t="array" ref="BK39">INDEX(Properties!$D:$D,$B39+5)*(IF(AND(BK$3&gt;=INDEX(Properties!$T:$T,$B39+5),BK$3&lt;INDEX(Properties!$U:$U,$B39+5)),INDEX(_Seasonality!$C$50:$N$59,$B39,MONTH(EDATE(Input!$C$7,BK$3-1)))*MIN(1,(BK$3-INDEX(Properties!$T:$T,$B39+5)+1)/Input!$C$11),0))*(1+Input!$C$8)^(BK$5-1)</f>
        <v>0</v>
      </c>
      <c r="BL39" s="123" cm="1">
        <f t="array" ref="BL39">INDEX(Properties!$D:$D,$B39+5)*(IF(AND(BL$3&gt;=INDEX(Properties!$T:$T,$B39+5),BL$3&lt;INDEX(Properties!$U:$U,$B39+5)),INDEX(_Seasonality!$C$50:$N$59,$B39,MONTH(EDATE(Input!$C$7,BL$3-1)))*MIN(1,(BL$3-INDEX(Properties!$T:$T,$B39+5)+1)/Input!$C$11),0))*(1+Input!$C$8)^(BL$5-1)</f>
        <v>0</v>
      </c>
      <c r="BM39" s="123" cm="1">
        <f t="array" ref="BM39">INDEX(Properties!$D:$D,$B39+5)*(IF(AND(BM$3&gt;=INDEX(Properties!$T:$T,$B39+5),BM$3&lt;INDEX(Properties!$U:$U,$B39+5)),INDEX(_Seasonality!$C$50:$N$59,$B39,MONTH(EDATE(Input!$C$7,BM$3-1)))*MIN(1,(BM$3-INDEX(Properties!$T:$T,$B39+5)+1)/Input!$C$11),0))*(1+Input!$C$8)^(BM$5-1)</f>
        <v>0</v>
      </c>
      <c r="BN39" s="123" cm="1">
        <f t="array" ref="BN39">INDEX(Properties!$D:$D,$B39+5)*(IF(AND(BN$3&gt;=INDEX(Properties!$T:$T,$B39+5),BN$3&lt;INDEX(Properties!$U:$U,$B39+5)),INDEX(_Seasonality!$C$50:$N$59,$B39,MONTH(EDATE(Input!$C$7,BN$3-1)))*MIN(1,(BN$3-INDEX(Properties!$T:$T,$B39+5)+1)/Input!$C$11),0))*(1+Input!$C$8)^(BN$5-1)</f>
        <v>0</v>
      </c>
      <c r="BO39" s="123" cm="1">
        <f t="array" ref="BO39">INDEX(Properties!$D:$D,$B39+5)*(IF(AND(BO$3&gt;=INDEX(Properties!$T:$T,$B39+5),BO$3&lt;INDEX(Properties!$U:$U,$B39+5)),INDEX(_Seasonality!$C$50:$N$59,$B39,MONTH(EDATE(Input!$C$7,BO$3-1)))*MIN(1,(BO$3-INDEX(Properties!$T:$T,$B39+5)+1)/Input!$C$11),0))*(1+Input!$C$8)^(BO$5-1)</f>
        <v>0</v>
      </c>
      <c r="BP39" s="123" cm="1">
        <f t="array" ref="BP39">INDEX(Properties!$D:$D,$B39+5)*(IF(AND(BP$3&gt;=INDEX(Properties!$T:$T,$B39+5),BP$3&lt;INDEX(Properties!$U:$U,$B39+5)),INDEX(_Seasonality!$C$50:$N$59,$B39,MONTH(EDATE(Input!$C$7,BP$3-1)))*MIN(1,(BP$3-INDEX(Properties!$T:$T,$B39+5)+1)/Input!$C$11),0))*(1+Input!$C$8)^(BP$5-1)</f>
        <v>0</v>
      </c>
      <c r="BQ39" s="123" cm="1">
        <f t="array" ref="BQ39">INDEX(Properties!$D:$D,$B39+5)*(IF(AND(BQ$3&gt;=INDEX(Properties!$T:$T,$B39+5),BQ$3&lt;INDEX(Properties!$U:$U,$B39+5)),INDEX(_Seasonality!$C$50:$N$59,$B39,MONTH(EDATE(Input!$C$7,BQ$3-1)))*MIN(1,(BQ$3-INDEX(Properties!$T:$T,$B39+5)+1)/Input!$C$11),0))*(1+Input!$C$8)^(BQ$5-1)</f>
        <v>0</v>
      </c>
      <c r="BR39" s="123" cm="1">
        <f t="array" ref="BR39">INDEX(Properties!$D:$D,$B39+5)*(IF(AND(BR$3&gt;=INDEX(Properties!$T:$T,$B39+5),BR$3&lt;INDEX(Properties!$U:$U,$B39+5)),INDEX(_Seasonality!$C$50:$N$59,$B39,MONTH(EDATE(Input!$C$7,BR$3-1)))*MIN(1,(BR$3-INDEX(Properties!$T:$T,$B39+5)+1)/Input!$C$11),0))*(1+Input!$C$8)^(BR$5-1)</f>
        <v>0</v>
      </c>
      <c r="BS39" s="123" cm="1">
        <f t="array" ref="BS39">INDEX(Properties!$D:$D,$B39+5)*(IF(AND(BS$3&gt;=INDEX(Properties!$T:$T,$B39+5),BS$3&lt;INDEX(Properties!$U:$U,$B39+5)),INDEX(_Seasonality!$C$50:$N$59,$B39,MONTH(EDATE(Input!$C$7,BS$3-1)))*MIN(1,(BS$3-INDEX(Properties!$T:$T,$B39+5)+1)/Input!$C$11),0))*(1+Input!$C$8)^(BS$5-1)</f>
        <v>0</v>
      </c>
      <c r="BT39" s="123" cm="1">
        <f t="array" ref="BT39">INDEX(Properties!$D:$D,$B39+5)*(IF(AND(BT$3&gt;=INDEX(Properties!$T:$T,$B39+5),BT$3&lt;INDEX(Properties!$U:$U,$B39+5)),INDEX(_Seasonality!$C$50:$N$59,$B39,MONTH(EDATE(Input!$C$7,BT$3-1)))*MIN(1,(BT$3-INDEX(Properties!$T:$T,$B39+5)+1)/Input!$C$11),0))*(1+Input!$C$8)^(BT$5-1)</f>
        <v>0</v>
      </c>
      <c r="BU39" s="123" cm="1">
        <f t="array" ref="BU39">INDEX(Properties!$D:$D,$B39+5)*(IF(AND(BU$3&gt;=INDEX(Properties!$T:$T,$B39+5),BU$3&lt;INDEX(Properties!$U:$U,$B39+5)),INDEX(_Seasonality!$C$50:$N$59,$B39,MONTH(EDATE(Input!$C$7,BU$3-1)))*MIN(1,(BU$3-INDEX(Properties!$T:$T,$B39+5)+1)/Input!$C$11),0))*(1+Input!$C$8)^(BU$5-1)</f>
        <v>0</v>
      </c>
      <c r="BV39" s="123" cm="1">
        <f t="array" ref="BV39">INDEX(Properties!$D:$D,$B39+5)*(IF(AND(BV$3&gt;=INDEX(Properties!$T:$T,$B39+5),BV$3&lt;INDEX(Properties!$U:$U,$B39+5)),INDEX(_Seasonality!$C$50:$N$59,$B39,MONTH(EDATE(Input!$C$7,BV$3-1)))*MIN(1,(BV$3-INDEX(Properties!$T:$T,$B39+5)+1)/Input!$C$11),0))*(1+Input!$C$8)^(BV$5-1)</f>
        <v>0</v>
      </c>
      <c r="BW39" s="123" cm="1">
        <f t="array" ref="BW39">INDEX(Properties!$D:$D,$B39+5)*(IF(AND(BW$3&gt;=INDEX(Properties!$T:$T,$B39+5),BW$3&lt;INDEX(Properties!$U:$U,$B39+5)),INDEX(_Seasonality!$C$50:$N$59,$B39,MONTH(EDATE(Input!$C$7,BW$3-1)))*MIN(1,(BW$3-INDEX(Properties!$T:$T,$B39+5)+1)/Input!$C$11),0))*(1+Input!$C$8)^(BW$5-1)</f>
        <v>0</v>
      </c>
      <c r="BX39" s="123" cm="1">
        <f t="array" ref="BX39">INDEX(Properties!$D:$D,$B39+5)*(IF(AND(BX$3&gt;=INDEX(Properties!$T:$T,$B39+5),BX$3&lt;INDEX(Properties!$U:$U,$B39+5)),INDEX(_Seasonality!$C$50:$N$59,$B39,MONTH(EDATE(Input!$C$7,BX$3-1)))*MIN(1,(BX$3-INDEX(Properties!$T:$T,$B39+5)+1)/Input!$C$11),0))*(1+Input!$C$8)^(BX$5-1)</f>
        <v>0</v>
      </c>
      <c r="BY39" s="123" cm="1">
        <f t="array" ref="BY39">INDEX(Properties!$D:$D,$B39+5)*(IF(AND(BY$3&gt;=INDEX(Properties!$T:$T,$B39+5),BY$3&lt;INDEX(Properties!$U:$U,$B39+5)),INDEX(_Seasonality!$C$50:$N$59,$B39,MONTH(EDATE(Input!$C$7,BY$3-1)))*MIN(1,(BY$3-INDEX(Properties!$T:$T,$B39+5)+1)/Input!$C$11),0))*(1+Input!$C$8)^(BY$5-1)</f>
        <v>0</v>
      </c>
      <c r="BZ39" s="123" cm="1">
        <f t="array" ref="BZ39">INDEX(Properties!$D:$D,$B39+5)*(IF(AND(BZ$3&gt;=INDEX(Properties!$T:$T,$B39+5),BZ$3&lt;INDEX(Properties!$U:$U,$B39+5)),INDEX(_Seasonality!$C$50:$N$59,$B39,MONTH(EDATE(Input!$C$7,BZ$3-1)))*MIN(1,(BZ$3-INDEX(Properties!$T:$T,$B39+5)+1)/Input!$C$11),0))*(1+Input!$C$8)^(BZ$5-1)</f>
        <v>0</v>
      </c>
      <c r="CA39" s="123" cm="1">
        <f t="array" ref="CA39">INDEX(Properties!$D:$D,$B39+5)*(IF(AND(CA$3&gt;=INDEX(Properties!$T:$T,$B39+5),CA$3&lt;INDEX(Properties!$U:$U,$B39+5)),INDEX(_Seasonality!$C$50:$N$59,$B39,MONTH(EDATE(Input!$C$7,CA$3-1)))*MIN(1,(CA$3-INDEX(Properties!$T:$T,$B39+5)+1)/Input!$C$11),0))*(1+Input!$C$8)^(CA$5-1)</f>
        <v>0</v>
      </c>
      <c r="CB39" s="123" cm="1">
        <f t="array" ref="CB39">INDEX(Properties!$D:$D,$B39+5)*(IF(AND(CB$3&gt;=INDEX(Properties!$T:$T,$B39+5),CB$3&lt;INDEX(Properties!$U:$U,$B39+5)),INDEX(_Seasonality!$C$50:$N$59,$B39,MONTH(EDATE(Input!$C$7,CB$3-1)))*MIN(1,(CB$3-INDEX(Properties!$T:$T,$B39+5)+1)/Input!$C$11),0))*(1+Input!$C$8)^(CB$5-1)</f>
        <v>0</v>
      </c>
      <c r="CC39" s="123" cm="1">
        <f t="array" ref="CC39">INDEX(Properties!$D:$D,$B39+5)*(IF(AND(CC$3&gt;=INDEX(Properties!$T:$T,$B39+5),CC$3&lt;INDEX(Properties!$U:$U,$B39+5)),INDEX(_Seasonality!$C$50:$N$59,$B39,MONTH(EDATE(Input!$C$7,CC$3-1)))*MIN(1,(CC$3-INDEX(Properties!$T:$T,$B39+5)+1)/Input!$C$11),0))*(1+Input!$C$8)^(CC$5-1)</f>
        <v>0</v>
      </c>
      <c r="CD39" s="123" cm="1">
        <f t="array" ref="CD39">INDEX(Properties!$D:$D,$B39+5)*(IF(AND(CD$3&gt;=INDEX(Properties!$T:$T,$B39+5),CD$3&lt;INDEX(Properties!$U:$U,$B39+5)),INDEX(_Seasonality!$C$50:$N$59,$B39,MONTH(EDATE(Input!$C$7,CD$3-1)))*MIN(1,(CD$3-INDEX(Properties!$T:$T,$B39+5)+1)/Input!$C$11),0))*(1+Input!$C$8)^(CD$5-1)</f>
        <v>0</v>
      </c>
      <c r="CE39" s="123" cm="1">
        <f t="array" ref="CE39">INDEX(Properties!$D:$D,$B39+5)*(IF(AND(CE$3&gt;=INDEX(Properties!$T:$T,$B39+5),CE$3&lt;INDEX(Properties!$U:$U,$B39+5)),INDEX(_Seasonality!$C$50:$N$59,$B39,MONTH(EDATE(Input!$C$7,CE$3-1)))*MIN(1,(CE$3-INDEX(Properties!$T:$T,$B39+5)+1)/Input!$C$11),0))*(1+Input!$C$8)^(CE$5-1)</f>
        <v>0</v>
      </c>
      <c r="CF39" s="123" cm="1">
        <f t="array" ref="CF39">INDEX(Properties!$D:$D,$B39+5)*(IF(AND(CF$3&gt;=INDEX(Properties!$T:$T,$B39+5),CF$3&lt;INDEX(Properties!$U:$U,$B39+5)),INDEX(_Seasonality!$C$50:$N$59,$B39,MONTH(EDATE(Input!$C$7,CF$3-1)))*MIN(1,(CF$3-INDEX(Properties!$T:$T,$B39+5)+1)/Input!$C$11),0))*(1+Input!$C$8)^(CF$5-1)</f>
        <v>0</v>
      </c>
      <c r="CG39" s="123" cm="1">
        <f t="array" ref="CG39">INDEX(Properties!$D:$D,$B39+5)*(IF(AND(CG$3&gt;=INDEX(Properties!$T:$T,$B39+5),CG$3&lt;INDEX(Properties!$U:$U,$B39+5)),INDEX(_Seasonality!$C$50:$N$59,$B39,MONTH(EDATE(Input!$C$7,CG$3-1)))*MIN(1,(CG$3-INDEX(Properties!$T:$T,$B39+5)+1)/Input!$C$11),0))*(1+Input!$C$8)^(CG$5-1)</f>
        <v>0</v>
      </c>
      <c r="CH39" s="123" cm="1">
        <f t="array" ref="CH39">INDEX(Properties!$D:$D,$B39+5)*(IF(AND(CH$3&gt;=INDEX(Properties!$T:$T,$B39+5),CH$3&lt;INDEX(Properties!$U:$U,$B39+5)),INDEX(_Seasonality!$C$50:$N$59,$B39,MONTH(EDATE(Input!$C$7,CH$3-1)))*MIN(1,(CH$3-INDEX(Properties!$T:$T,$B39+5)+1)/Input!$C$11),0))*(1+Input!$C$8)^(CH$5-1)</f>
        <v>0</v>
      </c>
      <c r="CI39" s="123" cm="1">
        <f t="array" ref="CI39">INDEX(Properties!$D:$D,$B39+5)*(IF(AND(CI$3&gt;=INDEX(Properties!$T:$T,$B39+5),CI$3&lt;INDEX(Properties!$U:$U,$B39+5)),INDEX(_Seasonality!$C$50:$N$59,$B39,MONTH(EDATE(Input!$C$7,CI$3-1)))*MIN(1,(CI$3-INDEX(Properties!$T:$T,$B39+5)+1)/Input!$C$11),0))*(1+Input!$C$8)^(CI$5-1)</f>
        <v>0</v>
      </c>
      <c r="CJ39" s="123" cm="1">
        <f t="array" ref="CJ39">INDEX(Properties!$D:$D,$B39+5)*(IF(AND(CJ$3&gt;=INDEX(Properties!$T:$T,$B39+5),CJ$3&lt;INDEX(Properties!$U:$U,$B39+5)),INDEX(_Seasonality!$C$50:$N$59,$B39,MONTH(EDATE(Input!$C$7,CJ$3-1)))*MIN(1,(CJ$3-INDEX(Properties!$T:$T,$B39+5)+1)/Input!$C$11),0))*(1+Input!$C$8)^(CJ$5-1)</f>
        <v>0</v>
      </c>
      <c r="CK39" s="123" cm="1">
        <f t="array" ref="CK39">INDEX(Properties!$D:$D,$B39+5)*(IF(AND(CK$3&gt;=INDEX(Properties!$T:$T,$B39+5),CK$3&lt;INDEX(Properties!$U:$U,$B39+5)),INDEX(_Seasonality!$C$50:$N$59,$B39,MONTH(EDATE(Input!$C$7,CK$3-1)))*MIN(1,(CK$3-INDEX(Properties!$T:$T,$B39+5)+1)/Input!$C$11),0))*(1+Input!$C$8)^(CK$5-1)</f>
        <v>0</v>
      </c>
      <c r="CL39" s="123" cm="1">
        <f t="array" ref="CL39">INDEX(Properties!$D:$D,$B39+5)*(IF(AND(CL$3&gt;=INDEX(Properties!$T:$T,$B39+5),CL$3&lt;INDEX(Properties!$U:$U,$B39+5)),INDEX(_Seasonality!$C$50:$N$59,$B39,MONTH(EDATE(Input!$C$7,CL$3-1)))*MIN(1,(CL$3-INDEX(Properties!$T:$T,$B39+5)+1)/Input!$C$11),0))*(1+Input!$C$8)^(CL$5-1)</f>
        <v>0</v>
      </c>
      <c r="CM39" s="123" cm="1">
        <f t="array" ref="CM39">INDEX(Properties!$D:$D,$B39+5)*(IF(AND(CM$3&gt;=INDEX(Properties!$T:$T,$B39+5),CM$3&lt;INDEX(Properties!$U:$U,$B39+5)),INDEX(_Seasonality!$C$50:$N$59,$B39,MONTH(EDATE(Input!$C$7,CM$3-1)))*MIN(1,(CM$3-INDEX(Properties!$T:$T,$B39+5)+1)/Input!$C$11),0))*(1+Input!$C$8)^(CM$5-1)</f>
        <v>0</v>
      </c>
      <c r="CN39" s="123" cm="1">
        <f t="array" ref="CN39">INDEX(Properties!$D:$D,$B39+5)*(IF(AND(CN$3&gt;=INDEX(Properties!$T:$T,$B39+5),CN$3&lt;INDEX(Properties!$U:$U,$B39+5)),INDEX(_Seasonality!$C$50:$N$59,$B39,MONTH(EDATE(Input!$C$7,CN$3-1)))*MIN(1,(CN$3-INDEX(Properties!$T:$T,$B39+5)+1)/Input!$C$11),0))*(1+Input!$C$8)^(CN$5-1)</f>
        <v>0</v>
      </c>
      <c r="CO39" s="123" cm="1">
        <f t="array" ref="CO39">INDEX(Properties!$D:$D,$B39+5)*(IF(AND(CO$3&gt;=INDEX(Properties!$T:$T,$B39+5),CO$3&lt;INDEX(Properties!$U:$U,$B39+5)),INDEX(_Seasonality!$C$50:$N$59,$B39,MONTH(EDATE(Input!$C$7,CO$3-1)))*MIN(1,(CO$3-INDEX(Properties!$T:$T,$B39+5)+1)/Input!$C$11),0))*(1+Input!$C$8)^(CO$5-1)</f>
        <v>0</v>
      </c>
      <c r="CP39" s="123" cm="1">
        <f t="array" ref="CP39">INDEX(Properties!$D:$D,$B39+5)*(IF(AND(CP$3&gt;=INDEX(Properties!$T:$T,$B39+5),CP$3&lt;INDEX(Properties!$U:$U,$B39+5)),INDEX(_Seasonality!$C$50:$N$59,$B39,MONTH(EDATE(Input!$C$7,CP$3-1)))*MIN(1,(CP$3-INDEX(Properties!$T:$T,$B39+5)+1)/Input!$C$11),0))*(1+Input!$C$8)^(CP$5-1)</f>
        <v>0</v>
      </c>
      <c r="CQ39" s="123" cm="1">
        <f t="array" ref="CQ39">INDEX(Properties!$D:$D,$B39+5)*(IF(AND(CQ$3&gt;=INDEX(Properties!$T:$T,$B39+5),CQ$3&lt;INDEX(Properties!$U:$U,$B39+5)),INDEX(_Seasonality!$C$50:$N$59,$B39,MONTH(EDATE(Input!$C$7,CQ$3-1)))*MIN(1,(CQ$3-INDEX(Properties!$T:$T,$B39+5)+1)/Input!$C$11),0))*(1+Input!$C$8)^(CQ$5-1)</f>
        <v>0</v>
      </c>
      <c r="CR39" s="123" cm="1">
        <f t="array" ref="CR39">INDEX(Properties!$D:$D,$B39+5)*(IF(AND(CR$3&gt;=INDEX(Properties!$T:$T,$B39+5),CR$3&lt;INDEX(Properties!$U:$U,$B39+5)),INDEX(_Seasonality!$C$50:$N$59,$B39,MONTH(EDATE(Input!$C$7,CR$3-1)))*MIN(1,(CR$3-INDEX(Properties!$T:$T,$B39+5)+1)/Input!$C$11),0))*(1+Input!$C$8)^(CR$5-1)</f>
        <v>0</v>
      </c>
      <c r="CS39" s="123" cm="1">
        <f t="array" ref="CS39">INDEX(Properties!$D:$D,$B39+5)*(IF(AND(CS$3&gt;=INDEX(Properties!$T:$T,$B39+5),CS$3&lt;INDEX(Properties!$U:$U,$B39+5)),INDEX(_Seasonality!$C$50:$N$59,$B39,MONTH(EDATE(Input!$C$7,CS$3-1)))*MIN(1,(CS$3-INDEX(Properties!$T:$T,$B39+5)+1)/Input!$C$11),0))*(1+Input!$C$8)^(CS$5-1)</f>
        <v>0</v>
      </c>
      <c r="CT39" s="123" cm="1">
        <f t="array" ref="CT39">INDEX(Properties!$D:$D,$B39+5)*(IF(AND(CT$3&gt;=INDEX(Properties!$T:$T,$B39+5),CT$3&lt;INDEX(Properties!$U:$U,$B39+5)),INDEX(_Seasonality!$C$50:$N$59,$B39,MONTH(EDATE(Input!$C$7,CT$3-1)))*MIN(1,(CT$3-INDEX(Properties!$T:$T,$B39+5)+1)/Input!$C$11),0))*(1+Input!$C$8)^(CT$5-1)</f>
        <v>0</v>
      </c>
      <c r="CU39" s="123" cm="1">
        <f t="array" ref="CU39">INDEX(Properties!$D:$D,$B39+5)*(IF(AND(CU$3&gt;=INDEX(Properties!$T:$T,$B39+5),CU$3&lt;INDEX(Properties!$U:$U,$B39+5)),INDEX(_Seasonality!$C$50:$N$59,$B39,MONTH(EDATE(Input!$C$7,CU$3-1)))*MIN(1,(CU$3-INDEX(Properties!$T:$T,$B39+5)+1)/Input!$C$11),0))*(1+Input!$C$8)^(CU$5-1)</f>
        <v>0</v>
      </c>
      <c r="CV39" s="123" cm="1">
        <f t="array" ref="CV39">INDEX(Properties!$D:$D,$B39+5)*(IF(AND(CV$3&gt;=INDEX(Properties!$T:$T,$B39+5),CV$3&lt;INDEX(Properties!$U:$U,$B39+5)),INDEX(_Seasonality!$C$50:$N$59,$B39,MONTH(EDATE(Input!$C$7,CV$3-1)))*MIN(1,(CV$3-INDEX(Properties!$T:$T,$B39+5)+1)/Input!$C$11),0))*(1+Input!$C$8)^(CV$5-1)</f>
        <v>0</v>
      </c>
      <c r="CW39" s="123" cm="1">
        <f t="array" ref="CW39">INDEX(Properties!$D:$D,$B39+5)*(IF(AND(CW$3&gt;=INDEX(Properties!$T:$T,$B39+5),CW$3&lt;INDEX(Properties!$U:$U,$B39+5)),INDEX(_Seasonality!$C$50:$N$59,$B39,MONTH(EDATE(Input!$C$7,CW$3-1)))*MIN(1,(CW$3-INDEX(Properties!$T:$T,$B39+5)+1)/Input!$C$11),0))*(1+Input!$C$8)^(CW$5-1)</f>
        <v>0</v>
      </c>
      <c r="CX39" s="123" cm="1">
        <f t="array" ref="CX39">INDEX(Properties!$D:$D,$B39+5)*(IF(AND(CX$3&gt;=INDEX(Properties!$T:$T,$B39+5),CX$3&lt;INDEX(Properties!$U:$U,$B39+5)),INDEX(_Seasonality!$C$50:$N$59,$B39,MONTH(EDATE(Input!$C$7,CX$3-1)))*MIN(1,(CX$3-INDEX(Properties!$T:$T,$B39+5)+1)/Input!$C$11),0))*(1+Input!$C$8)^(CX$5-1)</f>
        <v>0</v>
      </c>
      <c r="CY39" s="123" cm="1">
        <f t="array" ref="CY39">INDEX(Properties!$D:$D,$B39+5)*(IF(AND(CY$3&gt;=INDEX(Properties!$T:$T,$B39+5),CY$3&lt;INDEX(Properties!$U:$U,$B39+5)),INDEX(_Seasonality!$C$50:$N$59,$B39,MONTH(EDATE(Input!$C$7,CY$3-1)))*MIN(1,(CY$3-INDEX(Properties!$T:$T,$B39+5)+1)/Input!$C$11),0))*(1+Input!$C$8)^(CY$5-1)</f>
        <v>0</v>
      </c>
      <c r="CZ39" s="123" cm="1">
        <f t="array" ref="CZ39">INDEX(Properties!$D:$D,$B39+5)*(IF(AND(CZ$3&gt;=INDEX(Properties!$T:$T,$B39+5),CZ$3&lt;INDEX(Properties!$U:$U,$B39+5)),INDEX(_Seasonality!$C$50:$N$59,$B39,MONTH(EDATE(Input!$C$7,CZ$3-1)))*MIN(1,(CZ$3-INDEX(Properties!$T:$T,$B39+5)+1)/Input!$C$11),0))*(1+Input!$C$8)^(CZ$5-1)</f>
        <v>0</v>
      </c>
      <c r="DA39" s="123" cm="1">
        <f t="array" ref="DA39">INDEX(Properties!$D:$D,$B39+5)*(IF(AND(DA$3&gt;=INDEX(Properties!$T:$T,$B39+5),DA$3&lt;INDEX(Properties!$U:$U,$B39+5)),INDEX(_Seasonality!$C$50:$N$59,$B39,MONTH(EDATE(Input!$C$7,DA$3-1)))*MIN(1,(DA$3-INDEX(Properties!$T:$T,$B39+5)+1)/Input!$C$11),0))*(1+Input!$C$8)^(DA$5-1)</f>
        <v>0</v>
      </c>
      <c r="DB39" s="123" cm="1">
        <f t="array" ref="DB39">INDEX(Properties!$D:$D,$B39+5)*(IF(AND(DB$3&gt;=INDEX(Properties!$T:$T,$B39+5),DB$3&lt;INDEX(Properties!$U:$U,$B39+5)),INDEX(_Seasonality!$C$50:$N$59,$B39,MONTH(EDATE(Input!$C$7,DB$3-1)))*MIN(1,(DB$3-INDEX(Properties!$T:$T,$B39+5)+1)/Input!$C$11),0))*(1+Input!$C$8)^(DB$5-1)</f>
        <v>0</v>
      </c>
      <c r="DC39" s="123" cm="1">
        <f t="array" ref="DC39">INDEX(Properties!$D:$D,$B39+5)*(IF(AND(DC$3&gt;=INDEX(Properties!$T:$T,$B39+5),DC$3&lt;INDEX(Properties!$U:$U,$B39+5)),INDEX(_Seasonality!$C$50:$N$59,$B39,MONTH(EDATE(Input!$C$7,DC$3-1)))*MIN(1,(DC$3-INDEX(Properties!$T:$T,$B39+5)+1)/Input!$C$11),0))*(1+Input!$C$8)^(DC$5-1)</f>
        <v>0</v>
      </c>
      <c r="DD39" s="123" cm="1">
        <f t="array" ref="DD39">INDEX(Properties!$D:$D,$B39+5)*(IF(AND(DD$3&gt;=INDEX(Properties!$T:$T,$B39+5),DD$3&lt;INDEX(Properties!$U:$U,$B39+5)),INDEX(_Seasonality!$C$50:$N$59,$B39,MONTH(EDATE(Input!$C$7,DD$3-1)))*MIN(1,(DD$3-INDEX(Properties!$T:$T,$B39+5)+1)/Input!$C$11),0))*(1+Input!$C$8)^(DD$5-1)</f>
        <v>0</v>
      </c>
      <c r="DE39" s="123" cm="1">
        <f t="array" ref="DE39">INDEX(Properties!$D:$D,$B39+5)*(IF(AND(DE$3&gt;=INDEX(Properties!$T:$T,$B39+5),DE$3&lt;INDEX(Properties!$U:$U,$B39+5)),INDEX(_Seasonality!$C$50:$N$59,$B39,MONTH(EDATE(Input!$C$7,DE$3-1)))*MIN(1,(DE$3-INDEX(Properties!$T:$T,$B39+5)+1)/Input!$C$11),0))*(1+Input!$C$8)^(DE$5-1)</f>
        <v>0</v>
      </c>
      <c r="DF39" s="123" cm="1">
        <f t="array" ref="DF39">INDEX(Properties!$D:$D,$B39+5)*(IF(AND(DF$3&gt;=INDEX(Properties!$T:$T,$B39+5),DF$3&lt;INDEX(Properties!$U:$U,$B39+5)),INDEX(_Seasonality!$C$50:$N$59,$B39,MONTH(EDATE(Input!$C$7,DF$3-1)))*MIN(1,(DF$3-INDEX(Properties!$T:$T,$B39+5)+1)/Input!$C$11),0))*(1+Input!$C$8)^(DF$5-1)</f>
        <v>0</v>
      </c>
      <c r="DG39" s="123" cm="1">
        <f t="array" ref="DG39">INDEX(Properties!$D:$D,$B39+5)*(IF(AND(DG$3&gt;=INDEX(Properties!$T:$T,$B39+5),DG$3&lt;INDEX(Properties!$U:$U,$B39+5)),INDEX(_Seasonality!$C$50:$N$59,$B39,MONTH(EDATE(Input!$C$7,DG$3-1)))*MIN(1,(DG$3-INDEX(Properties!$T:$T,$B39+5)+1)/Input!$C$11),0))*(1+Input!$C$8)^(DG$5-1)</f>
        <v>0</v>
      </c>
      <c r="DH39" s="123" cm="1">
        <f t="array" ref="DH39">INDEX(Properties!$D:$D,$B39+5)*(IF(AND(DH$3&gt;=INDEX(Properties!$T:$T,$B39+5),DH$3&lt;INDEX(Properties!$U:$U,$B39+5)),INDEX(_Seasonality!$C$50:$N$59,$B39,MONTH(EDATE(Input!$C$7,DH$3-1)))*MIN(1,(DH$3-INDEX(Properties!$T:$T,$B39+5)+1)/Input!$C$11),0))*(1+Input!$C$8)^(DH$5-1)</f>
        <v>0</v>
      </c>
      <c r="DI39" s="123" cm="1">
        <f t="array" ref="DI39">INDEX(Properties!$D:$D,$B39+5)*(IF(AND(DI$3&gt;=INDEX(Properties!$T:$T,$B39+5),DI$3&lt;INDEX(Properties!$U:$U,$B39+5)),INDEX(_Seasonality!$C$50:$N$59,$B39,MONTH(EDATE(Input!$C$7,DI$3-1)))*MIN(1,(DI$3-INDEX(Properties!$T:$T,$B39+5)+1)/Input!$C$11),0))*(1+Input!$C$8)^(DI$5-1)</f>
        <v>0</v>
      </c>
      <c r="DJ39" s="123" cm="1">
        <f t="array" ref="DJ39">INDEX(Properties!$D:$D,$B39+5)*(IF(AND(DJ$3&gt;=INDEX(Properties!$T:$T,$B39+5),DJ$3&lt;INDEX(Properties!$U:$U,$B39+5)),INDEX(_Seasonality!$C$50:$N$59,$B39,MONTH(EDATE(Input!$C$7,DJ$3-1)))*MIN(1,(DJ$3-INDEX(Properties!$T:$T,$B39+5)+1)/Input!$C$11),0))*(1+Input!$C$8)^(DJ$5-1)</f>
        <v>0</v>
      </c>
      <c r="DK39" s="123" cm="1">
        <f t="array" ref="DK39">INDEX(Properties!$D:$D,$B39+5)*(IF(AND(DK$3&gt;=INDEX(Properties!$T:$T,$B39+5),DK$3&lt;INDEX(Properties!$U:$U,$B39+5)),INDEX(_Seasonality!$C$50:$N$59,$B39,MONTH(EDATE(Input!$C$7,DK$3-1)))*MIN(1,(DK$3-INDEX(Properties!$T:$T,$B39+5)+1)/Input!$C$11),0))*(1+Input!$C$8)^(DK$5-1)</f>
        <v>0</v>
      </c>
      <c r="DL39" s="123" cm="1">
        <f t="array" ref="DL39">INDEX(Properties!$D:$D,$B39+5)*(IF(AND(DL$3&gt;=INDEX(Properties!$T:$T,$B39+5),DL$3&lt;INDEX(Properties!$U:$U,$B39+5)),INDEX(_Seasonality!$C$50:$N$59,$B39,MONTH(EDATE(Input!$C$7,DL$3-1)))*MIN(1,(DL$3-INDEX(Properties!$T:$T,$B39+5)+1)/Input!$C$11),0))*(1+Input!$C$8)^(DL$5-1)</f>
        <v>0</v>
      </c>
      <c r="DM39" s="123" cm="1">
        <f t="array" ref="DM39">INDEX(Properties!$D:$D,$B39+5)*(IF(AND(DM$3&gt;=INDEX(Properties!$T:$T,$B39+5),DM$3&lt;INDEX(Properties!$U:$U,$B39+5)),INDEX(_Seasonality!$C$50:$N$59,$B39,MONTH(EDATE(Input!$C$7,DM$3-1)))*MIN(1,(DM$3-INDEX(Properties!$T:$T,$B39+5)+1)/Input!$C$11),0))*(1+Input!$C$8)^(DM$5-1)</f>
        <v>0</v>
      </c>
      <c r="DN39" s="123" cm="1">
        <f t="array" ref="DN39">INDEX(Properties!$D:$D,$B39+5)*(IF(AND(DN$3&gt;=INDEX(Properties!$T:$T,$B39+5),DN$3&lt;INDEX(Properties!$U:$U,$B39+5)),INDEX(_Seasonality!$C$50:$N$59,$B39,MONTH(EDATE(Input!$C$7,DN$3-1)))*MIN(1,(DN$3-INDEX(Properties!$T:$T,$B39+5)+1)/Input!$C$11),0))*(1+Input!$C$8)^(DN$5-1)</f>
        <v>0</v>
      </c>
      <c r="DO39" s="123" cm="1">
        <f t="array" ref="DO39">INDEX(Properties!$D:$D,$B39+5)*(IF(AND(DO$3&gt;=INDEX(Properties!$T:$T,$B39+5),DO$3&lt;INDEX(Properties!$U:$U,$B39+5)),INDEX(_Seasonality!$C$50:$N$59,$B39,MONTH(EDATE(Input!$C$7,DO$3-1)))*MIN(1,(DO$3-INDEX(Properties!$T:$T,$B39+5)+1)/Input!$C$11),0))*(1+Input!$C$8)^(DO$5-1)</f>
        <v>0</v>
      </c>
      <c r="DP39" s="123" cm="1">
        <f t="array" ref="DP39">INDEX(Properties!$D:$D,$B39+5)*(IF(AND(DP$3&gt;=INDEX(Properties!$T:$T,$B39+5),DP$3&lt;INDEX(Properties!$U:$U,$B39+5)),INDEX(_Seasonality!$C$50:$N$59,$B39,MONTH(EDATE(Input!$C$7,DP$3-1)))*MIN(1,(DP$3-INDEX(Properties!$T:$T,$B39+5)+1)/Input!$C$11),0))*(1+Input!$C$8)^(DP$5-1)</f>
        <v>0</v>
      </c>
      <c r="DQ39" s="123" cm="1">
        <f t="array" ref="DQ39">INDEX(Properties!$D:$D,$B39+5)*(IF(AND(DQ$3&gt;=INDEX(Properties!$T:$T,$B39+5),DQ$3&lt;INDEX(Properties!$U:$U,$B39+5)),INDEX(_Seasonality!$C$50:$N$59,$B39,MONTH(EDATE(Input!$C$7,DQ$3-1)))*MIN(1,(DQ$3-INDEX(Properties!$T:$T,$B39+5)+1)/Input!$C$11),0))*(1+Input!$C$8)^(DQ$5-1)</f>
        <v>0</v>
      </c>
      <c r="DR39" s="123" cm="1">
        <f t="array" ref="DR39">INDEX(Properties!$D:$D,$B39+5)*(IF(AND(DR$3&gt;=INDEX(Properties!$T:$T,$B39+5),DR$3&lt;INDEX(Properties!$U:$U,$B39+5)),INDEX(_Seasonality!$C$50:$N$59,$B39,MONTH(EDATE(Input!$C$7,DR$3-1)))*MIN(1,(DR$3-INDEX(Properties!$T:$T,$B39+5)+1)/Input!$C$11),0))*(1+Input!$C$8)^(DR$5-1)</f>
        <v>0</v>
      </c>
    </row>
    <row r="40" spans="1:122" ht="16.05" customHeight="1" x14ac:dyDescent="0.3">
      <c r="A40" s="148" cm="1">
        <f t="array" ref="A40">INDEX(Properties!$E:$E,$B40+5)</f>
        <v>0</v>
      </c>
      <c r="B40" s="1">
        <v>7</v>
      </c>
      <c r="C40" s="123" cm="1">
        <f t="array" ref="C40">INDEX(Properties!$D:$D,$B40+5)*(IF(AND(C$3&gt;=INDEX(Properties!$T:$T,$B40+5),C$3&lt;INDEX(Properties!$U:$U,$B40+5)),INDEX(_Seasonality!$C$50:$N$59,$B40,MONTH(EDATE(Input!$C$7,C$3-1)))*MIN(1,(C$3-INDEX(Properties!$T:$T,$B40+5)+1)/Input!$C$11),0))*(1+Input!$C$8)^(C$5-1)</f>
        <v>0</v>
      </c>
      <c r="D40" s="123" cm="1">
        <f t="array" ref="D40">INDEX(Properties!$D:$D,$B40+5)*(IF(AND(D$3&gt;=INDEX(Properties!$T:$T,$B40+5),D$3&lt;INDEX(Properties!$U:$U,$B40+5)),INDEX(_Seasonality!$C$50:$N$59,$B40,MONTH(EDATE(Input!$C$7,D$3-1)))*MIN(1,(D$3-INDEX(Properties!$T:$T,$B40+5)+1)/Input!$C$11),0))*(1+Input!$C$8)^(D$5-1)</f>
        <v>0</v>
      </c>
      <c r="E40" s="123" cm="1">
        <f t="array" ref="E40">INDEX(Properties!$D:$D,$B40+5)*(IF(AND(E$3&gt;=INDEX(Properties!$T:$T,$B40+5),E$3&lt;INDEX(Properties!$U:$U,$B40+5)),INDEX(_Seasonality!$C$50:$N$59,$B40,MONTH(EDATE(Input!$C$7,E$3-1)))*MIN(1,(E$3-INDEX(Properties!$T:$T,$B40+5)+1)/Input!$C$11),0))*(1+Input!$C$8)^(E$5-1)</f>
        <v>0</v>
      </c>
      <c r="F40" s="123" cm="1">
        <f t="array" ref="F40">INDEX(Properties!$D:$D,$B40+5)*(IF(AND(F$3&gt;=INDEX(Properties!$T:$T,$B40+5),F$3&lt;INDEX(Properties!$U:$U,$B40+5)),INDEX(_Seasonality!$C$50:$N$59,$B40,MONTH(EDATE(Input!$C$7,F$3-1)))*MIN(1,(F$3-INDEX(Properties!$T:$T,$B40+5)+1)/Input!$C$11),0))*(1+Input!$C$8)^(F$5-1)</f>
        <v>0</v>
      </c>
      <c r="G40" s="123" cm="1">
        <f t="array" ref="G40">INDEX(Properties!$D:$D,$B40+5)*(IF(AND(G$3&gt;=INDEX(Properties!$T:$T,$B40+5),G$3&lt;INDEX(Properties!$U:$U,$B40+5)),INDEX(_Seasonality!$C$50:$N$59,$B40,MONTH(EDATE(Input!$C$7,G$3-1)))*MIN(1,(G$3-INDEX(Properties!$T:$T,$B40+5)+1)/Input!$C$11),0))*(1+Input!$C$8)^(G$5-1)</f>
        <v>0</v>
      </c>
      <c r="H40" s="123" cm="1">
        <f t="array" ref="H40">INDEX(Properties!$D:$D,$B40+5)*(IF(AND(H$3&gt;=INDEX(Properties!$T:$T,$B40+5),H$3&lt;INDEX(Properties!$U:$U,$B40+5)),INDEX(_Seasonality!$C$50:$N$59,$B40,MONTH(EDATE(Input!$C$7,H$3-1)))*MIN(1,(H$3-INDEX(Properties!$T:$T,$B40+5)+1)/Input!$C$11),0))*(1+Input!$C$8)^(H$5-1)</f>
        <v>0</v>
      </c>
      <c r="I40" s="123" cm="1">
        <f t="array" ref="I40">INDEX(Properties!$D:$D,$B40+5)*(IF(AND(I$3&gt;=INDEX(Properties!$T:$T,$B40+5),I$3&lt;INDEX(Properties!$U:$U,$B40+5)),INDEX(_Seasonality!$C$50:$N$59,$B40,MONTH(EDATE(Input!$C$7,I$3-1)))*MIN(1,(I$3-INDEX(Properties!$T:$T,$B40+5)+1)/Input!$C$11),0))*(1+Input!$C$8)^(I$5-1)</f>
        <v>0</v>
      </c>
      <c r="J40" s="123" cm="1">
        <f t="array" ref="J40">INDEX(Properties!$D:$D,$B40+5)*(IF(AND(J$3&gt;=INDEX(Properties!$T:$T,$B40+5),J$3&lt;INDEX(Properties!$U:$U,$B40+5)),INDEX(_Seasonality!$C$50:$N$59,$B40,MONTH(EDATE(Input!$C$7,J$3-1)))*MIN(1,(J$3-INDEX(Properties!$T:$T,$B40+5)+1)/Input!$C$11),0))*(1+Input!$C$8)^(J$5-1)</f>
        <v>0</v>
      </c>
      <c r="K40" s="123" cm="1">
        <f t="array" ref="K40">INDEX(Properties!$D:$D,$B40+5)*(IF(AND(K$3&gt;=INDEX(Properties!$T:$T,$B40+5),K$3&lt;INDEX(Properties!$U:$U,$B40+5)),INDEX(_Seasonality!$C$50:$N$59,$B40,MONTH(EDATE(Input!$C$7,K$3-1)))*MIN(1,(K$3-INDEX(Properties!$T:$T,$B40+5)+1)/Input!$C$11),0))*(1+Input!$C$8)^(K$5-1)</f>
        <v>0</v>
      </c>
      <c r="L40" s="123" cm="1">
        <f t="array" ref="L40">INDEX(Properties!$D:$D,$B40+5)*(IF(AND(L$3&gt;=INDEX(Properties!$T:$T,$B40+5),L$3&lt;INDEX(Properties!$U:$U,$B40+5)),INDEX(_Seasonality!$C$50:$N$59,$B40,MONTH(EDATE(Input!$C$7,L$3-1)))*MIN(1,(L$3-INDEX(Properties!$T:$T,$B40+5)+1)/Input!$C$11),0))*(1+Input!$C$8)^(L$5-1)</f>
        <v>0</v>
      </c>
      <c r="M40" s="123" cm="1">
        <f t="array" ref="M40">INDEX(Properties!$D:$D,$B40+5)*(IF(AND(M$3&gt;=INDEX(Properties!$T:$T,$B40+5),M$3&lt;INDEX(Properties!$U:$U,$B40+5)),INDEX(_Seasonality!$C$50:$N$59,$B40,MONTH(EDATE(Input!$C$7,M$3-1)))*MIN(1,(M$3-INDEX(Properties!$T:$T,$B40+5)+1)/Input!$C$11),0))*(1+Input!$C$8)^(M$5-1)</f>
        <v>0</v>
      </c>
      <c r="N40" s="123" cm="1">
        <f t="array" ref="N40">INDEX(Properties!$D:$D,$B40+5)*(IF(AND(N$3&gt;=INDEX(Properties!$T:$T,$B40+5),N$3&lt;INDEX(Properties!$U:$U,$B40+5)),INDEX(_Seasonality!$C$50:$N$59,$B40,MONTH(EDATE(Input!$C$7,N$3-1)))*MIN(1,(N$3-INDEX(Properties!$T:$T,$B40+5)+1)/Input!$C$11),0))*(1+Input!$C$8)^(N$5-1)</f>
        <v>0</v>
      </c>
      <c r="O40" s="123" cm="1">
        <f t="array" ref="O40">INDEX(Properties!$D:$D,$B40+5)*(IF(AND(O$3&gt;=INDEX(Properties!$T:$T,$B40+5),O$3&lt;INDEX(Properties!$U:$U,$B40+5)),INDEX(_Seasonality!$C$50:$N$59,$B40,MONTH(EDATE(Input!$C$7,O$3-1)))*MIN(1,(O$3-INDEX(Properties!$T:$T,$B40+5)+1)/Input!$C$11),0))*(1+Input!$C$8)^(O$5-1)</f>
        <v>0</v>
      </c>
      <c r="P40" s="123" cm="1">
        <f t="array" ref="P40">INDEX(Properties!$D:$D,$B40+5)*(IF(AND(P$3&gt;=INDEX(Properties!$T:$T,$B40+5),P$3&lt;INDEX(Properties!$U:$U,$B40+5)),INDEX(_Seasonality!$C$50:$N$59,$B40,MONTH(EDATE(Input!$C$7,P$3-1)))*MIN(1,(P$3-INDEX(Properties!$T:$T,$B40+5)+1)/Input!$C$11),0))*(1+Input!$C$8)^(P$5-1)</f>
        <v>0</v>
      </c>
      <c r="Q40" s="123" cm="1">
        <f t="array" ref="Q40">INDEX(Properties!$D:$D,$B40+5)*(IF(AND(Q$3&gt;=INDEX(Properties!$T:$T,$B40+5),Q$3&lt;INDEX(Properties!$U:$U,$B40+5)),INDEX(_Seasonality!$C$50:$N$59,$B40,MONTH(EDATE(Input!$C$7,Q$3-1)))*MIN(1,(Q$3-INDEX(Properties!$T:$T,$B40+5)+1)/Input!$C$11),0))*(1+Input!$C$8)^(Q$5-1)</f>
        <v>0</v>
      </c>
      <c r="R40" s="123" cm="1">
        <f t="array" ref="R40">INDEX(Properties!$D:$D,$B40+5)*(IF(AND(R$3&gt;=INDEX(Properties!$T:$T,$B40+5),R$3&lt;INDEX(Properties!$U:$U,$B40+5)),INDEX(_Seasonality!$C$50:$N$59,$B40,MONTH(EDATE(Input!$C$7,R$3-1)))*MIN(1,(R$3-INDEX(Properties!$T:$T,$B40+5)+1)/Input!$C$11),0))*(1+Input!$C$8)^(R$5-1)</f>
        <v>0</v>
      </c>
      <c r="S40" s="123" cm="1">
        <f t="array" ref="S40">INDEX(Properties!$D:$D,$B40+5)*(IF(AND(S$3&gt;=INDEX(Properties!$T:$T,$B40+5),S$3&lt;INDEX(Properties!$U:$U,$B40+5)),INDEX(_Seasonality!$C$50:$N$59,$B40,MONTH(EDATE(Input!$C$7,S$3-1)))*MIN(1,(S$3-INDEX(Properties!$T:$T,$B40+5)+1)/Input!$C$11),0))*(1+Input!$C$8)^(S$5-1)</f>
        <v>0</v>
      </c>
      <c r="T40" s="123" cm="1">
        <f t="array" ref="T40">INDEX(Properties!$D:$D,$B40+5)*(IF(AND(T$3&gt;=INDEX(Properties!$T:$T,$B40+5),T$3&lt;INDEX(Properties!$U:$U,$B40+5)),INDEX(_Seasonality!$C$50:$N$59,$B40,MONTH(EDATE(Input!$C$7,T$3-1)))*MIN(1,(T$3-INDEX(Properties!$T:$T,$B40+5)+1)/Input!$C$11),0))*(1+Input!$C$8)^(T$5-1)</f>
        <v>0</v>
      </c>
      <c r="U40" s="123" cm="1">
        <f t="array" ref="U40">INDEX(Properties!$D:$D,$B40+5)*(IF(AND(U$3&gt;=INDEX(Properties!$T:$T,$B40+5),U$3&lt;INDEX(Properties!$U:$U,$B40+5)),INDEX(_Seasonality!$C$50:$N$59,$B40,MONTH(EDATE(Input!$C$7,U$3-1)))*MIN(1,(U$3-INDEX(Properties!$T:$T,$B40+5)+1)/Input!$C$11),0))*(1+Input!$C$8)^(U$5-1)</f>
        <v>0</v>
      </c>
      <c r="V40" s="123" cm="1">
        <f t="array" ref="V40">INDEX(Properties!$D:$D,$B40+5)*(IF(AND(V$3&gt;=INDEX(Properties!$T:$T,$B40+5),V$3&lt;INDEX(Properties!$U:$U,$B40+5)),INDEX(_Seasonality!$C$50:$N$59,$B40,MONTH(EDATE(Input!$C$7,V$3-1)))*MIN(1,(V$3-INDEX(Properties!$T:$T,$B40+5)+1)/Input!$C$11),0))*(1+Input!$C$8)^(V$5-1)</f>
        <v>0</v>
      </c>
      <c r="W40" s="123" cm="1">
        <f t="array" ref="W40">INDEX(Properties!$D:$D,$B40+5)*(IF(AND(W$3&gt;=INDEX(Properties!$T:$T,$B40+5),W$3&lt;INDEX(Properties!$U:$U,$B40+5)),INDEX(_Seasonality!$C$50:$N$59,$B40,MONTH(EDATE(Input!$C$7,W$3-1)))*MIN(1,(W$3-INDEX(Properties!$T:$T,$B40+5)+1)/Input!$C$11),0))*(1+Input!$C$8)^(W$5-1)</f>
        <v>0</v>
      </c>
      <c r="X40" s="123" cm="1">
        <f t="array" ref="X40">INDEX(Properties!$D:$D,$B40+5)*(IF(AND(X$3&gt;=INDEX(Properties!$T:$T,$B40+5),X$3&lt;INDEX(Properties!$U:$U,$B40+5)),INDEX(_Seasonality!$C$50:$N$59,$B40,MONTH(EDATE(Input!$C$7,X$3-1)))*MIN(1,(X$3-INDEX(Properties!$T:$T,$B40+5)+1)/Input!$C$11),0))*(1+Input!$C$8)^(X$5-1)</f>
        <v>0</v>
      </c>
      <c r="Y40" s="123" cm="1">
        <f t="array" ref="Y40">INDEX(Properties!$D:$D,$B40+5)*(IF(AND(Y$3&gt;=INDEX(Properties!$T:$T,$B40+5),Y$3&lt;INDEX(Properties!$U:$U,$B40+5)),INDEX(_Seasonality!$C$50:$N$59,$B40,MONTH(EDATE(Input!$C$7,Y$3-1)))*MIN(1,(Y$3-INDEX(Properties!$T:$T,$B40+5)+1)/Input!$C$11),0))*(1+Input!$C$8)^(Y$5-1)</f>
        <v>0</v>
      </c>
      <c r="Z40" s="123" cm="1">
        <f t="array" ref="Z40">INDEX(Properties!$D:$D,$B40+5)*(IF(AND(Z$3&gt;=INDEX(Properties!$T:$T,$B40+5),Z$3&lt;INDEX(Properties!$U:$U,$B40+5)),INDEX(_Seasonality!$C$50:$N$59,$B40,MONTH(EDATE(Input!$C$7,Z$3-1)))*MIN(1,(Z$3-INDEX(Properties!$T:$T,$B40+5)+1)/Input!$C$11),0))*(1+Input!$C$8)^(Z$5-1)</f>
        <v>0</v>
      </c>
      <c r="AA40" s="123" cm="1">
        <f t="array" ref="AA40">INDEX(Properties!$D:$D,$B40+5)*(IF(AND(AA$3&gt;=INDEX(Properties!$T:$T,$B40+5),AA$3&lt;INDEX(Properties!$U:$U,$B40+5)),INDEX(_Seasonality!$C$50:$N$59,$B40,MONTH(EDATE(Input!$C$7,AA$3-1)))*MIN(1,(AA$3-INDEX(Properties!$T:$T,$B40+5)+1)/Input!$C$11),0))*(1+Input!$C$8)^(AA$5-1)</f>
        <v>0</v>
      </c>
      <c r="AB40" s="123" cm="1">
        <f t="array" ref="AB40">INDEX(Properties!$D:$D,$B40+5)*(IF(AND(AB$3&gt;=INDEX(Properties!$T:$T,$B40+5),AB$3&lt;INDEX(Properties!$U:$U,$B40+5)),INDEX(_Seasonality!$C$50:$N$59,$B40,MONTH(EDATE(Input!$C$7,AB$3-1)))*MIN(1,(AB$3-INDEX(Properties!$T:$T,$B40+5)+1)/Input!$C$11),0))*(1+Input!$C$8)^(AB$5-1)</f>
        <v>0</v>
      </c>
      <c r="AC40" s="123" cm="1">
        <f t="array" ref="AC40">INDEX(Properties!$D:$D,$B40+5)*(IF(AND(AC$3&gt;=INDEX(Properties!$T:$T,$B40+5),AC$3&lt;INDEX(Properties!$U:$U,$B40+5)),INDEX(_Seasonality!$C$50:$N$59,$B40,MONTH(EDATE(Input!$C$7,AC$3-1)))*MIN(1,(AC$3-INDEX(Properties!$T:$T,$B40+5)+1)/Input!$C$11),0))*(1+Input!$C$8)^(AC$5-1)</f>
        <v>0</v>
      </c>
      <c r="AD40" s="123" cm="1">
        <f t="array" ref="AD40">INDEX(Properties!$D:$D,$B40+5)*(IF(AND(AD$3&gt;=INDEX(Properties!$T:$T,$B40+5),AD$3&lt;INDEX(Properties!$U:$U,$B40+5)),INDEX(_Seasonality!$C$50:$N$59,$B40,MONTH(EDATE(Input!$C$7,AD$3-1)))*MIN(1,(AD$3-INDEX(Properties!$T:$T,$B40+5)+1)/Input!$C$11),0))*(1+Input!$C$8)^(AD$5-1)</f>
        <v>0</v>
      </c>
      <c r="AE40" s="123" cm="1">
        <f t="array" ref="AE40">INDEX(Properties!$D:$D,$B40+5)*(IF(AND(AE$3&gt;=INDEX(Properties!$T:$T,$B40+5),AE$3&lt;INDEX(Properties!$U:$U,$B40+5)),INDEX(_Seasonality!$C$50:$N$59,$B40,MONTH(EDATE(Input!$C$7,AE$3-1)))*MIN(1,(AE$3-INDEX(Properties!$T:$T,$B40+5)+1)/Input!$C$11),0))*(1+Input!$C$8)^(AE$5-1)</f>
        <v>0</v>
      </c>
      <c r="AF40" s="123" cm="1">
        <f t="array" ref="AF40">INDEX(Properties!$D:$D,$B40+5)*(IF(AND(AF$3&gt;=INDEX(Properties!$T:$T,$B40+5),AF$3&lt;INDEX(Properties!$U:$U,$B40+5)),INDEX(_Seasonality!$C$50:$N$59,$B40,MONTH(EDATE(Input!$C$7,AF$3-1)))*MIN(1,(AF$3-INDEX(Properties!$T:$T,$B40+5)+1)/Input!$C$11),0))*(1+Input!$C$8)^(AF$5-1)</f>
        <v>0</v>
      </c>
      <c r="AG40" s="123" cm="1">
        <f t="array" ref="AG40">INDEX(Properties!$D:$D,$B40+5)*(IF(AND(AG$3&gt;=INDEX(Properties!$T:$T,$B40+5),AG$3&lt;INDEX(Properties!$U:$U,$B40+5)),INDEX(_Seasonality!$C$50:$N$59,$B40,MONTH(EDATE(Input!$C$7,AG$3-1)))*MIN(1,(AG$3-INDEX(Properties!$T:$T,$B40+5)+1)/Input!$C$11),0))*(1+Input!$C$8)^(AG$5-1)</f>
        <v>0</v>
      </c>
      <c r="AH40" s="123" cm="1">
        <f t="array" ref="AH40">INDEX(Properties!$D:$D,$B40+5)*(IF(AND(AH$3&gt;=INDEX(Properties!$T:$T,$B40+5),AH$3&lt;INDEX(Properties!$U:$U,$B40+5)),INDEX(_Seasonality!$C$50:$N$59,$B40,MONTH(EDATE(Input!$C$7,AH$3-1)))*MIN(1,(AH$3-INDEX(Properties!$T:$T,$B40+5)+1)/Input!$C$11),0))*(1+Input!$C$8)^(AH$5-1)</f>
        <v>0</v>
      </c>
      <c r="AI40" s="123" cm="1">
        <f t="array" ref="AI40">INDEX(Properties!$D:$D,$B40+5)*(IF(AND(AI$3&gt;=INDEX(Properties!$T:$T,$B40+5),AI$3&lt;INDEX(Properties!$U:$U,$B40+5)),INDEX(_Seasonality!$C$50:$N$59,$B40,MONTH(EDATE(Input!$C$7,AI$3-1)))*MIN(1,(AI$3-INDEX(Properties!$T:$T,$B40+5)+1)/Input!$C$11),0))*(1+Input!$C$8)^(AI$5-1)</f>
        <v>0</v>
      </c>
      <c r="AJ40" s="123" cm="1">
        <f t="array" ref="AJ40">INDEX(Properties!$D:$D,$B40+5)*(IF(AND(AJ$3&gt;=INDEX(Properties!$T:$T,$B40+5),AJ$3&lt;INDEX(Properties!$U:$U,$B40+5)),INDEX(_Seasonality!$C$50:$N$59,$B40,MONTH(EDATE(Input!$C$7,AJ$3-1)))*MIN(1,(AJ$3-INDEX(Properties!$T:$T,$B40+5)+1)/Input!$C$11),0))*(1+Input!$C$8)^(AJ$5-1)</f>
        <v>0</v>
      </c>
      <c r="AK40" s="123" cm="1">
        <f t="array" ref="AK40">INDEX(Properties!$D:$D,$B40+5)*(IF(AND(AK$3&gt;=INDEX(Properties!$T:$T,$B40+5),AK$3&lt;INDEX(Properties!$U:$U,$B40+5)),INDEX(_Seasonality!$C$50:$N$59,$B40,MONTH(EDATE(Input!$C$7,AK$3-1)))*MIN(1,(AK$3-INDEX(Properties!$T:$T,$B40+5)+1)/Input!$C$11),0))*(1+Input!$C$8)^(AK$5-1)</f>
        <v>0</v>
      </c>
      <c r="AL40" s="123" cm="1">
        <f t="array" ref="AL40">INDEX(Properties!$D:$D,$B40+5)*(IF(AND(AL$3&gt;=INDEX(Properties!$T:$T,$B40+5),AL$3&lt;INDEX(Properties!$U:$U,$B40+5)),INDEX(_Seasonality!$C$50:$N$59,$B40,MONTH(EDATE(Input!$C$7,AL$3-1)))*MIN(1,(AL$3-INDEX(Properties!$T:$T,$B40+5)+1)/Input!$C$11),0))*(1+Input!$C$8)^(AL$5-1)</f>
        <v>0</v>
      </c>
      <c r="AM40" s="123" cm="1">
        <f t="array" ref="AM40">INDEX(Properties!$D:$D,$B40+5)*(IF(AND(AM$3&gt;=INDEX(Properties!$T:$T,$B40+5),AM$3&lt;INDEX(Properties!$U:$U,$B40+5)),INDEX(_Seasonality!$C$50:$N$59,$B40,MONTH(EDATE(Input!$C$7,AM$3-1)))*MIN(1,(AM$3-INDEX(Properties!$T:$T,$B40+5)+1)/Input!$C$11),0))*(1+Input!$C$8)^(AM$5-1)</f>
        <v>0</v>
      </c>
      <c r="AN40" s="123" cm="1">
        <f t="array" ref="AN40">INDEX(Properties!$D:$D,$B40+5)*(IF(AND(AN$3&gt;=INDEX(Properties!$T:$T,$B40+5),AN$3&lt;INDEX(Properties!$U:$U,$B40+5)),INDEX(_Seasonality!$C$50:$N$59,$B40,MONTH(EDATE(Input!$C$7,AN$3-1)))*MIN(1,(AN$3-INDEX(Properties!$T:$T,$B40+5)+1)/Input!$C$11),0))*(1+Input!$C$8)^(AN$5-1)</f>
        <v>0</v>
      </c>
      <c r="AO40" s="123" cm="1">
        <f t="array" ref="AO40">INDEX(Properties!$D:$D,$B40+5)*(IF(AND(AO$3&gt;=INDEX(Properties!$T:$T,$B40+5),AO$3&lt;INDEX(Properties!$U:$U,$B40+5)),INDEX(_Seasonality!$C$50:$N$59,$B40,MONTH(EDATE(Input!$C$7,AO$3-1)))*MIN(1,(AO$3-INDEX(Properties!$T:$T,$B40+5)+1)/Input!$C$11),0))*(1+Input!$C$8)^(AO$5-1)</f>
        <v>0</v>
      </c>
      <c r="AP40" s="123" cm="1">
        <f t="array" ref="AP40">INDEX(Properties!$D:$D,$B40+5)*(IF(AND(AP$3&gt;=INDEX(Properties!$T:$T,$B40+5),AP$3&lt;INDEX(Properties!$U:$U,$B40+5)),INDEX(_Seasonality!$C$50:$N$59,$B40,MONTH(EDATE(Input!$C$7,AP$3-1)))*MIN(1,(AP$3-INDEX(Properties!$T:$T,$B40+5)+1)/Input!$C$11),0))*(1+Input!$C$8)^(AP$5-1)</f>
        <v>0</v>
      </c>
      <c r="AQ40" s="123" cm="1">
        <f t="array" ref="AQ40">INDEX(Properties!$D:$D,$B40+5)*(IF(AND(AQ$3&gt;=INDEX(Properties!$T:$T,$B40+5),AQ$3&lt;INDEX(Properties!$U:$U,$B40+5)),INDEX(_Seasonality!$C$50:$N$59,$B40,MONTH(EDATE(Input!$C$7,AQ$3-1)))*MIN(1,(AQ$3-INDEX(Properties!$T:$T,$B40+5)+1)/Input!$C$11),0))*(1+Input!$C$8)^(AQ$5-1)</f>
        <v>0</v>
      </c>
      <c r="AR40" s="123" cm="1">
        <f t="array" ref="AR40">INDEX(Properties!$D:$D,$B40+5)*(IF(AND(AR$3&gt;=INDEX(Properties!$T:$T,$B40+5),AR$3&lt;INDEX(Properties!$U:$U,$B40+5)),INDEX(_Seasonality!$C$50:$N$59,$B40,MONTH(EDATE(Input!$C$7,AR$3-1)))*MIN(1,(AR$3-INDEX(Properties!$T:$T,$B40+5)+1)/Input!$C$11),0))*(1+Input!$C$8)^(AR$5-1)</f>
        <v>0</v>
      </c>
      <c r="AS40" s="123" cm="1">
        <f t="array" ref="AS40">INDEX(Properties!$D:$D,$B40+5)*(IF(AND(AS$3&gt;=INDEX(Properties!$T:$T,$B40+5),AS$3&lt;INDEX(Properties!$U:$U,$B40+5)),INDEX(_Seasonality!$C$50:$N$59,$B40,MONTH(EDATE(Input!$C$7,AS$3-1)))*MIN(1,(AS$3-INDEX(Properties!$T:$T,$B40+5)+1)/Input!$C$11),0))*(1+Input!$C$8)^(AS$5-1)</f>
        <v>0</v>
      </c>
      <c r="AT40" s="123" cm="1">
        <f t="array" ref="AT40">INDEX(Properties!$D:$D,$B40+5)*(IF(AND(AT$3&gt;=INDEX(Properties!$T:$T,$B40+5),AT$3&lt;INDEX(Properties!$U:$U,$B40+5)),INDEX(_Seasonality!$C$50:$N$59,$B40,MONTH(EDATE(Input!$C$7,AT$3-1)))*MIN(1,(AT$3-INDEX(Properties!$T:$T,$B40+5)+1)/Input!$C$11),0))*(1+Input!$C$8)^(AT$5-1)</f>
        <v>0</v>
      </c>
      <c r="AU40" s="123" cm="1">
        <f t="array" ref="AU40">INDEX(Properties!$D:$D,$B40+5)*(IF(AND(AU$3&gt;=INDEX(Properties!$T:$T,$B40+5),AU$3&lt;INDEX(Properties!$U:$U,$B40+5)),INDEX(_Seasonality!$C$50:$N$59,$B40,MONTH(EDATE(Input!$C$7,AU$3-1)))*MIN(1,(AU$3-INDEX(Properties!$T:$T,$B40+5)+1)/Input!$C$11),0))*(1+Input!$C$8)^(AU$5-1)</f>
        <v>0</v>
      </c>
      <c r="AV40" s="123" cm="1">
        <f t="array" ref="AV40">INDEX(Properties!$D:$D,$B40+5)*(IF(AND(AV$3&gt;=INDEX(Properties!$T:$T,$B40+5),AV$3&lt;INDEX(Properties!$U:$U,$B40+5)),INDEX(_Seasonality!$C$50:$N$59,$B40,MONTH(EDATE(Input!$C$7,AV$3-1)))*MIN(1,(AV$3-INDEX(Properties!$T:$T,$B40+5)+1)/Input!$C$11),0))*(1+Input!$C$8)^(AV$5-1)</f>
        <v>0</v>
      </c>
      <c r="AW40" s="123" cm="1">
        <f t="array" ref="AW40">INDEX(Properties!$D:$D,$B40+5)*(IF(AND(AW$3&gt;=INDEX(Properties!$T:$T,$B40+5),AW$3&lt;INDEX(Properties!$U:$U,$B40+5)),INDEX(_Seasonality!$C$50:$N$59,$B40,MONTH(EDATE(Input!$C$7,AW$3-1)))*MIN(1,(AW$3-INDEX(Properties!$T:$T,$B40+5)+1)/Input!$C$11),0))*(1+Input!$C$8)^(AW$5-1)</f>
        <v>0</v>
      </c>
      <c r="AX40" s="123" cm="1">
        <f t="array" ref="AX40">INDEX(Properties!$D:$D,$B40+5)*(IF(AND(AX$3&gt;=INDEX(Properties!$T:$T,$B40+5),AX$3&lt;INDEX(Properties!$U:$U,$B40+5)),INDEX(_Seasonality!$C$50:$N$59,$B40,MONTH(EDATE(Input!$C$7,AX$3-1)))*MIN(1,(AX$3-INDEX(Properties!$T:$T,$B40+5)+1)/Input!$C$11),0))*(1+Input!$C$8)^(AX$5-1)</f>
        <v>0</v>
      </c>
      <c r="AY40" s="123" cm="1">
        <f t="array" ref="AY40">INDEX(Properties!$D:$D,$B40+5)*(IF(AND(AY$3&gt;=INDEX(Properties!$T:$T,$B40+5),AY$3&lt;INDEX(Properties!$U:$U,$B40+5)),INDEX(_Seasonality!$C$50:$N$59,$B40,MONTH(EDATE(Input!$C$7,AY$3-1)))*MIN(1,(AY$3-INDEX(Properties!$T:$T,$B40+5)+1)/Input!$C$11),0))*(1+Input!$C$8)^(AY$5-1)</f>
        <v>0</v>
      </c>
      <c r="AZ40" s="123" cm="1">
        <f t="array" ref="AZ40">INDEX(Properties!$D:$D,$B40+5)*(IF(AND(AZ$3&gt;=INDEX(Properties!$T:$T,$B40+5),AZ$3&lt;INDEX(Properties!$U:$U,$B40+5)),INDEX(_Seasonality!$C$50:$N$59,$B40,MONTH(EDATE(Input!$C$7,AZ$3-1)))*MIN(1,(AZ$3-INDEX(Properties!$T:$T,$B40+5)+1)/Input!$C$11),0))*(1+Input!$C$8)^(AZ$5-1)</f>
        <v>0</v>
      </c>
      <c r="BA40" s="123" cm="1">
        <f t="array" ref="BA40">INDEX(Properties!$D:$D,$B40+5)*(IF(AND(BA$3&gt;=INDEX(Properties!$T:$T,$B40+5),BA$3&lt;INDEX(Properties!$U:$U,$B40+5)),INDEX(_Seasonality!$C$50:$N$59,$B40,MONTH(EDATE(Input!$C$7,BA$3-1)))*MIN(1,(BA$3-INDEX(Properties!$T:$T,$B40+5)+1)/Input!$C$11),0))*(1+Input!$C$8)^(BA$5-1)</f>
        <v>0</v>
      </c>
      <c r="BB40" s="123" cm="1">
        <f t="array" ref="BB40">INDEX(Properties!$D:$D,$B40+5)*(IF(AND(BB$3&gt;=INDEX(Properties!$T:$T,$B40+5),BB$3&lt;INDEX(Properties!$U:$U,$B40+5)),INDEX(_Seasonality!$C$50:$N$59,$B40,MONTH(EDATE(Input!$C$7,BB$3-1)))*MIN(1,(BB$3-INDEX(Properties!$T:$T,$B40+5)+1)/Input!$C$11),0))*(1+Input!$C$8)^(BB$5-1)</f>
        <v>0</v>
      </c>
      <c r="BC40" s="123" cm="1">
        <f t="array" ref="BC40">INDEX(Properties!$D:$D,$B40+5)*(IF(AND(BC$3&gt;=INDEX(Properties!$T:$T,$B40+5),BC$3&lt;INDEX(Properties!$U:$U,$B40+5)),INDEX(_Seasonality!$C$50:$N$59,$B40,MONTH(EDATE(Input!$C$7,BC$3-1)))*MIN(1,(BC$3-INDEX(Properties!$T:$T,$B40+5)+1)/Input!$C$11),0))*(1+Input!$C$8)^(BC$5-1)</f>
        <v>0</v>
      </c>
      <c r="BD40" s="123" cm="1">
        <f t="array" ref="BD40">INDEX(Properties!$D:$D,$B40+5)*(IF(AND(BD$3&gt;=INDEX(Properties!$T:$T,$B40+5),BD$3&lt;INDEX(Properties!$U:$U,$B40+5)),INDEX(_Seasonality!$C$50:$N$59,$B40,MONTH(EDATE(Input!$C$7,BD$3-1)))*MIN(1,(BD$3-INDEX(Properties!$T:$T,$B40+5)+1)/Input!$C$11),0))*(1+Input!$C$8)^(BD$5-1)</f>
        <v>0</v>
      </c>
      <c r="BE40" s="123" cm="1">
        <f t="array" ref="BE40">INDEX(Properties!$D:$D,$B40+5)*(IF(AND(BE$3&gt;=INDEX(Properties!$T:$T,$B40+5),BE$3&lt;INDEX(Properties!$U:$U,$B40+5)),INDEX(_Seasonality!$C$50:$N$59,$B40,MONTH(EDATE(Input!$C$7,BE$3-1)))*MIN(1,(BE$3-INDEX(Properties!$T:$T,$B40+5)+1)/Input!$C$11),0))*(1+Input!$C$8)^(BE$5-1)</f>
        <v>0</v>
      </c>
      <c r="BF40" s="123" cm="1">
        <f t="array" ref="BF40">INDEX(Properties!$D:$D,$B40+5)*(IF(AND(BF$3&gt;=INDEX(Properties!$T:$T,$B40+5),BF$3&lt;INDEX(Properties!$U:$U,$B40+5)),INDEX(_Seasonality!$C$50:$N$59,$B40,MONTH(EDATE(Input!$C$7,BF$3-1)))*MIN(1,(BF$3-INDEX(Properties!$T:$T,$B40+5)+1)/Input!$C$11),0))*(1+Input!$C$8)^(BF$5-1)</f>
        <v>0</v>
      </c>
      <c r="BG40" s="123" cm="1">
        <f t="array" ref="BG40">INDEX(Properties!$D:$D,$B40+5)*(IF(AND(BG$3&gt;=INDEX(Properties!$T:$T,$B40+5),BG$3&lt;INDEX(Properties!$U:$U,$B40+5)),INDEX(_Seasonality!$C$50:$N$59,$B40,MONTH(EDATE(Input!$C$7,BG$3-1)))*MIN(1,(BG$3-INDEX(Properties!$T:$T,$B40+5)+1)/Input!$C$11),0))*(1+Input!$C$8)^(BG$5-1)</f>
        <v>0</v>
      </c>
      <c r="BH40" s="123" cm="1">
        <f t="array" ref="BH40">INDEX(Properties!$D:$D,$B40+5)*(IF(AND(BH$3&gt;=INDEX(Properties!$T:$T,$B40+5),BH$3&lt;INDEX(Properties!$U:$U,$B40+5)),INDEX(_Seasonality!$C$50:$N$59,$B40,MONTH(EDATE(Input!$C$7,BH$3-1)))*MIN(1,(BH$3-INDEX(Properties!$T:$T,$B40+5)+1)/Input!$C$11),0))*(1+Input!$C$8)^(BH$5-1)</f>
        <v>0</v>
      </c>
      <c r="BI40" s="123" cm="1">
        <f t="array" ref="BI40">INDEX(Properties!$D:$D,$B40+5)*(IF(AND(BI$3&gt;=INDEX(Properties!$T:$T,$B40+5),BI$3&lt;INDEX(Properties!$U:$U,$B40+5)),INDEX(_Seasonality!$C$50:$N$59,$B40,MONTH(EDATE(Input!$C$7,BI$3-1)))*MIN(1,(BI$3-INDEX(Properties!$T:$T,$B40+5)+1)/Input!$C$11),0))*(1+Input!$C$8)^(BI$5-1)</f>
        <v>0</v>
      </c>
      <c r="BJ40" s="123" cm="1">
        <f t="array" ref="BJ40">INDEX(Properties!$D:$D,$B40+5)*(IF(AND(BJ$3&gt;=INDEX(Properties!$T:$T,$B40+5),BJ$3&lt;INDEX(Properties!$U:$U,$B40+5)),INDEX(_Seasonality!$C$50:$N$59,$B40,MONTH(EDATE(Input!$C$7,BJ$3-1)))*MIN(1,(BJ$3-INDEX(Properties!$T:$T,$B40+5)+1)/Input!$C$11),0))*(1+Input!$C$8)^(BJ$5-1)</f>
        <v>0</v>
      </c>
      <c r="BK40" s="123" cm="1">
        <f t="array" ref="BK40">INDEX(Properties!$D:$D,$B40+5)*(IF(AND(BK$3&gt;=INDEX(Properties!$T:$T,$B40+5),BK$3&lt;INDEX(Properties!$U:$U,$B40+5)),INDEX(_Seasonality!$C$50:$N$59,$B40,MONTH(EDATE(Input!$C$7,BK$3-1)))*MIN(1,(BK$3-INDEX(Properties!$T:$T,$B40+5)+1)/Input!$C$11),0))*(1+Input!$C$8)^(BK$5-1)</f>
        <v>0</v>
      </c>
      <c r="BL40" s="123" cm="1">
        <f t="array" ref="BL40">INDEX(Properties!$D:$D,$B40+5)*(IF(AND(BL$3&gt;=INDEX(Properties!$T:$T,$B40+5),BL$3&lt;INDEX(Properties!$U:$U,$B40+5)),INDEX(_Seasonality!$C$50:$N$59,$B40,MONTH(EDATE(Input!$C$7,BL$3-1)))*MIN(1,(BL$3-INDEX(Properties!$T:$T,$B40+5)+1)/Input!$C$11),0))*(1+Input!$C$8)^(BL$5-1)</f>
        <v>0</v>
      </c>
      <c r="BM40" s="123" cm="1">
        <f t="array" ref="BM40">INDEX(Properties!$D:$D,$B40+5)*(IF(AND(BM$3&gt;=INDEX(Properties!$T:$T,$B40+5),BM$3&lt;INDEX(Properties!$U:$U,$B40+5)),INDEX(_Seasonality!$C$50:$N$59,$B40,MONTH(EDATE(Input!$C$7,BM$3-1)))*MIN(1,(BM$3-INDEX(Properties!$T:$T,$B40+5)+1)/Input!$C$11),0))*(1+Input!$C$8)^(BM$5-1)</f>
        <v>0</v>
      </c>
      <c r="BN40" s="123" cm="1">
        <f t="array" ref="BN40">INDEX(Properties!$D:$D,$B40+5)*(IF(AND(BN$3&gt;=INDEX(Properties!$T:$T,$B40+5),BN$3&lt;INDEX(Properties!$U:$U,$B40+5)),INDEX(_Seasonality!$C$50:$N$59,$B40,MONTH(EDATE(Input!$C$7,BN$3-1)))*MIN(1,(BN$3-INDEX(Properties!$T:$T,$B40+5)+1)/Input!$C$11),0))*(1+Input!$C$8)^(BN$5-1)</f>
        <v>0</v>
      </c>
      <c r="BO40" s="123" cm="1">
        <f t="array" ref="BO40">INDEX(Properties!$D:$D,$B40+5)*(IF(AND(BO$3&gt;=INDEX(Properties!$T:$T,$B40+5),BO$3&lt;INDEX(Properties!$U:$U,$B40+5)),INDEX(_Seasonality!$C$50:$N$59,$B40,MONTH(EDATE(Input!$C$7,BO$3-1)))*MIN(1,(BO$3-INDEX(Properties!$T:$T,$B40+5)+1)/Input!$C$11),0))*(1+Input!$C$8)^(BO$5-1)</f>
        <v>0</v>
      </c>
      <c r="BP40" s="123" cm="1">
        <f t="array" ref="BP40">INDEX(Properties!$D:$D,$B40+5)*(IF(AND(BP$3&gt;=INDEX(Properties!$T:$T,$B40+5),BP$3&lt;INDEX(Properties!$U:$U,$B40+5)),INDEX(_Seasonality!$C$50:$N$59,$B40,MONTH(EDATE(Input!$C$7,BP$3-1)))*MIN(1,(BP$3-INDEX(Properties!$T:$T,$B40+5)+1)/Input!$C$11),0))*(1+Input!$C$8)^(BP$5-1)</f>
        <v>0</v>
      </c>
      <c r="BQ40" s="123" cm="1">
        <f t="array" ref="BQ40">INDEX(Properties!$D:$D,$B40+5)*(IF(AND(BQ$3&gt;=INDEX(Properties!$T:$T,$B40+5),BQ$3&lt;INDEX(Properties!$U:$U,$B40+5)),INDEX(_Seasonality!$C$50:$N$59,$B40,MONTH(EDATE(Input!$C$7,BQ$3-1)))*MIN(1,(BQ$3-INDEX(Properties!$T:$T,$B40+5)+1)/Input!$C$11),0))*(1+Input!$C$8)^(BQ$5-1)</f>
        <v>0</v>
      </c>
      <c r="BR40" s="123" cm="1">
        <f t="array" ref="BR40">INDEX(Properties!$D:$D,$B40+5)*(IF(AND(BR$3&gt;=INDEX(Properties!$T:$T,$B40+5),BR$3&lt;INDEX(Properties!$U:$U,$B40+5)),INDEX(_Seasonality!$C$50:$N$59,$B40,MONTH(EDATE(Input!$C$7,BR$3-1)))*MIN(1,(BR$3-INDEX(Properties!$T:$T,$B40+5)+1)/Input!$C$11),0))*(1+Input!$C$8)^(BR$5-1)</f>
        <v>0</v>
      </c>
      <c r="BS40" s="123" cm="1">
        <f t="array" ref="BS40">INDEX(Properties!$D:$D,$B40+5)*(IF(AND(BS$3&gt;=INDEX(Properties!$T:$T,$B40+5),BS$3&lt;INDEX(Properties!$U:$U,$B40+5)),INDEX(_Seasonality!$C$50:$N$59,$B40,MONTH(EDATE(Input!$C$7,BS$3-1)))*MIN(1,(BS$3-INDEX(Properties!$T:$T,$B40+5)+1)/Input!$C$11),0))*(1+Input!$C$8)^(BS$5-1)</f>
        <v>0</v>
      </c>
      <c r="BT40" s="123" cm="1">
        <f t="array" ref="BT40">INDEX(Properties!$D:$D,$B40+5)*(IF(AND(BT$3&gt;=INDEX(Properties!$T:$T,$B40+5),BT$3&lt;INDEX(Properties!$U:$U,$B40+5)),INDEX(_Seasonality!$C$50:$N$59,$B40,MONTH(EDATE(Input!$C$7,BT$3-1)))*MIN(1,(BT$3-INDEX(Properties!$T:$T,$B40+5)+1)/Input!$C$11),0))*(1+Input!$C$8)^(BT$5-1)</f>
        <v>0</v>
      </c>
      <c r="BU40" s="123" cm="1">
        <f t="array" ref="BU40">INDEX(Properties!$D:$D,$B40+5)*(IF(AND(BU$3&gt;=INDEX(Properties!$T:$T,$B40+5),BU$3&lt;INDEX(Properties!$U:$U,$B40+5)),INDEX(_Seasonality!$C$50:$N$59,$B40,MONTH(EDATE(Input!$C$7,BU$3-1)))*MIN(1,(BU$3-INDEX(Properties!$T:$T,$B40+5)+1)/Input!$C$11),0))*(1+Input!$C$8)^(BU$5-1)</f>
        <v>0</v>
      </c>
      <c r="BV40" s="123" cm="1">
        <f t="array" ref="BV40">INDEX(Properties!$D:$D,$B40+5)*(IF(AND(BV$3&gt;=INDEX(Properties!$T:$T,$B40+5),BV$3&lt;INDEX(Properties!$U:$U,$B40+5)),INDEX(_Seasonality!$C$50:$N$59,$B40,MONTH(EDATE(Input!$C$7,BV$3-1)))*MIN(1,(BV$3-INDEX(Properties!$T:$T,$B40+5)+1)/Input!$C$11),0))*(1+Input!$C$8)^(BV$5-1)</f>
        <v>0</v>
      </c>
      <c r="BW40" s="123" cm="1">
        <f t="array" ref="BW40">INDEX(Properties!$D:$D,$B40+5)*(IF(AND(BW$3&gt;=INDEX(Properties!$T:$T,$B40+5),BW$3&lt;INDEX(Properties!$U:$U,$B40+5)),INDEX(_Seasonality!$C$50:$N$59,$B40,MONTH(EDATE(Input!$C$7,BW$3-1)))*MIN(1,(BW$3-INDEX(Properties!$T:$T,$B40+5)+1)/Input!$C$11),0))*(1+Input!$C$8)^(BW$5-1)</f>
        <v>0</v>
      </c>
      <c r="BX40" s="123" cm="1">
        <f t="array" ref="BX40">INDEX(Properties!$D:$D,$B40+5)*(IF(AND(BX$3&gt;=INDEX(Properties!$T:$T,$B40+5),BX$3&lt;INDEX(Properties!$U:$U,$B40+5)),INDEX(_Seasonality!$C$50:$N$59,$B40,MONTH(EDATE(Input!$C$7,BX$3-1)))*MIN(1,(BX$3-INDEX(Properties!$T:$T,$B40+5)+1)/Input!$C$11),0))*(1+Input!$C$8)^(BX$5-1)</f>
        <v>0</v>
      </c>
      <c r="BY40" s="123" cm="1">
        <f t="array" ref="BY40">INDEX(Properties!$D:$D,$B40+5)*(IF(AND(BY$3&gt;=INDEX(Properties!$T:$T,$B40+5),BY$3&lt;INDEX(Properties!$U:$U,$B40+5)),INDEX(_Seasonality!$C$50:$N$59,$B40,MONTH(EDATE(Input!$C$7,BY$3-1)))*MIN(1,(BY$3-INDEX(Properties!$T:$T,$B40+5)+1)/Input!$C$11),0))*(1+Input!$C$8)^(BY$5-1)</f>
        <v>0</v>
      </c>
      <c r="BZ40" s="123" cm="1">
        <f t="array" ref="BZ40">INDEX(Properties!$D:$D,$B40+5)*(IF(AND(BZ$3&gt;=INDEX(Properties!$T:$T,$B40+5),BZ$3&lt;INDEX(Properties!$U:$U,$B40+5)),INDEX(_Seasonality!$C$50:$N$59,$B40,MONTH(EDATE(Input!$C$7,BZ$3-1)))*MIN(1,(BZ$3-INDEX(Properties!$T:$T,$B40+5)+1)/Input!$C$11),0))*(1+Input!$C$8)^(BZ$5-1)</f>
        <v>0</v>
      </c>
      <c r="CA40" s="123" cm="1">
        <f t="array" ref="CA40">INDEX(Properties!$D:$D,$B40+5)*(IF(AND(CA$3&gt;=INDEX(Properties!$T:$T,$B40+5),CA$3&lt;INDEX(Properties!$U:$U,$B40+5)),INDEX(_Seasonality!$C$50:$N$59,$B40,MONTH(EDATE(Input!$C$7,CA$3-1)))*MIN(1,(CA$3-INDEX(Properties!$T:$T,$B40+5)+1)/Input!$C$11),0))*(1+Input!$C$8)^(CA$5-1)</f>
        <v>0</v>
      </c>
      <c r="CB40" s="123" cm="1">
        <f t="array" ref="CB40">INDEX(Properties!$D:$D,$B40+5)*(IF(AND(CB$3&gt;=INDEX(Properties!$T:$T,$B40+5),CB$3&lt;INDEX(Properties!$U:$U,$B40+5)),INDEX(_Seasonality!$C$50:$N$59,$B40,MONTH(EDATE(Input!$C$7,CB$3-1)))*MIN(1,(CB$3-INDEX(Properties!$T:$T,$B40+5)+1)/Input!$C$11),0))*(1+Input!$C$8)^(CB$5-1)</f>
        <v>0</v>
      </c>
      <c r="CC40" s="123" cm="1">
        <f t="array" ref="CC40">INDEX(Properties!$D:$D,$B40+5)*(IF(AND(CC$3&gt;=INDEX(Properties!$T:$T,$B40+5),CC$3&lt;INDEX(Properties!$U:$U,$B40+5)),INDEX(_Seasonality!$C$50:$N$59,$B40,MONTH(EDATE(Input!$C$7,CC$3-1)))*MIN(1,(CC$3-INDEX(Properties!$T:$T,$B40+5)+1)/Input!$C$11),0))*(1+Input!$C$8)^(CC$5-1)</f>
        <v>0</v>
      </c>
      <c r="CD40" s="123" cm="1">
        <f t="array" ref="CD40">INDEX(Properties!$D:$D,$B40+5)*(IF(AND(CD$3&gt;=INDEX(Properties!$T:$T,$B40+5),CD$3&lt;INDEX(Properties!$U:$U,$B40+5)),INDEX(_Seasonality!$C$50:$N$59,$B40,MONTH(EDATE(Input!$C$7,CD$3-1)))*MIN(1,(CD$3-INDEX(Properties!$T:$T,$B40+5)+1)/Input!$C$11),0))*(1+Input!$C$8)^(CD$5-1)</f>
        <v>0</v>
      </c>
      <c r="CE40" s="123" cm="1">
        <f t="array" ref="CE40">INDEX(Properties!$D:$D,$B40+5)*(IF(AND(CE$3&gt;=INDEX(Properties!$T:$T,$B40+5),CE$3&lt;INDEX(Properties!$U:$U,$B40+5)),INDEX(_Seasonality!$C$50:$N$59,$B40,MONTH(EDATE(Input!$C$7,CE$3-1)))*MIN(1,(CE$3-INDEX(Properties!$T:$T,$B40+5)+1)/Input!$C$11),0))*(1+Input!$C$8)^(CE$5-1)</f>
        <v>0</v>
      </c>
      <c r="CF40" s="123" cm="1">
        <f t="array" ref="CF40">INDEX(Properties!$D:$D,$B40+5)*(IF(AND(CF$3&gt;=INDEX(Properties!$T:$T,$B40+5),CF$3&lt;INDEX(Properties!$U:$U,$B40+5)),INDEX(_Seasonality!$C$50:$N$59,$B40,MONTH(EDATE(Input!$C$7,CF$3-1)))*MIN(1,(CF$3-INDEX(Properties!$T:$T,$B40+5)+1)/Input!$C$11),0))*(1+Input!$C$8)^(CF$5-1)</f>
        <v>0</v>
      </c>
      <c r="CG40" s="123" cm="1">
        <f t="array" ref="CG40">INDEX(Properties!$D:$D,$B40+5)*(IF(AND(CG$3&gt;=INDEX(Properties!$T:$T,$B40+5),CG$3&lt;INDEX(Properties!$U:$U,$B40+5)),INDEX(_Seasonality!$C$50:$N$59,$B40,MONTH(EDATE(Input!$C$7,CG$3-1)))*MIN(1,(CG$3-INDEX(Properties!$T:$T,$B40+5)+1)/Input!$C$11),0))*(1+Input!$C$8)^(CG$5-1)</f>
        <v>0</v>
      </c>
      <c r="CH40" s="123" cm="1">
        <f t="array" ref="CH40">INDEX(Properties!$D:$D,$B40+5)*(IF(AND(CH$3&gt;=INDEX(Properties!$T:$T,$B40+5),CH$3&lt;INDEX(Properties!$U:$U,$B40+5)),INDEX(_Seasonality!$C$50:$N$59,$B40,MONTH(EDATE(Input!$C$7,CH$3-1)))*MIN(1,(CH$3-INDEX(Properties!$T:$T,$B40+5)+1)/Input!$C$11),0))*(1+Input!$C$8)^(CH$5-1)</f>
        <v>0</v>
      </c>
      <c r="CI40" s="123" cm="1">
        <f t="array" ref="CI40">INDEX(Properties!$D:$D,$B40+5)*(IF(AND(CI$3&gt;=INDEX(Properties!$T:$T,$B40+5),CI$3&lt;INDEX(Properties!$U:$U,$B40+5)),INDEX(_Seasonality!$C$50:$N$59,$B40,MONTH(EDATE(Input!$C$7,CI$3-1)))*MIN(1,(CI$3-INDEX(Properties!$T:$T,$B40+5)+1)/Input!$C$11),0))*(1+Input!$C$8)^(CI$5-1)</f>
        <v>0</v>
      </c>
      <c r="CJ40" s="123" cm="1">
        <f t="array" ref="CJ40">INDEX(Properties!$D:$D,$B40+5)*(IF(AND(CJ$3&gt;=INDEX(Properties!$T:$T,$B40+5),CJ$3&lt;INDEX(Properties!$U:$U,$B40+5)),INDEX(_Seasonality!$C$50:$N$59,$B40,MONTH(EDATE(Input!$C$7,CJ$3-1)))*MIN(1,(CJ$3-INDEX(Properties!$T:$T,$B40+5)+1)/Input!$C$11),0))*(1+Input!$C$8)^(CJ$5-1)</f>
        <v>0</v>
      </c>
      <c r="CK40" s="123" cm="1">
        <f t="array" ref="CK40">INDEX(Properties!$D:$D,$B40+5)*(IF(AND(CK$3&gt;=INDEX(Properties!$T:$T,$B40+5),CK$3&lt;INDEX(Properties!$U:$U,$B40+5)),INDEX(_Seasonality!$C$50:$N$59,$B40,MONTH(EDATE(Input!$C$7,CK$3-1)))*MIN(1,(CK$3-INDEX(Properties!$T:$T,$B40+5)+1)/Input!$C$11),0))*(1+Input!$C$8)^(CK$5-1)</f>
        <v>0</v>
      </c>
      <c r="CL40" s="123" cm="1">
        <f t="array" ref="CL40">INDEX(Properties!$D:$D,$B40+5)*(IF(AND(CL$3&gt;=INDEX(Properties!$T:$T,$B40+5),CL$3&lt;INDEX(Properties!$U:$U,$B40+5)),INDEX(_Seasonality!$C$50:$N$59,$B40,MONTH(EDATE(Input!$C$7,CL$3-1)))*MIN(1,(CL$3-INDEX(Properties!$T:$T,$B40+5)+1)/Input!$C$11),0))*(1+Input!$C$8)^(CL$5-1)</f>
        <v>0</v>
      </c>
      <c r="CM40" s="123" cm="1">
        <f t="array" ref="CM40">INDEX(Properties!$D:$D,$B40+5)*(IF(AND(CM$3&gt;=INDEX(Properties!$T:$T,$B40+5),CM$3&lt;INDEX(Properties!$U:$U,$B40+5)),INDEX(_Seasonality!$C$50:$N$59,$B40,MONTH(EDATE(Input!$C$7,CM$3-1)))*MIN(1,(CM$3-INDEX(Properties!$T:$T,$B40+5)+1)/Input!$C$11),0))*(1+Input!$C$8)^(CM$5-1)</f>
        <v>0</v>
      </c>
      <c r="CN40" s="123" cm="1">
        <f t="array" ref="CN40">INDEX(Properties!$D:$D,$B40+5)*(IF(AND(CN$3&gt;=INDEX(Properties!$T:$T,$B40+5),CN$3&lt;INDEX(Properties!$U:$U,$B40+5)),INDEX(_Seasonality!$C$50:$N$59,$B40,MONTH(EDATE(Input!$C$7,CN$3-1)))*MIN(1,(CN$3-INDEX(Properties!$T:$T,$B40+5)+1)/Input!$C$11),0))*(1+Input!$C$8)^(CN$5-1)</f>
        <v>0</v>
      </c>
      <c r="CO40" s="123" cm="1">
        <f t="array" ref="CO40">INDEX(Properties!$D:$D,$B40+5)*(IF(AND(CO$3&gt;=INDEX(Properties!$T:$T,$B40+5),CO$3&lt;INDEX(Properties!$U:$U,$B40+5)),INDEX(_Seasonality!$C$50:$N$59,$B40,MONTH(EDATE(Input!$C$7,CO$3-1)))*MIN(1,(CO$3-INDEX(Properties!$T:$T,$B40+5)+1)/Input!$C$11),0))*(1+Input!$C$8)^(CO$5-1)</f>
        <v>0</v>
      </c>
      <c r="CP40" s="123" cm="1">
        <f t="array" ref="CP40">INDEX(Properties!$D:$D,$B40+5)*(IF(AND(CP$3&gt;=INDEX(Properties!$T:$T,$B40+5),CP$3&lt;INDEX(Properties!$U:$U,$B40+5)),INDEX(_Seasonality!$C$50:$N$59,$B40,MONTH(EDATE(Input!$C$7,CP$3-1)))*MIN(1,(CP$3-INDEX(Properties!$T:$T,$B40+5)+1)/Input!$C$11),0))*(1+Input!$C$8)^(CP$5-1)</f>
        <v>0</v>
      </c>
      <c r="CQ40" s="123" cm="1">
        <f t="array" ref="CQ40">INDEX(Properties!$D:$D,$B40+5)*(IF(AND(CQ$3&gt;=INDEX(Properties!$T:$T,$B40+5),CQ$3&lt;INDEX(Properties!$U:$U,$B40+5)),INDEX(_Seasonality!$C$50:$N$59,$B40,MONTH(EDATE(Input!$C$7,CQ$3-1)))*MIN(1,(CQ$3-INDEX(Properties!$T:$T,$B40+5)+1)/Input!$C$11),0))*(1+Input!$C$8)^(CQ$5-1)</f>
        <v>0</v>
      </c>
      <c r="CR40" s="123" cm="1">
        <f t="array" ref="CR40">INDEX(Properties!$D:$D,$B40+5)*(IF(AND(CR$3&gt;=INDEX(Properties!$T:$T,$B40+5),CR$3&lt;INDEX(Properties!$U:$U,$B40+5)),INDEX(_Seasonality!$C$50:$N$59,$B40,MONTH(EDATE(Input!$C$7,CR$3-1)))*MIN(1,(CR$3-INDEX(Properties!$T:$T,$B40+5)+1)/Input!$C$11),0))*(1+Input!$C$8)^(CR$5-1)</f>
        <v>0</v>
      </c>
      <c r="CS40" s="123" cm="1">
        <f t="array" ref="CS40">INDEX(Properties!$D:$D,$B40+5)*(IF(AND(CS$3&gt;=INDEX(Properties!$T:$T,$B40+5),CS$3&lt;INDEX(Properties!$U:$U,$B40+5)),INDEX(_Seasonality!$C$50:$N$59,$B40,MONTH(EDATE(Input!$C$7,CS$3-1)))*MIN(1,(CS$3-INDEX(Properties!$T:$T,$B40+5)+1)/Input!$C$11),0))*(1+Input!$C$8)^(CS$5-1)</f>
        <v>0</v>
      </c>
      <c r="CT40" s="123" cm="1">
        <f t="array" ref="CT40">INDEX(Properties!$D:$D,$B40+5)*(IF(AND(CT$3&gt;=INDEX(Properties!$T:$T,$B40+5),CT$3&lt;INDEX(Properties!$U:$U,$B40+5)),INDEX(_Seasonality!$C$50:$N$59,$B40,MONTH(EDATE(Input!$C$7,CT$3-1)))*MIN(1,(CT$3-INDEX(Properties!$T:$T,$B40+5)+1)/Input!$C$11),0))*(1+Input!$C$8)^(CT$5-1)</f>
        <v>0</v>
      </c>
      <c r="CU40" s="123" cm="1">
        <f t="array" ref="CU40">INDEX(Properties!$D:$D,$B40+5)*(IF(AND(CU$3&gt;=INDEX(Properties!$T:$T,$B40+5),CU$3&lt;INDEX(Properties!$U:$U,$B40+5)),INDEX(_Seasonality!$C$50:$N$59,$B40,MONTH(EDATE(Input!$C$7,CU$3-1)))*MIN(1,(CU$3-INDEX(Properties!$T:$T,$B40+5)+1)/Input!$C$11),0))*(1+Input!$C$8)^(CU$5-1)</f>
        <v>0</v>
      </c>
      <c r="CV40" s="123" cm="1">
        <f t="array" ref="CV40">INDEX(Properties!$D:$D,$B40+5)*(IF(AND(CV$3&gt;=INDEX(Properties!$T:$T,$B40+5),CV$3&lt;INDEX(Properties!$U:$U,$B40+5)),INDEX(_Seasonality!$C$50:$N$59,$B40,MONTH(EDATE(Input!$C$7,CV$3-1)))*MIN(1,(CV$3-INDEX(Properties!$T:$T,$B40+5)+1)/Input!$C$11),0))*(1+Input!$C$8)^(CV$5-1)</f>
        <v>0</v>
      </c>
      <c r="CW40" s="123" cm="1">
        <f t="array" ref="CW40">INDEX(Properties!$D:$D,$B40+5)*(IF(AND(CW$3&gt;=INDEX(Properties!$T:$T,$B40+5),CW$3&lt;INDEX(Properties!$U:$U,$B40+5)),INDEX(_Seasonality!$C$50:$N$59,$B40,MONTH(EDATE(Input!$C$7,CW$3-1)))*MIN(1,(CW$3-INDEX(Properties!$T:$T,$B40+5)+1)/Input!$C$11),0))*(1+Input!$C$8)^(CW$5-1)</f>
        <v>0</v>
      </c>
      <c r="CX40" s="123" cm="1">
        <f t="array" ref="CX40">INDEX(Properties!$D:$D,$B40+5)*(IF(AND(CX$3&gt;=INDEX(Properties!$T:$T,$B40+5),CX$3&lt;INDEX(Properties!$U:$U,$B40+5)),INDEX(_Seasonality!$C$50:$N$59,$B40,MONTH(EDATE(Input!$C$7,CX$3-1)))*MIN(1,(CX$3-INDEX(Properties!$T:$T,$B40+5)+1)/Input!$C$11),0))*(1+Input!$C$8)^(CX$5-1)</f>
        <v>0</v>
      </c>
      <c r="CY40" s="123" cm="1">
        <f t="array" ref="CY40">INDEX(Properties!$D:$D,$B40+5)*(IF(AND(CY$3&gt;=INDEX(Properties!$T:$T,$B40+5),CY$3&lt;INDEX(Properties!$U:$U,$B40+5)),INDEX(_Seasonality!$C$50:$N$59,$B40,MONTH(EDATE(Input!$C$7,CY$3-1)))*MIN(1,(CY$3-INDEX(Properties!$T:$T,$B40+5)+1)/Input!$C$11),0))*(1+Input!$C$8)^(CY$5-1)</f>
        <v>0</v>
      </c>
      <c r="CZ40" s="123" cm="1">
        <f t="array" ref="CZ40">INDEX(Properties!$D:$D,$B40+5)*(IF(AND(CZ$3&gt;=INDEX(Properties!$T:$T,$B40+5),CZ$3&lt;INDEX(Properties!$U:$U,$B40+5)),INDEX(_Seasonality!$C$50:$N$59,$B40,MONTH(EDATE(Input!$C$7,CZ$3-1)))*MIN(1,(CZ$3-INDEX(Properties!$T:$T,$B40+5)+1)/Input!$C$11),0))*(1+Input!$C$8)^(CZ$5-1)</f>
        <v>0</v>
      </c>
      <c r="DA40" s="123" cm="1">
        <f t="array" ref="DA40">INDEX(Properties!$D:$D,$B40+5)*(IF(AND(DA$3&gt;=INDEX(Properties!$T:$T,$B40+5),DA$3&lt;INDEX(Properties!$U:$U,$B40+5)),INDEX(_Seasonality!$C$50:$N$59,$B40,MONTH(EDATE(Input!$C$7,DA$3-1)))*MIN(1,(DA$3-INDEX(Properties!$T:$T,$B40+5)+1)/Input!$C$11),0))*(1+Input!$C$8)^(DA$5-1)</f>
        <v>0</v>
      </c>
      <c r="DB40" s="123" cm="1">
        <f t="array" ref="DB40">INDEX(Properties!$D:$D,$B40+5)*(IF(AND(DB$3&gt;=INDEX(Properties!$T:$T,$B40+5),DB$3&lt;INDEX(Properties!$U:$U,$B40+5)),INDEX(_Seasonality!$C$50:$N$59,$B40,MONTH(EDATE(Input!$C$7,DB$3-1)))*MIN(1,(DB$3-INDEX(Properties!$T:$T,$B40+5)+1)/Input!$C$11),0))*(1+Input!$C$8)^(DB$5-1)</f>
        <v>0</v>
      </c>
      <c r="DC40" s="123" cm="1">
        <f t="array" ref="DC40">INDEX(Properties!$D:$D,$B40+5)*(IF(AND(DC$3&gt;=INDEX(Properties!$T:$T,$B40+5),DC$3&lt;INDEX(Properties!$U:$U,$B40+5)),INDEX(_Seasonality!$C$50:$N$59,$B40,MONTH(EDATE(Input!$C$7,DC$3-1)))*MIN(1,(DC$3-INDEX(Properties!$T:$T,$B40+5)+1)/Input!$C$11),0))*(1+Input!$C$8)^(DC$5-1)</f>
        <v>0</v>
      </c>
      <c r="DD40" s="123" cm="1">
        <f t="array" ref="DD40">INDEX(Properties!$D:$D,$B40+5)*(IF(AND(DD$3&gt;=INDEX(Properties!$T:$T,$B40+5),DD$3&lt;INDEX(Properties!$U:$U,$B40+5)),INDEX(_Seasonality!$C$50:$N$59,$B40,MONTH(EDATE(Input!$C$7,DD$3-1)))*MIN(1,(DD$3-INDEX(Properties!$T:$T,$B40+5)+1)/Input!$C$11),0))*(1+Input!$C$8)^(DD$5-1)</f>
        <v>0</v>
      </c>
      <c r="DE40" s="123" cm="1">
        <f t="array" ref="DE40">INDEX(Properties!$D:$D,$B40+5)*(IF(AND(DE$3&gt;=INDEX(Properties!$T:$T,$B40+5),DE$3&lt;INDEX(Properties!$U:$U,$B40+5)),INDEX(_Seasonality!$C$50:$N$59,$B40,MONTH(EDATE(Input!$C$7,DE$3-1)))*MIN(1,(DE$3-INDEX(Properties!$T:$T,$B40+5)+1)/Input!$C$11),0))*(1+Input!$C$8)^(DE$5-1)</f>
        <v>0</v>
      </c>
      <c r="DF40" s="123" cm="1">
        <f t="array" ref="DF40">INDEX(Properties!$D:$D,$B40+5)*(IF(AND(DF$3&gt;=INDEX(Properties!$T:$T,$B40+5),DF$3&lt;INDEX(Properties!$U:$U,$B40+5)),INDEX(_Seasonality!$C$50:$N$59,$B40,MONTH(EDATE(Input!$C$7,DF$3-1)))*MIN(1,(DF$3-INDEX(Properties!$T:$T,$B40+5)+1)/Input!$C$11),0))*(1+Input!$C$8)^(DF$5-1)</f>
        <v>0</v>
      </c>
      <c r="DG40" s="123" cm="1">
        <f t="array" ref="DG40">INDEX(Properties!$D:$D,$B40+5)*(IF(AND(DG$3&gt;=INDEX(Properties!$T:$T,$B40+5),DG$3&lt;INDEX(Properties!$U:$U,$B40+5)),INDEX(_Seasonality!$C$50:$N$59,$B40,MONTH(EDATE(Input!$C$7,DG$3-1)))*MIN(1,(DG$3-INDEX(Properties!$T:$T,$B40+5)+1)/Input!$C$11),0))*(1+Input!$C$8)^(DG$5-1)</f>
        <v>0</v>
      </c>
      <c r="DH40" s="123" cm="1">
        <f t="array" ref="DH40">INDEX(Properties!$D:$D,$B40+5)*(IF(AND(DH$3&gt;=INDEX(Properties!$T:$T,$B40+5),DH$3&lt;INDEX(Properties!$U:$U,$B40+5)),INDEX(_Seasonality!$C$50:$N$59,$B40,MONTH(EDATE(Input!$C$7,DH$3-1)))*MIN(1,(DH$3-INDEX(Properties!$T:$T,$B40+5)+1)/Input!$C$11),0))*(1+Input!$C$8)^(DH$5-1)</f>
        <v>0</v>
      </c>
      <c r="DI40" s="123" cm="1">
        <f t="array" ref="DI40">INDEX(Properties!$D:$D,$B40+5)*(IF(AND(DI$3&gt;=INDEX(Properties!$T:$T,$B40+5),DI$3&lt;INDEX(Properties!$U:$U,$B40+5)),INDEX(_Seasonality!$C$50:$N$59,$B40,MONTH(EDATE(Input!$C$7,DI$3-1)))*MIN(1,(DI$3-INDEX(Properties!$T:$T,$B40+5)+1)/Input!$C$11),0))*(1+Input!$C$8)^(DI$5-1)</f>
        <v>0</v>
      </c>
      <c r="DJ40" s="123" cm="1">
        <f t="array" ref="DJ40">INDEX(Properties!$D:$D,$B40+5)*(IF(AND(DJ$3&gt;=INDEX(Properties!$T:$T,$B40+5),DJ$3&lt;INDEX(Properties!$U:$U,$B40+5)),INDEX(_Seasonality!$C$50:$N$59,$B40,MONTH(EDATE(Input!$C$7,DJ$3-1)))*MIN(1,(DJ$3-INDEX(Properties!$T:$T,$B40+5)+1)/Input!$C$11),0))*(1+Input!$C$8)^(DJ$5-1)</f>
        <v>0</v>
      </c>
      <c r="DK40" s="123" cm="1">
        <f t="array" ref="DK40">INDEX(Properties!$D:$D,$B40+5)*(IF(AND(DK$3&gt;=INDEX(Properties!$T:$T,$B40+5),DK$3&lt;INDEX(Properties!$U:$U,$B40+5)),INDEX(_Seasonality!$C$50:$N$59,$B40,MONTH(EDATE(Input!$C$7,DK$3-1)))*MIN(1,(DK$3-INDEX(Properties!$T:$T,$B40+5)+1)/Input!$C$11),0))*(1+Input!$C$8)^(DK$5-1)</f>
        <v>0</v>
      </c>
      <c r="DL40" s="123" cm="1">
        <f t="array" ref="DL40">INDEX(Properties!$D:$D,$B40+5)*(IF(AND(DL$3&gt;=INDEX(Properties!$T:$T,$B40+5),DL$3&lt;INDEX(Properties!$U:$U,$B40+5)),INDEX(_Seasonality!$C$50:$N$59,$B40,MONTH(EDATE(Input!$C$7,DL$3-1)))*MIN(1,(DL$3-INDEX(Properties!$T:$T,$B40+5)+1)/Input!$C$11),0))*(1+Input!$C$8)^(DL$5-1)</f>
        <v>0</v>
      </c>
      <c r="DM40" s="123" cm="1">
        <f t="array" ref="DM40">INDEX(Properties!$D:$D,$B40+5)*(IF(AND(DM$3&gt;=INDEX(Properties!$T:$T,$B40+5),DM$3&lt;INDEX(Properties!$U:$U,$B40+5)),INDEX(_Seasonality!$C$50:$N$59,$B40,MONTH(EDATE(Input!$C$7,DM$3-1)))*MIN(1,(DM$3-INDEX(Properties!$T:$T,$B40+5)+1)/Input!$C$11),0))*(1+Input!$C$8)^(DM$5-1)</f>
        <v>0</v>
      </c>
      <c r="DN40" s="123" cm="1">
        <f t="array" ref="DN40">INDEX(Properties!$D:$D,$B40+5)*(IF(AND(DN$3&gt;=INDEX(Properties!$T:$T,$B40+5),DN$3&lt;INDEX(Properties!$U:$U,$B40+5)),INDEX(_Seasonality!$C$50:$N$59,$B40,MONTH(EDATE(Input!$C$7,DN$3-1)))*MIN(1,(DN$3-INDEX(Properties!$T:$T,$B40+5)+1)/Input!$C$11),0))*(1+Input!$C$8)^(DN$5-1)</f>
        <v>0</v>
      </c>
      <c r="DO40" s="123" cm="1">
        <f t="array" ref="DO40">INDEX(Properties!$D:$D,$B40+5)*(IF(AND(DO$3&gt;=INDEX(Properties!$T:$T,$B40+5),DO$3&lt;INDEX(Properties!$U:$U,$B40+5)),INDEX(_Seasonality!$C$50:$N$59,$B40,MONTH(EDATE(Input!$C$7,DO$3-1)))*MIN(1,(DO$3-INDEX(Properties!$T:$T,$B40+5)+1)/Input!$C$11),0))*(1+Input!$C$8)^(DO$5-1)</f>
        <v>0</v>
      </c>
      <c r="DP40" s="123" cm="1">
        <f t="array" ref="DP40">INDEX(Properties!$D:$D,$B40+5)*(IF(AND(DP$3&gt;=INDEX(Properties!$T:$T,$B40+5),DP$3&lt;INDEX(Properties!$U:$U,$B40+5)),INDEX(_Seasonality!$C$50:$N$59,$B40,MONTH(EDATE(Input!$C$7,DP$3-1)))*MIN(1,(DP$3-INDEX(Properties!$T:$T,$B40+5)+1)/Input!$C$11),0))*(1+Input!$C$8)^(DP$5-1)</f>
        <v>0</v>
      </c>
      <c r="DQ40" s="123" cm="1">
        <f t="array" ref="DQ40">INDEX(Properties!$D:$D,$B40+5)*(IF(AND(DQ$3&gt;=INDEX(Properties!$T:$T,$B40+5),DQ$3&lt;INDEX(Properties!$U:$U,$B40+5)),INDEX(_Seasonality!$C$50:$N$59,$B40,MONTH(EDATE(Input!$C$7,DQ$3-1)))*MIN(1,(DQ$3-INDEX(Properties!$T:$T,$B40+5)+1)/Input!$C$11),0))*(1+Input!$C$8)^(DQ$5-1)</f>
        <v>0</v>
      </c>
      <c r="DR40" s="123" cm="1">
        <f t="array" ref="DR40">INDEX(Properties!$D:$D,$B40+5)*(IF(AND(DR$3&gt;=INDEX(Properties!$T:$T,$B40+5),DR$3&lt;INDEX(Properties!$U:$U,$B40+5)),INDEX(_Seasonality!$C$50:$N$59,$B40,MONTH(EDATE(Input!$C$7,DR$3-1)))*MIN(1,(DR$3-INDEX(Properties!$T:$T,$B40+5)+1)/Input!$C$11),0))*(1+Input!$C$8)^(DR$5-1)</f>
        <v>0</v>
      </c>
    </row>
    <row r="41" spans="1:122" ht="16.05" customHeight="1" x14ac:dyDescent="0.3">
      <c r="A41" s="148" cm="1">
        <f t="array" ref="A41">INDEX(Properties!$E:$E,$B41+5)</f>
        <v>0</v>
      </c>
      <c r="B41" s="1">
        <v>9</v>
      </c>
      <c r="C41" s="123" cm="1">
        <f t="array" ref="C41">INDEX(Properties!$D:$D,$B41+5)*(IF(AND(C$3&gt;=INDEX(Properties!$T:$T,$B41+5),C$3&lt;INDEX(Properties!$U:$U,$B41+5)),INDEX(_Seasonality!$C$50:$N$59,$B41,MONTH(EDATE(Input!$C$7,C$3-1)))*MIN(1,(C$3-INDEX(Properties!$T:$T,$B41+5)+1)/Input!$C$11),0))*(1+Input!$C$8)^(C$5-1)</f>
        <v>0</v>
      </c>
      <c r="D41" s="123" cm="1">
        <f t="array" ref="D41">INDEX(Properties!$D:$D,$B41+5)*(IF(AND(D$3&gt;=INDEX(Properties!$T:$T,$B41+5),D$3&lt;INDEX(Properties!$U:$U,$B41+5)),INDEX(_Seasonality!$C$50:$N$59,$B41,MONTH(EDATE(Input!$C$7,D$3-1)))*MIN(1,(D$3-INDEX(Properties!$T:$T,$B41+5)+1)/Input!$C$11),0))*(1+Input!$C$8)^(D$5-1)</f>
        <v>0</v>
      </c>
      <c r="E41" s="123" cm="1">
        <f t="array" ref="E41">INDEX(Properties!$D:$D,$B41+5)*(IF(AND(E$3&gt;=INDEX(Properties!$T:$T,$B41+5),E$3&lt;INDEX(Properties!$U:$U,$B41+5)),INDEX(_Seasonality!$C$50:$N$59,$B41,MONTH(EDATE(Input!$C$7,E$3-1)))*MIN(1,(E$3-INDEX(Properties!$T:$T,$B41+5)+1)/Input!$C$11),0))*(1+Input!$C$8)^(E$5-1)</f>
        <v>0</v>
      </c>
      <c r="F41" s="123" cm="1">
        <f t="array" ref="F41">INDEX(Properties!$D:$D,$B41+5)*(IF(AND(F$3&gt;=INDEX(Properties!$T:$T,$B41+5),F$3&lt;INDEX(Properties!$U:$U,$B41+5)),INDEX(_Seasonality!$C$50:$N$59,$B41,MONTH(EDATE(Input!$C$7,F$3-1)))*MIN(1,(F$3-INDEX(Properties!$T:$T,$B41+5)+1)/Input!$C$11),0))*(1+Input!$C$8)^(F$5-1)</f>
        <v>0</v>
      </c>
      <c r="G41" s="123" cm="1">
        <f t="array" ref="G41">INDEX(Properties!$D:$D,$B41+5)*(IF(AND(G$3&gt;=INDEX(Properties!$T:$T,$B41+5),G$3&lt;INDEX(Properties!$U:$U,$B41+5)),INDEX(_Seasonality!$C$50:$N$59,$B41,MONTH(EDATE(Input!$C$7,G$3-1)))*MIN(1,(G$3-INDEX(Properties!$T:$T,$B41+5)+1)/Input!$C$11),0))*(1+Input!$C$8)^(G$5-1)</f>
        <v>0</v>
      </c>
      <c r="H41" s="123" cm="1">
        <f t="array" ref="H41">INDEX(Properties!$D:$D,$B41+5)*(IF(AND(H$3&gt;=INDEX(Properties!$T:$T,$B41+5),H$3&lt;INDEX(Properties!$U:$U,$B41+5)),INDEX(_Seasonality!$C$50:$N$59,$B41,MONTH(EDATE(Input!$C$7,H$3-1)))*MIN(1,(H$3-INDEX(Properties!$T:$T,$B41+5)+1)/Input!$C$11),0))*(1+Input!$C$8)^(H$5-1)</f>
        <v>0</v>
      </c>
      <c r="I41" s="123" cm="1">
        <f t="array" ref="I41">INDEX(Properties!$D:$D,$B41+5)*(IF(AND(I$3&gt;=INDEX(Properties!$T:$T,$B41+5),I$3&lt;INDEX(Properties!$U:$U,$B41+5)),INDEX(_Seasonality!$C$50:$N$59,$B41,MONTH(EDATE(Input!$C$7,I$3-1)))*MIN(1,(I$3-INDEX(Properties!$T:$T,$B41+5)+1)/Input!$C$11),0))*(1+Input!$C$8)^(I$5-1)</f>
        <v>0</v>
      </c>
      <c r="J41" s="123" cm="1">
        <f t="array" ref="J41">INDEX(Properties!$D:$D,$B41+5)*(IF(AND(J$3&gt;=INDEX(Properties!$T:$T,$B41+5),J$3&lt;INDEX(Properties!$U:$U,$B41+5)),INDEX(_Seasonality!$C$50:$N$59,$B41,MONTH(EDATE(Input!$C$7,J$3-1)))*MIN(1,(J$3-INDEX(Properties!$T:$T,$B41+5)+1)/Input!$C$11),0))*(1+Input!$C$8)^(J$5-1)</f>
        <v>0</v>
      </c>
      <c r="K41" s="123" cm="1">
        <f t="array" ref="K41">INDEX(Properties!$D:$D,$B41+5)*(IF(AND(K$3&gt;=INDEX(Properties!$T:$T,$B41+5),K$3&lt;INDEX(Properties!$U:$U,$B41+5)),INDEX(_Seasonality!$C$50:$N$59,$B41,MONTH(EDATE(Input!$C$7,K$3-1)))*MIN(1,(K$3-INDEX(Properties!$T:$T,$B41+5)+1)/Input!$C$11),0))*(1+Input!$C$8)^(K$5-1)</f>
        <v>0</v>
      </c>
      <c r="L41" s="123" cm="1">
        <f t="array" ref="L41">INDEX(Properties!$D:$D,$B41+5)*(IF(AND(L$3&gt;=INDEX(Properties!$T:$T,$B41+5),L$3&lt;INDEX(Properties!$U:$U,$B41+5)),INDEX(_Seasonality!$C$50:$N$59,$B41,MONTH(EDATE(Input!$C$7,L$3-1)))*MIN(1,(L$3-INDEX(Properties!$T:$T,$B41+5)+1)/Input!$C$11),0))*(1+Input!$C$8)^(L$5-1)</f>
        <v>0</v>
      </c>
      <c r="M41" s="123" cm="1">
        <f t="array" ref="M41">INDEX(Properties!$D:$D,$B41+5)*(IF(AND(M$3&gt;=INDEX(Properties!$T:$T,$B41+5),M$3&lt;INDEX(Properties!$U:$U,$B41+5)),INDEX(_Seasonality!$C$50:$N$59,$B41,MONTH(EDATE(Input!$C$7,M$3-1)))*MIN(1,(M$3-INDEX(Properties!$T:$T,$B41+5)+1)/Input!$C$11),0))*(1+Input!$C$8)^(M$5-1)</f>
        <v>0</v>
      </c>
      <c r="N41" s="123" cm="1">
        <f t="array" ref="N41">INDEX(Properties!$D:$D,$B41+5)*(IF(AND(N$3&gt;=INDEX(Properties!$T:$T,$B41+5),N$3&lt;INDEX(Properties!$U:$U,$B41+5)),INDEX(_Seasonality!$C$50:$N$59,$B41,MONTH(EDATE(Input!$C$7,N$3-1)))*MIN(1,(N$3-INDEX(Properties!$T:$T,$B41+5)+1)/Input!$C$11),0))*(1+Input!$C$8)^(N$5-1)</f>
        <v>0</v>
      </c>
      <c r="O41" s="123" cm="1">
        <f t="array" ref="O41">INDEX(Properties!$D:$D,$B41+5)*(IF(AND(O$3&gt;=INDEX(Properties!$T:$T,$B41+5),O$3&lt;INDEX(Properties!$U:$U,$B41+5)),INDEX(_Seasonality!$C$50:$N$59,$B41,MONTH(EDATE(Input!$C$7,O$3-1)))*MIN(1,(O$3-INDEX(Properties!$T:$T,$B41+5)+1)/Input!$C$11),0))*(1+Input!$C$8)^(O$5-1)</f>
        <v>0</v>
      </c>
      <c r="P41" s="123" cm="1">
        <f t="array" ref="P41">INDEX(Properties!$D:$D,$B41+5)*(IF(AND(P$3&gt;=INDEX(Properties!$T:$T,$B41+5),P$3&lt;INDEX(Properties!$U:$U,$B41+5)),INDEX(_Seasonality!$C$50:$N$59,$B41,MONTH(EDATE(Input!$C$7,P$3-1)))*MIN(1,(P$3-INDEX(Properties!$T:$T,$B41+5)+1)/Input!$C$11),0))*(1+Input!$C$8)^(P$5-1)</f>
        <v>0</v>
      </c>
      <c r="Q41" s="123" cm="1">
        <f t="array" ref="Q41">INDEX(Properties!$D:$D,$B41+5)*(IF(AND(Q$3&gt;=INDEX(Properties!$T:$T,$B41+5),Q$3&lt;INDEX(Properties!$U:$U,$B41+5)),INDEX(_Seasonality!$C$50:$N$59,$B41,MONTH(EDATE(Input!$C$7,Q$3-1)))*MIN(1,(Q$3-INDEX(Properties!$T:$T,$B41+5)+1)/Input!$C$11),0))*(1+Input!$C$8)^(Q$5-1)</f>
        <v>0</v>
      </c>
      <c r="R41" s="123" cm="1">
        <f t="array" ref="R41">INDEX(Properties!$D:$D,$B41+5)*(IF(AND(R$3&gt;=INDEX(Properties!$T:$T,$B41+5),R$3&lt;INDEX(Properties!$U:$U,$B41+5)),INDEX(_Seasonality!$C$50:$N$59,$B41,MONTH(EDATE(Input!$C$7,R$3-1)))*MIN(1,(R$3-INDEX(Properties!$T:$T,$B41+5)+1)/Input!$C$11),0))*(1+Input!$C$8)^(R$5-1)</f>
        <v>0</v>
      </c>
      <c r="S41" s="123" cm="1">
        <f t="array" ref="S41">INDEX(Properties!$D:$D,$B41+5)*(IF(AND(S$3&gt;=INDEX(Properties!$T:$T,$B41+5),S$3&lt;INDEX(Properties!$U:$U,$B41+5)),INDEX(_Seasonality!$C$50:$N$59,$B41,MONTH(EDATE(Input!$C$7,S$3-1)))*MIN(1,(S$3-INDEX(Properties!$T:$T,$B41+5)+1)/Input!$C$11),0))*(1+Input!$C$8)^(S$5-1)</f>
        <v>0</v>
      </c>
      <c r="T41" s="123" cm="1">
        <f t="array" ref="T41">INDEX(Properties!$D:$D,$B41+5)*(IF(AND(T$3&gt;=INDEX(Properties!$T:$T,$B41+5),T$3&lt;INDEX(Properties!$U:$U,$B41+5)),INDEX(_Seasonality!$C$50:$N$59,$B41,MONTH(EDATE(Input!$C$7,T$3-1)))*MIN(1,(T$3-INDEX(Properties!$T:$T,$B41+5)+1)/Input!$C$11),0))*(1+Input!$C$8)^(T$5-1)</f>
        <v>0</v>
      </c>
      <c r="U41" s="123" cm="1">
        <f t="array" ref="U41">INDEX(Properties!$D:$D,$B41+5)*(IF(AND(U$3&gt;=INDEX(Properties!$T:$T,$B41+5),U$3&lt;INDEX(Properties!$U:$U,$B41+5)),INDEX(_Seasonality!$C$50:$N$59,$B41,MONTH(EDATE(Input!$C$7,U$3-1)))*MIN(1,(U$3-INDEX(Properties!$T:$T,$B41+5)+1)/Input!$C$11),0))*(1+Input!$C$8)^(U$5-1)</f>
        <v>0</v>
      </c>
      <c r="V41" s="123" cm="1">
        <f t="array" ref="V41">INDEX(Properties!$D:$D,$B41+5)*(IF(AND(V$3&gt;=INDEX(Properties!$T:$T,$B41+5),V$3&lt;INDEX(Properties!$U:$U,$B41+5)),INDEX(_Seasonality!$C$50:$N$59,$B41,MONTH(EDATE(Input!$C$7,V$3-1)))*MIN(1,(V$3-INDEX(Properties!$T:$T,$B41+5)+1)/Input!$C$11),0))*(1+Input!$C$8)^(V$5-1)</f>
        <v>0</v>
      </c>
      <c r="W41" s="123" cm="1">
        <f t="array" ref="W41">INDEX(Properties!$D:$D,$B41+5)*(IF(AND(W$3&gt;=INDEX(Properties!$T:$T,$B41+5),W$3&lt;INDEX(Properties!$U:$U,$B41+5)),INDEX(_Seasonality!$C$50:$N$59,$B41,MONTH(EDATE(Input!$C$7,W$3-1)))*MIN(1,(W$3-INDEX(Properties!$T:$T,$B41+5)+1)/Input!$C$11),0))*(1+Input!$C$8)^(W$5-1)</f>
        <v>0</v>
      </c>
      <c r="X41" s="123" cm="1">
        <f t="array" ref="X41">INDEX(Properties!$D:$D,$B41+5)*(IF(AND(X$3&gt;=INDEX(Properties!$T:$T,$B41+5),X$3&lt;INDEX(Properties!$U:$U,$B41+5)),INDEX(_Seasonality!$C$50:$N$59,$B41,MONTH(EDATE(Input!$C$7,X$3-1)))*MIN(1,(X$3-INDEX(Properties!$T:$T,$B41+5)+1)/Input!$C$11),0))*(1+Input!$C$8)^(X$5-1)</f>
        <v>0</v>
      </c>
      <c r="Y41" s="123" cm="1">
        <f t="array" ref="Y41">INDEX(Properties!$D:$D,$B41+5)*(IF(AND(Y$3&gt;=INDEX(Properties!$T:$T,$B41+5),Y$3&lt;INDEX(Properties!$U:$U,$B41+5)),INDEX(_Seasonality!$C$50:$N$59,$B41,MONTH(EDATE(Input!$C$7,Y$3-1)))*MIN(1,(Y$3-INDEX(Properties!$T:$T,$B41+5)+1)/Input!$C$11),0))*(1+Input!$C$8)^(Y$5-1)</f>
        <v>0</v>
      </c>
      <c r="Z41" s="123" cm="1">
        <f t="array" ref="Z41">INDEX(Properties!$D:$D,$B41+5)*(IF(AND(Z$3&gt;=INDEX(Properties!$T:$T,$B41+5),Z$3&lt;INDEX(Properties!$U:$U,$B41+5)),INDEX(_Seasonality!$C$50:$N$59,$B41,MONTH(EDATE(Input!$C$7,Z$3-1)))*MIN(1,(Z$3-INDEX(Properties!$T:$T,$B41+5)+1)/Input!$C$11),0))*(1+Input!$C$8)^(Z$5-1)</f>
        <v>0</v>
      </c>
      <c r="AA41" s="123" cm="1">
        <f t="array" ref="AA41">INDEX(Properties!$D:$D,$B41+5)*(IF(AND(AA$3&gt;=INDEX(Properties!$T:$T,$B41+5),AA$3&lt;INDEX(Properties!$U:$U,$B41+5)),INDEX(_Seasonality!$C$50:$N$59,$B41,MONTH(EDATE(Input!$C$7,AA$3-1)))*MIN(1,(AA$3-INDEX(Properties!$T:$T,$B41+5)+1)/Input!$C$11),0))*(1+Input!$C$8)^(AA$5-1)</f>
        <v>0</v>
      </c>
      <c r="AB41" s="123" cm="1">
        <f t="array" ref="AB41">INDEX(Properties!$D:$D,$B41+5)*(IF(AND(AB$3&gt;=INDEX(Properties!$T:$T,$B41+5),AB$3&lt;INDEX(Properties!$U:$U,$B41+5)),INDEX(_Seasonality!$C$50:$N$59,$B41,MONTH(EDATE(Input!$C$7,AB$3-1)))*MIN(1,(AB$3-INDEX(Properties!$T:$T,$B41+5)+1)/Input!$C$11),0))*(1+Input!$C$8)^(AB$5-1)</f>
        <v>0</v>
      </c>
      <c r="AC41" s="123" cm="1">
        <f t="array" ref="AC41">INDEX(Properties!$D:$D,$B41+5)*(IF(AND(AC$3&gt;=INDEX(Properties!$T:$T,$B41+5),AC$3&lt;INDEX(Properties!$U:$U,$B41+5)),INDEX(_Seasonality!$C$50:$N$59,$B41,MONTH(EDATE(Input!$C$7,AC$3-1)))*MIN(1,(AC$3-INDEX(Properties!$T:$T,$B41+5)+1)/Input!$C$11),0))*(1+Input!$C$8)^(AC$5-1)</f>
        <v>0</v>
      </c>
      <c r="AD41" s="123" cm="1">
        <f t="array" ref="AD41">INDEX(Properties!$D:$D,$B41+5)*(IF(AND(AD$3&gt;=INDEX(Properties!$T:$T,$B41+5),AD$3&lt;INDEX(Properties!$U:$U,$B41+5)),INDEX(_Seasonality!$C$50:$N$59,$B41,MONTH(EDATE(Input!$C$7,AD$3-1)))*MIN(1,(AD$3-INDEX(Properties!$T:$T,$B41+5)+1)/Input!$C$11),0))*(1+Input!$C$8)^(AD$5-1)</f>
        <v>0</v>
      </c>
      <c r="AE41" s="123" cm="1">
        <f t="array" ref="AE41">INDEX(Properties!$D:$D,$B41+5)*(IF(AND(AE$3&gt;=INDEX(Properties!$T:$T,$B41+5),AE$3&lt;INDEX(Properties!$U:$U,$B41+5)),INDEX(_Seasonality!$C$50:$N$59,$B41,MONTH(EDATE(Input!$C$7,AE$3-1)))*MIN(1,(AE$3-INDEX(Properties!$T:$T,$B41+5)+1)/Input!$C$11),0))*(1+Input!$C$8)^(AE$5-1)</f>
        <v>0</v>
      </c>
      <c r="AF41" s="123" cm="1">
        <f t="array" ref="AF41">INDEX(Properties!$D:$D,$B41+5)*(IF(AND(AF$3&gt;=INDEX(Properties!$T:$T,$B41+5),AF$3&lt;INDEX(Properties!$U:$U,$B41+5)),INDEX(_Seasonality!$C$50:$N$59,$B41,MONTH(EDATE(Input!$C$7,AF$3-1)))*MIN(1,(AF$3-INDEX(Properties!$T:$T,$B41+5)+1)/Input!$C$11),0))*(1+Input!$C$8)^(AF$5-1)</f>
        <v>0</v>
      </c>
      <c r="AG41" s="123" cm="1">
        <f t="array" ref="AG41">INDEX(Properties!$D:$D,$B41+5)*(IF(AND(AG$3&gt;=INDEX(Properties!$T:$T,$B41+5),AG$3&lt;INDEX(Properties!$U:$U,$B41+5)),INDEX(_Seasonality!$C$50:$N$59,$B41,MONTH(EDATE(Input!$C$7,AG$3-1)))*MIN(1,(AG$3-INDEX(Properties!$T:$T,$B41+5)+1)/Input!$C$11),0))*(1+Input!$C$8)^(AG$5-1)</f>
        <v>0</v>
      </c>
      <c r="AH41" s="123" cm="1">
        <f t="array" ref="AH41">INDEX(Properties!$D:$D,$B41+5)*(IF(AND(AH$3&gt;=INDEX(Properties!$T:$T,$B41+5),AH$3&lt;INDEX(Properties!$U:$U,$B41+5)),INDEX(_Seasonality!$C$50:$N$59,$B41,MONTH(EDATE(Input!$C$7,AH$3-1)))*MIN(1,(AH$3-INDEX(Properties!$T:$T,$B41+5)+1)/Input!$C$11),0))*(1+Input!$C$8)^(AH$5-1)</f>
        <v>0</v>
      </c>
      <c r="AI41" s="123" cm="1">
        <f t="array" ref="AI41">INDEX(Properties!$D:$D,$B41+5)*(IF(AND(AI$3&gt;=INDEX(Properties!$T:$T,$B41+5),AI$3&lt;INDEX(Properties!$U:$U,$B41+5)),INDEX(_Seasonality!$C$50:$N$59,$B41,MONTH(EDATE(Input!$C$7,AI$3-1)))*MIN(1,(AI$3-INDEX(Properties!$T:$T,$B41+5)+1)/Input!$C$11),0))*(1+Input!$C$8)^(AI$5-1)</f>
        <v>0</v>
      </c>
      <c r="AJ41" s="123" cm="1">
        <f t="array" ref="AJ41">INDEX(Properties!$D:$D,$B41+5)*(IF(AND(AJ$3&gt;=INDEX(Properties!$T:$T,$B41+5),AJ$3&lt;INDEX(Properties!$U:$U,$B41+5)),INDEX(_Seasonality!$C$50:$N$59,$B41,MONTH(EDATE(Input!$C$7,AJ$3-1)))*MIN(1,(AJ$3-INDEX(Properties!$T:$T,$B41+5)+1)/Input!$C$11),0))*(1+Input!$C$8)^(AJ$5-1)</f>
        <v>0</v>
      </c>
      <c r="AK41" s="123" cm="1">
        <f t="array" ref="AK41">INDEX(Properties!$D:$D,$B41+5)*(IF(AND(AK$3&gt;=INDEX(Properties!$T:$T,$B41+5),AK$3&lt;INDEX(Properties!$U:$U,$B41+5)),INDEX(_Seasonality!$C$50:$N$59,$B41,MONTH(EDATE(Input!$C$7,AK$3-1)))*MIN(1,(AK$3-INDEX(Properties!$T:$T,$B41+5)+1)/Input!$C$11),0))*(1+Input!$C$8)^(AK$5-1)</f>
        <v>0</v>
      </c>
      <c r="AL41" s="123" cm="1">
        <f t="array" ref="AL41">INDEX(Properties!$D:$D,$B41+5)*(IF(AND(AL$3&gt;=INDEX(Properties!$T:$T,$B41+5),AL$3&lt;INDEX(Properties!$U:$U,$B41+5)),INDEX(_Seasonality!$C$50:$N$59,$B41,MONTH(EDATE(Input!$C$7,AL$3-1)))*MIN(1,(AL$3-INDEX(Properties!$T:$T,$B41+5)+1)/Input!$C$11),0))*(1+Input!$C$8)^(AL$5-1)</f>
        <v>0</v>
      </c>
      <c r="AM41" s="123" cm="1">
        <f t="array" ref="AM41">INDEX(Properties!$D:$D,$B41+5)*(IF(AND(AM$3&gt;=INDEX(Properties!$T:$T,$B41+5),AM$3&lt;INDEX(Properties!$U:$U,$B41+5)),INDEX(_Seasonality!$C$50:$N$59,$B41,MONTH(EDATE(Input!$C$7,AM$3-1)))*MIN(1,(AM$3-INDEX(Properties!$T:$T,$B41+5)+1)/Input!$C$11),0))*(1+Input!$C$8)^(AM$5-1)</f>
        <v>0</v>
      </c>
      <c r="AN41" s="123" cm="1">
        <f t="array" ref="AN41">INDEX(Properties!$D:$D,$B41+5)*(IF(AND(AN$3&gt;=INDEX(Properties!$T:$T,$B41+5),AN$3&lt;INDEX(Properties!$U:$U,$B41+5)),INDEX(_Seasonality!$C$50:$N$59,$B41,MONTH(EDATE(Input!$C$7,AN$3-1)))*MIN(1,(AN$3-INDEX(Properties!$T:$T,$B41+5)+1)/Input!$C$11),0))*(1+Input!$C$8)^(AN$5-1)</f>
        <v>0</v>
      </c>
      <c r="AO41" s="123" cm="1">
        <f t="array" ref="AO41">INDEX(Properties!$D:$D,$B41+5)*(IF(AND(AO$3&gt;=INDEX(Properties!$T:$T,$B41+5),AO$3&lt;INDEX(Properties!$U:$U,$B41+5)),INDEX(_Seasonality!$C$50:$N$59,$B41,MONTH(EDATE(Input!$C$7,AO$3-1)))*MIN(1,(AO$3-INDEX(Properties!$T:$T,$B41+5)+1)/Input!$C$11),0))*(1+Input!$C$8)^(AO$5-1)</f>
        <v>0</v>
      </c>
      <c r="AP41" s="123" cm="1">
        <f t="array" ref="AP41">INDEX(Properties!$D:$D,$B41+5)*(IF(AND(AP$3&gt;=INDEX(Properties!$T:$T,$B41+5),AP$3&lt;INDEX(Properties!$U:$U,$B41+5)),INDEX(_Seasonality!$C$50:$N$59,$B41,MONTH(EDATE(Input!$C$7,AP$3-1)))*MIN(1,(AP$3-INDEX(Properties!$T:$T,$B41+5)+1)/Input!$C$11),0))*(1+Input!$C$8)^(AP$5-1)</f>
        <v>0</v>
      </c>
      <c r="AQ41" s="123" cm="1">
        <f t="array" ref="AQ41">INDEX(Properties!$D:$D,$B41+5)*(IF(AND(AQ$3&gt;=INDEX(Properties!$T:$T,$B41+5),AQ$3&lt;INDEX(Properties!$U:$U,$B41+5)),INDEX(_Seasonality!$C$50:$N$59,$B41,MONTH(EDATE(Input!$C$7,AQ$3-1)))*MIN(1,(AQ$3-INDEX(Properties!$T:$T,$B41+5)+1)/Input!$C$11),0))*(1+Input!$C$8)^(AQ$5-1)</f>
        <v>0</v>
      </c>
      <c r="AR41" s="123" cm="1">
        <f t="array" ref="AR41">INDEX(Properties!$D:$D,$B41+5)*(IF(AND(AR$3&gt;=INDEX(Properties!$T:$T,$B41+5),AR$3&lt;INDEX(Properties!$U:$U,$B41+5)),INDEX(_Seasonality!$C$50:$N$59,$B41,MONTH(EDATE(Input!$C$7,AR$3-1)))*MIN(1,(AR$3-INDEX(Properties!$T:$T,$B41+5)+1)/Input!$C$11),0))*(1+Input!$C$8)^(AR$5-1)</f>
        <v>0</v>
      </c>
      <c r="AS41" s="123" cm="1">
        <f t="array" ref="AS41">INDEX(Properties!$D:$D,$B41+5)*(IF(AND(AS$3&gt;=INDEX(Properties!$T:$T,$B41+5),AS$3&lt;INDEX(Properties!$U:$U,$B41+5)),INDEX(_Seasonality!$C$50:$N$59,$B41,MONTH(EDATE(Input!$C$7,AS$3-1)))*MIN(1,(AS$3-INDEX(Properties!$T:$T,$B41+5)+1)/Input!$C$11),0))*(1+Input!$C$8)^(AS$5-1)</f>
        <v>0</v>
      </c>
      <c r="AT41" s="123" cm="1">
        <f t="array" ref="AT41">INDEX(Properties!$D:$D,$B41+5)*(IF(AND(AT$3&gt;=INDEX(Properties!$T:$T,$B41+5),AT$3&lt;INDEX(Properties!$U:$U,$B41+5)),INDEX(_Seasonality!$C$50:$N$59,$B41,MONTH(EDATE(Input!$C$7,AT$3-1)))*MIN(1,(AT$3-INDEX(Properties!$T:$T,$B41+5)+1)/Input!$C$11),0))*(1+Input!$C$8)^(AT$5-1)</f>
        <v>0</v>
      </c>
      <c r="AU41" s="123" cm="1">
        <f t="array" ref="AU41">INDEX(Properties!$D:$D,$B41+5)*(IF(AND(AU$3&gt;=INDEX(Properties!$T:$T,$B41+5),AU$3&lt;INDEX(Properties!$U:$U,$B41+5)),INDEX(_Seasonality!$C$50:$N$59,$B41,MONTH(EDATE(Input!$C$7,AU$3-1)))*MIN(1,(AU$3-INDEX(Properties!$T:$T,$B41+5)+1)/Input!$C$11),0))*(1+Input!$C$8)^(AU$5-1)</f>
        <v>0</v>
      </c>
      <c r="AV41" s="123" cm="1">
        <f t="array" ref="AV41">INDEX(Properties!$D:$D,$B41+5)*(IF(AND(AV$3&gt;=INDEX(Properties!$T:$T,$B41+5),AV$3&lt;INDEX(Properties!$U:$U,$B41+5)),INDEX(_Seasonality!$C$50:$N$59,$B41,MONTH(EDATE(Input!$C$7,AV$3-1)))*MIN(1,(AV$3-INDEX(Properties!$T:$T,$B41+5)+1)/Input!$C$11),0))*(1+Input!$C$8)^(AV$5-1)</f>
        <v>0</v>
      </c>
      <c r="AW41" s="123" cm="1">
        <f t="array" ref="AW41">INDEX(Properties!$D:$D,$B41+5)*(IF(AND(AW$3&gt;=INDEX(Properties!$T:$T,$B41+5),AW$3&lt;INDEX(Properties!$U:$U,$B41+5)),INDEX(_Seasonality!$C$50:$N$59,$B41,MONTH(EDATE(Input!$C$7,AW$3-1)))*MIN(1,(AW$3-INDEX(Properties!$T:$T,$B41+5)+1)/Input!$C$11),0))*(1+Input!$C$8)^(AW$5-1)</f>
        <v>0</v>
      </c>
      <c r="AX41" s="123" cm="1">
        <f t="array" ref="AX41">INDEX(Properties!$D:$D,$B41+5)*(IF(AND(AX$3&gt;=INDEX(Properties!$T:$T,$B41+5),AX$3&lt;INDEX(Properties!$U:$U,$B41+5)),INDEX(_Seasonality!$C$50:$N$59,$B41,MONTH(EDATE(Input!$C$7,AX$3-1)))*MIN(1,(AX$3-INDEX(Properties!$T:$T,$B41+5)+1)/Input!$C$11),0))*(1+Input!$C$8)^(AX$5-1)</f>
        <v>0</v>
      </c>
      <c r="AY41" s="123" cm="1">
        <f t="array" ref="AY41">INDEX(Properties!$D:$D,$B41+5)*(IF(AND(AY$3&gt;=INDEX(Properties!$T:$T,$B41+5),AY$3&lt;INDEX(Properties!$U:$U,$B41+5)),INDEX(_Seasonality!$C$50:$N$59,$B41,MONTH(EDATE(Input!$C$7,AY$3-1)))*MIN(1,(AY$3-INDEX(Properties!$T:$T,$B41+5)+1)/Input!$C$11),0))*(1+Input!$C$8)^(AY$5-1)</f>
        <v>0</v>
      </c>
      <c r="AZ41" s="123" cm="1">
        <f t="array" ref="AZ41">INDEX(Properties!$D:$D,$B41+5)*(IF(AND(AZ$3&gt;=INDEX(Properties!$T:$T,$B41+5),AZ$3&lt;INDEX(Properties!$U:$U,$B41+5)),INDEX(_Seasonality!$C$50:$N$59,$B41,MONTH(EDATE(Input!$C$7,AZ$3-1)))*MIN(1,(AZ$3-INDEX(Properties!$T:$T,$B41+5)+1)/Input!$C$11),0))*(1+Input!$C$8)^(AZ$5-1)</f>
        <v>0</v>
      </c>
      <c r="BA41" s="123" cm="1">
        <f t="array" ref="BA41">INDEX(Properties!$D:$D,$B41+5)*(IF(AND(BA$3&gt;=INDEX(Properties!$T:$T,$B41+5),BA$3&lt;INDEX(Properties!$U:$U,$B41+5)),INDEX(_Seasonality!$C$50:$N$59,$B41,MONTH(EDATE(Input!$C$7,BA$3-1)))*MIN(1,(BA$3-INDEX(Properties!$T:$T,$B41+5)+1)/Input!$C$11),0))*(1+Input!$C$8)^(BA$5-1)</f>
        <v>0</v>
      </c>
      <c r="BB41" s="123" cm="1">
        <f t="array" ref="BB41">INDEX(Properties!$D:$D,$B41+5)*(IF(AND(BB$3&gt;=INDEX(Properties!$T:$T,$B41+5),BB$3&lt;INDEX(Properties!$U:$U,$B41+5)),INDEX(_Seasonality!$C$50:$N$59,$B41,MONTH(EDATE(Input!$C$7,BB$3-1)))*MIN(1,(BB$3-INDEX(Properties!$T:$T,$B41+5)+1)/Input!$C$11),0))*(1+Input!$C$8)^(BB$5-1)</f>
        <v>0</v>
      </c>
      <c r="BC41" s="123" cm="1">
        <f t="array" ref="BC41">INDEX(Properties!$D:$D,$B41+5)*(IF(AND(BC$3&gt;=INDEX(Properties!$T:$T,$B41+5),BC$3&lt;INDEX(Properties!$U:$U,$B41+5)),INDEX(_Seasonality!$C$50:$N$59,$B41,MONTH(EDATE(Input!$C$7,BC$3-1)))*MIN(1,(BC$3-INDEX(Properties!$T:$T,$B41+5)+1)/Input!$C$11),0))*(1+Input!$C$8)^(BC$5-1)</f>
        <v>0</v>
      </c>
      <c r="BD41" s="123" cm="1">
        <f t="array" ref="BD41">INDEX(Properties!$D:$D,$B41+5)*(IF(AND(BD$3&gt;=INDEX(Properties!$T:$T,$B41+5),BD$3&lt;INDEX(Properties!$U:$U,$B41+5)),INDEX(_Seasonality!$C$50:$N$59,$B41,MONTH(EDATE(Input!$C$7,BD$3-1)))*MIN(1,(BD$3-INDEX(Properties!$T:$T,$B41+5)+1)/Input!$C$11),0))*(1+Input!$C$8)^(BD$5-1)</f>
        <v>0</v>
      </c>
      <c r="BE41" s="123" cm="1">
        <f t="array" ref="BE41">INDEX(Properties!$D:$D,$B41+5)*(IF(AND(BE$3&gt;=INDEX(Properties!$T:$T,$B41+5),BE$3&lt;INDEX(Properties!$U:$U,$B41+5)),INDEX(_Seasonality!$C$50:$N$59,$B41,MONTH(EDATE(Input!$C$7,BE$3-1)))*MIN(1,(BE$3-INDEX(Properties!$T:$T,$B41+5)+1)/Input!$C$11),0))*(1+Input!$C$8)^(BE$5-1)</f>
        <v>0</v>
      </c>
      <c r="BF41" s="123" cm="1">
        <f t="array" ref="BF41">INDEX(Properties!$D:$D,$B41+5)*(IF(AND(BF$3&gt;=INDEX(Properties!$T:$T,$B41+5),BF$3&lt;INDEX(Properties!$U:$U,$B41+5)),INDEX(_Seasonality!$C$50:$N$59,$B41,MONTH(EDATE(Input!$C$7,BF$3-1)))*MIN(1,(BF$3-INDEX(Properties!$T:$T,$B41+5)+1)/Input!$C$11),0))*(1+Input!$C$8)^(BF$5-1)</f>
        <v>0</v>
      </c>
      <c r="BG41" s="123" cm="1">
        <f t="array" ref="BG41">INDEX(Properties!$D:$D,$B41+5)*(IF(AND(BG$3&gt;=INDEX(Properties!$T:$T,$B41+5),BG$3&lt;INDEX(Properties!$U:$U,$B41+5)),INDEX(_Seasonality!$C$50:$N$59,$B41,MONTH(EDATE(Input!$C$7,BG$3-1)))*MIN(1,(BG$3-INDEX(Properties!$T:$T,$B41+5)+1)/Input!$C$11),0))*(1+Input!$C$8)^(BG$5-1)</f>
        <v>0</v>
      </c>
      <c r="BH41" s="123" cm="1">
        <f t="array" ref="BH41">INDEX(Properties!$D:$D,$B41+5)*(IF(AND(BH$3&gt;=INDEX(Properties!$T:$T,$B41+5),BH$3&lt;INDEX(Properties!$U:$U,$B41+5)),INDEX(_Seasonality!$C$50:$N$59,$B41,MONTH(EDATE(Input!$C$7,BH$3-1)))*MIN(1,(BH$3-INDEX(Properties!$T:$T,$B41+5)+1)/Input!$C$11),0))*(1+Input!$C$8)^(BH$5-1)</f>
        <v>0</v>
      </c>
      <c r="BI41" s="123" cm="1">
        <f t="array" ref="BI41">INDEX(Properties!$D:$D,$B41+5)*(IF(AND(BI$3&gt;=INDEX(Properties!$T:$T,$B41+5),BI$3&lt;INDEX(Properties!$U:$U,$B41+5)),INDEX(_Seasonality!$C$50:$N$59,$B41,MONTH(EDATE(Input!$C$7,BI$3-1)))*MIN(1,(BI$3-INDEX(Properties!$T:$T,$B41+5)+1)/Input!$C$11),0))*(1+Input!$C$8)^(BI$5-1)</f>
        <v>0</v>
      </c>
      <c r="BJ41" s="123" cm="1">
        <f t="array" ref="BJ41">INDEX(Properties!$D:$D,$B41+5)*(IF(AND(BJ$3&gt;=INDEX(Properties!$T:$T,$B41+5),BJ$3&lt;INDEX(Properties!$U:$U,$B41+5)),INDEX(_Seasonality!$C$50:$N$59,$B41,MONTH(EDATE(Input!$C$7,BJ$3-1)))*MIN(1,(BJ$3-INDEX(Properties!$T:$T,$B41+5)+1)/Input!$C$11),0))*(1+Input!$C$8)^(BJ$5-1)</f>
        <v>0</v>
      </c>
      <c r="BK41" s="123" cm="1">
        <f t="array" ref="BK41">INDEX(Properties!$D:$D,$B41+5)*(IF(AND(BK$3&gt;=INDEX(Properties!$T:$T,$B41+5),BK$3&lt;INDEX(Properties!$U:$U,$B41+5)),INDEX(_Seasonality!$C$50:$N$59,$B41,MONTH(EDATE(Input!$C$7,BK$3-1)))*MIN(1,(BK$3-INDEX(Properties!$T:$T,$B41+5)+1)/Input!$C$11),0))*(1+Input!$C$8)^(BK$5-1)</f>
        <v>0</v>
      </c>
      <c r="BL41" s="123" cm="1">
        <f t="array" ref="BL41">INDEX(Properties!$D:$D,$B41+5)*(IF(AND(BL$3&gt;=INDEX(Properties!$T:$T,$B41+5),BL$3&lt;INDEX(Properties!$U:$U,$B41+5)),INDEX(_Seasonality!$C$50:$N$59,$B41,MONTH(EDATE(Input!$C$7,BL$3-1)))*MIN(1,(BL$3-INDEX(Properties!$T:$T,$B41+5)+1)/Input!$C$11),0))*(1+Input!$C$8)^(BL$5-1)</f>
        <v>0</v>
      </c>
      <c r="BM41" s="123" cm="1">
        <f t="array" ref="BM41">INDEX(Properties!$D:$D,$B41+5)*(IF(AND(BM$3&gt;=INDEX(Properties!$T:$T,$B41+5),BM$3&lt;INDEX(Properties!$U:$U,$B41+5)),INDEX(_Seasonality!$C$50:$N$59,$B41,MONTH(EDATE(Input!$C$7,BM$3-1)))*MIN(1,(BM$3-INDEX(Properties!$T:$T,$B41+5)+1)/Input!$C$11),0))*(1+Input!$C$8)^(BM$5-1)</f>
        <v>0</v>
      </c>
      <c r="BN41" s="123" cm="1">
        <f t="array" ref="BN41">INDEX(Properties!$D:$D,$B41+5)*(IF(AND(BN$3&gt;=INDEX(Properties!$T:$T,$B41+5),BN$3&lt;INDEX(Properties!$U:$U,$B41+5)),INDEX(_Seasonality!$C$50:$N$59,$B41,MONTH(EDATE(Input!$C$7,BN$3-1)))*MIN(1,(BN$3-INDEX(Properties!$T:$T,$B41+5)+1)/Input!$C$11),0))*(1+Input!$C$8)^(BN$5-1)</f>
        <v>0</v>
      </c>
      <c r="BO41" s="123" cm="1">
        <f t="array" ref="BO41">INDEX(Properties!$D:$D,$B41+5)*(IF(AND(BO$3&gt;=INDEX(Properties!$T:$T,$B41+5),BO$3&lt;INDEX(Properties!$U:$U,$B41+5)),INDEX(_Seasonality!$C$50:$N$59,$B41,MONTH(EDATE(Input!$C$7,BO$3-1)))*MIN(1,(BO$3-INDEX(Properties!$T:$T,$B41+5)+1)/Input!$C$11),0))*(1+Input!$C$8)^(BO$5-1)</f>
        <v>0</v>
      </c>
      <c r="BP41" s="123" cm="1">
        <f t="array" ref="BP41">INDEX(Properties!$D:$D,$B41+5)*(IF(AND(BP$3&gt;=INDEX(Properties!$T:$T,$B41+5),BP$3&lt;INDEX(Properties!$U:$U,$B41+5)),INDEX(_Seasonality!$C$50:$N$59,$B41,MONTH(EDATE(Input!$C$7,BP$3-1)))*MIN(1,(BP$3-INDEX(Properties!$T:$T,$B41+5)+1)/Input!$C$11),0))*(1+Input!$C$8)^(BP$5-1)</f>
        <v>0</v>
      </c>
      <c r="BQ41" s="123" cm="1">
        <f t="array" ref="BQ41">INDEX(Properties!$D:$D,$B41+5)*(IF(AND(BQ$3&gt;=INDEX(Properties!$T:$T,$B41+5),BQ$3&lt;INDEX(Properties!$U:$U,$B41+5)),INDEX(_Seasonality!$C$50:$N$59,$B41,MONTH(EDATE(Input!$C$7,BQ$3-1)))*MIN(1,(BQ$3-INDEX(Properties!$T:$T,$B41+5)+1)/Input!$C$11),0))*(1+Input!$C$8)^(BQ$5-1)</f>
        <v>0</v>
      </c>
      <c r="BR41" s="123" cm="1">
        <f t="array" ref="BR41">INDEX(Properties!$D:$D,$B41+5)*(IF(AND(BR$3&gt;=INDEX(Properties!$T:$T,$B41+5),BR$3&lt;INDEX(Properties!$U:$U,$B41+5)),INDEX(_Seasonality!$C$50:$N$59,$B41,MONTH(EDATE(Input!$C$7,BR$3-1)))*MIN(1,(BR$3-INDEX(Properties!$T:$T,$B41+5)+1)/Input!$C$11),0))*(1+Input!$C$8)^(BR$5-1)</f>
        <v>0</v>
      </c>
      <c r="BS41" s="123" cm="1">
        <f t="array" ref="BS41">INDEX(Properties!$D:$D,$B41+5)*(IF(AND(BS$3&gt;=INDEX(Properties!$T:$T,$B41+5),BS$3&lt;INDEX(Properties!$U:$U,$B41+5)),INDEX(_Seasonality!$C$50:$N$59,$B41,MONTH(EDATE(Input!$C$7,BS$3-1)))*MIN(1,(BS$3-INDEX(Properties!$T:$T,$B41+5)+1)/Input!$C$11),0))*(1+Input!$C$8)^(BS$5-1)</f>
        <v>0</v>
      </c>
      <c r="BT41" s="123" cm="1">
        <f t="array" ref="BT41">INDEX(Properties!$D:$D,$B41+5)*(IF(AND(BT$3&gt;=INDEX(Properties!$T:$T,$B41+5),BT$3&lt;INDEX(Properties!$U:$U,$B41+5)),INDEX(_Seasonality!$C$50:$N$59,$B41,MONTH(EDATE(Input!$C$7,BT$3-1)))*MIN(1,(BT$3-INDEX(Properties!$T:$T,$B41+5)+1)/Input!$C$11),0))*(1+Input!$C$8)^(BT$5-1)</f>
        <v>0</v>
      </c>
      <c r="BU41" s="123" cm="1">
        <f t="array" ref="BU41">INDEX(Properties!$D:$D,$B41+5)*(IF(AND(BU$3&gt;=INDEX(Properties!$T:$T,$B41+5),BU$3&lt;INDEX(Properties!$U:$U,$B41+5)),INDEX(_Seasonality!$C$50:$N$59,$B41,MONTH(EDATE(Input!$C$7,BU$3-1)))*MIN(1,(BU$3-INDEX(Properties!$T:$T,$B41+5)+1)/Input!$C$11),0))*(1+Input!$C$8)^(BU$5-1)</f>
        <v>0</v>
      </c>
      <c r="BV41" s="123" cm="1">
        <f t="array" ref="BV41">INDEX(Properties!$D:$D,$B41+5)*(IF(AND(BV$3&gt;=INDEX(Properties!$T:$T,$B41+5),BV$3&lt;INDEX(Properties!$U:$U,$B41+5)),INDEX(_Seasonality!$C$50:$N$59,$B41,MONTH(EDATE(Input!$C$7,BV$3-1)))*MIN(1,(BV$3-INDEX(Properties!$T:$T,$B41+5)+1)/Input!$C$11),0))*(1+Input!$C$8)^(BV$5-1)</f>
        <v>0</v>
      </c>
      <c r="BW41" s="123" cm="1">
        <f t="array" ref="BW41">INDEX(Properties!$D:$D,$B41+5)*(IF(AND(BW$3&gt;=INDEX(Properties!$T:$T,$B41+5),BW$3&lt;INDEX(Properties!$U:$U,$B41+5)),INDEX(_Seasonality!$C$50:$N$59,$B41,MONTH(EDATE(Input!$C$7,BW$3-1)))*MIN(1,(BW$3-INDEX(Properties!$T:$T,$B41+5)+1)/Input!$C$11),0))*(1+Input!$C$8)^(BW$5-1)</f>
        <v>0</v>
      </c>
      <c r="BX41" s="123" cm="1">
        <f t="array" ref="BX41">INDEX(Properties!$D:$D,$B41+5)*(IF(AND(BX$3&gt;=INDEX(Properties!$T:$T,$B41+5),BX$3&lt;INDEX(Properties!$U:$U,$B41+5)),INDEX(_Seasonality!$C$50:$N$59,$B41,MONTH(EDATE(Input!$C$7,BX$3-1)))*MIN(1,(BX$3-INDEX(Properties!$T:$T,$B41+5)+1)/Input!$C$11),0))*(1+Input!$C$8)^(BX$5-1)</f>
        <v>0</v>
      </c>
      <c r="BY41" s="123" cm="1">
        <f t="array" ref="BY41">INDEX(Properties!$D:$D,$B41+5)*(IF(AND(BY$3&gt;=INDEX(Properties!$T:$T,$B41+5),BY$3&lt;INDEX(Properties!$U:$U,$B41+5)),INDEX(_Seasonality!$C$50:$N$59,$B41,MONTH(EDATE(Input!$C$7,BY$3-1)))*MIN(1,(BY$3-INDEX(Properties!$T:$T,$B41+5)+1)/Input!$C$11),0))*(1+Input!$C$8)^(BY$5-1)</f>
        <v>0</v>
      </c>
      <c r="BZ41" s="123" cm="1">
        <f t="array" ref="BZ41">INDEX(Properties!$D:$D,$B41+5)*(IF(AND(BZ$3&gt;=INDEX(Properties!$T:$T,$B41+5),BZ$3&lt;INDEX(Properties!$U:$U,$B41+5)),INDEX(_Seasonality!$C$50:$N$59,$B41,MONTH(EDATE(Input!$C$7,BZ$3-1)))*MIN(1,(BZ$3-INDEX(Properties!$T:$T,$B41+5)+1)/Input!$C$11),0))*(1+Input!$C$8)^(BZ$5-1)</f>
        <v>0</v>
      </c>
      <c r="CA41" s="123" cm="1">
        <f t="array" ref="CA41">INDEX(Properties!$D:$D,$B41+5)*(IF(AND(CA$3&gt;=INDEX(Properties!$T:$T,$B41+5),CA$3&lt;INDEX(Properties!$U:$U,$B41+5)),INDEX(_Seasonality!$C$50:$N$59,$B41,MONTH(EDATE(Input!$C$7,CA$3-1)))*MIN(1,(CA$3-INDEX(Properties!$T:$T,$B41+5)+1)/Input!$C$11),0))*(1+Input!$C$8)^(CA$5-1)</f>
        <v>0</v>
      </c>
      <c r="CB41" s="123" cm="1">
        <f t="array" ref="CB41">INDEX(Properties!$D:$D,$B41+5)*(IF(AND(CB$3&gt;=INDEX(Properties!$T:$T,$B41+5),CB$3&lt;INDEX(Properties!$U:$U,$B41+5)),INDEX(_Seasonality!$C$50:$N$59,$B41,MONTH(EDATE(Input!$C$7,CB$3-1)))*MIN(1,(CB$3-INDEX(Properties!$T:$T,$B41+5)+1)/Input!$C$11),0))*(1+Input!$C$8)^(CB$5-1)</f>
        <v>0</v>
      </c>
      <c r="CC41" s="123" cm="1">
        <f t="array" ref="CC41">INDEX(Properties!$D:$D,$B41+5)*(IF(AND(CC$3&gt;=INDEX(Properties!$T:$T,$B41+5),CC$3&lt;INDEX(Properties!$U:$U,$B41+5)),INDEX(_Seasonality!$C$50:$N$59,$B41,MONTH(EDATE(Input!$C$7,CC$3-1)))*MIN(1,(CC$3-INDEX(Properties!$T:$T,$B41+5)+1)/Input!$C$11),0))*(1+Input!$C$8)^(CC$5-1)</f>
        <v>0</v>
      </c>
      <c r="CD41" s="123" cm="1">
        <f t="array" ref="CD41">INDEX(Properties!$D:$D,$B41+5)*(IF(AND(CD$3&gt;=INDEX(Properties!$T:$T,$B41+5),CD$3&lt;INDEX(Properties!$U:$U,$B41+5)),INDEX(_Seasonality!$C$50:$N$59,$B41,MONTH(EDATE(Input!$C$7,CD$3-1)))*MIN(1,(CD$3-INDEX(Properties!$T:$T,$B41+5)+1)/Input!$C$11),0))*(1+Input!$C$8)^(CD$5-1)</f>
        <v>0</v>
      </c>
      <c r="CE41" s="123" cm="1">
        <f t="array" ref="CE41">INDEX(Properties!$D:$D,$B41+5)*(IF(AND(CE$3&gt;=INDEX(Properties!$T:$T,$B41+5),CE$3&lt;INDEX(Properties!$U:$U,$B41+5)),INDEX(_Seasonality!$C$50:$N$59,$B41,MONTH(EDATE(Input!$C$7,CE$3-1)))*MIN(1,(CE$3-INDEX(Properties!$T:$T,$B41+5)+1)/Input!$C$11),0))*(1+Input!$C$8)^(CE$5-1)</f>
        <v>0</v>
      </c>
      <c r="CF41" s="123" cm="1">
        <f t="array" ref="CF41">INDEX(Properties!$D:$D,$B41+5)*(IF(AND(CF$3&gt;=INDEX(Properties!$T:$T,$B41+5),CF$3&lt;INDEX(Properties!$U:$U,$B41+5)),INDEX(_Seasonality!$C$50:$N$59,$B41,MONTH(EDATE(Input!$C$7,CF$3-1)))*MIN(1,(CF$3-INDEX(Properties!$T:$T,$B41+5)+1)/Input!$C$11),0))*(1+Input!$C$8)^(CF$5-1)</f>
        <v>0</v>
      </c>
      <c r="CG41" s="123" cm="1">
        <f t="array" ref="CG41">INDEX(Properties!$D:$D,$B41+5)*(IF(AND(CG$3&gt;=INDEX(Properties!$T:$T,$B41+5),CG$3&lt;INDEX(Properties!$U:$U,$B41+5)),INDEX(_Seasonality!$C$50:$N$59,$B41,MONTH(EDATE(Input!$C$7,CG$3-1)))*MIN(1,(CG$3-INDEX(Properties!$T:$T,$B41+5)+1)/Input!$C$11),0))*(1+Input!$C$8)^(CG$5-1)</f>
        <v>0</v>
      </c>
      <c r="CH41" s="123" cm="1">
        <f t="array" ref="CH41">INDEX(Properties!$D:$D,$B41+5)*(IF(AND(CH$3&gt;=INDEX(Properties!$T:$T,$B41+5),CH$3&lt;INDEX(Properties!$U:$U,$B41+5)),INDEX(_Seasonality!$C$50:$N$59,$B41,MONTH(EDATE(Input!$C$7,CH$3-1)))*MIN(1,(CH$3-INDEX(Properties!$T:$T,$B41+5)+1)/Input!$C$11),0))*(1+Input!$C$8)^(CH$5-1)</f>
        <v>0</v>
      </c>
      <c r="CI41" s="123" cm="1">
        <f t="array" ref="CI41">INDEX(Properties!$D:$D,$B41+5)*(IF(AND(CI$3&gt;=INDEX(Properties!$T:$T,$B41+5),CI$3&lt;INDEX(Properties!$U:$U,$B41+5)),INDEX(_Seasonality!$C$50:$N$59,$B41,MONTH(EDATE(Input!$C$7,CI$3-1)))*MIN(1,(CI$3-INDEX(Properties!$T:$T,$B41+5)+1)/Input!$C$11),0))*(1+Input!$C$8)^(CI$5-1)</f>
        <v>0</v>
      </c>
      <c r="CJ41" s="123" cm="1">
        <f t="array" ref="CJ41">INDEX(Properties!$D:$D,$B41+5)*(IF(AND(CJ$3&gt;=INDEX(Properties!$T:$T,$B41+5),CJ$3&lt;INDEX(Properties!$U:$U,$B41+5)),INDEX(_Seasonality!$C$50:$N$59,$B41,MONTH(EDATE(Input!$C$7,CJ$3-1)))*MIN(1,(CJ$3-INDEX(Properties!$T:$T,$B41+5)+1)/Input!$C$11),0))*(1+Input!$C$8)^(CJ$5-1)</f>
        <v>0</v>
      </c>
      <c r="CK41" s="123" cm="1">
        <f t="array" ref="CK41">INDEX(Properties!$D:$D,$B41+5)*(IF(AND(CK$3&gt;=INDEX(Properties!$T:$T,$B41+5),CK$3&lt;INDEX(Properties!$U:$U,$B41+5)),INDEX(_Seasonality!$C$50:$N$59,$B41,MONTH(EDATE(Input!$C$7,CK$3-1)))*MIN(1,(CK$3-INDEX(Properties!$T:$T,$B41+5)+1)/Input!$C$11),0))*(1+Input!$C$8)^(CK$5-1)</f>
        <v>0</v>
      </c>
      <c r="CL41" s="123" cm="1">
        <f t="array" ref="CL41">INDEX(Properties!$D:$D,$B41+5)*(IF(AND(CL$3&gt;=INDEX(Properties!$T:$T,$B41+5),CL$3&lt;INDEX(Properties!$U:$U,$B41+5)),INDEX(_Seasonality!$C$50:$N$59,$B41,MONTH(EDATE(Input!$C$7,CL$3-1)))*MIN(1,(CL$3-INDEX(Properties!$T:$T,$B41+5)+1)/Input!$C$11),0))*(1+Input!$C$8)^(CL$5-1)</f>
        <v>0</v>
      </c>
      <c r="CM41" s="123" cm="1">
        <f t="array" ref="CM41">INDEX(Properties!$D:$D,$B41+5)*(IF(AND(CM$3&gt;=INDEX(Properties!$T:$T,$B41+5),CM$3&lt;INDEX(Properties!$U:$U,$B41+5)),INDEX(_Seasonality!$C$50:$N$59,$B41,MONTH(EDATE(Input!$C$7,CM$3-1)))*MIN(1,(CM$3-INDEX(Properties!$T:$T,$B41+5)+1)/Input!$C$11),0))*(1+Input!$C$8)^(CM$5-1)</f>
        <v>0</v>
      </c>
      <c r="CN41" s="123" cm="1">
        <f t="array" ref="CN41">INDEX(Properties!$D:$D,$B41+5)*(IF(AND(CN$3&gt;=INDEX(Properties!$T:$T,$B41+5),CN$3&lt;INDEX(Properties!$U:$U,$B41+5)),INDEX(_Seasonality!$C$50:$N$59,$B41,MONTH(EDATE(Input!$C$7,CN$3-1)))*MIN(1,(CN$3-INDEX(Properties!$T:$T,$B41+5)+1)/Input!$C$11),0))*(1+Input!$C$8)^(CN$5-1)</f>
        <v>0</v>
      </c>
      <c r="CO41" s="123" cm="1">
        <f t="array" ref="CO41">INDEX(Properties!$D:$D,$B41+5)*(IF(AND(CO$3&gt;=INDEX(Properties!$T:$T,$B41+5),CO$3&lt;INDEX(Properties!$U:$U,$B41+5)),INDEX(_Seasonality!$C$50:$N$59,$B41,MONTH(EDATE(Input!$C$7,CO$3-1)))*MIN(1,(CO$3-INDEX(Properties!$T:$T,$B41+5)+1)/Input!$C$11),0))*(1+Input!$C$8)^(CO$5-1)</f>
        <v>0</v>
      </c>
      <c r="CP41" s="123" cm="1">
        <f t="array" ref="CP41">INDEX(Properties!$D:$D,$B41+5)*(IF(AND(CP$3&gt;=INDEX(Properties!$T:$T,$B41+5),CP$3&lt;INDEX(Properties!$U:$U,$B41+5)),INDEX(_Seasonality!$C$50:$N$59,$B41,MONTH(EDATE(Input!$C$7,CP$3-1)))*MIN(1,(CP$3-INDEX(Properties!$T:$T,$B41+5)+1)/Input!$C$11),0))*(1+Input!$C$8)^(CP$5-1)</f>
        <v>0</v>
      </c>
      <c r="CQ41" s="123" cm="1">
        <f t="array" ref="CQ41">INDEX(Properties!$D:$D,$B41+5)*(IF(AND(CQ$3&gt;=INDEX(Properties!$T:$T,$B41+5),CQ$3&lt;INDEX(Properties!$U:$U,$B41+5)),INDEX(_Seasonality!$C$50:$N$59,$B41,MONTH(EDATE(Input!$C$7,CQ$3-1)))*MIN(1,(CQ$3-INDEX(Properties!$T:$T,$B41+5)+1)/Input!$C$11),0))*(1+Input!$C$8)^(CQ$5-1)</f>
        <v>0</v>
      </c>
      <c r="CR41" s="123" cm="1">
        <f t="array" ref="CR41">INDEX(Properties!$D:$D,$B41+5)*(IF(AND(CR$3&gt;=INDEX(Properties!$T:$T,$B41+5),CR$3&lt;INDEX(Properties!$U:$U,$B41+5)),INDEX(_Seasonality!$C$50:$N$59,$B41,MONTH(EDATE(Input!$C$7,CR$3-1)))*MIN(1,(CR$3-INDEX(Properties!$T:$T,$B41+5)+1)/Input!$C$11),0))*(1+Input!$C$8)^(CR$5-1)</f>
        <v>0</v>
      </c>
      <c r="CS41" s="123" cm="1">
        <f t="array" ref="CS41">INDEX(Properties!$D:$D,$B41+5)*(IF(AND(CS$3&gt;=INDEX(Properties!$T:$T,$B41+5),CS$3&lt;INDEX(Properties!$U:$U,$B41+5)),INDEX(_Seasonality!$C$50:$N$59,$B41,MONTH(EDATE(Input!$C$7,CS$3-1)))*MIN(1,(CS$3-INDEX(Properties!$T:$T,$B41+5)+1)/Input!$C$11),0))*(1+Input!$C$8)^(CS$5-1)</f>
        <v>0</v>
      </c>
      <c r="CT41" s="123" cm="1">
        <f t="array" ref="CT41">INDEX(Properties!$D:$D,$B41+5)*(IF(AND(CT$3&gt;=INDEX(Properties!$T:$T,$B41+5),CT$3&lt;INDEX(Properties!$U:$U,$B41+5)),INDEX(_Seasonality!$C$50:$N$59,$B41,MONTH(EDATE(Input!$C$7,CT$3-1)))*MIN(1,(CT$3-INDEX(Properties!$T:$T,$B41+5)+1)/Input!$C$11),0))*(1+Input!$C$8)^(CT$5-1)</f>
        <v>0</v>
      </c>
      <c r="CU41" s="123" cm="1">
        <f t="array" ref="CU41">INDEX(Properties!$D:$D,$B41+5)*(IF(AND(CU$3&gt;=INDEX(Properties!$T:$T,$B41+5),CU$3&lt;INDEX(Properties!$U:$U,$B41+5)),INDEX(_Seasonality!$C$50:$N$59,$B41,MONTH(EDATE(Input!$C$7,CU$3-1)))*MIN(1,(CU$3-INDEX(Properties!$T:$T,$B41+5)+1)/Input!$C$11),0))*(1+Input!$C$8)^(CU$5-1)</f>
        <v>0</v>
      </c>
      <c r="CV41" s="123" cm="1">
        <f t="array" ref="CV41">INDEX(Properties!$D:$D,$B41+5)*(IF(AND(CV$3&gt;=INDEX(Properties!$T:$T,$B41+5),CV$3&lt;INDEX(Properties!$U:$U,$B41+5)),INDEX(_Seasonality!$C$50:$N$59,$B41,MONTH(EDATE(Input!$C$7,CV$3-1)))*MIN(1,(CV$3-INDEX(Properties!$T:$T,$B41+5)+1)/Input!$C$11),0))*(1+Input!$C$8)^(CV$5-1)</f>
        <v>0</v>
      </c>
      <c r="CW41" s="123" cm="1">
        <f t="array" ref="CW41">INDEX(Properties!$D:$D,$B41+5)*(IF(AND(CW$3&gt;=INDEX(Properties!$T:$T,$B41+5),CW$3&lt;INDEX(Properties!$U:$U,$B41+5)),INDEX(_Seasonality!$C$50:$N$59,$B41,MONTH(EDATE(Input!$C$7,CW$3-1)))*MIN(1,(CW$3-INDEX(Properties!$T:$T,$B41+5)+1)/Input!$C$11),0))*(1+Input!$C$8)^(CW$5-1)</f>
        <v>0</v>
      </c>
      <c r="CX41" s="123" cm="1">
        <f t="array" ref="CX41">INDEX(Properties!$D:$D,$B41+5)*(IF(AND(CX$3&gt;=INDEX(Properties!$T:$T,$B41+5),CX$3&lt;INDEX(Properties!$U:$U,$B41+5)),INDEX(_Seasonality!$C$50:$N$59,$B41,MONTH(EDATE(Input!$C$7,CX$3-1)))*MIN(1,(CX$3-INDEX(Properties!$T:$T,$B41+5)+1)/Input!$C$11),0))*(1+Input!$C$8)^(CX$5-1)</f>
        <v>0</v>
      </c>
      <c r="CY41" s="123" cm="1">
        <f t="array" ref="CY41">INDEX(Properties!$D:$D,$B41+5)*(IF(AND(CY$3&gt;=INDEX(Properties!$T:$T,$B41+5),CY$3&lt;INDEX(Properties!$U:$U,$B41+5)),INDEX(_Seasonality!$C$50:$N$59,$B41,MONTH(EDATE(Input!$C$7,CY$3-1)))*MIN(1,(CY$3-INDEX(Properties!$T:$T,$B41+5)+1)/Input!$C$11),0))*(1+Input!$C$8)^(CY$5-1)</f>
        <v>0</v>
      </c>
      <c r="CZ41" s="123" cm="1">
        <f t="array" ref="CZ41">INDEX(Properties!$D:$D,$B41+5)*(IF(AND(CZ$3&gt;=INDEX(Properties!$T:$T,$B41+5),CZ$3&lt;INDEX(Properties!$U:$U,$B41+5)),INDEX(_Seasonality!$C$50:$N$59,$B41,MONTH(EDATE(Input!$C$7,CZ$3-1)))*MIN(1,(CZ$3-INDEX(Properties!$T:$T,$B41+5)+1)/Input!$C$11),0))*(1+Input!$C$8)^(CZ$5-1)</f>
        <v>0</v>
      </c>
      <c r="DA41" s="123" cm="1">
        <f t="array" ref="DA41">INDEX(Properties!$D:$D,$B41+5)*(IF(AND(DA$3&gt;=INDEX(Properties!$T:$T,$B41+5),DA$3&lt;INDEX(Properties!$U:$U,$B41+5)),INDEX(_Seasonality!$C$50:$N$59,$B41,MONTH(EDATE(Input!$C$7,DA$3-1)))*MIN(1,(DA$3-INDEX(Properties!$T:$T,$B41+5)+1)/Input!$C$11),0))*(1+Input!$C$8)^(DA$5-1)</f>
        <v>0</v>
      </c>
      <c r="DB41" s="123" cm="1">
        <f t="array" ref="DB41">INDEX(Properties!$D:$D,$B41+5)*(IF(AND(DB$3&gt;=INDEX(Properties!$T:$T,$B41+5),DB$3&lt;INDEX(Properties!$U:$U,$B41+5)),INDEX(_Seasonality!$C$50:$N$59,$B41,MONTH(EDATE(Input!$C$7,DB$3-1)))*MIN(1,(DB$3-INDEX(Properties!$T:$T,$B41+5)+1)/Input!$C$11),0))*(1+Input!$C$8)^(DB$5-1)</f>
        <v>0</v>
      </c>
      <c r="DC41" s="123" cm="1">
        <f t="array" ref="DC41">INDEX(Properties!$D:$D,$B41+5)*(IF(AND(DC$3&gt;=INDEX(Properties!$T:$T,$B41+5),DC$3&lt;INDEX(Properties!$U:$U,$B41+5)),INDEX(_Seasonality!$C$50:$N$59,$B41,MONTH(EDATE(Input!$C$7,DC$3-1)))*MIN(1,(DC$3-INDEX(Properties!$T:$T,$B41+5)+1)/Input!$C$11),0))*(1+Input!$C$8)^(DC$5-1)</f>
        <v>0</v>
      </c>
      <c r="DD41" s="123" cm="1">
        <f t="array" ref="DD41">INDEX(Properties!$D:$D,$B41+5)*(IF(AND(DD$3&gt;=INDEX(Properties!$T:$T,$B41+5),DD$3&lt;INDEX(Properties!$U:$U,$B41+5)),INDEX(_Seasonality!$C$50:$N$59,$B41,MONTH(EDATE(Input!$C$7,DD$3-1)))*MIN(1,(DD$3-INDEX(Properties!$T:$T,$B41+5)+1)/Input!$C$11),0))*(1+Input!$C$8)^(DD$5-1)</f>
        <v>0</v>
      </c>
      <c r="DE41" s="123" cm="1">
        <f t="array" ref="DE41">INDEX(Properties!$D:$D,$B41+5)*(IF(AND(DE$3&gt;=INDEX(Properties!$T:$T,$B41+5),DE$3&lt;INDEX(Properties!$U:$U,$B41+5)),INDEX(_Seasonality!$C$50:$N$59,$B41,MONTH(EDATE(Input!$C$7,DE$3-1)))*MIN(1,(DE$3-INDEX(Properties!$T:$T,$B41+5)+1)/Input!$C$11),0))*(1+Input!$C$8)^(DE$5-1)</f>
        <v>0</v>
      </c>
      <c r="DF41" s="123" cm="1">
        <f t="array" ref="DF41">INDEX(Properties!$D:$D,$B41+5)*(IF(AND(DF$3&gt;=INDEX(Properties!$T:$T,$B41+5),DF$3&lt;INDEX(Properties!$U:$U,$B41+5)),INDEX(_Seasonality!$C$50:$N$59,$B41,MONTH(EDATE(Input!$C$7,DF$3-1)))*MIN(1,(DF$3-INDEX(Properties!$T:$T,$B41+5)+1)/Input!$C$11),0))*(1+Input!$C$8)^(DF$5-1)</f>
        <v>0</v>
      </c>
      <c r="DG41" s="123" cm="1">
        <f t="array" ref="DG41">INDEX(Properties!$D:$D,$B41+5)*(IF(AND(DG$3&gt;=INDEX(Properties!$T:$T,$B41+5),DG$3&lt;INDEX(Properties!$U:$U,$B41+5)),INDEX(_Seasonality!$C$50:$N$59,$B41,MONTH(EDATE(Input!$C$7,DG$3-1)))*MIN(1,(DG$3-INDEX(Properties!$T:$T,$B41+5)+1)/Input!$C$11),0))*(1+Input!$C$8)^(DG$5-1)</f>
        <v>0</v>
      </c>
      <c r="DH41" s="123" cm="1">
        <f t="array" ref="DH41">INDEX(Properties!$D:$D,$B41+5)*(IF(AND(DH$3&gt;=INDEX(Properties!$T:$T,$B41+5),DH$3&lt;INDEX(Properties!$U:$U,$B41+5)),INDEX(_Seasonality!$C$50:$N$59,$B41,MONTH(EDATE(Input!$C$7,DH$3-1)))*MIN(1,(DH$3-INDEX(Properties!$T:$T,$B41+5)+1)/Input!$C$11),0))*(1+Input!$C$8)^(DH$5-1)</f>
        <v>0</v>
      </c>
      <c r="DI41" s="123" cm="1">
        <f t="array" ref="DI41">INDEX(Properties!$D:$D,$B41+5)*(IF(AND(DI$3&gt;=INDEX(Properties!$T:$T,$B41+5),DI$3&lt;INDEX(Properties!$U:$U,$B41+5)),INDEX(_Seasonality!$C$50:$N$59,$B41,MONTH(EDATE(Input!$C$7,DI$3-1)))*MIN(1,(DI$3-INDEX(Properties!$T:$T,$B41+5)+1)/Input!$C$11),0))*(1+Input!$C$8)^(DI$5-1)</f>
        <v>0</v>
      </c>
      <c r="DJ41" s="123" cm="1">
        <f t="array" ref="DJ41">INDEX(Properties!$D:$D,$B41+5)*(IF(AND(DJ$3&gt;=INDEX(Properties!$T:$T,$B41+5),DJ$3&lt;INDEX(Properties!$U:$U,$B41+5)),INDEX(_Seasonality!$C$50:$N$59,$B41,MONTH(EDATE(Input!$C$7,DJ$3-1)))*MIN(1,(DJ$3-INDEX(Properties!$T:$T,$B41+5)+1)/Input!$C$11),0))*(1+Input!$C$8)^(DJ$5-1)</f>
        <v>0</v>
      </c>
      <c r="DK41" s="123" cm="1">
        <f t="array" ref="DK41">INDEX(Properties!$D:$D,$B41+5)*(IF(AND(DK$3&gt;=INDEX(Properties!$T:$T,$B41+5),DK$3&lt;INDEX(Properties!$U:$U,$B41+5)),INDEX(_Seasonality!$C$50:$N$59,$B41,MONTH(EDATE(Input!$C$7,DK$3-1)))*MIN(1,(DK$3-INDEX(Properties!$T:$T,$B41+5)+1)/Input!$C$11),0))*(1+Input!$C$8)^(DK$5-1)</f>
        <v>0</v>
      </c>
      <c r="DL41" s="123" cm="1">
        <f t="array" ref="DL41">INDEX(Properties!$D:$D,$B41+5)*(IF(AND(DL$3&gt;=INDEX(Properties!$T:$T,$B41+5),DL$3&lt;INDEX(Properties!$U:$U,$B41+5)),INDEX(_Seasonality!$C$50:$N$59,$B41,MONTH(EDATE(Input!$C$7,DL$3-1)))*MIN(1,(DL$3-INDEX(Properties!$T:$T,$B41+5)+1)/Input!$C$11),0))*(1+Input!$C$8)^(DL$5-1)</f>
        <v>0</v>
      </c>
      <c r="DM41" s="123" cm="1">
        <f t="array" ref="DM41">INDEX(Properties!$D:$D,$B41+5)*(IF(AND(DM$3&gt;=INDEX(Properties!$T:$T,$B41+5),DM$3&lt;INDEX(Properties!$U:$U,$B41+5)),INDEX(_Seasonality!$C$50:$N$59,$B41,MONTH(EDATE(Input!$C$7,DM$3-1)))*MIN(1,(DM$3-INDEX(Properties!$T:$T,$B41+5)+1)/Input!$C$11),0))*(1+Input!$C$8)^(DM$5-1)</f>
        <v>0</v>
      </c>
      <c r="DN41" s="123" cm="1">
        <f t="array" ref="DN41">INDEX(Properties!$D:$D,$B41+5)*(IF(AND(DN$3&gt;=INDEX(Properties!$T:$T,$B41+5),DN$3&lt;INDEX(Properties!$U:$U,$B41+5)),INDEX(_Seasonality!$C$50:$N$59,$B41,MONTH(EDATE(Input!$C$7,DN$3-1)))*MIN(1,(DN$3-INDEX(Properties!$T:$T,$B41+5)+1)/Input!$C$11),0))*(1+Input!$C$8)^(DN$5-1)</f>
        <v>0</v>
      </c>
      <c r="DO41" s="123" cm="1">
        <f t="array" ref="DO41">INDEX(Properties!$D:$D,$B41+5)*(IF(AND(DO$3&gt;=INDEX(Properties!$T:$T,$B41+5),DO$3&lt;INDEX(Properties!$U:$U,$B41+5)),INDEX(_Seasonality!$C$50:$N$59,$B41,MONTH(EDATE(Input!$C$7,DO$3-1)))*MIN(1,(DO$3-INDEX(Properties!$T:$T,$B41+5)+1)/Input!$C$11),0))*(1+Input!$C$8)^(DO$5-1)</f>
        <v>0</v>
      </c>
      <c r="DP41" s="123" cm="1">
        <f t="array" ref="DP41">INDEX(Properties!$D:$D,$B41+5)*(IF(AND(DP$3&gt;=INDEX(Properties!$T:$T,$B41+5),DP$3&lt;INDEX(Properties!$U:$U,$B41+5)),INDEX(_Seasonality!$C$50:$N$59,$B41,MONTH(EDATE(Input!$C$7,DP$3-1)))*MIN(1,(DP$3-INDEX(Properties!$T:$T,$B41+5)+1)/Input!$C$11),0))*(1+Input!$C$8)^(DP$5-1)</f>
        <v>0</v>
      </c>
      <c r="DQ41" s="123" cm="1">
        <f t="array" ref="DQ41">INDEX(Properties!$D:$D,$B41+5)*(IF(AND(DQ$3&gt;=INDEX(Properties!$T:$T,$B41+5),DQ$3&lt;INDEX(Properties!$U:$U,$B41+5)),INDEX(_Seasonality!$C$50:$N$59,$B41,MONTH(EDATE(Input!$C$7,DQ$3-1)))*MIN(1,(DQ$3-INDEX(Properties!$T:$T,$B41+5)+1)/Input!$C$11),0))*(1+Input!$C$8)^(DQ$5-1)</f>
        <v>0</v>
      </c>
      <c r="DR41" s="123" cm="1">
        <f t="array" ref="DR41">INDEX(Properties!$D:$D,$B41+5)*(IF(AND(DR$3&gt;=INDEX(Properties!$T:$T,$B41+5),DR$3&lt;INDEX(Properties!$U:$U,$B41+5)),INDEX(_Seasonality!$C$50:$N$59,$B41,MONTH(EDATE(Input!$C$7,DR$3-1)))*MIN(1,(DR$3-INDEX(Properties!$T:$T,$B41+5)+1)/Input!$C$11),0))*(1+Input!$C$8)^(DR$5-1)</f>
        <v>0</v>
      </c>
    </row>
    <row r="42" spans="1:122" ht="16.05" customHeight="1" x14ac:dyDescent="0.3">
      <c r="A42" s="148" cm="1">
        <f t="array" ref="A42">INDEX(Properties!$E:$E,$B42+5)</f>
        <v>0</v>
      </c>
      <c r="B42" s="1">
        <v>10</v>
      </c>
      <c r="C42" s="123" cm="1">
        <f t="array" ref="C42">INDEX(Properties!$D:$D,$B42+5)*(IF(AND(C$3&gt;=INDEX(Properties!$T:$T,$B42+5),C$3&lt;INDEX(Properties!$U:$U,$B42+5)),INDEX(_Seasonality!$C$50:$N$59,$B42,MONTH(EDATE(Input!$C$7,C$3-1)))*MIN(1,(C$3-INDEX(Properties!$T:$T,$B42+5)+1)/Input!$C$11),0))*(1+Input!$C$8)^(C$5-1)</f>
        <v>0</v>
      </c>
      <c r="D42" s="123" cm="1">
        <f t="array" ref="D42">INDEX(Properties!$D:$D,$B42+5)*(IF(AND(D$3&gt;=INDEX(Properties!$T:$T,$B42+5),D$3&lt;INDEX(Properties!$U:$U,$B42+5)),INDEX(_Seasonality!$C$50:$N$59,$B42,MONTH(EDATE(Input!$C$7,D$3-1)))*MIN(1,(D$3-INDEX(Properties!$T:$T,$B42+5)+1)/Input!$C$11),0))*(1+Input!$C$8)^(D$5-1)</f>
        <v>0</v>
      </c>
      <c r="E42" s="123" cm="1">
        <f t="array" ref="E42">INDEX(Properties!$D:$D,$B42+5)*(IF(AND(E$3&gt;=INDEX(Properties!$T:$T,$B42+5),E$3&lt;INDEX(Properties!$U:$U,$B42+5)),INDEX(_Seasonality!$C$50:$N$59,$B42,MONTH(EDATE(Input!$C$7,E$3-1)))*MIN(1,(E$3-INDEX(Properties!$T:$T,$B42+5)+1)/Input!$C$11),0))*(1+Input!$C$8)^(E$5-1)</f>
        <v>0</v>
      </c>
      <c r="F42" s="123" cm="1">
        <f t="array" ref="F42">INDEX(Properties!$D:$D,$B42+5)*(IF(AND(F$3&gt;=INDEX(Properties!$T:$T,$B42+5),F$3&lt;INDEX(Properties!$U:$U,$B42+5)),INDEX(_Seasonality!$C$50:$N$59,$B42,MONTH(EDATE(Input!$C$7,F$3-1)))*MIN(1,(F$3-INDEX(Properties!$T:$T,$B42+5)+1)/Input!$C$11),0))*(1+Input!$C$8)^(F$5-1)</f>
        <v>0</v>
      </c>
      <c r="G42" s="123" cm="1">
        <f t="array" ref="G42">INDEX(Properties!$D:$D,$B42+5)*(IF(AND(G$3&gt;=INDEX(Properties!$T:$T,$B42+5),G$3&lt;INDEX(Properties!$U:$U,$B42+5)),INDEX(_Seasonality!$C$50:$N$59,$B42,MONTH(EDATE(Input!$C$7,G$3-1)))*MIN(1,(G$3-INDEX(Properties!$T:$T,$B42+5)+1)/Input!$C$11),0))*(1+Input!$C$8)^(G$5-1)</f>
        <v>0</v>
      </c>
      <c r="H42" s="123" cm="1">
        <f t="array" ref="H42">INDEX(Properties!$D:$D,$B42+5)*(IF(AND(H$3&gt;=INDEX(Properties!$T:$T,$B42+5),H$3&lt;INDEX(Properties!$U:$U,$B42+5)),INDEX(_Seasonality!$C$50:$N$59,$B42,MONTH(EDATE(Input!$C$7,H$3-1)))*MIN(1,(H$3-INDEX(Properties!$T:$T,$B42+5)+1)/Input!$C$11),0))*(1+Input!$C$8)^(H$5-1)</f>
        <v>0</v>
      </c>
      <c r="I42" s="123" cm="1">
        <f t="array" ref="I42">INDEX(Properties!$D:$D,$B42+5)*(IF(AND(I$3&gt;=INDEX(Properties!$T:$T,$B42+5),I$3&lt;INDEX(Properties!$U:$U,$B42+5)),INDEX(_Seasonality!$C$50:$N$59,$B42,MONTH(EDATE(Input!$C$7,I$3-1)))*MIN(1,(I$3-INDEX(Properties!$T:$T,$B42+5)+1)/Input!$C$11),0))*(1+Input!$C$8)^(I$5-1)</f>
        <v>0</v>
      </c>
      <c r="J42" s="123" cm="1">
        <f t="array" ref="J42">INDEX(Properties!$D:$D,$B42+5)*(IF(AND(J$3&gt;=INDEX(Properties!$T:$T,$B42+5),J$3&lt;INDEX(Properties!$U:$U,$B42+5)),INDEX(_Seasonality!$C$50:$N$59,$B42,MONTH(EDATE(Input!$C$7,J$3-1)))*MIN(1,(J$3-INDEX(Properties!$T:$T,$B42+5)+1)/Input!$C$11),0))*(1+Input!$C$8)^(J$5-1)</f>
        <v>0</v>
      </c>
      <c r="K42" s="123" cm="1">
        <f t="array" ref="K42">INDEX(Properties!$D:$D,$B42+5)*(IF(AND(K$3&gt;=INDEX(Properties!$T:$T,$B42+5),K$3&lt;INDEX(Properties!$U:$U,$B42+5)),INDEX(_Seasonality!$C$50:$N$59,$B42,MONTH(EDATE(Input!$C$7,K$3-1)))*MIN(1,(K$3-INDEX(Properties!$T:$T,$B42+5)+1)/Input!$C$11),0))*(1+Input!$C$8)^(K$5-1)</f>
        <v>0</v>
      </c>
      <c r="L42" s="123" cm="1">
        <f t="array" ref="L42">INDEX(Properties!$D:$D,$B42+5)*(IF(AND(L$3&gt;=INDEX(Properties!$T:$T,$B42+5),L$3&lt;INDEX(Properties!$U:$U,$B42+5)),INDEX(_Seasonality!$C$50:$N$59,$B42,MONTH(EDATE(Input!$C$7,L$3-1)))*MIN(1,(L$3-INDEX(Properties!$T:$T,$B42+5)+1)/Input!$C$11),0))*(1+Input!$C$8)^(L$5-1)</f>
        <v>0</v>
      </c>
      <c r="M42" s="123" cm="1">
        <f t="array" ref="M42">INDEX(Properties!$D:$D,$B42+5)*(IF(AND(M$3&gt;=INDEX(Properties!$T:$T,$B42+5),M$3&lt;INDEX(Properties!$U:$U,$B42+5)),INDEX(_Seasonality!$C$50:$N$59,$B42,MONTH(EDATE(Input!$C$7,M$3-1)))*MIN(1,(M$3-INDEX(Properties!$T:$T,$B42+5)+1)/Input!$C$11),0))*(1+Input!$C$8)^(M$5-1)</f>
        <v>0</v>
      </c>
      <c r="N42" s="123" cm="1">
        <f t="array" ref="N42">INDEX(Properties!$D:$D,$B42+5)*(IF(AND(N$3&gt;=INDEX(Properties!$T:$T,$B42+5),N$3&lt;INDEX(Properties!$U:$U,$B42+5)),INDEX(_Seasonality!$C$50:$N$59,$B42,MONTH(EDATE(Input!$C$7,N$3-1)))*MIN(1,(N$3-INDEX(Properties!$T:$T,$B42+5)+1)/Input!$C$11),0))*(1+Input!$C$8)^(N$5-1)</f>
        <v>0</v>
      </c>
      <c r="O42" s="123" cm="1">
        <f t="array" ref="O42">INDEX(Properties!$D:$D,$B42+5)*(IF(AND(O$3&gt;=INDEX(Properties!$T:$T,$B42+5),O$3&lt;INDEX(Properties!$U:$U,$B42+5)),INDEX(_Seasonality!$C$50:$N$59,$B42,MONTH(EDATE(Input!$C$7,O$3-1)))*MIN(1,(O$3-INDEX(Properties!$T:$T,$B42+5)+1)/Input!$C$11),0))*(1+Input!$C$8)^(O$5-1)</f>
        <v>0</v>
      </c>
      <c r="P42" s="123" cm="1">
        <f t="array" ref="P42">INDEX(Properties!$D:$D,$B42+5)*(IF(AND(P$3&gt;=INDEX(Properties!$T:$T,$B42+5),P$3&lt;INDEX(Properties!$U:$U,$B42+5)),INDEX(_Seasonality!$C$50:$N$59,$B42,MONTH(EDATE(Input!$C$7,P$3-1)))*MIN(1,(P$3-INDEX(Properties!$T:$T,$B42+5)+1)/Input!$C$11),0))*(1+Input!$C$8)^(P$5-1)</f>
        <v>0</v>
      </c>
      <c r="Q42" s="123" cm="1">
        <f t="array" ref="Q42">INDEX(Properties!$D:$D,$B42+5)*(IF(AND(Q$3&gt;=INDEX(Properties!$T:$T,$B42+5),Q$3&lt;INDEX(Properties!$U:$U,$B42+5)),INDEX(_Seasonality!$C$50:$N$59,$B42,MONTH(EDATE(Input!$C$7,Q$3-1)))*MIN(1,(Q$3-INDEX(Properties!$T:$T,$B42+5)+1)/Input!$C$11),0))*(1+Input!$C$8)^(Q$5-1)</f>
        <v>0</v>
      </c>
      <c r="R42" s="123" cm="1">
        <f t="array" ref="R42">INDEX(Properties!$D:$D,$B42+5)*(IF(AND(R$3&gt;=INDEX(Properties!$T:$T,$B42+5),R$3&lt;INDEX(Properties!$U:$U,$B42+5)),INDEX(_Seasonality!$C$50:$N$59,$B42,MONTH(EDATE(Input!$C$7,R$3-1)))*MIN(1,(R$3-INDEX(Properties!$T:$T,$B42+5)+1)/Input!$C$11),0))*(1+Input!$C$8)^(R$5-1)</f>
        <v>0</v>
      </c>
      <c r="S42" s="123" cm="1">
        <f t="array" ref="S42">INDEX(Properties!$D:$D,$B42+5)*(IF(AND(S$3&gt;=INDEX(Properties!$T:$T,$B42+5),S$3&lt;INDEX(Properties!$U:$U,$B42+5)),INDEX(_Seasonality!$C$50:$N$59,$B42,MONTH(EDATE(Input!$C$7,S$3-1)))*MIN(1,(S$3-INDEX(Properties!$T:$T,$B42+5)+1)/Input!$C$11),0))*(1+Input!$C$8)^(S$5-1)</f>
        <v>0</v>
      </c>
      <c r="T42" s="123" cm="1">
        <f t="array" ref="T42">INDEX(Properties!$D:$D,$B42+5)*(IF(AND(T$3&gt;=INDEX(Properties!$T:$T,$B42+5),T$3&lt;INDEX(Properties!$U:$U,$B42+5)),INDEX(_Seasonality!$C$50:$N$59,$B42,MONTH(EDATE(Input!$C$7,T$3-1)))*MIN(1,(T$3-INDEX(Properties!$T:$T,$B42+5)+1)/Input!$C$11),0))*(1+Input!$C$8)^(T$5-1)</f>
        <v>0</v>
      </c>
      <c r="U42" s="123" cm="1">
        <f t="array" ref="U42">INDEX(Properties!$D:$D,$B42+5)*(IF(AND(U$3&gt;=INDEX(Properties!$T:$T,$B42+5),U$3&lt;INDEX(Properties!$U:$U,$B42+5)),INDEX(_Seasonality!$C$50:$N$59,$B42,MONTH(EDATE(Input!$C$7,U$3-1)))*MIN(1,(U$3-INDEX(Properties!$T:$T,$B42+5)+1)/Input!$C$11),0))*(1+Input!$C$8)^(U$5-1)</f>
        <v>0</v>
      </c>
      <c r="V42" s="123" cm="1">
        <f t="array" ref="V42">INDEX(Properties!$D:$D,$B42+5)*(IF(AND(V$3&gt;=INDEX(Properties!$T:$T,$B42+5),V$3&lt;INDEX(Properties!$U:$U,$B42+5)),INDEX(_Seasonality!$C$50:$N$59,$B42,MONTH(EDATE(Input!$C$7,V$3-1)))*MIN(1,(V$3-INDEX(Properties!$T:$T,$B42+5)+1)/Input!$C$11),0))*(1+Input!$C$8)^(V$5-1)</f>
        <v>0</v>
      </c>
      <c r="W42" s="123" cm="1">
        <f t="array" ref="W42">INDEX(Properties!$D:$D,$B42+5)*(IF(AND(W$3&gt;=INDEX(Properties!$T:$T,$B42+5),W$3&lt;INDEX(Properties!$U:$U,$B42+5)),INDEX(_Seasonality!$C$50:$N$59,$B42,MONTH(EDATE(Input!$C$7,W$3-1)))*MIN(1,(W$3-INDEX(Properties!$T:$T,$B42+5)+1)/Input!$C$11),0))*(1+Input!$C$8)^(W$5-1)</f>
        <v>0</v>
      </c>
      <c r="X42" s="123" cm="1">
        <f t="array" ref="X42">INDEX(Properties!$D:$D,$B42+5)*(IF(AND(X$3&gt;=INDEX(Properties!$T:$T,$B42+5),X$3&lt;INDEX(Properties!$U:$U,$B42+5)),INDEX(_Seasonality!$C$50:$N$59,$B42,MONTH(EDATE(Input!$C$7,X$3-1)))*MIN(1,(X$3-INDEX(Properties!$T:$T,$B42+5)+1)/Input!$C$11),0))*(1+Input!$C$8)^(X$5-1)</f>
        <v>0</v>
      </c>
      <c r="Y42" s="123" cm="1">
        <f t="array" ref="Y42">INDEX(Properties!$D:$D,$B42+5)*(IF(AND(Y$3&gt;=INDEX(Properties!$T:$T,$B42+5),Y$3&lt;INDEX(Properties!$U:$U,$B42+5)),INDEX(_Seasonality!$C$50:$N$59,$B42,MONTH(EDATE(Input!$C$7,Y$3-1)))*MIN(1,(Y$3-INDEX(Properties!$T:$T,$B42+5)+1)/Input!$C$11),0))*(1+Input!$C$8)^(Y$5-1)</f>
        <v>0</v>
      </c>
      <c r="Z42" s="123" cm="1">
        <f t="array" ref="Z42">INDEX(Properties!$D:$D,$B42+5)*(IF(AND(Z$3&gt;=INDEX(Properties!$T:$T,$B42+5),Z$3&lt;INDEX(Properties!$U:$U,$B42+5)),INDEX(_Seasonality!$C$50:$N$59,$B42,MONTH(EDATE(Input!$C$7,Z$3-1)))*MIN(1,(Z$3-INDEX(Properties!$T:$T,$B42+5)+1)/Input!$C$11),0))*(1+Input!$C$8)^(Z$5-1)</f>
        <v>0</v>
      </c>
      <c r="AA42" s="123" cm="1">
        <f t="array" ref="AA42">INDEX(Properties!$D:$D,$B42+5)*(IF(AND(AA$3&gt;=INDEX(Properties!$T:$T,$B42+5),AA$3&lt;INDEX(Properties!$U:$U,$B42+5)),INDEX(_Seasonality!$C$50:$N$59,$B42,MONTH(EDATE(Input!$C$7,AA$3-1)))*MIN(1,(AA$3-INDEX(Properties!$T:$T,$B42+5)+1)/Input!$C$11),0))*(1+Input!$C$8)^(AA$5-1)</f>
        <v>0</v>
      </c>
      <c r="AB42" s="123" cm="1">
        <f t="array" ref="AB42">INDEX(Properties!$D:$D,$B42+5)*(IF(AND(AB$3&gt;=INDEX(Properties!$T:$T,$B42+5),AB$3&lt;INDEX(Properties!$U:$U,$B42+5)),INDEX(_Seasonality!$C$50:$N$59,$B42,MONTH(EDATE(Input!$C$7,AB$3-1)))*MIN(1,(AB$3-INDEX(Properties!$T:$T,$B42+5)+1)/Input!$C$11),0))*(1+Input!$C$8)^(AB$5-1)</f>
        <v>0</v>
      </c>
      <c r="AC42" s="123" cm="1">
        <f t="array" ref="AC42">INDEX(Properties!$D:$D,$B42+5)*(IF(AND(AC$3&gt;=INDEX(Properties!$T:$T,$B42+5),AC$3&lt;INDEX(Properties!$U:$U,$B42+5)),INDEX(_Seasonality!$C$50:$N$59,$B42,MONTH(EDATE(Input!$C$7,AC$3-1)))*MIN(1,(AC$3-INDEX(Properties!$T:$T,$B42+5)+1)/Input!$C$11),0))*(1+Input!$C$8)^(AC$5-1)</f>
        <v>0</v>
      </c>
      <c r="AD42" s="123" cm="1">
        <f t="array" ref="AD42">INDEX(Properties!$D:$D,$B42+5)*(IF(AND(AD$3&gt;=INDEX(Properties!$T:$T,$B42+5),AD$3&lt;INDEX(Properties!$U:$U,$B42+5)),INDEX(_Seasonality!$C$50:$N$59,$B42,MONTH(EDATE(Input!$C$7,AD$3-1)))*MIN(1,(AD$3-INDEX(Properties!$T:$T,$B42+5)+1)/Input!$C$11),0))*(1+Input!$C$8)^(AD$5-1)</f>
        <v>0</v>
      </c>
      <c r="AE42" s="123" cm="1">
        <f t="array" ref="AE42">INDEX(Properties!$D:$D,$B42+5)*(IF(AND(AE$3&gt;=INDEX(Properties!$T:$T,$B42+5),AE$3&lt;INDEX(Properties!$U:$U,$B42+5)),INDEX(_Seasonality!$C$50:$N$59,$B42,MONTH(EDATE(Input!$C$7,AE$3-1)))*MIN(1,(AE$3-INDEX(Properties!$T:$T,$B42+5)+1)/Input!$C$11),0))*(1+Input!$C$8)^(AE$5-1)</f>
        <v>0</v>
      </c>
      <c r="AF42" s="123" cm="1">
        <f t="array" ref="AF42">INDEX(Properties!$D:$D,$B42+5)*(IF(AND(AF$3&gt;=INDEX(Properties!$T:$T,$B42+5),AF$3&lt;INDEX(Properties!$U:$U,$B42+5)),INDEX(_Seasonality!$C$50:$N$59,$B42,MONTH(EDATE(Input!$C$7,AF$3-1)))*MIN(1,(AF$3-INDEX(Properties!$T:$T,$B42+5)+1)/Input!$C$11),0))*(1+Input!$C$8)^(AF$5-1)</f>
        <v>0</v>
      </c>
      <c r="AG42" s="123" cm="1">
        <f t="array" ref="AG42">INDEX(Properties!$D:$D,$B42+5)*(IF(AND(AG$3&gt;=INDEX(Properties!$T:$T,$B42+5),AG$3&lt;INDEX(Properties!$U:$U,$B42+5)),INDEX(_Seasonality!$C$50:$N$59,$B42,MONTH(EDATE(Input!$C$7,AG$3-1)))*MIN(1,(AG$3-INDEX(Properties!$T:$T,$B42+5)+1)/Input!$C$11),0))*(1+Input!$C$8)^(AG$5-1)</f>
        <v>0</v>
      </c>
      <c r="AH42" s="123" cm="1">
        <f t="array" ref="AH42">INDEX(Properties!$D:$D,$B42+5)*(IF(AND(AH$3&gt;=INDEX(Properties!$T:$T,$B42+5),AH$3&lt;INDEX(Properties!$U:$U,$B42+5)),INDEX(_Seasonality!$C$50:$N$59,$B42,MONTH(EDATE(Input!$C$7,AH$3-1)))*MIN(1,(AH$3-INDEX(Properties!$T:$T,$B42+5)+1)/Input!$C$11),0))*(1+Input!$C$8)^(AH$5-1)</f>
        <v>0</v>
      </c>
      <c r="AI42" s="123" cm="1">
        <f t="array" ref="AI42">INDEX(Properties!$D:$D,$B42+5)*(IF(AND(AI$3&gt;=INDEX(Properties!$T:$T,$B42+5),AI$3&lt;INDEX(Properties!$U:$U,$B42+5)),INDEX(_Seasonality!$C$50:$N$59,$B42,MONTH(EDATE(Input!$C$7,AI$3-1)))*MIN(1,(AI$3-INDEX(Properties!$T:$T,$B42+5)+1)/Input!$C$11),0))*(1+Input!$C$8)^(AI$5-1)</f>
        <v>0</v>
      </c>
      <c r="AJ42" s="123" cm="1">
        <f t="array" ref="AJ42">INDEX(Properties!$D:$D,$B42+5)*(IF(AND(AJ$3&gt;=INDEX(Properties!$T:$T,$B42+5),AJ$3&lt;INDEX(Properties!$U:$U,$B42+5)),INDEX(_Seasonality!$C$50:$N$59,$B42,MONTH(EDATE(Input!$C$7,AJ$3-1)))*MIN(1,(AJ$3-INDEX(Properties!$T:$T,$B42+5)+1)/Input!$C$11),0))*(1+Input!$C$8)^(AJ$5-1)</f>
        <v>0</v>
      </c>
      <c r="AK42" s="123" cm="1">
        <f t="array" ref="AK42">INDEX(Properties!$D:$D,$B42+5)*(IF(AND(AK$3&gt;=INDEX(Properties!$T:$T,$B42+5),AK$3&lt;INDEX(Properties!$U:$U,$B42+5)),INDEX(_Seasonality!$C$50:$N$59,$B42,MONTH(EDATE(Input!$C$7,AK$3-1)))*MIN(1,(AK$3-INDEX(Properties!$T:$T,$B42+5)+1)/Input!$C$11),0))*(1+Input!$C$8)^(AK$5-1)</f>
        <v>0</v>
      </c>
      <c r="AL42" s="123" cm="1">
        <f t="array" ref="AL42">INDEX(Properties!$D:$D,$B42+5)*(IF(AND(AL$3&gt;=INDEX(Properties!$T:$T,$B42+5),AL$3&lt;INDEX(Properties!$U:$U,$B42+5)),INDEX(_Seasonality!$C$50:$N$59,$B42,MONTH(EDATE(Input!$C$7,AL$3-1)))*MIN(1,(AL$3-INDEX(Properties!$T:$T,$B42+5)+1)/Input!$C$11),0))*(1+Input!$C$8)^(AL$5-1)</f>
        <v>0</v>
      </c>
      <c r="AM42" s="123" cm="1">
        <f t="array" ref="AM42">INDEX(Properties!$D:$D,$B42+5)*(IF(AND(AM$3&gt;=INDEX(Properties!$T:$T,$B42+5),AM$3&lt;INDEX(Properties!$U:$U,$B42+5)),INDEX(_Seasonality!$C$50:$N$59,$B42,MONTH(EDATE(Input!$C$7,AM$3-1)))*MIN(1,(AM$3-INDEX(Properties!$T:$T,$B42+5)+1)/Input!$C$11),0))*(1+Input!$C$8)^(AM$5-1)</f>
        <v>0</v>
      </c>
      <c r="AN42" s="123" cm="1">
        <f t="array" ref="AN42">INDEX(Properties!$D:$D,$B42+5)*(IF(AND(AN$3&gt;=INDEX(Properties!$T:$T,$B42+5),AN$3&lt;INDEX(Properties!$U:$U,$B42+5)),INDEX(_Seasonality!$C$50:$N$59,$B42,MONTH(EDATE(Input!$C$7,AN$3-1)))*MIN(1,(AN$3-INDEX(Properties!$T:$T,$B42+5)+1)/Input!$C$11),0))*(1+Input!$C$8)^(AN$5-1)</f>
        <v>0</v>
      </c>
      <c r="AO42" s="123" cm="1">
        <f t="array" ref="AO42">INDEX(Properties!$D:$D,$B42+5)*(IF(AND(AO$3&gt;=INDEX(Properties!$T:$T,$B42+5),AO$3&lt;INDEX(Properties!$U:$U,$B42+5)),INDEX(_Seasonality!$C$50:$N$59,$B42,MONTH(EDATE(Input!$C$7,AO$3-1)))*MIN(1,(AO$3-INDEX(Properties!$T:$T,$B42+5)+1)/Input!$C$11),0))*(1+Input!$C$8)^(AO$5-1)</f>
        <v>0</v>
      </c>
      <c r="AP42" s="123" cm="1">
        <f t="array" ref="AP42">INDEX(Properties!$D:$D,$B42+5)*(IF(AND(AP$3&gt;=INDEX(Properties!$T:$T,$B42+5),AP$3&lt;INDEX(Properties!$U:$U,$B42+5)),INDEX(_Seasonality!$C$50:$N$59,$B42,MONTH(EDATE(Input!$C$7,AP$3-1)))*MIN(1,(AP$3-INDEX(Properties!$T:$T,$B42+5)+1)/Input!$C$11),0))*(1+Input!$C$8)^(AP$5-1)</f>
        <v>0</v>
      </c>
      <c r="AQ42" s="123" cm="1">
        <f t="array" ref="AQ42">INDEX(Properties!$D:$D,$B42+5)*(IF(AND(AQ$3&gt;=INDEX(Properties!$T:$T,$B42+5),AQ$3&lt;INDEX(Properties!$U:$U,$B42+5)),INDEX(_Seasonality!$C$50:$N$59,$B42,MONTH(EDATE(Input!$C$7,AQ$3-1)))*MIN(1,(AQ$3-INDEX(Properties!$T:$T,$B42+5)+1)/Input!$C$11),0))*(1+Input!$C$8)^(AQ$5-1)</f>
        <v>0</v>
      </c>
      <c r="AR42" s="123" cm="1">
        <f t="array" ref="AR42">INDEX(Properties!$D:$D,$B42+5)*(IF(AND(AR$3&gt;=INDEX(Properties!$T:$T,$B42+5),AR$3&lt;INDEX(Properties!$U:$U,$B42+5)),INDEX(_Seasonality!$C$50:$N$59,$B42,MONTH(EDATE(Input!$C$7,AR$3-1)))*MIN(1,(AR$3-INDEX(Properties!$T:$T,$B42+5)+1)/Input!$C$11),0))*(1+Input!$C$8)^(AR$5-1)</f>
        <v>0</v>
      </c>
      <c r="AS42" s="123" cm="1">
        <f t="array" ref="AS42">INDEX(Properties!$D:$D,$B42+5)*(IF(AND(AS$3&gt;=INDEX(Properties!$T:$T,$B42+5),AS$3&lt;INDEX(Properties!$U:$U,$B42+5)),INDEX(_Seasonality!$C$50:$N$59,$B42,MONTH(EDATE(Input!$C$7,AS$3-1)))*MIN(1,(AS$3-INDEX(Properties!$T:$T,$B42+5)+1)/Input!$C$11),0))*(1+Input!$C$8)^(AS$5-1)</f>
        <v>0</v>
      </c>
      <c r="AT42" s="123" cm="1">
        <f t="array" ref="AT42">INDEX(Properties!$D:$D,$B42+5)*(IF(AND(AT$3&gt;=INDEX(Properties!$T:$T,$B42+5),AT$3&lt;INDEX(Properties!$U:$U,$B42+5)),INDEX(_Seasonality!$C$50:$N$59,$B42,MONTH(EDATE(Input!$C$7,AT$3-1)))*MIN(1,(AT$3-INDEX(Properties!$T:$T,$B42+5)+1)/Input!$C$11),0))*(1+Input!$C$8)^(AT$5-1)</f>
        <v>0</v>
      </c>
      <c r="AU42" s="123" cm="1">
        <f t="array" ref="AU42">INDEX(Properties!$D:$D,$B42+5)*(IF(AND(AU$3&gt;=INDEX(Properties!$T:$T,$B42+5),AU$3&lt;INDEX(Properties!$U:$U,$B42+5)),INDEX(_Seasonality!$C$50:$N$59,$B42,MONTH(EDATE(Input!$C$7,AU$3-1)))*MIN(1,(AU$3-INDEX(Properties!$T:$T,$B42+5)+1)/Input!$C$11),0))*(1+Input!$C$8)^(AU$5-1)</f>
        <v>0</v>
      </c>
      <c r="AV42" s="123" cm="1">
        <f t="array" ref="AV42">INDEX(Properties!$D:$D,$B42+5)*(IF(AND(AV$3&gt;=INDEX(Properties!$T:$T,$B42+5),AV$3&lt;INDEX(Properties!$U:$U,$B42+5)),INDEX(_Seasonality!$C$50:$N$59,$B42,MONTH(EDATE(Input!$C$7,AV$3-1)))*MIN(1,(AV$3-INDEX(Properties!$T:$T,$B42+5)+1)/Input!$C$11),0))*(1+Input!$C$8)^(AV$5-1)</f>
        <v>0</v>
      </c>
      <c r="AW42" s="123" cm="1">
        <f t="array" ref="AW42">INDEX(Properties!$D:$D,$B42+5)*(IF(AND(AW$3&gt;=INDEX(Properties!$T:$T,$B42+5),AW$3&lt;INDEX(Properties!$U:$U,$B42+5)),INDEX(_Seasonality!$C$50:$N$59,$B42,MONTH(EDATE(Input!$C$7,AW$3-1)))*MIN(1,(AW$3-INDEX(Properties!$T:$T,$B42+5)+1)/Input!$C$11),0))*(1+Input!$C$8)^(AW$5-1)</f>
        <v>0</v>
      </c>
      <c r="AX42" s="123" cm="1">
        <f t="array" ref="AX42">INDEX(Properties!$D:$D,$B42+5)*(IF(AND(AX$3&gt;=INDEX(Properties!$T:$T,$B42+5),AX$3&lt;INDEX(Properties!$U:$U,$B42+5)),INDEX(_Seasonality!$C$50:$N$59,$B42,MONTH(EDATE(Input!$C$7,AX$3-1)))*MIN(1,(AX$3-INDEX(Properties!$T:$T,$B42+5)+1)/Input!$C$11),0))*(1+Input!$C$8)^(AX$5-1)</f>
        <v>0</v>
      </c>
      <c r="AY42" s="123" cm="1">
        <f t="array" ref="AY42">INDEX(Properties!$D:$D,$B42+5)*(IF(AND(AY$3&gt;=INDEX(Properties!$T:$T,$B42+5),AY$3&lt;INDEX(Properties!$U:$U,$B42+5)),INDEX(_Seasonality!$C$50:$N$59,$B42,MONTH(EDATE(Input!$C$7,AY$3-1)))*MIN(1,(AY$3-INDEX(Properties!$T:$T,$B42+5)+1)/Input!$C$11),0))*(1+Input!$C$8)^(AY$5-1)</f>
        <v>0</v>
      </c>
      <c r="AZ42" s="123" cm="1">
        <f t="array" ref="AZ42">INDEX(Properties!$D:$D,$B42+5)*(IF(AND(AZ$3&gt;=INDEX(Properties!$T:$T,$B42+5),AZ$3&lt;INDEX(Properties!$U:$U,$B42+5)),INDEX(_Seasonality!$C$50:$N$59,$B42,MONTH(EDATE(Input!$C$7,AZ$3-1)))*MIN(1,(AZ$3-INDEX(Properties!$T:$T,$B42+5)+1)/Input!$C$11),0))*(1+Input!$C$8)^(AZ$5-1)</f>
        <v>0</v>
      </c>
      <c r="BA42" s="123" cm="1">
        <f t="array" ref="BA42">INDEX(Properties!$D:$D,$B42+5)*(IF(AND(BA$3&gt;=INDEX(Properties!$T:$T,$B42+5),BA$3&lt;INDEX(Properties!$U:$U,$B42+5)),INDEX(_Seasonality!$C$50:$N$59,$B42,MONTH(EDATE(Input!$C$7,BA$3-1)))*MIN(1,(BA$3-INDEX(Properties!$T:$T,$B42+5)+1)/Input!$C$11),0))*(1+Input!$C$8)^(BA$5-1)</f>
        <v>0</v>
      </c>
      <c r="BB42" s="123" cm="1">
        <f t="array" ref="BB42">INDEX(Properties!$D:$D,$B42+5)*(IF(AND(BB$3&gt;=INDEX(Properties!$T:$T,$B42+5),BB$3&lt;INDEX(Properties!$U:$U,$B42+5)),INDEX(_Seasonality!$C$50:$N$59,$B42,MONTH(EDATE(Input!$C$7,BB$3-1)))*MIN(1,(BB$3-INDEX(Properties!$T:$T,$B42+5)+1)/Input!$C$11),0))*(1+Input!$C$8)^(BB$5-1)</f>
        <v>0</v>
      </c>
      <c r="BC42" s="123" cm="1">
        <f t="array" ref="BC42">INDEX(Properties!$D:$D,$B42+5)*(IF(AND(BC$3&gt;=INDEX(Properties!$T:$T,$B42+5),BC$3&lt;INDEX(Properties!$U:$U,$B42+5)),INDEX(_Seasonality!$C$50:$N$59,$B42,MONTH(EDATE(Input!$C$7,BC$3-1)))*MIN(1,(BC$3-INDEX(Properties!$T:$T,$B42+5)+1)/Input!$C$11),0))*(1+Input!$C$8)^(BC$5-1)</f>
        <v>0</v>
      </c>
      <c r="BD42" s="123" cm="1">
        <f t="array" ref="BD42">INDEX(Properties!$D:$D,$B42+5)*(IF(AND(BD$3&gt;=INDEX(Properties!$T:$T,$B42+5),BD$3&lt;INDEX(Properties!$U:$U,$B42+5)),INDEX(_Seasonality!$C$50:$N$59,$B42,MONTH(EDATE(Input!$C$7,BD$3-1)))*MIN(1,(BD$3-INDEX(Properties!$T:$T,$B42+5)+1)/Input!$C$11),0))*(1+Input!$C$8)^(BD$5-1)</f>
        <v>0</v>
      </c>
      <c r="BE42" s="123" cm="1">
        <f t="array" ref="BE42">INDEX(Properties!$D:$D,$B42+5)*(IF(AND(BE$3&gt;=INDEX(Properties!$T:$T,$B42+5),BE$3&lt;INDEX(Properties!$U:$U,$B42+5)),INDEX(_Seasonality!$C$50:$N$59,$B42,MONTH(EDATE(Input!$C$7,BE$3-1)))*MIN(1,(BE$3-INDEX(Properties!$T:$T,$B42+5)+1)/Input!$C$11),0))*(1+Input!$C$8)^(BE$5-1)</f>
        <v>0</v>
      </c>
      <c r="BF42" s="123" cm="1">
        <f t="array" ref="BF42">INDEX(Properties!$D:$D,$B42+5)*(IF(AND(BF$3&gt;=INDEX(Properties!$T:$T,$B42+5),BF$3&lt;INDEX(Properties!$U:$U,$B42+5)),INDEX(_Seasonality!$C$50:$N$59,$B42,MONTH(EDATE(Input!$C$7,BF$3-1)))*MIN(1,(BF$3-INDEX(Properties!$T:$T,$B42+5)+1)/Input!$C$11),0))*(1+Input!$C$8)^(BF$5-1)</f>
        <v>0</v>
      </c>
      <c r="BG42" s="123" cm="1">
        <f t="array" ref="BG42">INDEX(Properties!$D:$D,$B42+5)*(IF(AND(BG$3&gt;=INDEX(Properties!$T:$T,$B42+5),BG$3&lt;INDEX(Properties!$U:$U,$B42+5)),INDEX(_Seasonality!$C$50:$N$59,$B42,MONTH(EDATE(Input!$C$7,BG$3-1)))*MIN(1,(BG$3-INDEX(Properties!$T:$T,$B42+5)+1)/Input!$C$11),0))*(1+Input!$C$8)^(BG$5-1)</f>
        <v>0</v>
      </c>
      <c r="BH42" s="123" cm="1">
        <f t="array" ref="BH42">INDEX(Properties!$D:$D,$B42+5)*(IF(AND(BH$3&gt;=INDEX(Properties!$T:$T,$B42+5),BH$3&lt;INDEX(Properties!$U:$U,$B42+5)),INDEX(_Seasonality!$C$50:$N$59,$B42,MONTH(EDATE(Input!$C$7,BH$3-1)))*MIN(1,(BH$3-INDEX(Properties!$T:$T,$B42+5)+1)/Input!$C$11),0))*(1+Input!$C$8)^(BH$5-1)</f>
        <v>0</v>
      </c>
      <c r="BI42" s="123" cm="1">
        <f t="array" ref="BI42">INDEX(Properties!$D:$D,$B42+5)*(IF(AND(BI$3&gt;=INDEX(Properties!$T:$T,$B42+5),BI$3&lt;INDEX(Properties!$U:$U,$B42+5)),INDEX(_Seasonality!$C$50:$N$59,$B42,MONTH(EDATE(Input!$C$7,BI$3-1)))*MIN(1,(BI$3-INDEX(Properties!$T:$T,$B42+5)+1)/Input!$C$11),0))*(1+Input!$C$8)^(BI$5-1)</f>
        <v>0</v>
      </c>
      <c r="BJ42" s="123" cm="1">
        <f t="array" ref="BJ42">INDEX(Properties!$D:$D,$B42+5)*(IF(AND(BJ$3&gt;=INDEX(Properties!$T:$T,$B42+5),BJ$3&lt;INDEX(Properties!$U:$U,$B42+5)),INDEX(_Seasonality!$C$50:$N$59,$B42,MONTH(EDATE(Input!$C$7,BJ$3-1)))*MIN(1,(BJ$3-INDEX(Properties!$T:$T,$B42+5)+1)/Input!$C$11),0))*(1+Input!$C$8)^(BJ$5-1)</f>
        <v>0</v>
      </c>
      <c r="BK42" s="123" cm="1">
        <f t="array" ref="BK42">INDEX(Properties!$D:$D,$B42+5)*(IF(AND(BK$3&gt;=INDEX(Properties!$T:$T,$B42+5),BK$3&lt;INDEX(Properties!$U:$U,$B42+5)),INDEX(_Seasonality!$C$50:$N$59,$B42,MONTH(EDATE(Input!$C$7,BK$3-1)))*MIN(1,(BK$3-INDEX(Properties!$T:$T,$B42+5)+1)/Input!$C$11),0))*(1+Input!$C$8)^(BK$5-1)</f>
        <v>0</v>
      </c>
      <c r="BL42" s="123" cm="1">
        <f t="array" ref="BL42">INDEX(Properties!$D:$D,$B42+5)*(IF(AND(BL$3&gt;=INDEX(Properties!$T:$T,$B42+5),BL$3&lt;INDEX(Properties!$U:$U,$B42+5)),INDEX(_Seasonality!$C$50:$N$59,$B42,MONTH(EDATE(Input!$C$7,BL$3-1)))*MIN(1,(BL$3-INDEX(Properties!$T:$T,$B42+5)+1)/Input!$C$11),0))*(1+Input!$C$8)^(BL$5-1)</f>
        <v>0</v>
      </c>
      <c r="BM42" s="123" cm="1">
        <f t="array" ref="BM42">INDEX(Properties!$D:$D,$B42+5)*(IF(AND(BM$3&gt;=INDEX(Properties!$T:$T,$B42+5),BM$3&lt;INDEX(Properties!$U:$U,$B42+5)),INDEX(_Seasonality!$C$50:$N$59,$B42,MONTH(EDATE(Input!$C$7,BM$3-1)))*MIN(1,(BM$3-INDEX(Properties!$T:$T,$B42+5)+1)/Input!$C$11),0))*(1+Input!$C$8)^(BM$5-1)</f>
        <v>0</v>
      </c>
      <c r="BN42" s="123" cm="1">
        <f t="array" ref="BN42">INDEX(Properties!$D:$D,$B42+5)*(IF(AND(BN$3&gt;=INDEX(Properties!$T:$T,$B42+5),BN$3&lt;INDEX(Properties!$U:$U,$B42+5)),INDEX(_Seasonality!$C$50:$N$59,$B42,MONTH(EDATE(Input!$C$7,BN$3-1)))*MIN(1,(BN$3-INDEX(Properties!$T:$T,$B42+5)+1)/Input!$C$11),0))*(1+Input!$C$8)^(BN$5-1)</f>
        <v>0</v>
      </c>
      <c r="BO42" s="123" cm="1">
        <f t="array" ref="BO42">INDEX(Properties!$D:$D,$B42+5)*(IF(AND(BO$3&gt;=INDEX(Properties!$T:$T,$B42+5),BO$3&lt;INDEX(Properties!$U:$U,$B42+5)),INDEX(_Seasonality!$C$50:$N$59,$B42,MONTH(EDATE(Input!$C$7,BO$3-1)))*MIN(1,(BO$3-INDEX(Properties!$T:$T,$B42+5)+1)/Input!$C$11),0))*(1+Input!$C$8)^(BO$5-1)</f>
        <v>0</v>
      </c>
      <c r="BP42" s="123" cm="1">
        <f t="array" ref="BP42">INDEX(Properties!$D:$D,$B42+5)*(IF(AND(BP$3&gt;=INDEX(Properties!$T:$T,$B42+5),BP$3&lt;INDEX(Properties!$U:$U,$B42+5)),INDEX(_Seasonality!$C$50:$N$59,$B42,MONTH(EDATE(Input!$C$7,BP$3-1)))*MIN(1,(BP$3-INDEX(Properties!$T:$T,$B42+5)+1)/Input!$C$11),0))*(1+Input!$C$8)^(BP$5-1)</f>
        <v>0</v>
      </c>
      <c r="BQ42" s="123" cm="1">
        <f t="array" ref="BQ42">INDEX(Properties!$D:$D,$B42+5)*(IF(AND(BQ$3&gt;=INDEX(Properties!$T:$T,$B42+5),BQ$3&lt;INDEX(Properties!$U:$U,$B42+5)),INDEX(_Seasonality!$C$50:$N$59,$B42,MONTH(EDATE(Input!$C$7,BQ$3-1)))*MIN(1,(BQ$3-INDEX(Properties!$T:$T,$B42+5)+1)/Input!$C$11),0))*(1+Input!$C$8)^(BQ$5-1)</f>
        <v>0</v>
      </c>
      <c r="BR42" s="123" cm="1">
        <f t="array" ref="BR42">INDEX(Properties!$D:$D,$B42+5)*(IF(AND(BR$3&gt;=INDEX(Properties!$T:$T,$B42+5),BR$3&lt;INDEX(Properties!$U:$U,$B42+5)),INDEX(_Seasonality!$C$50:$N$59,$B42,MONTH(EDATE(Input!$C$7,BR$3-1)))*MIN(1,(BR$3-INDEX(Properties!$T:$T,$B42+5)+1)/Input!$C$11),0))*(1+Input!$C$8)^(BR$5-1)</f>
        <v>0</v>
      </c>
      <c r="BS42" s="123" cm="1">
        <f t="array" ref="BS42">INDEX(Properties!$D:$D,$B42+5)*(IF(AND(BS$3&gt;=INDEX(Properties!$T:$T,$B42+5),BS$3&lt;INDEX(Properties!$U:$U,$B42+5)),INDEX(_Seasonality!$C$50:$N$59,$B42,MONTH(EDATE(Input!$C$7,BS$3-1)))*MIN(1,(BS$3-INDEX(Properties!$T:$T,$B42+5)+1)/Input!$C$11),0))*(1+Input!$C$8)^(BS$5-1)</f>
        <v>0</v>
      </c>
      <c r="BT42" s="123" cm="1">
        <f t="array" ref="BT42">INDEX(Properties!$D:$D,$B42+5)*(IF(AND(BT$3&gt;=INDEX(Properties!$T:$T,$B42+5),BT$3&lt;INDEX(Properties!$U:$U,$B42+5)),INDEX(_Seasonality!$C$50:$N$59,$B42,MONTH(EDATE(Input!$C$7,BT$3-1)))*MIN(1,(BT$3-INDEX(Properties!$T:$T,$B42+5)+1)/Input!$C$11),0))*(1+Input!$C$8)^(BT$5-1)</f>
        <v>0</v>
      </c>
      <c r="BU42" s="123" cm="1">
        <f t="array" ref="BU42">INDEX(Properties!$D:$D,$B42+5)*(IF(AND(BU$3&gt;=INDEX(Properties!$T:$T,$B42+5),BU$3&lt;INDEX(Properties!$U:$U,$B42+5)),INDEX(_Seasonality!$C$50:$N$59,$B42,MONTH(EDATE(Input!$C$7,BU$3-1)))*MIN(1,(BU$3-INDEX(Properties!$T:$T,$B42+5)+1)/Input!$C$11),0))*(1+Input!$C$8)^(BU$5-1)</f>
        <v>0</v>
      </c>
      <c r="BV42" s="123" cm="1">
        <f t="array" ref="BV42">INDEX(Properties!$D:$D,$B42+5)*(IF(AND(BV$3&gt;=INDEX(Properties!$T:$T,$B42+5),BV$3&lt;INDEX(Properties!$U:$U,$B42+5)),INDEX(_Seasonality!$C$50:$N$59,$B42,MONTH(EDATE(Input!$C$7,BV$3-1)))*MIN(1,(BV$3-INDEX(Properties!$T:$T,$B42+5)+1)/Input!$C$11),0))*(1+Input!$C$8)^(BV$5-1)</f>
        <v>0</v>
      </c>
      <c r="BW42" s="123" cm="1">
        <f t="array" ref="BW42">INDEX(Properties!$D:$D,$B42+5)*(IF(AND(BW$3&gt;=INDEX(Properties!$T:$T,$B42+5),BW$3&lt;INDEX(Properties!$U:$U,$B42+5)),INDEX(_Seasonality!$C$50:$N$59,$B42,MONTH(EDATE(Input!$C$7,BW$3-1)))*MIN(1,(BW$3-INDEX(Properties!$T:$T,$B42+5)+1)/Input!$C$11),0))*(1+Input!$C$8)^(BW$5-1)</f>
        <v>0</v>
      </c>
      <c r="BX42" s="123" cm="1">
        <f t="array" ref="BX42">INDEX(Properties!$D:$D,$B42+5)*(IF(AND(BX$3&gt;=INDEX(Properties!$T:$T,$B42+5),BX$3&lt;INDEX(Properties!$U:$U,$B42+5)),INDEX(_Seasonality!$C$50:$N$59,$B42,MONTH(EDATE(Input!$C$7,BX$3-1)))*MIN(1,(BX$3-INDEX(Properties!$T:$T,$B42+5)+1)/Input!$C$11),0))*(1+Input!$C$8)^(BX$5-1)</f>
        <v>0</v>
      </c>
      <c r="BY42" s="123" cm="1">
        <f t="array" ref="BY42">INDEX(Properties!$D:$D,$B42+5)*(IF(AND(BY$3&gt;=INDEX(Properties!$T:$T,$B42+5),BY$3&lt;INDEX(Properties!$U:$U,$B42+5)),INDEX(_Seasonality!$C$50:$N$59,$B42,MONTH(EDATE(Input!$C$7,BY$3-1)))*MIN(1,(BY$3-INDEX(Properties!$T:$T,$B42+5)+1)/Input!$C$11),0))*(1+Input!$C$8)^(BY$5-1)</f>
        <v>0</v>
      </c>
      <c r="BZ42" s="123" cm="1">
        <f t="array" ref="BZ42">INDEX(Properties!$D:$D,$B42+5)*(IF(AND(BZ$3&gt;=INDEX(Properties!$T:$T,$B42+5),BZ$3&lt;INDEX(Properties!$U:$U,$B42+5)),INDEX(_Seasonality!$C$50:$N$59,$B42,MONTH(EDATE(Input!$C$7,BZ$3-1)))*MIN(1,(BZ$3-INDEX(Properties!$T:$T,$B42+5)+1)/Input!$C$11),0))*(1+Input!$C$8)^(BZ$5-1)</f>
        <v>0</v>
      </c>
      <c r="CA42" s="123" cm="1">
        <f t="array" ref="CA42">INDEX(Properties!$D:$D,$B42+5)*(IF(AND(CA$3&gt;=INDEX(Properties!$T:$T,$B42+5),CA$3&lt;INDEX(Properties!$U:$U,$B42+5)),INDEX(_Seasonality!$C$50:$N$59,$B42,MONTH(EDATE(Input!$C$7,CA$3-1)))*MIN(1,(CA$3-INDEX(Properties!$T:$T,$B42+5)+1)/Input!$C$11),0))*(1+Input!$C$8)^(CA$5-1)</f>
        <v>0</v>
      </c>
      <c r="CB42" s="123" cm="1">
        <f t="array" ref="CB42">INDEX(Properties!$D:$D,$B42+5)*(IF(AND(CB$3&gt;=INDEX(Properties!$T:$T,$B42+5),CB$3&lt;INDEX(Properties!$U:$U,$B42+5)),INDEX(_Seasonality!$C$50:$N$59,$B42,MONTH(EDATE(Input!$C$7,CB$3-1)))*MIN(1,(CB$3-INDEX(Properties!$T:$T,$B42+5)+1)/Input!$C$11),0))*(1+Input!$C$8)^(CB$5-1)</f>
        <v>0</v>
      </c>
      <c r="CC42" s="123" cm="1">
        <f t="array" ref="CC42">INDEX(Properties!$D:$D,$B42+5)*(IF(AND(CC$3&gt;=INDEX(Properties!$T:$T,$B42+5),CC$3&lt;INDEX(Properties!$U:$U,$B42+5)),INDEX(_Seasonality!$C$50:$N$59,$B42,MONTH(EDATE(Input!$C$7,CC$3-1)))*MIN(1,(CC$3-INDEX(Properties!$T:$T,$B42+5)+1)/Input!$C$11),0))*(1+Input!$C$8)^(CC$5-1)</f>
        <v>0</v>
      </c>
      <c r="CD42" s="123" cm="1">
        <f t="array" ref="CD42">INDEX(Properties!$D:$D,$B42+5)*(IF(AND(CD$3&gt;=INDEX(Properties!$T:$T,$B42+5),CD$3&lt;INDEX(Properties!$U:$U,$B42+5)),INDEX(_Seasonality!$C$50:$N$59,$B42,MONTH(EDATE(Input!$C$7,CD$3-1)))*MIN(1,(CD$3-INDEX(Properties!$T:$T,$B42+5)+1)/Input!$C$11),0))*(1+Input!$C$8)^(CD$5-1)</f>
        <v>0</v>
      </c>
      <c r="CE42" s="123" cm="1">
        <f t="array" ref="CE42">INDEX(Properties!$D:$D,$B42+5)*(IF(AND(CE$3&gt;=INDEX(Properties!$T:$T,$B42+5),CE$3&lt;INDEX(Properties!$U:$U,$B42+5)),INDEX(_Seasonality!$C$50:$N$59,$B42,MONTH(EDATE(Input!$C$7,CE$3-1)))*MIN(1,(CE$3-INDEX(Properties!$T:$T,$B42+5)+1)/Input!$C$11),0))*(1+Input!$C$8)^(CE$5-1)</f>
        <v>0</v>
      </c>
      <c r="CF42" s="123" cm="1">
        <f t="array" ref="CF42">INDEX(Properties!$D:$D,$B42+5)*(IF(AND(CF$3&gt;=INDEX(Properties!$T:$T,$B42+5),CF$3&lt;INDEX(Properties!$U:$U,$B42+5)),INDEX(_Seasonality!$C$50:$N$59,$B42,MONTH(EDATE(Input!$C$7,CF$3-1)))*MIN(1,(CF$3-INDEX(Properties!$T:$T,$B42+5)+1)/Input!$C$11),0))*(1+Input!$C$8)^(CF$5-1)</f>
        <v>0</v>
      </c>
      <c r="CG42" s="123" cm="1">
        <f t="array" ref="CG42">INDEX(Properties!$D:$D,$B42+5)*(IF(AND(CG$3&gt;=INDEX(Properties!$T:$T,$B42+5),CG$3&lt;INDEX(Properties!$U:$U,$B42+5)),INDEX(_Seasonality!$C$50:$N$59,$B42,MONTH(EDATE(Input!$C$7,CG$3-1)))*MIN(1,(CG$3-INDEX(Properties!$T:$T,$B42+5)+1)/Input!$C$11),0))*(1+Input!$C$8)^(CG$5-1)</f>
        <v>0</v>
      </c>
      <c r="CH42" s="123" cm="1">
        <f t="array" ref="CH42">INDEX(Properties!$D:$D,$B42+5)*(IF(AND(CH$3&gt;=INDEX(Properties!$T:$T,$B42+5),CH$3&lt;INDEX(Properties!$U:$U,$B42+5)),INDEX(_Seasonality!$C$50:$N$59,$B42,MONTH(EDATE(Input!$C$7,CH$3-1)))*MIN(1,(CH$3-INDEX(Properties!$T:$T,$B42+5)+1)/Input!$C$11),0))*(1+Input!$C$8)^(CH$5-1)</f>
        <v>0</v>
      </c>
      <c r="CI42" s="123" cm="1">
        <f t="array" ref="CI42">INDEX(Properties!$D:$D,$B42+5)*(IF(AND(CI$3&gt;=INDEX(Properties!$T:$T,$B42+5),CI$3&lt;INDEX(Properties!$U:$U,$B42+5)),INDEX(_Seasonality!$C$50:$N$59,$B42,MONTH(EDATE(Input!$C$7,CI$3-1)))*MIN(1,(CI$3-INDEX(Properties!$T:$T,$B42+5)+1)/Input!$C$11),0))*(1+Input!$C$8)^(CI$5-1)</f>
        <v>0</v>
      </c>
      <c r="CJ42" s="123" cm="1">
        <f t="array" ref="CJ42">INDEX(Properties!$D:$D,$B42+5)*(IF(AND(CJ$3&gt;=INDEX(Properties!$T:$T,$B42+5),CJ$3&lt;INDEX(Properties!$U:$U,$B42+5)),INDEX(_Seasonality!$C$50:$N$59,$B42,MONTH(EDATE(Input!$C$7,CJ$3-1)))*MIN(1,(CJ$3-INDEX(Properties!$T:$T,$B42+5)+1)/Input!$C$11),0))*(1+Input!$C$8)^(CJ$5-1)</f>
        <v>0</v>
      </c>
      <c r="CK42" s="123" cm="1">
        <f t="array" ref="CK42">INDEX(Properties!$D:$D,$B42+5)*(IF(AND(CK$3&gt;=INDEX(Properties!$T:$T,$B42+5),CK$3&lt;INDEX(Properties!$U:$U,$B42+5)),INDEX(_Seasonality!$C$50:$N$59,$B42,MONTH(EDATE(Input!$C$7,CK$3-1)))*MIN(1,(CK$3-INDEX(Properties!$T:$T,$B42+5)+1)/Input!$C$11),0))*(1+Input!$C$8)^(CK$5-1)</f>
        <v>0</v>
      </c>
      <c r="CL42" s="123" cm="1">
        <f t="array" ref="CL42">INDEX(Properties!$D:$D,$B42+5)*(IF(AND(CL$3&gt;=INDEX(Properties!$T:$T,$B42+5),CL$3&lt;INDEX(Properties!$U:$U,$B42+5)),INDEX(_Seasonality!$C$50:$N$59,$B42,MONTH(EDATE(Input!$C$7,CL$3-1)))*MIN(1,(CL$3-INDEX(Properties!$T:$T,$B42+5)+1)/Input!$C$11),0))*(1+Input!$C$8)^(CL$5-1)</f>
        <v>0</v>
      </c>
      <c r="CM42" s="123" cm="1">
        <f t="array" ref="CM42">INDEX(Properties!$D:$D,$B42+5)*(IF(AND(CM$3&gt;=INDEX(Properties!$T:$T,$B42+5),CM$3&lt;INDEX(Properties!$U:$U,$B42+5)),INDEX(_Seasonality!$C$50:$N$59,$B42,MONTH(EDATE(Input!$C$7,CM$3-1)))*MIN(1,(CM$3-INDEX(Properties!$T:$T,$B42+5)+1)/Input!$C$11),0))*(1+Input!$C$8)^(CM$5-1)</f>
        <v>0</v>
      </c>
      <c r="CN42" s="123" cm="1">
        <f t="array" ref="CN42">INDEX(Properties!$D:$D,$B42+5)*(IF(AND(CN$3&gt;=INDEX(Properties!$T:$T,$B42+5),CN$3&lt;INDEX(Properties!$U:$U,$B42+5)),INDEX(_Seasonality!$C$50:$N$59,$B42,MONTH(EDATE(Input!$C$7,CN$3-1)))*MIN(1,(CN$3-INDEX(Properties!$T:$T,$B42+5)+1)/Input!$C$11),0))*(1+Input!$C$8)^(CN$5-1)</f>
        <v>0</v>
      </c>
      <c r="CO42" s="123" cm="1">
        <f t="array" ref="CO42">INDEX(Properties!$D:$D,$B42+5)*(IF(AND(CO$3&gt;=INDEX(Properties!$T:$T,$B42+5),CO$3&lt;INDEX(Properties!$U:$U,$B42+5)),INDEX(_Seasonality!$C$50:$N$59,$B42,MONTH(EDATE(Input!$C$7,CO$3-1)))*MIN(1,(CO$3-INDEX(Properties!$T:$T,$B42+5)+1)/Input!$C$11),0))*(1+Input!$C$8)^(CO$5-1)</f>
        <v>0</v>
      </c>
      <c r="CP42" s="123" cm="1">
        <f t="array" ref="CP42">INDEX(Properties!$D:$D,$B42+5)*(IF(AND(CP$3&gt;=INDEX(Properties!$T:$T,$B42+5),CP$3&lt;INDEX(Properties!$U:$U,$B42+5)),INDEX(_Seasonality!$C$50:$N$59,$B42,MONTH(EDATE(Input!$C$7,CP$3-1)))*MIN(1,(CP$3-INDEX(Properties!$T:$T,$B42+5)+1)/Input!$C$11),0))*(1+Input!$C$8)^(CP$5-1)</f>
        <v>0</v>
      </c>
      <c r="CQ42" s="123" cm="1">
        <f t="array" ref="CQ42">INDEX(Properties!$D:$D,$B42+5)*(IF(AND(CQ$3&gt;=INDEX(Properties!$T:$T,$B42+5),CQ$3&lt;INDEX(Properties!$U:$U,$B42+5)),INDEX(_Seasonality!$C$50:$N$59,$B42,MONTH(EDATE(Input!$C$7,CQ$3-1)))*MIN(1,(CQ$3-INDEX(Properties!$T:$T,$B42+5)+1)/Input!$C$11),0))*(1+Input!$C$8)^(CQ$5-1)</f>
        <v>0</v>
      </c>
      <c r="CR42" s="123" cm="1">
        <f t="array" ref="CR42">INDEX(Properties!$D:$D,$B42+5)*(IF(AND(CR$3&gt;=INDEX(Properties!$T:$T,$B42+5),CR$3&lt;INDEX(Properties!$U:$U,$B42+5)),INDEX(_Seasonality!$C$50:$N$59,$B42,MONTH(EDATE(Input!$C$7,CR$3-1)))*MIN(1,(CR$3-INDEX(Properties!$T:$T,$B42+5)+1)/Input!$C$11),0))*(1+Input!$C$8)^(CR$5-1)</f>
        <v>0</v>
      </c>
      <c r="CS42" s="123" cm="1">
        <f t="array" ref="CS42">INDEX(Properties!$D:$D,$B42+5)*(IF(AND(CS$3&gt;=INDEX(Properties!$T:$T,$B42+5),CS$3&lt;INDEX(Properties!$U:$U,$B42+5)),INDEX(_Seasonality!$C$50:$N$59,$B42,MONTH(EDATE(Input!$C$7,CS$3-1)))*MIN(1,(CS$3-INDEX(Properties!$T:$T,$B42+5)+1)/Input!$C$11),0))*(1+Input!$C$8)^(CS$5-1)</f>
        <v>0</v>
      </c>
      <c r="CT42" s="123" cm="1">
        <f t="array" ref="CT42">INDEX(Properties!$D:$D,$B42+5)*(IF(AND(CT$3&gt;=INDEX(Properties!$T:$T,$B42+5),CT$3&lt;INDEX(Properties!$U:$U,$B42+5)),INDEX(_Seasonality!$C$50:$N$59,$B42,MONTH(EDATE(Input!$C$7,CT$3-1)))*MIN(1,(CT$3-INDEX(Properties!$T:$T,$B42+5)+1)/Input!$C$11),0))*(1+Input!$C$8)^(CT$5-1)</f>
        <v>0</v>
      </c>
      <c r="CU42" s="123" cm="1">
        <f t="array" ref="CU42">INDEX(Properties!$D:$D,$B42+5)*(IF(AND(CU$3&gt;=INDEX(Properties!$T:$T,$B42+5),CU$3&lt;INDEX(Properties!$U:$U,$B42+5)),INDEX(_Seasonality!$C$50:$N$59,$B42,MONTH(EDATE(Input!$C$7,CU$3-1)))*MIN(1,(CU$3-INDEX(Properties!$T:$T,$B42+5)+1)/Input!$C$11),0))*(1+Input!$C$8)^(CU$5-1)</f>
        <v>0</v>
      </c>
      <c r="CV42" s="123" cm="1">
        <f t="array" ref="CV42">INDEX(Properties!$D:$D,$B42+5)*(IF(AND(CV$3&gt;=INDEX(Properties!$T:$T,$B42+5),CV$3&lt;INDEX(Properties!$U:$U,$B42+5)),INDEX(_Seasonality!$C$50:$N$59,$B42,MONTH(EDATE(Input!$C$7,CV$3-1)))*MIN(1,(CV$3-INDEX(Properties!$T:$T,$B42+5)+1)/Input!$C$11),0))*(1+Input!$C$8)^(CV$5-1)</f>
        <v>0</v>
      </c>
      <c r="CW42" s="123" cm="1">
        <f t="array" ref="CW42">INDEX(Properties!$D:$D,$B42+5)*(IF(AND(CW$3&gt;=INDEX(Properties!$T:$T,$B42+5),CW$3&lt;INDEX(Properties!$U:$U,$B42+5)),INDEX(_Seasonality!$C$50:$N$59,$B42,MONTH(EDATE(Input!$C$7,CW$3-1)))*MIN(1,(CW$3-INDEX(Properties!$T:$T,$B42+5)+1)/Input!$C$11),0))*(1+Input!$C$8)^(CW$5-1)</f>
        <v>0</v>
      </c>
      <c r="CX42" s="123" cm="1">
        <f t="array" ref="CX42">INDEX(Properties!$D:$D,$B42+5)*(IF(AND(CX$3&gt;=INDEX(Properties!$T:$T,$B42+5),CX$3&lt;INDEX(Properties!$U:$U,$B42+5)),INDEX(_Seasonality!$C$50:$N$59,$B42,MONTH(EDATE(Input!$C$7,CX$3-1)))*MIN(1,(CX$3-INDEX(Properties!$T:$T,$B42+5)+1)/Input!$C$11),0))*(1+Input!$C$8)^(CX$5-1)</f>
        <v>0</v>
      </c>
      <c r="CY42" s="123" cm="1">
        <f t="array" ref="CY42">INDEX(Properties!$D:$D,$B42+5)*(IF(AND(CY$3&gt;=INDEX(Properties!$T:$T,$B42+5),CY$3&lt;INDEX(Properties!$U:$U,$B42+5)),INDEX(_Seasonality!$C$50:$N$59,$B42,MONTH(EDATE(Input!$C$7,CY$3-1)))*MIN(1,(CY$3-INDEX(Properties!$T:$T,$B42+5)+1)/Input!$C$11),0))*(1+Input!$C$8)^(CY$5-1)</f>
        <v>0</v>
      </c>
      <c r="CZ42" s="123" cm="1">
        <f t="array" ref="CZ42">INDEX(Properties!$D:$D,$B42+5)*(IF(AND(CZ$3&gt;=INDEX(Properties!$T:$T,$B42+5),CZ$3&lt;INDEX(Properties!$U:$U,$B42+5)),INDEX(_Seasonality!$C$50:$N$59,$B42,MONTH(EDATE(Input!$C$7,CZ$3-1)))*MIN(1,(CZ$3-INDEX(Properties!$T:$T,$B42+5)+1)/Input!$C$11),0))*(1+Input!$C$8)^(CZ$5-1)</f>
        <v>0</v>
      </c>
      <c r="DA42" s="123" cm="1">
        <f t="array" ref="DA42">INDEX(Properties!$D:$D,$B42+5)*(IF(AND(DA$3&gt;=INDEX(Properties!$T:$T,$B42+5),DA$3&lt;INDEX(Properties!$U:$U,$B42+5)),INDEX(_Seasonality!$C$50:$N$59,$B42,MONTH(EDATE(Input!$C$7,DA$3-1)))*MIN(1,(DA$3-INDEX(Properties!$T:$T,$B42+5)+1)/Input!$C$11),0))*(1+Input!$C$8)^(DA$5-1)</f>
        <v>0</v>
      </c>
      <c r="DB42" s="123" cm="1">
        <f t="array" ref="DB42">INDEX(Properties!$D:$D,$B42+5)*(IF(AND(DB$3&gt;=INDEX(Properties!$T:$T,$B42+5),DB$3&lt;INDEX(Properties!$U:$U,$B42+5)),INDEX(_Seasonality!$C$50:$N$59,$B42,MONTH(EDATE(Input!$C$7,DB$3-1)))*MIN(1,(DB$3-INDEX(Properties!$T:$T,$B42+5)+1)/Input!$C$11),0))*(1+Input!$C$8)^(DB$5-1)</f>
        <v>0</v>
      </c>
      <c r="DC42" s="123" cm="1">
        <f t="array" ref="DC42">INDEX(Properties!$D:$D,$B42+5)*(IF(AND(DC$3&gt;=INDEX(Properties!$T:$T,$B42+5),DC$3&lt;INDEX(Properties!$U:$U,$B42+5)),INDEX(_Seasonality!$C$50:$N$59,$B42,MONTH(EDATE(Input!$C$7,DC$3-1)))*MIN(1,(DC$3-INDEX(Properties!$T:$T,$B42+5)+1)/Input!$C$11),0))*(1+Input!$C$8)^(DC$5-1)</f>
        <v>0</v>
      </c>
      <c r="DD42" s="123" cm="1">
        <f t="array" ref="DD42">INDEX(Properties!$D:$D,$B42+5)*(IF(AND(DD$3&gt;=INDEX(Properties!$T:$T,$B42+5),DD$3&lt;INDEX(Properties!$U:$U,$B42+5)),INDEX(_Seasonality!$C$50:$N$59,$B42,MONTH(EDATE(Input!$C$7,DD$3-1)))*MIN(1,(DD$3-INDEX(Properties!$T:$T,$B42+5)+1)/Input!$C$11),0))*(1+Input!$C$8)^(DD$5-1)</f>
        <v>0</v>
      </c>
      <c r="DE42" s="123" cm="1">
        <f t="array" ref="DE42">INDEX(Properties!$D:$D,$B42+5)*(IF(AND(DE$3&gt;=INDEX(Properties!$T:$T,$B42+5),DE$3&lt;INDEX(Properties!$U:$U,$B42+5)),INDEX(_Seasonality!$C$50:$N$59,$B42,MONTH(EDATE(Input!$C$7,DE$3-1)))*MIN(1,(DE$3-INDEX(Properties!$T:$T,$B42+5)+1)/Input!$C$11),0))*(1+Input!$C$8)^(DE$5-1)</f>
        <v>0</v>
      </c>
      <c r="DF42" s="123" cm="1">
        <f t="array" ref="DF42">INDEX(Properties!$D:$D,$B42+5)*(IF(AND(DF$3&gt;=INDEX(Properties!$T:$T,$B42+5),DF$3&lt;INDEX(Properties!$U:$U,$B42+5)),INDEX(_Seasonality!$C$50:$N$59,$B42,MONTH(EDATE(Input!$C$7,DF$3-1)))*MIN(1,(DF$3-INDEX(Properties!$T:$T,$B42+5)+1)/Input!$C$11),0))*(1+Input!$C$8)^(DF$5-1)</f>
        <v>0</v>
      </c>
      <c r="DG42" s="123" cm="1">
        <f t="array" ref="DG42">INDEX(Properties!$D:$D,$B42+5)*(IF(AND(DG$3&gt;=INDEX(Properties!$T:$T,$B42+5),DG$3&lt;INDEX(Properties!$U:$U,$B42+5)),INDEX(_Seasonality!$C$50:$N$59,$B42,MONTH(EDATE(Input!$C$7,DG$3-1)))*MIN(1,(DG$3-INDEX(Properties!$T:$T,$B42+5)+1)/Input!$C$11),0))*(1+Input!$C$8)^(DG$5-1)</f>
        <v>0</v>
      </c>
      <c r="DH42" s="123" cm="1">
        <f t="array" ref="DH42">INDEX(Properties!$D:$D,$B42+5)*(IF(AND(DH$3&gt;=INDEX(Properties!$T:$T,$B42+5),DH$3&lt;INDEX(Properties!$U:$U,$B42+5)),INDEX(_Seasonality!$C$50:$N$59,$B42,MONTH(EDATE(Input!$C$7,DH$3-1)))*MIN(1,(DH$3-INDEX(Properties!$T:$T,$B42+5)+1)/Input!$C$11),0))*(1+Input!$C$8)^(DH$5-1)</f>
        <v>0</v>
      </c>
      <c r="DI42" s="123" cm="1">
        <f t="array" ref="DI42">INDEX(Properties!$D:$D,$B42+5)*(IF(AND(DI$3&gt;=INDEX(Properties!$T:$T,$B42+5),DI$3&lt;INDEX(Properties!$U:$U,$B42+5)),INDEX(_Seasonality!$C$50:$N$59,$B42,MONTH(EDATE(Input!$C$7,DI$3-1)))*MIN(1,(DI$3-INDEX(Properties!$T:$T,$B42+5)+1)/Input!$C$11),0))*(1+Input!$C$8)^(DI$5-1)</f>
        <v>0</v>
      </c>
      <c r="DJ42" s="123" cm="1">
        <f t="array" ref="DJ42">INDEX(Properties!$D:$D,$B42+5)*(IF(AND(DJ$3&gt;=INDEX(Properties!$T:$T,$B42+5),DJ$3&lt;INDEX(Properties!$U:$U,$B42+5)),INDEX(_Seasonality!$C$50:$N$59,$B42,MONTH(EDATE(Input!$C$7,DJ$3-1)))*MIN(1,(DJ$3-INDEX(Properties!$T:$T,$B42+5)+1)/Input!$C$11),0))*(1+Input!$C$8)^(DJ$5-1)</f>
        <v>0</v>
      </c>
      <c r="DK42" s="123" cm="1">
        <f t="array" ref="DK42">INDEX(Properties!$D:$D,$B42+5)*(IF(AND(DK$3&gt;=INDEX(Properties!$T:$T,$B42+5),DK$3&lt;INDEX(Properties!$U:$U,$B42+5)),INDEX(_Seasonality!$C$50:$N$59,$B42,MONTH(EDATE(Input!$C$7,DK$3-1)))*MIN(1,(DK$3-INDEX(Properties!$T:$T,$B42+5)+1)/Input!$C$11),0))*(1+Input!$C$8)^(DK$5-1)</f>
        <v>0</v>
      </c>
      <c r="DL42" s="123" cm="1">
        <f t="array" ref="DL42">INDEX(Properties!$D:$D,$B42+5)*(IF(AND(DL$3&gt;=INDEX(Properties!$T:$T,$B42+5),DL$3&lt;INDEX(Properties!$U:$U,$B42+5)),INDEX(_Seasonality!$C$50:$N$59,$B42,MONTH(EDATE(Input!$C$7,DL$3-1)))*MIN(1,(DL$3-INDEX(Properties!$T:$T,$B42+5)+1)/Input!$C$11),0))*(1+Input!$C$8)^(DL$5-1)</f>
        <v>0</v>
      </c>
      <c r="DM42" s="123" cm="1">
        <f t="array" ref="DM42">INDEX(Properties!$D:$D,$B42+5)*(IF(AND(DM$3&gt;=INDEX(Properties!$T:$T,$B42+5),DM$3&lt;INDEX(Properties!$U:$U,$B42+5)),INDEX(_Seasonality!$C$50:$N$59,$B42,MONTH(EDATE(Input!$C$7,DM$3-1)))*MIN(1,(DM$3-INDEX(Properties!$T:$T,$B42+5)+1)/Input!$C$11),0))*(1+Input!$C$8)^(DM$5-1)</f>
        <v>0</v>
      </c>
      <c r="DN42" s="123" cm="1">
        <f t="array" ref="DN42">INDEX(Properties!$D:$D,$B42+5)*(IF(AND(DN$3&gt;=INDEX(Properties!$T:$T,$B42+5),DN$3&lt;INDEX(Properties!$U:$U,$B42+5)),INDEX(_Seasonality!$C$50:$N$59,$B42,MONTH(EDATE(Input!$C$7,DN$3-1)))*MIN(1,(DN$3-INDEX(Properties!$T:$T,$B42+5)+1)/Input!$C$11),0))*(1+Input!$C$8)^(DN$5-1)</f>
        <v>0</v>
      </c>
      <c r="DO42" s="123" cm="1">
        <f t="array" ref="DO42">INDEX(Properties!$D:$D,$B42+5)*(IF(AND(DO$3&gt;=INDEX(Properties!$T:$T,$B42+5),DO$3&lt;INDEX(Properties!$U:$U,$B42+5)),INDEX(_Seasonality!$C$50:$N$59,$B42,MONTH(EDATE(Input!$C$7,DO$3-1)))*MIN(1,(DO$3-INDEX(Properties!$T:$T,$B42+5)+1)/Input!$C$11),0))*(1+Input!$C$8)^(DO$5-1)</f>
        <v>0</v>
      </c>
      <c r="DP42" s="123" cm="1">
        <f t="array" ref="DP42">INDEX(Properties!$D:$D,$B42+5)*(IF(AND(DP$3&gt;=INDEX(Properties!$T:$T,$B42+5),DP$3&lt;INDEX(Properties!$U:$U,$B42+5)),INDEX(_Seasonality!$C$50:$N$59,$B42,MONTH(EDATE(Input!$C$7,DP$3-1)))*MIN(1,(DP$3-INDEX(Properties!$T:$T,$B42+5)+1)/Input!$C$11),0))*(1+Input!$C$8)^(DP$5-1)</f>
        <v>0</v>
      </c>
      <c r="DQ42" s="123" cm="1">
        <f t="array" ref="DQ42">INDEX(Properties!$D:$D,$B42+5)*(IF(AND(DQ$3&gt;=INDEX(Properties!$T:$T,$B42+5),DQ$3&lt;INDEX(Properties!$U:$U,$B42+5)),INDEX(_Seasonality!$C$50:$N$59,$B42,MONTH(EDATE(Input!$C$7,DQ$3-1)))*MIN(1,(DQ$3-INDEX(Properties!$T:$T,$B42+5)+1)/Input!$C$11),0))*(1+Input!$C$8)^(DQ$5-1)</f>
        <v>0</v>
      </c>
      <c r="DR42" s="123" cm="1">
        <f t="array" ref="DR42">INDEX(Properties!$D:$D,$B42+5)*(IF(AND(DR$3&gt;=INDEX(Properties!$T:$T,$B42+5),DR$3&lt;INDEX(Properties!$U:$U,$B42+5)),INDEX(_Seasonality!$C$50:$N$59,$B42,MONTH(EDATE(Input!$C$7,DR$3-1)))*MIN(1,(DR$3-INDEX(Properties!$T:$T,$B42+5)+1)/Input!$C$11),0))*(1+Input!$C$8)^(DR$5-1)</f>
        <v>0</v>
      </c>
    </row>
    <row r="43" spans="1:122" ht="16.05" customHeight="1" x14ac:dyDescent="0.3">
      <c r="A43" s="148" cm="1">
        <f t="array" ref="A43">INDEX(Properties!$E:$E,$B43+5)</f>
        <v>0</v>
      </c>
      <c r="B43" s="1">
        <v>8</v>
      </c>
      <c r="C43" s="123" cm="1">
        <f t="array" ref="C43">INDEX(Properties!$D:$D,$B43+5)*(IF(AND(C$3&gt;=INDEX(Properties!$T:$T,$B43+5),C$3&lt;INDEX(Properties!$U:$U,$B43+5)),INDEX(_Seasonality!$C$50:$N$59,$B43,MONTH(EDATE(Input!$C$7,C$3-1)))*MIN(1,(C$3-INDEX(Properties!$T:$T,$B43+5)+1)/Input!$C$11),0))*(1+Input!$C$8)^(C$5-1)</f>
        <v>0</v>
      </c>
      <c r="D43" s="123" cm="1">
        <f t="array" ref="D43">INDEX(Properties!$D:$D,$B43+5)*(IF(AND(D$3&gt;=INDEX(Properties!$T:$T,$B43+5),D$3&lt;INDEX(Properties!$U:$U,$B43+5)),INDEX(_Seasonality!$C$50:$N$59,$B43,MONTH(EDATE(Input!$C$7,D$3-1)))*MIN(1,(D$3-INDEX(Properties!$T:$T,$B43+5)+1)/Input!$C$11),0))*(1+Input!$C$8)^(D$5-1)</f>
        <v>0</v>
      </c>
      <c r="E43" s="123" cm="1">
        <f t="array" ref="E43">INDEX(Properties!$D:$D,$B43+5)*(IF(AND(E$3&gt;=INDEX(Properties!$T:$T,$B43+5),E$3&lt;INDEX(Properties!$U:$U,$B43+5)),INDEX(_Seasonality!$C$50:$N$59,$B43,MONTH(EDATE(Input!$C$7,E$3-1)))*MIN(1,(E$3-INDEX(Properties!$T:$T,$B43+5)+1)/Input!$C$11),0))*(1+Input!$C$8)^(E$5-1)</f>
        <v>0</v>
      </c>
      <c r="F43" s="123" cm="1">
        <f t="array" ref="F43">INDEX(Properties!$D:$D,$B43+5)*(IF(AND(F$3&gt;=INDEX(Properties!$T:$T,$B43+5),F$3&lt;INDEX(Properties!$U:$U,$B43+5)),INDEX(_Seasonality!$C$50:$N$59,$B43,MONTH(EDATE(Input!$C$7,F$3-1)))*MIN(1,(F$3-INDEX(Properties!$T:$T,$B43+5)+1)/Input!$C$11),0))*(1+Input!$C$8)^(F$5-1)</f>
        <v>0</v>
      </c>
      <c r="G43" s="123" cm="1">
        <f t="array" ref="G43">INDEX(Properties!$D:$D,$B43+5)*(IF(AND(G$3&gt;=INDEX(Properties!$T:$T,$B43+5),G$3&lt;INDEX(Properties!$U:$U,$B43+5)),INDEX(_Seasonality!$C$50:$N$59,$B43,MONTH(EDATE(Input!$C$7,G$3-1)))*MIN(1,(G$3-INDEX(Properties!$T:$T,$B43+5)+1)/Input!$C$11),0))*(1+Input!$C$8)^(G$5-1)</f>
        <v>0</v>
      </c>
      <c r="H43" s="123" cm="1">
        <f t="array" ref="H43">INDEX(Properties!$D:$D,$B43+5)*(IF(AND(H$3&gt;=INDEX(Properties!$T:$T,$B43+5),H$3&lt;INDEX(Properties!$U:$U,$B43+5)),INDEX(_Seasonality!$C$50:$N$59,$B43,MONTH(EDATE(Input!$C$7,H$3-1)))*MIN(1,(H$3-INDEX(Properties!$T:$T,$B43+5)+1)/Input!$C$11),0))*(1+Input!$C$8)^(H$5-1)</f>
        <v>0</v>
      </c>
      <c r="I43" s="123" cm="1">
        <f t="array" ref="I43">INDEX(Properties!$D:$D,$B43+5)*(IF(AND(I$3&gt;=INDEX(Properties!$T:$T,$B43+5),I$3&lt;INDEX(Properties!$U:$U,$B43+5)),INDEX(_Seasonality!$C$50:$N$59,$B43,MONTH(EDATE(Input!$C$7,I$3-1)))*MIN(1,(I$3-INDEX(Properties!$T:$T,$B43+5)+1)/Input!$C$11),0))*(1+Input!$C$8)^(I$5-1)</f>
        <v>0</v>
      </c>
      <c r="J43" s="123" cm="1">
        <f t="array" ref="J43">INDEX(Properties!$D:$D,$B43+5)*(IF(AND(J$3&gt;=INDEX(Properties!$T:$T,$B43+5),J$3&lt;INDEX(Properties!$U:$U,$B43+5)),INDEX(_Seasonality!$C$50:$N$59,$B43,MONTH(EDATE(Input!$C$7,J$3-1)))*MIN(1,(J$3-INDEX(Properties!$T:$T,$B43+5)+1)/Input!$C$11),0))*(1+Input!$C$8)^(J$5-1)</f>
        <v>0</v>
      </c>
      <c r="K43" s="123" cm="1">
        <f t="array" ref="K43">INDEX(Properties!$D:$D,$B43+5)*(IF(AND(K$3&gt;=INDEX(Properties!$T:$T,$B43+5),K$3&lt;INDEX(Properties!$U:$U,$B43+5)),INDEX(_Seasonality!$C$50:$N$59,$B43,MONTH(EDATE(Input!$C$7,K$3-1)))*MIN(1,(K$3-INDEX(Properties!$T:$T,$B43+5)+1)/Input!$C$11),0))*(1+Input!$C$8)^(K$5-1)</f>
        <v>0</v>
      </c>
      <c r="L43" s="123" cm="1">
        <f t="array" ref="L43">INDEX(Properties!$D:$D,$B43+5)*(IF(AND(L$3&gt;=INDEX(Properties!$T:$T,$B43+5),L$3&lt;INDEX(Properties!$U:$U,$B43+5)),INDEX(_Seasonality!$C$50:$N$59,$B43,MONTH(EDATE(Input!$C$7,L$3-1)))*MIN(1,(L$3-INDEX(Properties!$T:$T,$B43+5)+1)/Input!$C$11),0))*(1+Input!$C$8)^(L$5-1)</f>
        <v>0</v>
      </c>
      <c r="M43" s="123" cm="1">
        <f t="array" ref="M43">INDEX(Properties!$D:$D,$B43+5)*(IF(AND(M$3&gt;=INDEX(Properties!$T:$T,$B43+5),M$3&lt;INDEX(Properties!$U:$U,$B43+5)),INDEX(_Seasonality!$C$50:$N$59,$B43,MONTH(EDATE(Input!$C$7,M$3-1)))*MIN(1,(M$3-INDEX(Properties!$T:$T,$B43+5)+1)/Input!$C$11),0))*(1+Input!$C$8)^(M$5-1)</f>
        <v>0</v>
      </c>
      <c r="N43" s="123" cm="1">
        <f t="array" ref="N43">INDEX(Properties!$D:$D,$B43+5)*(IF(AND(N$3&gt;=INDEX(Properties!$T:$T,$B43+5),N$3&lt;INDEX(Properties!$U:$U,$B43+5)),INDEX(_Seasonality!$C$50:$N$59,$B43,MONTH(EDATE(Input!$C$7,N$3-1)))*MIN(1,(N$3-INDEX(Properties!$T:$T,$B43+5)+1)/Input!$C$11),0))*(1+Input!$C$8)^(N$5-1)</f>
        <v>0</v>
      </c>
      <c r="O43" s="123" cm="1">
        <f t="array" ref="O43">INDEX(Properties!$D:$D,$B43+5)*(IF(AND(O$3&gt;=INDEX(Properties!$T:$T,$B43+5),O$3&lt;INDEX(Properties!$U:$U,$B43+5)),INDEX(_Seasonality!$C$50:$N$59,$B43,MONTH(EDATE(Input!$C$7,O$3-1)))*MIN(1,(O$3-INDEX(Properties!$T:$T,$B43+5)+1)/Input!$C$11),0))*(1+Input!$C$8)^(O$5-1)</f>
        <v>0</v>
      </c>
      <c r="P43" s="123" cm="1">
        <f t="array" ref="P43">INDEX(Properties!$D:$D,$B43+5)*(IF(AND(P$3&gt;=INDEX(Properties!$T:$T,$B43+5),P$3&lt;INDEX(Properties!$U:$U,$B43+5)),INDEX(_Seasonality!$C$50:$N$59,$B43,MONTH(EDATE(Input!$C$7,P$3-1)))*MIN(1,(P$3-INDEX(Properties!$T:$T,$B43+5)+1)/Input!$C$11),0))*(1+Input!$C$8)^(P$5-1)</f>
        <v>0</v>
      </c>
      <c r="Q43" s="123" cm="1">
        <f t="array" ref="Q43">INDEX(Properties!$D:$D,$B43+5)*(IF(AND(Q$3&gt;=INDEX(Properties!$T:$T,$B43+5),Q$3&lt;INDEX(Properties!$U:$U,$B43+5)),INDEX(_Seasonality!$C$50:$N$59,$B43,MONTH(EDATE(Input!$C$7,Q$3-1)))*MIN(1,(Q$3-INDEX(Properties!$T:$T,$B43+5)+1)/Input!$C$11),0))*(1+Input!$C$8)^(Q$5-1)</f>
        <v>0</v>
      </c>
      <c r="R43" s="123" cm="1">
        <f t="array" ref="R43">INDEX(Properties!$D:$D,$B43+5)*(IF(AND(R$3&gt;=INDEX(Properties!$T:$T,$B43+5),R$3&lt;INDEX(Properties!$U:$U,$B43+5)),INDEX(_Seasonality!$C$50:$N$59,$B43,MONTH(EDATE(Input!$C$7,R$3-1)))*MIN(1,(R$3-INDEX(Properties!$T:$T,$B43+5)+1)/Input!$C$11),0))*(1+Input!$C$8)^(R$5-1)</f>
        <v>0</v>
      </c>
      <c r="S43" s="123" cm="1">
        <f t="array" ref="S43">INDEX(Properties!$D:$D,$B43+5)*(IF(AND(S$3&gt;=INDEX(Properties!$T:$T,$B43+5),S$3&lt;INDEX(Properties!$U:$U,$B43+5)),INDEX(_Seasonality!$C$50:$N$59,$B43,MONTH(EDATE(Input!$C$7,S$3-1)))*MIN(1,(S$3-INDEX(Properties!$T:$T,$B43+5)+1)/Input!$C$11),0))*(1+Input!$C$8)^(S$5-1)</f>
        <v>0</v>
      </c>
      <c r="T43" s="123" cm="1">
        <f t="array" ref="T43">INDEX(Properties!$D:$D,$B43+5)*(IF(AND(T$3&gt;=INDEX(Properties!$T:$T,$B43+5),T$3&lt;INDEX(Properties!$U:$U,$B43+5)),INDEX(_Seasonality!$C$50:$N$59,$B43,MONTH(EDATE(Input!$C$7,T$3-1)))*MIN(1,(T$3-INDEX(Properties!$T:$T,$B43+5)+1)/Input!$C$11),0))*(1+Input!$C$8)^(T$5-1)</f>
        <v>0</v>
      </c>
      <c r="U43" s="123" cm="1">
        <f t="array" ref="U43">INDEX(Properties!$D:$D,$B43+5)*(IF(AND(U$3&gt;=INDEX(Properties!$T:$T,$B43+5),U$3&lt;INDEX(Properties!$U:$U,$B43+5)),INDEX(_Seasonality!$C$50:$N$59,$B43,MONTH(EDATE(Input!$C$7,U$3-1)))*MIN(1,(U$3-INDEX(Properties!$T:$T,$B43+5)+1)/Input!$C$11),0))*(1+Input!$C$8)^(U$5-1)</f>
        <v>0</v>
      </c>
      <c r="V43" s="123" cm="1">
        <f t="array" ref="V43">INDEX(Properties!$D:$D,$B43+5)*(IF(AND(V$3&gt;=INDEX(Properties!$T:$T,$B43+5),V$3&lt;INDEX(Properties!$U:$U,$B43+5)),INDEX(_Seasonality!$C$50:$N$59,$B43,MONTH(EDATE(Input!$C$7,V$3-1)))*MIN(1,(V$3-INDEX(Properties!$T:$T,$B43+5)+1)/Input!$C$11),0))*(1+Input!$C$8)^(V$5-1)</f>
        <v>0</v>
      </c>
      <c r="W43" s="123" cm="1">
        <f t="array" ref="W43">INDEX(Properties!$D:$D,$B43+5)*(IF(AND(W$3&gt;=INDEX(Properties!$T:$T,$B43+5),W$3&lt;INDEX(Properties!$U:$U,$B43+5)),INDEX(_Seasonality!$C$50:$N$59,$B43,MONTH(EDATE(Input!$C$7,W$3-1)))*MIN(1,(W$3-INDEX(Properties!$T:$T,$B43+5)+1)/Input!$C$11),0))*(1+Input!$C$8)^(W$5-1)</f>
        <v>0</v>
      </c>
      <c r="X43" s="123" cm="1">
        <f t="array" ref="X43">INDEX(Properties!$D:$D,$B43+5)*(IF(AND(X$3&gt;=INDEX(Properties!$T:$T,$B43+5),X$3&lt;INDEX(Properties!$U:$U,$B43+5)),INDEX(_Seasonality!$C$50:$N$59,$B43,MONTH(EDATE(Input!$C$7,X$3-1)))*MIN(1,(X$3-INDEX(Properties!$T:$T,$B43+5)+1)/Input!$C$11),0))*(1+Input!$C$8)^(X$5-1)</f>
        <v>0</v>
      </c>
      <c r="Y43" s="123" cm="1">
        <f t="array" ref="Y43">INDEX(Properties!$D:$D,$B43+5)*(IF(AND(Y$3&gt;=INDEX(Properties!$T:$T,$B43+5),Y$3&lt;INDEX(Properties!$U:$U,$B43+5)),INDEX(_Seasonality!$C$50:$N$59,$B43,MONTH(EDATE(Input!$C$7,Y$3-1)))*MIN(1,(Y$3-INDEX(Properties!$T:$T,$B43+5)+1)/Input!$C$11),0))*(1+Input!$C$8)^(Y$5-1)</f>
        <v>0</v>
      </c>
      <c r="Z43" s="123" cm="1">
        <f t="array" ref="Z43">INDEX(Properties!$D:$D,$B43+5)*(IF(AND(Z$3&gt;=INDEX(Properties!$T:$T,$B43+5),Z$3&lt;INDEX(Properties!$U:$U,$B43+5)),INDEX(_Seasonality!$C$50:$N$59,$B43,MONTH(EDATE(Input!$C$7,Z$3-1)))*MIN(1,(Z$3-INDEX(Properties!$T:$T,$B43+5)+1)/Input!$C$11),0))*(1+Input!$C$8)^(Z$5-1)</f>
        <v>0</v>
      </c>
      <c r="AA43" s="123" cm="1">
        <f t="array" ref="AA43">INDEX(Properties!$D:$D,$B43+5)*(IF(AND(AA$3&gt;=INDEX(Properties!$T:$T,$B43+5),AA$3&lt;INDEX(Properties!$U:$U,$B43+5)),INDEX(_Seasonality!$C$50:$N$59,$B43,MONTH(EDATE(Input!$C$7,AA$3-1)))*MIN(1,(AA$3-INDEX(Properties!$T:$T,$B43+5)+1)/Input!$C$11),0))*(1+Input!$C$8)^(AA$5-1)</f>
        <v>0</v>
      </c>
      <c r="AB43" s="123" cm="1">
        <f t="array" ref="AB43">INDEX(Properties!$D:$D,$B43+5)*(IF(AND(AB$3&gt;=INDEX(Properties!$T:$T,$B43+5),AB$3&lt;INDEX(Properties!$U:$U,$B43+5)),INDEX(_Seasonality!$C$50:$N$59,$B43,MONTH(EDATE(Input!$C$7,AB$3-1)))*MIN(1,(AB$3-INDEX(Properties!$T:$T,$B43+5)+1)/Input!$C$11),0))*(1+Input!$C$8)^(AB$5-1)</f>
        <v>0</v>
      </c>
      <c r="AC43" s="123" cm="1">
        <f t="array" ref="AC43">INDEX(Properties!$D:$D,$B43+5)*(IF(AND(AC$3&gt;=INDEX(Properties!$T:$T,$B43+5),AC$3&lt;INDEX(Properties!$U:$U,$B43+5)),INDEX(_Seasonality!$C$50:$N$59,$B43,MONTH(EDATE(Input!$C$7,AC$3-1)))*MIN(1,(AC$3-INDEX(Properties!$T:$T,$B43+5)+1)/Input!$C$11),0))*(1+Input!$C$8)^(AC$5-1)</f>
        <v>0</v>
      </c>
      <c r="AD43" s="123" cm="1">
        <f t="array" ref="AD43">INDEX(Properties!$D:$D,$B43+5)*(IF(AND(AD$3&gt;=INDEX(Properties!$T:$T,$B43+5),AD$3&lt;INDEX(Properties!$U:$U,$B43+5)),INDEX(_Seasonality!$C$50:$N$59,$B43,MONTH(EDATE(Input!$C$7,AD$3-1)))*MIN(1,(AD$3-INDEX(Properties!$T:$T,$B43+5)+1)/Input!$C$11),0))*(1+Input!$C$8)^(AD$5-1)</f>
        <v>0</v>
      </c>
      <c r="AE43" s="123" cm="1">
        <f t="array" ref="AE43">INDEX(Properties!$D:$D,$B43+5)*(IF(AND(AE$3&gt;=INDEX(Properties!$T:$T,$B43+5),AE$3&lt;INDEX(Properties!$U:$U,$B43+5)),INDEX(_Seasonality!$C$50:$N$59,$B43,MONTH(EDATE(Input!$C$7,AE$3-1)))*MIN(1,(AE$3-INDEX(Properties!$T:$T,$B43+5)+1)/Input!$C$11),0))*(1+Input!$C$8)^(AE$5-1)</f>
        <v>0</v>
      </c>
      <c r="AF43" s="123" cm="1">
        <f t="array" ref="AF43">INDEX(Properties!$D:$D,$B43+5)*(IF(AND(AF$3&gt;=INDEX(Properties!$T:$T,$B43+5),AF$3&lt;INDEX(Properties!$U:$U,$B43+5)),INDEX(_Seasonality!$C$50:$N$59,$B43,MONTH(EDATE(Input!$C$7,AF$3-1)))*MIN(1,(AF$3-INDEX(Properties!$T:$T,$B43+5)+1)/Input!$C$11),0))*(1+Input!$C$8)^(AF$5-1)</f>
        <v>0</v>
      </c>
      <c r="AG43" s="123" cm="1">
        <f t="array" ref="AG43">INDEX(Properties!$D:$D,$B43+5)*(IF(AND(AG$3&gt;=INDEX(Properties!$T:$T,$B43+5),AG$3&lt;INDEX(Properties!$U:$U,$B43+5)),INDEX(_Seasonality!$C$50:$N$59,$B43,MONTH(EDATE(Input!$C$7,AG$3-1)))*MIN(1,(AG$3-INDEX(Properties!$T:$T,$B43+5)+1)/Input!$C$11),0))*(1+Input!$C$8)^(AG$5-1)</f>
        <v>0</v>
      </c>
      <c r="AH43" s="123" cm="1">
        <f t="array" ref="AH43">INDEX(Properties!$D:$D,$B43+5)*(IF(AND(AH$3&gt;=INDEX(Properties!$T:$T,$B43+5),AH$3&lt;INDEX(Properties!$U:$U,$B43+5)),INDEX(_Seasonality!$C$50:$N$59,$B43,MONTH(EDATE(Input!$C$7,AH$3-1)))*MIN(1,(AH$3-INDEX(Properties!$T:$T,$B43+5)+1)/Input!$C$11),0))*(1+Input!$C$8)^(AH$5-1)</f>
        <v>0</v>
      </c>
      <c r="AI43" s="123" cm="1">
        <f t="array" ref="AI43">INDEX(Properties!$D:$D,$B43+5)*(IF(AND(AI$3&gt;=INDEX(Properties!$T:$T,$B43+5),AI$3&lt;INDEX(Properties!$U:$U,$B43+5)),INDEX(_Seasonality!$C$50:$N$59,$B43,MONTH(EDATE(Input!$C$7,AI$3-1)))*MIN(1,(AI$3-INDEX(Properties!$T:$T,$B43+5)+1)/Input!$C$11),0))*(1+Input!$C$8)^(AI$5-1)</f>
        <v>0</v>
      </c>
      <c r="AJ43" s="123" cm="1">
        <f t="array" ref="AJ43">INDEX(Properties!$D:$D,$B43+5)*(IF(AND(AJ$3&gt;=INDEX(Properties!$T:$T,$B43+5),AJ$3&lt;INDEX(Properties!$U:$U,$B43+5)),INDEX(_Seasonality!$C$50:$N$59,$B43,MONTH(EDATE(Input!$C$7,AJ$3-1)))*MIN(1,(AJ$3-INDEX(Properties!$T:$T,$B43+5)+1)/Input!$C$11),0))*(1+Input!$C$8)^(AJ$5-1)</f>
        <v>0</v>
      </c>
      <c r="AK43" s="123" cm="1">
        <f t="array" ref="AK43">INDEX(Properties!$D:$D,$B43+5)*(IF(AND(AK$3&gt;=INDEX(Properties!$T:$T,$B43+5),AK$3&lt;INDEX(Properties!$U:$U,$B43+5)),INDEX(_Seasonality!$C$50:$N$59,$B43,MONTH(EDATE(Input!$C$7,AK$3-1)))*MIN(1,(AK$3-INDEX(Properties!$T:$T,$B43+5)+1)/Input!$C$11),0))*(1+Input!$C$8)^(AK$5-1)</f>
        <v>0</v>
      </c>
      <c r="AL43" s="123" cm="1">
        <f t="array" ref="AL43">INDEX(Properties!$D:$D,$B43+5)*(IF(AND(AL$3&gt;=INDEX(Properties!$T:$T,$B43+5),AL$3&lt;INDEX(Properties!$U:$U,$B43+5)),INDEX(_Seasonality!$C$50:$N$59,$B43,MONTH(EDATE(Input!$C$7,AL$3-1)))*MIN(1,(AL$3-INDEX(Properties!$T:$T,$B43+5)+1)/Input!$C$11),0))*(1+Input!$C$8)^(AL$5-1)</f>
        <v>0</v>
      </c>
      <c r="AM43" s="123" cm="1">
        <f t="array" ref="AM43">INDEX(Properties!$D:$D,$B43+5)*(IF(AND(AM$3&gt;=INDEX(Properties!$T:$T,$B43+5),AM$3&lt;INDEX(Properties!$U:$U,$B43+5)),INDEX(_Seasonality!$C$50:$N$59,$B43,MONTH(EDATE(Input!$C$7,AM$3-1)))*MIN(1,(AM$3-INDEX(Properties!$T:$T,$B43+5)+1)/Input!$C$11),0))*(1+Input!$C$8)^(AM$5-1)</f>
        <v>0</v>
      </c>
      <c r="AN43" s="123" cm="1">
        <f t="array" ref="AN43">INDEX(Properties!$D:$D,$B43+5)*(IF(AND(AN$3&gt;=INDEX(Properties!$T:$T,$B43+5),AN$3&lt;INDEX(Properties!$U:$U,$B43+5)),INDEX(_Seasonality!$C$50:$N$59,$B43,MONTH(EDATE(Input!$C$7,AN$3-1)))*MIN(1,(AN$3-INDEX(Properties!$T:$T,$B43+5)+1)/Input!$C$11),0))*(1+Input!$C$8)^(AN$5-1)</f>
        <v>0</v>
      </c>
      <c r="AO43" s="123" cm="1">
        <f t="array" ref="AO43">INDEX(Properties!$D:$D,$B43+5)*(IF(AND(AO$3&gt;=INDEX(Properties!$T:$T,$B43+5),AO$3&lt;INDEX(Properties!$U:$U,$B43+5)),INDEX(_Seasonality!$C$50:$N$59,$B43,MONTH(EDATE(Input!$C$7,AO$3-1)))*MIN(1,(AO$3-INDEX(Properties!$T:$T,$B43+5)+1)/Input!$C$11),0))*(1+Input!$C$8)^(AO$5-1)</f>
        <v>0</v>
      </c>
      <c r="AP43" s="123" cm="1">
        <f t="array" ref="AP43">INDEX(Properties!$D:$D,$B43+5)*(IF(AND(AP$3&gt;=INDEX(Properties!$T:$T,$B43+5),AP$3&lt;INDEX(Properties!$U:$U,$B43+5)),INDEX(_Seasonality!$C$50:$N$59,$B43,MONTH(EDATE(Input!$C$7,AP$3-1)))*MIN(1,(AP$3-INDEX(Properties!$T:$T,$B43+5)+1)/Input!$C$11),0))*(1+Input!$C$8)^(AP$5-1)</f>
        <v>0</v>
      </c>
      <c r="AQ43" s="123" cm="1">
        <f t="array" ref="AQ43">INDEX(Properties!$D:$D,$B43+5)*(IF(AND(AQ$3&gt;=INDEX(Properties!$T:$T,$B43+5),AQ$3&lt;INDEX(Properties!$U:$U,$B43+5)),INDEX(_Seasonality!$C$50:$N$59,$B43,MONTH(EDATE(Input!$C$7,AQ$3-1)))*MIN(1,(AQ$3-INDEX(Properties!$T:$T,$B43+5)+1)/Input!$C$11),0))*(1+Input!$C$8)^(AQ$5-1)</f>
        <v>0</v>
      </c>
      <c r="AR43" s="123" cm="1">
        <f t="array" ref="AR43">INDEX(Properties!$D:$D,$B43+5)*(IF(AND(AR$3&gt;=INDEX(Properties!$T:$T,$B43+5),AR$3&lt;INDEX(Properties!$U:$U,$B43+5)),INDEX(_Seasonality!$C$50:$N$59,$B43,MONTH(EDATE(Input!$C$7,AR$3-1)))*MIN(1,(AR$3-INDEX(Properties!$T:$T,$B43+5)+1)/Input!$C$11),0))*(1+Input!$C$8)^(AR$5-1)</f>
        <v>0</v>
      </c>
      <c r="AS43" s="123" cm="1">
        <f t="array" ref="AS43">INDEX(Properties!$D:$D,$B43+5)*(IF(AND(AS$3&gt;=INDEX(Properties!$T:$T,$B43+5),AS$3&lt;INDEX(Properties!$U:$U,$B43+5)),INDEX(_Seasonality!$C$50:$N$59,$B43,MONTH(EDATE(Input!$C$7,AS$3-1)))*MIN(1,(AS$3-INDEX(Properties!$T:$T,$B43+5)+1)/Input!$C$11),0))*(1+Input!$C$8)^(AS$5-1)</f>
        <v>0</v>
      </c>
      <c r="AT43" s="123" cm="1">
        <f t="array" ref="AT43">INDEX(Properties!$D:$D,$B43+5)*(IF(AND(AT$3&gt;=INDEX(Properties!$T:$T,$B43+5),AT$3&lt;INDEX(Properties!$U:$U,$B43+5)),INDEX(_Seasonality!$C$50:$N$59,$B43,MONTH(EDATE(Input!$C$7,AT$3-1)))*MIN(1,(AT$3-INDEX(Properties!$T:$T,$B43+5)+1)/Input!$C$11),0))*(1+Input!$C$8)^(AT$5-1)</f>
        <v>0</v>
      </c>
      <c r="AU43" s="123" cm="1">
        <f t="array" ref="AU43">INDEX(Properties!$D:$D,$B43+5)*(IF(AND(AU$3&gt;=INDEX(Properties!$T:$T,$B43+5),AU$3&lt;INDEX(Properties!$U:$U,$B43+5)),INDEX(_Seasonality!$C$50:$N$59,$B43,MONTH(EDATE(Input!$C$7,AU$3-1)))*MIN(1,(AU$3-INDEX(Properties!$T:$T,$B43+5)+1)/Input!$C$11),0))*(1+Input!$C$8)^(AU$5-1)</f>
        <v>0</v>
      </c>
      <c r="AV43" s="123" cm="1">
        <f t="array" ref="AV43">INDEX(Properties!$D:$D,$B43+5)*(IF(AND(AV$3&gt;=INDEX(Properties!$T:$T,$B43+5),AV$3&lt;INDEX(Properties!$U:$U,$B43+5)),INDEX(_Seasonality!$C$50:$N$59,$B43,MONTH(EDATE(Input!$C$7,AV$3-1)))*MIN(1,(AV$3-INDEX(Properties!$T:$T,$B43+5)+1)/Input!$C$11),0))*(1+Input!$C$8)^(AV$5-1)</f>
        <v>0</v>
      </c>
      <c r="AW43" s="123" cm="1">
        <f t="array" ref="AW43">INDEX(Properties!$D:$D,$B43+5)*(IF(AND(AW$3&gt;=INDEX(Properties!$T:$T,$B43+5),AW$3&lt;INDEX(Properties!$U:$U,$B43+5)),INDEX(_Seasonality!$C$50:$N$59,$B43,MONTH(EDATE(Input!$C$7,AW$3-1)))*MIN(1,(AW$3-INDEX(Properties!$T:$T,$B43+5)+1)/Input!$C$11),0))*(1+Input!$C$8)^(AW$5-1)</f>
        <v>0</v>
      </c>
      <c r="AX43" s="123" cm="1">
        <f t="array" ref="AX43">INDEX(Properties!$D:$D,$B43+5)*(IF(AND(AX$3&gt;=INDEX(Properties!$T:$T,$B43+5),AX$3&lt;INDEX(Properties!$U:$U,$B43+5)),INDEX(_Seasonality!$C$50:$N$59,$B43,MONTH(EDATE(Input!$C$7,AX$3-1)))*MIN(1,(AX$3-INDEX(Properties!$T:$T,$B43+5)+1)/Input!$C$11),0))*(1+Input!$C$8)^(AX$5-1)</f>
        <v>0</v>
      </c>
      <c r="AY43" s="123" cm="1">
        <f t="array" ref="AY43">INDEX(Properties!$D:$D,$B43+5)*(IF(AND(AY$3&gt;=INDEX(Properties!$T:$T,$B43+5),AY$3&lt;INDEX(Properties!$U:$U,$B43+5)),INDEX(_Seasonality!$C$50:$N$59,$B43,MONTH(EDATE(Input!$C$7,AY$3-1)))*MIN(1,(AY$3-INDEX(Properties!$T:$T,$B43+5)+1)/Input!$C$11),0))*(1+Input!$C$8)^(AY$5-1)</f>
        <v>0</v>
      </c>
      <c r="AZ43" s="123" cm="1">
        <f t="array" ref="AZ43">INDEX(Properties!$D:$D,$B43+5)*(IF(AND(AZ$3&gt;=INDEX(Properties!$T:$T,$B43+5),AZ$3&lt;INDEX(Properties!$U:$U,$B43+5)),INDEX(_Seasonality!$C$50:$N$59,$B43,MONTH(EDATE(Input!$C$7,AZ$3-1)))*MIN(1,(AZ$3-INDEX(Properties!$T:$T,$B43+5)+1)/Input!$C$11),0))*(1+Input!$C$8)^(AZ$5-1)</f>
        <v>0</v>
      </c>
      <c r="BA43" s="123" cm="1">
        <f t="array" ref="BA43">INDEX(Properties!$D:$D,$B43+5)*(IF(AND(BA$3&gt;=INDEX(Properties!$T:$T,$B43+5),BA$3&lt;INDEX(Properties!$U:$U,$B43+5)),INDEX(_Seasonality!$C$50:$N$59,$B43,MONTH(EDATE(Input!$C$7,BA$3-1)))*MIN(1,(BA$3-INDEX(Properties!$T:$T,$B43+5)+1)/Input!$C$11),0))*(1+Input!$C$8)^(BA$5-1)</f>
        <v>0</v>
      </c>
      <c r="BB43" s="123" cm="1">
        <f t="array" ref="BB43">INDEX(Properties!$D:$D,$B43+5)*(IF(AND(BB$3&gt;=INDEX(Properties!$T:$T,$B43+5),BB$3&lt;INDEX(Properties!$U:$U,$B43+5)),INDEX(_Seasonality!$C$50:$N$59,$B43,MONTH(EDATE(Input!$C$7,BB$3-1)))*MIN(1,(BB$3-INDEX(Properties!$T:$T,$B43+5)+1)/Input!$C$11),0))*(1+Input!$C$8)^(BB$5-1)</f>
        <v>0</v>
      </c>
      <c r="BC43" s="123" cm="1">
        <f t="array" ref="BC43">INDEX(Properties!$D:$D,$B43+5)*(IF(AND(BC$3&gt;=INDEX(Properties!$T:$T,$B43+5),BC$3&lt;INDEX(Properties!$U:$U,$B43+5)),INDEX(_Seasonality!$C$50:$N$59,$B43,MONTH(EDATE(Input!$C$7,BC$3-1)))*MIN(1,(BC$3-INDEX(Properties!$T:$T,$B43+5)+1)/Input!$C$11),0))*(1+Input!$C$8)^(BC$5-1)</f>
        <v>0</v>
      </c>
      <c r="BD43" s="123" cm="1">
        <f t="array" ref="BD43">INDEX(Properties!$D:$D,$B43+5)*(IF(AND(BD$3&gt;=INDEX(Properties!$T:$T,$B43+5),BD$3&lt;INDEX(Properties!$U:$U,$B43+5)),INDEX(_Seasonality!$C$50:$N$59,$B43,MONTH(EDATE(Input!$C$7,BD$3-1)))*MIN(1,(BD$3-INDEX(Properties!$T:$T,$B43+5)+1)/Input!$C$11),0))*(1+Input!$C$8)^(BD$5-1)</f>
        <v>0</v>
      </c>
      <c r="BE43" s="123" cm="1">
        <f t="array" ref="BE43">INDEX(Properties!$D:$D,$B43+5)*(IF(AND(BE$3&gt;=INDEX(Properties!$T:$T,$B43+5),BE$3&lt;INDEX(Properties!$U:$U,$B43+5)),INDEX(_Seasonality!$C$50:$N$59,$B43,MONTH(EDATE(Input!$C$7,BE$3-1)))*MIN(1,(BE$3-INDEX(Properties!$T:$T,$B43+5)+1)/Input!$C$11),0))*(1+Input!$C$8)^(BE$5-1)</f>
        <v>0</v>
      </c>
      <c r="BF43" s="123" cm="1">
        <f t="array" ref="BF43">INDEX(Properties!$D:$D,$B43+5)*(IF(AND(BF$3&gt;=INDEX(Properties!$T:$T,$B43+5),BF$3&lt;INDEX(Properties!$U:$U,$B43+5)),INDEX(_Seasonality!$C$50:$N$59,$B43,MONTH(EDATE(Input!$C$7,BF$3-1)))*MIN(1,(BF$3-INDEX(Properties!$T:$T,$B43+5)+1)/Input!$C$11),0))*(1+Input!$C$8)^(BF$5-1)</f>
        <v>0</v>
      </c>
      <c r="BG43" s="123" cm="1">
        <f t="array" ref="BG43">INDEX(Properties!$D:$D,$B43+5)*(IF(AND(BG$3&gt;=INDEX(Properties!$T:$T,$B43+5),BG$3&lt;INDEX(Properties!$U:$U,$B43+5)),INDEX(_Seasonality!$C$50:$N$59,$B43,MONTH(EDATE(Input!$C$7,BG$3-1)))*MIN(1,(BG$3-INDEX(Properties!$T:$T,$B43+5)+1)/Input!$C$11),0))*(1+Input!$C$8)^(BG$5-1)</f>
        <v>0</v>
      </c>
      <c r="BH43" s="123" cm="1">
        <f t="array" ref="BH43">INDEX(Properties!$D:$D,$B43+5)*(IF(AND(BH$3&gt;=INDEX(Properties!$T:$T,$B43+5),BH$3&lt;INDEX(Properties!$U:$U,$B43+5)),INDEX(_Seasonality!$C$50:$N$59,$B43,MONTH(EDATE(Input!$C$7,BH$3-1)))*MIN(1,(BH$3-INDEX(Properties!$T:$T,$B43+5)+1)/Input!$C$11),0))*(1+Input!$C$8)^(BH$5-1)</f>
        <v>0</v>
      </c>
      <c r="BI43" s="123" cm="1">
        <f t="array" ref="BI43">INDEX(Properties!$D:$D,$B43+5)*(IF(AND(BI$3&gt;=INDEX(Properties!$T:$T,$B43+5),BI$3&lt;INDEX(Properties!$U:$U,$B43+5)),INDEX(_Seasonality!$C$50:$N$59,$B43,MONTH(EDATE(Input!$C$7,BI$3-1)))*MIN(1,(BI$3-INDEX(Properties!$T:$T,$B43+5)+1)/Input!$C$11),0))*(1+Input!$C$8)^(BI$5-1)</f>
        <v>0</v>
      </c>
      <c r="BJ43" s="123" cm="1">
        <f t="array" ref="BJ43">INDEX(Properties!$D:$D,$B43+5)*(IF(AND(BJ$3&gt;=INDEX(Properties!$T:$T,$B43+5),BJ$3&lt;INDEX(Properties!$U:$U,$B43+5)),INDEX(_Seasonality!$C$50:$N$59,$B43,MONTH(EDATE(Input!$C$7,BJ$3-1)))*MIN(1,(BJ$3-INDEX(Properties!$T:$T,$B43+5)+1)/Input!$C$11),0))*(1+Input!$C$8)^(BJ$5-1)</f>
        <v>0</v>
      </c>
      <c r="BK43" s="123" cm="1">
        <f t="array" ref="BK43">INDEX(Properties!$D:$D,$B43+5)*(IF(AND(BK$3&gt;=INDEX(Properties!$T:$T,$B43+5),BK$3&lt;INDEX(Properties!$U:$U,$B43+5)),INDEX(_Seasonality!$C$50:$N$59,$B43,MONTH(EDATE(Input!$C$7,BK$3-1)))*MIN(1,(BK$3-INDEX(Properties!$T:$T,$B43+5)+1)/Input!$C$11),0))*(1+Input!$C$8)^(BK$5-1)</f>
        <v>0</v>
      </c>
      <c r="BL43" s="123" cm="1">
        <f t="array" ref="BL43">INDEX(Properties!$D:$D,$B43+5)*(IF(AND(BL$3&gt;=INDEX(Properties!$T:$T,$B43+5),BL$3&lt;INDEX(Properties!$U:$U,$B43+5)),INDEX(_Seasonality!$C$50:$N$59,$B43,MONTH(EDATE(Input!$C$7,BL$3-1)))*MIN(1,(BL$3-INDEX(Properties!$T:$T,$B43+5)+1)/Input!$C$11),0))*(1+Input!$C$8)^(BL$5-1)</f>
        <v>0</v>
      </c>
      <c r="BM43" s="123" cm="1">
        <f t="array" ref="BM43">INDEX(Properties!$D:$D,$B43+5)*(IF(AND(BM$3&gt;=INDEX(Properties!$T:$T,$B43+5),BM$3&lt;INDEX(Properties!$U:$U,$B43+5)),INDEX(_Seasonality!$C$50:$N$59,$B43,MONTH(EDATE(Input!$C$7,BM$3-1)))*MIN(1,(BM$3-INDEX(Properties!$T:$T,$B43+5)+1)/Input!$C$11),0))*(1+Input!$C$8)^(BM$5-1)</f>
        <v>0</v>
      </c>
      <c r="BN43" s="123" cm="1">
        <f t="array" ref="BN43">INDEX(Properties!$D:$D,$B43+5)*(IF(AND(BN$3&gt;=INDEX(Properties!$T:$T,$B43+5),BN$3&lt;INDEX(Properties!$U:$U,$B43+5)),INDEX(_Seasonality!$C$50:$N$59,$B43,MONTH(EDATE(Input!$C$7,BN$3-1)))*MIN(1,(BN$3-INDEX(Properties!$T:$T,$B43+5)+1)/Input!$C$11),0))*(1+Input!$C$8)^(BN$5-1)</f>
        <v>0</v>
      </c>
      <c r="BO43" s="123" cm="1">
        <f t="array" ref="BO43">INDEX(Properties!$D:$D,$B43+5)*(IF(AND(BO$3&gt;=INDEX(Properties!$T:$T,$B43+5),BO$3&lt;INDEX(Properties!$U:$U,$B43+5)),INDEX(_Seasonality!$C$50:$N$59,$B43,MONTH(EDATE(Input!$C$7,BO$3-1)))*MIN(1,(BO$3-INDEX(Properties!$T:$T,$B43+5)+1)/Input!$C$11),0))*(1+Input!$C$8)^(BO$5-1)</f>
        <v>0</v>
      </c>
      <c r="BP43" s="123" cm="1">
        <f t="array" ref="BP43">INDEX(Properties!$D:$D,$B43+5)*(IF(AND(BP$3&gt;=INDEX(Properties!$T:$T,$B43+5),BP$3&lt;INDEX(Properties!$U:$U,$B43+5)),INDEX(_Seasonality!$C$50:$N$59,$B43,MONTH(EDATE(Input!$C$7,BP$3-1)))*MIN(1,(BP$3-INDEX(Properties!$T:$T,$B43+5)+1)/Input!$C$11),0))*(1+Input!$C$8)^(BP$5-1)</f>
        <v>0</v>
      </c>
      <c r="BQ43" s="123" cm="1">
        <f t="array" ref="BQ43">INDEX(Properties!$D:$D,$B43+5)*(IF(AND(BQ$3&gt;=INDEX(Properties!$T:$T,$B43+5),BQ$3&lt;INDEX(Properties!$U:$U,$B43+5)),INDEX(_Seasonality!$C$50:$N$59,$B43,MONTH(EDATE(Input!$C$7,BQ$3-1)))*MIN(1,(BQ$3-INDEX(Properties!$T:$T,$B43+5)+1)/Input!$C$11),0))*(1+Input!$C$8)^(BQ$5-1)</f>
        <v>0</v>
      </c>
      <c r="BR43" s="123" cm="1">
        <f t="array" ref="BR43">INDEX(Properties!$D:$D,$B43+5)*(IF(AND(BR$3&gt;=INDEX(Properties!$T:$T,$B43+5),BR$3&lt;INDEX(Properties!$U:$U,$B43+5)),INDEX(_Seasonality!$C$50:$N$59,$B43,MONTH(EDATE(Input!$C$7,BR$3-1)))*MIN(1,(BR$3-INDEX(Properties!$T:$T,$B43+5)+1)/Input!$C$11),0))*(1+Input!$C$8)^(BR$5-1)</f>
        <v>0</v>
      </c>
      <c r="BS43" s="123" cm="1">
        <f t="array" ref="BS43">INDEX(Properties!$D:$D,$B43+5)*(IF(AND(BS$3&gt;=INDEX(Properties!$T:$T,$B43+5),BS$3&lt;INDEX(Properties!$U:$U,$B43+5)),INDEX(_Seasonality!$C$50:$N$59,$B43,MONTH(EDATE(Input!$C$7,BS$3-1)))*MIN(1,(BS$3-INDEX(Properties!$T:$T,$B43+5)+1)/Input!$C$11),0))*(1+Input!$C$8)^(BS$5-1)</f>
        <v>0</v>
      </c>
      <c r="BT43" s="123" cm="1">
        <f t="array" ref="BT43">INDEX(Properties!$D:$D,$B43+5)*(IF(AND(BT$3&gt;=INDEX(Properties!$T:$T,$B43+5),BT$3&lt;INDEX(Properties!$U:$U,$B43+5)),INDEX(_Seasonality!$C$50:$N$59,$B43,MONTH(EDATE(Input!$C$7,BT$3-1)))*MIN(1,(BT$3-INDEX(Properties!$T:$T,$B43+5)+1)/Input!$C$11),0))*(1+Input!$C$8)^(BT$5-1)</f>
        <v>0</v>
      </c>
      <c r="BU43" s="123" cm="1">
        <f t="array" ref="BU43">INDEX(Properties!$D:$D,$B43+5)*(IF(AND(BU$3&gt;=INDEX(Properties!$T:$T,$B43+5),BU$3&lt;INDEX(Properties!$U:$U,$B43+5)),INDEX(_Seasonality!$C$50:$N$59,$B43,MONTH(EDATE(Input!$C$7,BU$3-1)))*MIN(1,(BU$3-INDEX(Properties!$T:$T,$B43+5)+1)/Input!$C$11),0))*(1+Input!$C$8)^(BU$5-1)</f>
        <v>0</v>
      </c>
      <c r="BV43" s="123" cm="1">
        <f t="array" ref="BV43">INDEX(Properties!$D:$D,$B43+5)*(IF(AND(BV$3&gt;=INDEX(Properties!$T:$T,$B43+5),BV$3&lt;INDEX(Properties!$U:$U,$B43+5)),INDEX(_Seasonality!$C$50:$N$59,$B43,MONTH(EDATE(Input!$C$7,BV$3-1)))*MIN(1,(BV$3-INDEX(Properties!$T:$T,$B43+5)+1)/Input!$C$11),0))*(1+Input!$C$8)^(BV$5-1)</f>
        <v>0</v>
      </c>
      <c r="BW43" s="123" cm="1">
        <f t="array" ref="BW43">INDEX(Properties!$D:$D,$B43+5)*(IF(AND(BW$3&gt;=INDEX(Properties!$T:$T,$B43+5),BW$3&lt;INDEX(Properties!$U:$U,$B43+5)),INDEX(_Seasonality!$C$50:$N$59,$B43,MONTH(EDATE(Input!$C$7,BW$3-1)))*MIN(1,(BW$3-INDEX(Properties!$T:$T,$B43+5)+1)/Input!$C$11),0))*(1+Input!$C$8)^(BW$5-1)</f>
        <v>0</v>
      </c>
      <c r="BX43" s="123" cm="1">
        <f t="array" ref="BX43">INDEX(Properties!$D:$D,$B43+5)*(IF(AND(BX$3&gt;=INDEX(Properties!$T:$T,$B43+5),BX$3&lt;INDEX(Properties!$U:$U,$B43+5)),INDEX(_Seasonality!$C$50:$N$59,$B43,MONTH(EDATE(Input!$C$7,BX$3-1)))*MIN(1,(BX$3-INDEX(Properties!$T:$T,$B43+5)+1)/Input!$C$11),0))*(1+Input!$C$8)^(BX$5-1)</f>
        <v>0</v>
      </c>
      <c r="BY43" s="123" cm="1">
        <f t="array" ref="BY43">INDEX(Properties!$D:$D,$B43+5)*(IF(AND(BY$3&gt;=INDEX(Properties!$T:$T,$B43+5),BY$3&lt;INDEX(Properties!$U:$U,$B43+5)),INDEX(_Seasonality!$C$50:$N$59,$B43,MONTH(EDATE(Input!$C$7,BY$3-1)))*MIN(1,(BY$3-INDEX(Properties!$T:$T,$B43+5)+1)/Input!$C$11),0))*(1+Input!$C$8)^(BY$5-1)</f>
        <v>0</v>
      </c>
      <c r="BZ43" s="123" cm="1">
        <f t="array" ref="BZ43">INDEX(Properties!$D:$D,$B43+5)*(IF(AND(BZ$3&gt;=INDEX(Properties!$T:$T,$B43+5),BZ$3&lt;INDEX(Properties!$U:$U,$B43+5)),INDEX(_Seasonality!$C$50:$N$59,$B43,MONTH(EDATE(Input!$C$7,BZ$3-1)))*MIN(1,(BZ$3-INDEX(Properties!$T:$T,$B43+5)+1)/Input!$C$11),0))*(1+Input!$C$8)^(BZ$5-1)</f>
        <v>0</v>
      </c>
      <c r="CA43" s="123" cm="1">
        <f t="array" ref="CA43">INDEX(Properties!$D:$D,$B43+5)*(IF(AND(CA$3&gt;=INDEX(Properties!$T:$T,$B43+5),CA$3&lt;INDEX(Properties!$U:$U,$B43+5)),INDEX(_Seasonality!$C$50:$N$59,$B43,MONTH(EDATE(Input!$C$7,CA$3-1)))*MIN(1,(CA$3-INDEX(Properties!$T:$T,$B43+5)+1)/Input!$C$11),0))*(1+Input!$C$8)^(CA$5-1)</f>
        <v>0</v>
      </c>
      <c r="CB43" s="123" cm="1">
        <f t="array" ref="CB43">INDEX(Properties!$D:$D,$B43+5)*(IF(AND(CB$3&gt;=INDEX(Properties!$T:$T,$B43+5),CB$3&lt;INDEX(Properties!$U:$U,$B43+5)),INDEX(_Seasonality!$C$50:$N$59,$B43,MONTH(EDATE(Input!$C$7,CB$3-1)))*MIN(1,(CB$3-INDEX(Properties!$T:$T,$B43+5)+1)/Input!$C$11),0))*(1+Input!$C$8)^(CB$5-1)</f>
        <v>0</v>
      </c>
      <c r="CC43" s="123" cm="1">
        <f t="array" ref="CC43">INDEX(Properties!$D:$D,$B43+5)*(IF(AND(CC$3&gt;=INDEX(Properties!$T:$T,$B43+5),CC$3&lt;INDEX(Properties!$U:$U,$B43+5)),INDEX(_Seasonality!$C$50:$N$59,$B43,MONTH(EDATE(Input!$C$7,CC$3-1)))*MIN(1,(CC$3-INDEX(Properties!$T:$T,$B43+5)+1)/Input!$C$11),0))*(1+Input!$C$8)^(CC$5-1)</f>
        <v>0</v>
      </c>
      <c r="CD43" s="123" cm="1">
        <f t="array" ref="CD43">INDEX(Properties!$D:$D,$B43+5)*(IF(AND(CD$3&gt;=INDEX(Properties!$T:$T,$B43+5),CD$3&lt;INDEX(Properties!$U:$U,$B43+5)),INDEX(_Seasonality!$C$50:$N$59,$B43,MONTH(EDATE(Input!$C$7,CD$3-1)))*MIN(1,(CD$3-INDEX(Properties!$T:$T,$B43+5)+1)/Input!$C$11),0))*(1+Input!$C$8)^(CD$5-1)</f>
        <v>0</v>
      </c>
      <c r="CE43" s="123" cm="1">
        <f t="array" ref="CE43">INDEX(Properties!$D:$D,$B43+5)*(IF(AND(CE$3&gt;=INDEX(Properties!$T:$T,$B43+5),CE$3&lt;INDEX(Properties!$U:$U,$B43+5)),INDEX(_Seasonality!$C$50:$N$59,$B43,MONTH(EDATE(Input!$C$7,CE$3-1)))*MIN(1,(CE$3-INDEX(Properties!$T:$T,$B43+5)+1)/Input!$C$11),0))*(1+Input!$C$8)^(CE$5-1)</f>
        <v>0</v>
      </c>
      <c r="CF43" s="123" cm="1">
        <f t="array" ref="CF43">INDEX(Properties!$D:$D,$B43+5)*(IF(AND(CF$3&gt;=INDEX(Properties!$T:$T,$B43+5),CF$3&lt;INDEX(Properties!$U:$U,$B43+5)),INDEX(_Seasonality!$C$50:$N$59,$B43,MONTH(EDATE(Input!$C$7,CF$3-1)))*MIN(1,(CF$3-INDEX(Properties!$T:$T,$B43+5)+1)/Input!$C$11),0))*(1+Input!$C$8)^(CF$5-1)</f>
        <v>0</v>
      </c>
      <c r="CG43" s="123" cm="1">
        <f t="array" ref="CG43">INDEX(Properties!$D:$D,$B43+5)*(IF(AND(CG$3&gt;=INDEX(Properties!$T:$T,$B43+5),CG$3&lt;INDEX(Properties!$U:$U,$B43+5)),INDEX(_Seasonality!$C$50:$N$59,$B43,MONTH(EDATE(Input!$C$7,CG$3-1)))*MIN(1,(CG$3-INDEX(Properties!$T:$T,$B43+5)+1)/Input!$C$11),0))*(1+Input!$C$8)^(CG$5-1)</f>
        <v>0</v>
      </c>
      <c r="CH43" s="123" cm="1">
        <f t="array" ref="CH43">INDEX(Properties!$D:$D,$B43+5)*(IF(AND(CH$3&gt;=INDEX(Properties!$T:$T,$B43+5),CH$3&lt;INDEX(Properties!$U:$U,$B43+5)),INDEX(_Seasonality!$C$50:$N$59,$B43,MONTH(EDATE(Input!$C$7,CH$3-1)))*MIN(1,(CH$3-INDEX(Properties!$T:$T,$B43+5)+1)/Input!$C$11),0))*(1+Input!$C$8)^(CH$5-1)</f>
        <v>0</v>
      </c>
      <c r="CI43" s="123" cm="1">
        <f t="array" ref="CI43">INDEX(Properties!$D:$D,$B43+5)*(IF(AND(CI$3&gt;=INDEX(Properties!$T:$T,$B43+5),CI$3&lt;INDEX(Properties!$U:$U,$B43+5)),INDEX(_Seasonality!$C$50:$N$59,$B43,MONTH(EDATE(Input!$C$7,CI$3-1)))*MIN(1,(CI$3-INDEX(Properties!$T:$T,$B43+5)+1)/Input!$C$11),0))*(1+Input!$C$8)^(CI$5-1)</f>
        <v>0</v>
      </c>
      <c r="CJ43" s="123" cm="1">
        <f t="array" ref="CJ43">INDEX(Properties!$D:$D,$B43+5)*(IF(AND(CJ$3&gt;=INDEX(Properties!$T:$T,$B43+5),CJ$3&lt;INDEX(Properties!$U:$U,$B43+5)),INDEX(_Seasonality!$C$50:$N$59,$B43,MONTH(EDATE(Input!$C$7,CJ$3-1)))*MIN(1,(CJ$3-INDEX(Properties!$T:$T,$B43+5)+1)/Input!$C$11),0))*(1+Input!$C$8)^(CJ$5-1)</f>
        <v>0</v>
      </c>
      <c r="CK43" s="123" cm="1">
        <f t="array" ref="CK43">INDEX(Properties!$D:$D,$B43+5)*(IF(AND(CK$3&gt;=INDEX(Properties!$T:$T,$B43+5),CK$3&lt;INDEX(Properties!$U:$U,$B43+5)),INDEX(_Seasonality!$C$50:$N$59,$B43,MONTH(EDATE(Input!$C$7,CK$3-1)))*MIN(1,(CK$3-INDEX(Properties!$T:$T,$B43+5)+1)/Input!$C$11),0))*(1+Input!$C$8)^(CK$5-1)</f>
        <v>0</v>
      </c>
      <c r="CL43" s="123" cm="1">
        <f t="array" ref="CL43">INDEX(Properties!$D:$D,$B43+5)*(IF(AND(CL$3&gt;=INDEX(Properties!$T:$T,$B43+5),CL$3&lt;INDEX(Properties!$U:$U,$B43+5)),INDEX(_Seasonality!$C$50:$N$59,$B43,MONTH(EDATE(Input!$C$7,CL$3-1)))*MIN(1,(CL$3-INDEX(Properties!$T:$T,$B43+5)+1)/Input!$C$11),0))*(1+Input!$C$8)^(CL$5-1)</f>
        <v>0</v>
      </c>
      <c r="CM43" s="123" cm="1">
        <f t="array" ref="CM43">INDEX(Properties!$D:$D,$B43+5)*(IF(AND(CM$3&gt;=INDEX(Properties!$T:$T,$B43+5),CM$3&lt;INDEX(Properties!$U:$U,$B43+5)),INDEX(_Seasonality!$C$50:$N$59,$B43,MONTH(EDATE(Input!$C$7,CM$3-1)))*MIN(1,(CM$3-INDEX(Properties!$T:$T,$B43+5)+1)/Input!$C$11),0))*(1+Input!$C$8)^(CM$5-1)</f>
        <v>0</v>
      </c>
      <c r="CN43" s="123" cm="1">
        <f t="array" ref="CN43">INDEX(Properties!$D:$D,$B43+5)*(IF(AND(CN$3&gt;=INDEX(Properties!$T:$T,$B43+5),CN$3&lt;INDEX(Properties!$U:$U,$B43+5)),INDEX(_Seasonality!$C$50:$N$59,$B43,MONTH(EDATE(Input!$C$7,CN$3-1)))*MIN(1,(CN$3-INDEX(Properties!$T:$T,$B43+5)+1)/Input!$C$11),0))*(1+Input!$C$8)^(CN$5-1)</f>
        <v>0</v>
      </c>
      <c r="CO43" s="123" cm="1">
        <f t="array" ref="CO43">INDEX(Properties!$D:$D,$B43+5)*(IF(AND(CO$3&gt;=INDEX(Properties!$T:$T,$B43+5),CO$3&lt;INDEX(Properties!$U:$U,$B43+5)),INDEX(_Seasonality!$C$50:$N$59,$B43,MONTH(EDATE(Input!$C$7,CO$3-1)))*MIN(1,(CO$3-INDEX(Properties!$T:$T,$B43+5)+1)/Input!$C$11),0))*(1+Input!$C$8)^(CO$5-1)</f>
        <v>0</v>
      </c>
      <c r="CP43" s="123" cm="1">
        <f t="array" ref="CP43">INDEX(Properties!$D:$D,$B43+5)*(IF(AND(CP$3&gt;=INDEX(Properties!$T:$T,$B43+5),CP$3&lt;INDEX(Properties!$U:$U,$B43+5)),INDEX(_Seasonality!$C$50:$N$59,$B43,MONTH(EDATE(Input!$C$7,CP$3-1)))*MIN(1,(CP$3-INDEX(Properties!$T:$T,$B43+5)+1)/Input!$C$11),0))*(1+Input!$C$8)^(CP$5-1)</f>
        <v>0</v>
      </c>
      <c r="CQ43" s="123" cm="1">
        <f t="array" ref="CQ43">INDEX(Properties!$D:$D,$B43+5)*(IF(AND(CQ$3&gt;=INDEX(Properties!$T:$T,$B43+5),CQ$3&lt;INDEX(Properties!$U:$U,$B43+5)),INDEX(_Seasonality!$C$50:$N$59,$B43,MONTH(EDATE(Input!$C$7,CQ$3-1)))*MIN(1,(CQ$3-INDEX(Properties!$T:$T,$B43+5)+1)/Input!$C$11),0))*(1+Input!$C$8)^(CQ$5-1)</f>
        <v>0</v>
      </c>
      <c r="CR43" s="123" cm="1">
        <f t="array" ref="CR43">INDEX(Properties!$D:$D,$B43+5)*(IF(AND(CR$3&gt;=INDEX(Properties!$T:$T,$B43+5),CR$3&lt;INDEX(Properties!$U:$U,$B43+5)),INDEX(_Seasonality!$C$50:$N$59,$B43,MONTH(EDATE(Input!$C$7,CR$3-1)))*MIN(1,(CR$3-INDEX(Properties!$T:$T,$B43+5)+1)/Input!$C$11),0))*(1+Input!$C$8)^(CR$5-1)</f>
        <v>0</v>
      </c>
      <c r="CS43" s="123" cm="1">
        <f t="array" ref="CS43">INDEX(Properties!$D:$D,$B43+5)*(IF(AND(CS$3&gt;=INDEX(Properties!$T:$T,$B43+5),CS$3&lt;INDEX(Properties!$U:$U,$B43+5)),INDEX(_Seasonality!$C$50:$N$59,$B43,MONTH(EDATE(Input!$C$7,CS$3-1)))*MIN(1,(CS$3-INDEX(Properties!$T:$T,$B43+5)+1)/Input!$C$11),0))*(1+Input!$C$8)^(CS$5-1)</f>
        <v>0</v>
      </c>
      <c r="CT43" s="123" cm="1">
        <f t="array" ref="CT43">INDEX(Properties!$D:$D,$B43+5)*(IF(AND(CT$3&gt;=INDEX(Properties!$T:$T,$B43+5),CT$3&lt;INDEX(Properties!$U:$U,$B43+5)),INDEX(_Seasonality!$C$50:$N$59,$B43,MONTH(EDATE(Input!$C$7,CT$3-1)))*MIN(1,(CT$3-INDEX(Properties!$T:$T,$B43+5)+1)/Input!$C$11),0))*(1+Input!$C$8)^(CT$5-1)</f>
        <v>0</v>
      </c>
      <c r="CU43" s="123" cm="1">
        <f t="array" ref="CU43">INDEX(Properties!$D:$D,$B43+5)*(IF(AND(CU$3&gt;=INDEX(Properties!$T:$T,$B43+5),CU$3&lt;INDEX(Properties!$U:$U,$B43+5)),INDEX(_Seasonality!$C$50:$N$59,$B43,MONTH(EDATE(Input!$C$7,CU$3-1)))*MIN(1,(CU$3-INDEX(Properties!$T:$T,$B43+5)+1)/Input!$C$11),0))*(1+Input!$C$8)^(CU$5-1)</f>
        <v>0</v>
      </c>
      <c r="CV43" s="123" cm="1">
        <f t="array" ref="CV43">INDEX(Properties!$D:$D,$B43+5)*(IF(AND(CV$3&gt;=INDEX(Properties!$T:$T,$B43+5),CV$3&lt;INDEX(Properties!$U:$U,$B43+5)),INDEX(_Seasonality!$C$50:$N$59,$B43,MONTH(EDATE(Input!$C$7,CV$3-1)))*MIN(1,(CV$3-INDEX(Properties!$T:$T,$B43+5)+1)/Input!$C$11),0))*(1+Input!$C$8)^(CV$5-1)</f>
        <v>0</v>
      </c>
      <c r="CW43" s="123" cm="1">
        <f t="array" ref="CW43">INDEX(Properties!$D:$D,$B43+5)*(IF(AND(CW$3&gt;=INDEX(Properties!$T:$T,$B43+5),CW$3&lt;INDEX(Properties!$U:$U,$B43+5)),INDEX(_Seasonality!$C$50:$N$59,$B43,MONTH(EDATE(Input!$C$7,CW$3-1)))*MIN(1,(CW$3-INDEX(Properties!$T:$T,$B43+5)+1)/Input!$C$11),0))*(1+Input!$C$8)^(CW$5-1)</f>
        <v>0</v>
      </c>
      <c r="CX43" s="123" cm="1">
        <f t="array" ref="CX43">INDEX(Properties!$D:$D,$B43+5)*(IF(AND(CX$3&gt;=INDEX(Properties!$T:$T,$B43+5),CX$3&lt;INDEX(Properties!$U:$U,$B43+5)),INDEX(_Seasonality!$C$50:$N$59,$B43,MONTH(EDATE(Input!$C$7,CX$3-1)))*MIN(1,(CX$3-INDEX(Properties!$T:$T,$B43+5)+1)/Input!$C$11),0))*(1+Input!$C$8)^(CX$5-1)</f>
        <v>0</v>
      </c>
      <c r="CY43" s="123" cm="1">
        <f t="array" ref="CY43">INDEX(Properties!$D:$D,$B43+5)*(IF(AND(CY$3&gt;=INDEX(Properties!$T:$T,$B43+5),CY$3&lt;INDEX(Properties!$U:$U,$B43+5)),INDEX(_Seasonality!$C$50:$N$59,$B43,MONTH(EDATE(Input!$C$7,CY$3-1)))*MIN(1,(CY$3-INDEX(Properties!$T:$T,$B43+5)+1)/Input!$C$11),0))*(1+Input!$C$8)^(CY$5-1)</f>
        <v>0</v>
      </c>
      <c r="CZ43" s="123" cm="1">
        <f t="array" ref="CZ43">INDEX(Properties!$D:$D,$B43+5)*(IF(AND(CZ$3&gt;=INDEX(Properties!$T:$T,$B43+5),CZ$3&lt;INDEX(Properties!$U:$U,$B43+5)),INDEX(_Seasonality!$C$50:$N$59,$B43,MONTH(EDATE(Input!$C$7,CZ$3-1)))*MIN(1,(CZ$3-INDEX(Properties!$T:$T,$B43+5)+1)/Input!$C$11),0))*(1+Input!$C$8)^(CZ$5-1)</f>
        <v>0</v>
      </c>
      <c r="DA43" s="123" cm="1">
        <f t="array" ref="DA43">INDEX(Properties!$D:$D,$B43+5)*(IF(AND(DA$3&gt;=INDEX(Properties!$T:$T,$B43+5),DA$3&lt;INDEX(Properties!$U:$U,$B43+5)),INDEX(_Seasonality!$C$50:$N$59,$B43,MONTH(EDATE(Input!$C$7,DA$3-1)))*MIN(1,(DA$3-INDEX(Properties!$T:$T,$B43+5)+1)/Input!$C$11),0))*(1+Input!$C$8)^(DA$5-1)</f>
        <v>0</v>
      </c>
      <c r="DB43" s="123" cm="1">
        <f t="array" ref="DB43">INDEX(Properties!$D:$D,$B43+5)*(IF(AND(DB$3&gt;=INDEX(Properties!$T:$T,$B43+5),DB$3&lt;INDEX(Properties!$U:$U,$B43+5)),INDEX(_Seasonality!$C$50:$N$59,$B43,MONTH(EDATE(Input!$C$7,DB$3-1)))*MIN(1,(DB$3-INDEX(Properties!$T:$T,$B43+5)+1)/Input!$C$11),0))*(1+Input!$C$8)^(DB$5-1)</f>
        <v>0</v>
      </c>
      <c r="DC43" s="123" cm="1">
        <f t="array" ref="DC43">INDEX(Properties!$D:$D,$B43+5)*(IF(AND(DC$3&gt;=INDEX(Properties!$T:$T,$B43+5),DC$3&lt;INDEX(Properties!$U:$U,$B43+5)),INDEX(_Seasonality!$C$50:$N$59,$B43,MONTH(EDATE(Input!$C$7,DC$3-1)))*MIN(1,(DC$3-INDEX(Properties!$T:$T,$B43+5)+1)/Input!$C$11),0))*(1+Input!$C$8)^(DC$5-1)</f>
        <v>0</v>
      </c>
      <c r="DD43" s="123" cm="1">
        <f t="array" ref="DD43">INDEX(Properties!$D:$D,$B43+5)*(IF(AND(DD$3&gt;=INDEX(Properties!$T:$T,$B43+5),DD$3&lt;INDEX(Properties!$U:$U,$B43+5)),INDEX(_Seasonality!$C$50:$N$59,$B43,MONTH(EDATE(Input!$C$7,DD$3-1)))*MIN(1,(DD$3-INDEX(Properties!$T:$T,$B43+5)+1)/Input!$C$11),0))*(1+Input!$C$8)^(DD$5-1)</f>
        <v>0</v>
      </c>
      <c r="DE43" s="123" cm="1">
        <f t="array" ref="DE43">INDEX(Properties!$D:$D,$B43+5)*(IF(AND(DE$3&gt;=INDEX(Properties!$T:$T,$B43+5),DE$3&lt;INDEX(Properties!$U:$U,$B43+5)),INDEX(_Seasonality!$C$50:$N$59,$B43,MONTH(EDATE(Input!$C$7,DE$3-1)))*MIN(1,(DE$3-INDEX(Properties!$T:$T,$B43+5)+1)/Input!$C$11),0))*(1+Input!$C$8)^(DE$5-1)</f>
        <v>0</v>
      </c>
      <c r="DF43" s="123" cm="1">
        <f t="array" ref="DF43">INDEX(Properties!$D:$D,$B43+5)*(IF(AND(DF$3&gt;=INDEX(Properties!$T:$T,$B43+5),DF$3&lt;INDEX(Properties!$U:$U,$B43+5)),INDEX(_Seasonality!$C$50:$N$59,$B43,MONTH(EDATE(Input!$C$7,DF$3-1)))*MIN(1,(DF$3-INDEX(Properties!$T:$T,$B43+5)+1)/Input!$C$11),0))*(1+Input!$C$8)^(DF$5-1)</f>
        <v>0</v>
      </c>
      <c r="DG43" s="123" cm="1">
        <f t="array" ref="DG43">INDEX(Properties!$D:$D,$B43+5)*(IF(AND(DG$3&gt;=INDEX(Properties!$T:$T,$B43+5),DG$3&lt;INDEX(Properties!$U:$U,$B43+5)),INDEX(_Seasonality!$C$50:$N$59,$B43,MONTH(EDATE(Input!$C$7,DG$3-1)))*MIN(1,(DG$3-INDEX(Properties!$T:$T,$B43+5)+1)/Input!$C$11),0))*(1+Input!$C$8)^(DG$5-1)</f>
        <v>0</v>
      </c>
      <c r="DH43" s="123" cm="1">
        <f t="array" ref="DH43">INDEX(Properties!$D:$D,$B43+5)*(IF(AND(DH$3&gt;=INDEX(Properties!$T:$T,$B43+5),DH$3&lt;INDEX(Properties!$U:$U,$B43+5)),INDEX(_Seasonality!$C$50:$N$59,$B43,MONTH(EDATE(Input!$C$7,DH$3-1)))*MIN(1,(DH$3-INDEX(Properties!$T:$T,$B43+5)+1)/Input!$C$11),0))*(1+Input!$C$8)^(DH$5-1)</f>
        <v>0</v>
      </c>
      <c r="DI43" s="123" cm="1">
        <f t="array" ref="DI43">INDEX(Properties!$D:$D,$B43+5)*(IF(AND(DI$3&gt;=INDEX(Properties!$T:$T,$B43+5),DI$3&lt;INDEX(Properties!$U:$U,$B43+5)),INDEX(_Seasonality!$C$50:$N$59,$B43,MONTH(EDATE(Input!$C$7,DI$3-1)))*MIN(1,(DI$3-INDEX(Properties!$T:$T,$B43+5)+1)/Input!$C$11),0))*(1+Input!$C$8)^(DI$5-1)</f>
        <v>0</v>
      </c>
      <c r="DJ43" s="123" cm="1">
        <f t="array" ref="DJ43">INDEX(Properties!$D:$D,$B43+5)*(IF(AND(DJ$3&gt;=INDEX(Properties!$T:$T,$B43+5),DJ$3&lt;INDEX(Properties!$U:$U,$B43+5)),INDEX(_Seasonality!$C$50:$N$59,$B43,MONTH(EDATE(Input!$C$7,DJ$3-1)))*MIN(1,(DJ$3-INDEX(Properties!$T:$T,$B43+5)+1)/Input!$C$11),0))*(1+Input!$C$8)^(DJ$5-1)</f>
        <v>0</v>
      </c>
      <c r="DK43" s="123" cm="1">
        <f t="array" ref="DK43">INDEX(Properties!$D:$D,$B43+5)*(IF(AND(DK$3&gt;=INDEX(Properties!$T:$T,$B43+5),DK$3&lt;INDEX(Properties!$U:$U,$B43+5)),INDEX(_Seasonality!$C$50:$N$59,$B43,MONTH(EDATE(Input!$C$7,DK$3-1)))*MIN(1,(DK$3-INDEX(Properties!$T:$T,$B43+5)+1)/Input!$C$11),0))*(1+Input!$C$8)^(DK$5-1)</f>
        <v>0</v>
      </c>
      <c r="DL43" s="123" cm="1">
        <f t="array" ref="DL43">INDEX(Properties!$D:$D,$B43+5)*(IF(AND(DL$3&gt;=INDEX(Properties!$T:$T,$B43+5),DL$3&lt;INDEX(Properties!$U:$U,$B43+5)),INDEX(_Seasonality!$C$50:$N$59,$B43,MONTH(EDATE(Input!$C$7,DL$3-1)))*MIN(1,(DL$3-INDEX(Properties!$T:$T,$B43+5)+1)/Input!$C$11),0))*(1+Input!$C$8)^(DL$5-1)</f>
        <v>0</v>
      </c>
      <c r="DM43" s="123" cm="1">
        <f t="array" ref="DM43">INDEX(Properties!$D:$D,$B43+5)*(IF(AND(DM$3&gt;=INDEX(Properties!$T:$T,$B43+5),DM$3&lt;INDEX(Properties!$U:$U,$B43+5)),INDEX(_Seasonality!$C$50:$N$59,$B43,MONTH(EDATE(Input!$C$7,DM$3-1)))*MIN(1,(DM$3-INDEX(Properties!$T:$T,$B43+5)+1)/Input!$C$11),0))*(1+Input!$C$8)^(DM$5-1)</f>
        <v>0</v>
      </c>
      <c r="DN43" s="123" cm="1">
        <f t="array" ref="DN43">INDEX(Properties!$D:$D,$B43+5)*(IF(AND(DN$3&gt;=INDEX(Properties!$T:$T,$B43+5),DN$3&lt;INDEX(Properties!$U:$U,$B43+5)),INDEX(_Seasonality!$C$50:$N$59,$B43,MONTH(EDATE(Input!$C$7,DN$3-1)))*MIN(1,(DN$3-INDEX(Properties!$T:$T,$B43+5)+1)/Input!$C$11),0))*(1+Input!$C$8)^(DN$5-1)</f>
        <v>0</v>
      </c>
      <c r="DO43" s="123" cm="1">
        <f t="array" ref="DO43">INDEX(Properties!$D:$D,$B43+5)*(IF(AND(DO$3&gt;=INDEX(Properties!$T:$T,$B43+5),DO$3&lt;INDEX(Properties!$U:$U,$B43+5)),INDEX(_Seasonality!$C$50:$N$59,$B43,MONTH(EDATE(Input!$C$7,DO$3-1)))*MIN(1,(DO$3-INDEX(Properties!$T:$T,$B43+5)+1)/Input!$C$11),0))*(1+Input!$C$8)^(DO$5-1)</f>
        <v>0</v>
      </c>
      <c r="DP43" s="123" cm="1">
        <f t="array" ref="DP43">INDEX(Properties!$D:$D,$B43+5)*(IF(AND(DP$3&gt;=INDEX(Properties!$T:$T,$B43+5),DP$3&lt;INDEX(Properties!$U:$U,$B43+5)),INDEX(_Seasonality!$C$50:$N$59,$B43,MONTH(EDATE(Input!$C$7,DP$3-1)))*MIN(1,(DP$3-INDEX(Properties!$T:$T,$B43+5)+1)/Input!$C$11),0))*(1+Input!$C$8)^(DP$5-1)</f>
        <v>0</v>
      </c>
      <c r="DQ43" s="123" cm="1">
        <f t="array" ref="DQ43">INDEX(Properties!$D:$D,$B43+5)*(IF(AND(DQ$3&gt;=INDEX(Properties!$T:$T,$B43+5),DQ$3&lt;INDEX(Properties!$U:$U,$B43+5)),INDEX(_Seasonality!$C$50:$N$59,$B43,MONTH(EDATE(Input!$C$7,DQ$3-1)))*MIN(1,(DQ$3-INDEX(Properties!$T:$T,$B43+5)+1)/Input!$C$11),0))*(1+Input!$C$8)^(DQ$5-1)</f>
        <v>0</v>
      </c>
      <c r="DR43" s="123" cm="1">
        <f t="array" ref="DR43">INDEX(Properties!$D:$D,$B43+5)*(IF(AND(DR$3&gt;=INDEX(Properties!$T:$T,$B43+5),DR$3&lt;INDEX(Properties!$U:$U,$B43+5)),INDEX(_Seasonality!$C$50:$N$59,$B43,MONTH(EDATE(Input!$C$7,DR$3-1)))*MIN(1,(DR$3-INDEX(Properties!$T:$T,$B43+5)+1)/Input!$C$11),0))*(1+Input!$C$8)^(DR$5-1)</f>
        <v>0</v>
      </c>
    </row>
    <row r="44" spans="1:122" ht="16.05" customHeight="1" x14ac:dyDescent="0.3">
      <c r="A44" s="5" t="s">
        <v>57</v>
      </c>
      <c r="B44" s="1"/>
      <c r="C44" s="243">
        <f t="shared" ref="C44:AH44" si="12">SUM(C34:C43)</f>
        <v>0</v>
      </c>
      <c r="D44" s="243">
        <f t="shared" si="12"/>
        <v>0</v>
      </c>
      <c r="E44" s="243">
        <f t="shared" si="12"/>
        <v>0</v>
      </c>
      <c r="F44" s="243">
        <f t="shared" si="12"/>
        <v>0</v>
      </c>
      <c r="G44" s="243">
        <f t="shared" si="12"/>
        <v>0</v>
      </c>
      <c r="H44" s="243">
        <f t="shared" si="12"/>
        <v>0</v>
      </c>
      <c r="I44" s="243">
        <f t="shared" si="12"/>
        <v>3924.4500000000003</v>
      </c>
      <c r="J44" s="243">
        <f t="shared" si="12"/>
        <v>7683.6600000000017</v>
      </c>
      <c r="K44" s="243">
        <f t="shared" si="12"/>
        <v>14931</v>
      </c>
      <c r="L44" s="243">
        <f t="shared" si="12"/>
        <v>17743.005000000001</v>
      </c>
      <c r="M44" s="243">
        <f t="shared" si="12"/>
        <v>23861.010000000002</v>
      </c>
      <c r="N44" s="243">
        <f t="shared" si="12"/>
        <v>16082.550000000005</v>
      </c>
      <c r="O44" s="243">
        <f t="shared" si="12"/>
        <v>16963.813800000004</v>
      </c>
      <c r="P44" s="243">
        <f t="shared" si="12"/>
        <v>23197.86</v>
      </c>
      <c r="Q44" s="243">
        <f t="shared" si="12"/>
        <v>34833.296674285724</v>
      </c>
      <c r="R44" s="243">
        <f t="shared" si="12"/>
        <v>34614.617271428571</v>
      </c>
      <c r="S44" s="243">
        <f t="shared" si="12"/>
        <v>23467.752</v>
      </c>
      <c r="T44" s="243">
        <f t="shared" si="12"/>
        <v>23421.408299999999</v>
      </c>
      <c r="U44" s="243">
        <f t="shared" si="12"/>
        <v>21223.045285714288</v>
      </c>
      <c r="V44" s="243">
        <f t="shared" si="12"/>
        <v>19798.230600000003</v>
      </c>
      <c r="W44" s="243">
        <f t="shared" si="12"/>
        <v>26978.184000000001</v>
      </c>
      <c r="X44" s="243">
        <f t="shared" si="12"/>
        <v>31168.841322857144</v>
      </c>
      <c r="Y44" s="243">
        <f t="shared" si="12"/>
        <v>31099.851000000002</v>
      </c>
      <c r="Z44" s="243">
        <f t="shared" si="12"/>
        <v>21444.939000000006</v>
      </c>
      <c r="AA44" s="243">
        <f t="shared" si="12"/>
        <v>22632.476652000005</v>
      </c>
      <c r="AB44" s="243">
        <f t="shared" si="12"/>
        <v>23661.817199999998</v>
      </c>
      <c r="AC44" s="243">
        <f t="shared" si="12"/>
        <v>35529.962607771435</v>
      </c>
      <c r="AD44" s="243">
        <f t="shared" si="12"/>
        <v>29187.016716857142</v>
      </c>
      <c r="AE44" s="243">
        <f t="shared" si="12"/>
        <v>19567.427039999999</v>
      </c>
      <c r="AF44" s="243">
        <f t="shared" si="12"/>
        <v>14808.205673999999</v>
      </c>
      <c r="AG44" s="243">
        <f t="shared" si="12"/>
        <v>9700.9571314285713</v>
      </c>
      <c r="AH44" s="243">
        <f t="shared" si="12"/>
        <v>8499.1524480000007</v>
      </c>
      <c r="AI44" s="243">
        <f t="shared" ref="AI44:BN44" si="13">SUM(AI34:AI43)</f>
        <v>11983.53528</v>
      </c>
      <c r="AJ44" s="243">
        <f t="shared" si="13"/>
        <v>13332.395747314287</v>
      </c>
      <c r="AK44" s="243">
        <f t="shared" si="13"/>
        <v>12382.986456000001</v>
      </c>
      <c r="AL44" s="243">
        <f t="shared" si="13"/>
        <v>9224.5505400000002</v>
      </c>
      <c r="AM44" s="243">
        <f t="shared" si="13"/>
        <v>5435.9743075200013</v>
      </c>
      <c r="AN44" s="243">
        <f t="shared" si="13"/>
        <v>5861.3701463999987</v>
      </c>
      <c r="AO44" s="243">
        <f t="shared" si="13"/>
        <v>9058.7164754468558</v>
      </c>
      <c r="AP44" s="243">
        <f t="shared" si="13"/>
        <v>8626.4158109142845</v>
      </c>
      <c r="AQ44" s="243">
        <f t="shared" si="13"/>
        <v>5758.5390912000003</v>
      </c>
      <c r="AR44" s="243">
        <f t="shared" si="13"/>
        <v>5737.9728801600004</v>
      </c>
      <c r="AS44" s="243">
        <f t="shared" si="13"/>
        <v>0</v>
      </c>
      <c r="AT44" s="243">
        <f t="shared" si="13"/>
        <v>0</v>
      </c>
      <c r="AU44" s="243">
        <f t="shared" si="13"/>
        <v>0</v>
      </c>
      <c r="AV44" s="243">
        <f t="shared" si="13"/>
        <v>0</v>
      </c>
      <c r="AW44" s="243">
        <f t="shared" si="13"/>
        <v>0</v>
      </c>
      <c r="AX44" s="243">
        <f t="shared" si="13"/>
        <v>0</v>
      </c>
      <c r="AY44" s="243">
        <f t="shared" si="13"/>
        <v>0</v>
      </c>
      <c r="AZ44" s="243">
        <f t="shared" si="13"/>
        <v>0</v>
      </c>
      <c r="BA44" s="243">
        <f t="shared" si="13"/>
        <v>0</v>
      </c>
      <c r="BB44" s="243">
        <f t="shared" si="13"/>
        <v>0</v>
      </c>
      <c r="BC44" s="243">
        <f t="shared" si="13"/>
        <v>0</v>
      </c>
      <c r="BD44" s="243">
        <f t="shared" si="13"/>
        <v>0</v>
      </c>
      <c r="BE44" s="243">
        <f t="shared" si="13"/>
        <v>0</v>
      </c>
      <c r="BF44" s="243">
        <f t="shared" si="13"/>
        <v>0</v>
      </c>
      <c r="BG44" s="243">
        <f t="shared" si="13"/>
        <v>0</v>
      </c>
      <c r="BH44" s="243">
        <f t="shared" si="13"/>
        <v>0</v>
      </c>
      <c r="BI44" s="243">
        <f t="shared" si="13"/>
        <v>0</v>
      </c>
      <c r="BJ44" s="243">
        <f t="shared" si="13"/>
        <v>0</v>
      </c>
      <c r="BK44" s="243">
        <f t="shared" si="13"/>
        <v>0</v>
      </c>
      <c r="BL44" s="243">
        <f t="shared" si="13"/>
        <v>0</v>
      </c>
      <c r="BM44" s="243">
        <f t="shared" si="13"/>
        <v>0</v>
      </c>
      <c r="BN44" s="243">
        <f t="shared" si="13"/>
        <v>0</v>
      </c>
      <c r="BO44" s="243">
        <f t="shared" ref="BO44:CT44" si="14">SUM(BO34:BO43)</f>
        <v>0</v>
      </c>
      <c r="BP44" s="243">
        <f t="shared" si="14"/>
        <v>0</v>
      </c>
      <c r="BQ44" s="243">
        <f t="shared" si="14"/>
        <v>0</v>
      </c>
      <c r="BR44" s="243">
        <f t="shared" si="14"/>
        <v>0</v>
      </c>
      <c r="BS44" s="243">
        <f t="shared" si="14"/>
        <v>0</v>
      </c>
      <c r="BT44" s="243">
        <f t="shared" si="14"/>
        <v>0</v>
      </c>
      <c r="BU44" s="243">
        <f t="shared" si="14"/>
        <v>0</v>
      </c>
      <c r="BV44" s="243">
        <f t="shared" si="14"/>
        <v>0</v>
      </c>
      <c r="BW44" s="243">
        <f t="shared" si="14"/>
        <v>0</v>
      </c>
      <c r="BX44" s="243">
        <f t="shared" si="14"/>
        <v>0</v>
      </c>
      <c r="BY44" s="243">
        <f t="shared" si="14"/>
        <v>0</v>
      </c>
      <c r="BZ44" s="243">
        <f t="shared" si="14"/>
        <v>0</v>
      </c>
      <c r="CA44" s="243">
        <f t="shared" si="14"/>
        <v>0</v>
      </c>
      <c r="CB44" s="243">
        <f t="shared" si="14"/>
        <v>0</v>
      </c>
      <c r="CC44" s="243">
        <f t="shared" si="14"/>
        <v>0</v>
      </c>
      <c r="CD44" s="243">
        <f t="shared" si="14"/>
        <v>0</v>
      </c>
      <c r="CE44" s="243">
        <f t="shared" si="14"/>
        <v>0</v>
      </c>
      <c r="CF44" s="243">
        <f t="shared" si="14"/>
        <v>0</v>
      </c>
      <c r="CG44" s="243">
        <f t="shared" si="14"/>
        <v>0</v>
      </c>
      <c r="CH44" s="243">
        <f t="shared" si="14"/>
        <v>0</v>
      </c>
      <c r="CI44" s="243">
        <f t="shared" si="14"/>
        <v>0</v>
      </c>
      <c r="CJ44" s="243">
        <f t="shared" si="14"/>
        <v>0</v>
      </c>
      <c r="CK44" s="243">
        <f t="shared" si="14"/>
        <v>0</v>
      </c>
      <c r="CL44" s="243">
        <f t="shared" si="14"/>
        <v>0</v>
      </c>
      <c r="CM44" s="243">
        <f t="shared" si="14"/>
        <v>0</v>
      </c>
      <c r="CN44" s="243">
        <f t="shared" si="14"/>
        <v>0</v>
      </c>
      <c r="CO44" s="243">
        <f t="shared" si="14"/>
        <v>0</v>
      </c>
      <c r="CP44" s="243">
        <f t="shared" si="14"/>
        <v>0</v>
      </c>
      <c r="CQ44" s="243">
        <f t="shared" si="14"/>
        <v>0</v>
      </c>
      <c r="CR44" s="243">
        <f t="shared" si="14"/>
        <v>0</v>
      </c>
      <c r="CS44" s="243">
        <f t="shared" si="14"/>
        <v>0</v>
      </c>
      <c r="CT44" s="243">
        <f t="shared" si="14"/>
        <v>0</v>
      </c>
      <c r="CU44" s="243">
        <f t="shared" ref="CU44:DR44" si="15">SUM(CU34:CU43)</f>
        <v>0</v>
      </c>
      <c r="CV44" s="243">
        <f t="shared" si="15"/>
        <v>0</v>
      </c>
      <c r="CW44" s="243">
        <f t="shared" si="15"/>
        <v>0</v>
      </c>
      <c r="CX44" s="243">
        <f t="shared" si="15"/>
        <v>0</v>
      </c>
      <c r="CY44" s="243">
        <f t="shared" si="15"/>
        <v>0</v>
      </c>
      <c r="CZ44" s="243">
        <f t="shared" si="15"/>
        <v>0</v>
      </c>
      <c r="DA44" s="243">
        <f t="shared" si="15"/>
        <v>0</v>
      </c>
      <c r="DB44" s="243">
        <f t="shared" si="15"/>
        <v>0</v>
      </c>
      <c r="DC44" s="243">
        <f t="shared" si="15"/>
        <v>0</v>
      </c>
      <c r="DD44" s="243">
        <f t="shared" si="15"/>
        <v>0</v>
      </c>
      <c r="DE44" s="243">
        <f t="shared" si="15"/>
        <v>0</v>
      </c>
      <c r="DF44" s="243">
        <f t="shared" si="15"/>
        <v>0</v>
      </c>
      <c r="DG44" s="243">
        <f t="shared" si="15"/>
        <v>0</v>
      </c>
      <c r="DH44" s="243">
        <f t="shared" si="15"/>
        <v>0</v>
      </c>
      <c r="DI44" s="243">
        <f t="shared" si="15"/>
        <v>0</v>
      </c>
      <c r="DJ44" s="243">
        <f t="shared" si="15"/>
        <v>0</v>
      </c>
      <c r="DK44" s="243">
        <f t="shared" si="15"/>
        <v>0</v>
      </c>
      <c r="DL44" s="243">
        <f t="shared" si="15"/>
        <v>0</v>
      </c>
      <c r="DM44" s="243">
        <f t="shared" si="15"/>
        <v>0</v>
      </c>
      <c r="DN44" s="243">
        <f t="shared" si="15"/>
        <v>0</v>
      </c>
      <c r="DO44" s="243">
        <f t="shared" si="15"/>
        <v>0</v>
      </c>
      <c r="DP44" s="243">
        <f t="shared" si="15"/>
        <v>0</v>
      </c>
      <c r="DQ44" s="243">
        <f t="shared" si="15"/>
        <v>0</v>
      </c>
      <c r="DR44" s="243">
        <f t="shared" si="15"/>
        <v>0</v>
      </c>
    </row>
    <row r="45" spans="1:122" ht="16.05" customHeight="1" x14ac:dyDescent="0.3">
      <c r="A45" s="1"/>
      <c r="B45" s="1"/>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3"/>
      <c r="AA45" s="123"/>
      <c r="AB45" s="123"/>
      <c r="AC45" s="123"/>
      <c r="AD45" s="123"/>
      <c r="AE45" s="123"/>
      <c r="AF45" s="123"/>
      <c r="AG45" s="123"/>
      <c r="AH45" s="123"/>
      <c r="AI45" s="123"/>
      <c r="AJ45" s="123"/>
      <c r="AK45" s="123"/>
      <c r="AL45" s="123"/>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3"/>
      <c r="BQ45" s="123"/>
      <c r="BR45" s="123"/>
      <c r="BS45" s="123"/>
      <c r="BT45" s="123"/>
      <c r="BU45" s="123"/>
      <c r="BV45" s="123"/>
      <c r="BW45" s="123"/>
      <c r="BX45" s="123"/>
      <c r="BY45" s="123"/>
      <c r="BZ45" s="123"/>
      <c r="CA45" s="123"/>
      <c r="CB45" s="123"/>
      <c r="CC45" s="123"/>
      <c r="CD45" s="123"/>
      <c r="CE45" s="123"/>
      <c r="CF45" s="123"/>
      <c r="CG45" s="123"/>
      <c r="CH45" s="123"/>
      <c r="CI45" s="123"/>
      <c r="CJ45" s="123"/>
      <c r="CK45" s="123"/>
      <c r="CL45" s="123"/>
      <c r="CM45" s="123"/>
      <c r="CN45" s="123"/>
      <c r="CO45" s="123"/>
      <c r="CP45" s="123"/>
      <c r="CQ45" s="123"/>
      <c r="CR45" s="123"/>
      <c r="CS45" s="123"/>
      <c r="CT45" s="123"/>
      <c r="CU45" s="123"/>
      <c r="CV45" s="123"/>
      <c r="CW45" s="123"/>
      <c r="CX45" s="123"/>
      <c r="CY45" s="123"/>
      <c r="CZ45" s="123"/>
      <c r="DA45" s="123"/>
      <c r="DB45" s="123"/>
      <c r="DC45" s="123"/>
      <c r="DD45" s="123"/>
      <c r="DE45" s="123"/>
      <c r="DF45" s="123"/>
      <c r="DG45" s="123"/>
      <c r="DH45" s="123"/>
      <c r="DI45" s="123"/>
      <c r="DJ45" s="123"/>
      <c r="DK45" s="123"/>
      <c r="DL45" s="123"/>
      <c r="DM45" s="123"/>
      <c r="DN45" s="123"/>
      <c r="DO45" s="123"/>
      <c r="DP45" s="123"/>
      <c r="DQ45" s="123"/>
      <c r="DR45" s="123"/>
    </row>
    <row r="46" spans="1:122" ht="19.95" customHeight="1" x14ac:dyDescent="0.3">
      <c r="A46" s="3" t="s">
        <v>58</v>
      </c>
      <c r="B46" s="3"/>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c r="CN46" s="244"/>
      <c r="CO46" s="244"/>
      <c r="CP46" s="244"/>
      <c r="CQ46" s="244"/>
      <c r="CR46" s="244"/>
      <c r="CS46" s="244"/>
      <c r="CT46" s="244"/>
      <c r="CU46" s="244"/>
      <c r="CV46" s="244"/>
      <c r="CW46" s="244"/>
      <c r="CX46" s="244"/>
      <c r="CY46" s="244"/>
      <c r="CZ46" s="244"/>
      <c r="DA46" s="244"/>
      <c r="DB46" s="244"/>
      <c r="DC46" s="244"/>
      <c r="DD46" s="244"/>
      <c r="DE46" s="244"/>
      <c r="DF46" s="244"/>
      <c r="DG46" s="244"/>
      <c r="DH46" s="244"/>
      <c r="DI46" s="244"/>
      <c r="DJ46" s="244"/>
      <c r="DK46" s="244"/>
      <c r="DL46" s="244"/>
      <c r="DM46" s="244"/>
      <c r="DN46" s="244"/>
      <c r="DO46" s="244"/>
      <c r="DP46" s="244"/>
      <c r="DQ46" s="244"/>
      <c r="DR46" s="244"/>
    </row>
    <row r="47" spans="1:122" ht="16.05" customHeight="1" x14ac:dyDescent="0.3">
      <c r="A47" s="148" t="str" cm="1">
        <f t="array" ref="A47">INDEX(Properties!$E:$E,$B47+5)</f>
        <v>Aires de Campestre Apto 801 (Penthouse)</v>
      </c>
      <c r="B47" s="1">
        <v>1</v>
      </c>
      <c r="C47" s="123" cm="1">
        <f t="array" ref="C47">INDEX(Properties!$D:$D,$B47+5)*(IF(AND(C$3&gt;=INDEX(Properties!$Q:$Q,$B47+5),C$3&lt;INDEX(Properties!$U:$U,$B47+5)),INDEX(Properties!$P:$P,$B47+5),0))</f>
        <v>0</v>
      </c>
      <c r="D47" s="123" cm="1">
        <f t="array" ref="D47">INDEX(Properties!$D:$D,$B47+5)*(IF(AND(D$3&gt;=INDEX(Properties!$Q:$Q,$B47+5),D$3&lt;INDEX(Properties!$U:$U,$B47+5)),INDEX(Properties!$P:$P,$B47+5),0))</f>
        <v>1168770.2265372169</v>
      </c>
      <c r="E47" s="123" cm="1">
        <f t="array" ref="E47">INDEX(Properties!$D:$D,$B47+5)*(IF(AND(E$3&gt;=INDEX(Properties!$Q:$Q,$B47+5),E$3&lt;INDEX(Properties!$U:$U,$B47+5)),INDEX(Properties!$P:$P,$B47+5),0))</f>
        <v>1168770.2265372169</v>
      </c>
      <c r="F47" s="123" cm="1">
        <f t="array" ref="F47">INDEX(Properties!$D:$D,$B47+5)*(IF(AND(F$3&gt;=INDEX(Properties!$Q:$Q,$B47+5),F$3&lt;INDEX(Properties!$U:$U,$B47+5)),INDEX(Properties!$P:$P,$B47+5),0))</f>
        <v>1168770.2265372169</v>
      </c>
      <c r="G47" s="123" cm="1">
        <f t="array" ref="G47">INDEX(Properties!$D:$D,$B47+5)*(IF(AND(G$3&gt;=INDEX(Properties!$Q:$Q,$B47+5),G$3&lt;INDEX(Properties!$U:$U,$B47+5)),INDEX(Properties!$P:$P,$B47+5),0))</f>
        <v>1168770.2265372169</v>
      </c>
      <c r="H47" s="123" cm="1">
        <f t="array" ref="H47">INDEX(Properties!$D:$D,$B47+5)*(IF(AND(H$3&gt;=INDEX(Properties!$Q:$Q,$B47+5),H$3&lt;INDEX(Properties!$U:$U,$B47+5)),INDEX(Properties!$P:$P,$B47+5),0))</f>
        <v>1168770.2265372169</v>
      </c>
      <c r="I47" s="123" cm="1">
        <f t="array" ref="I47">INDEX(Properties!$D:$D,$B47+5)*(IF(AND(I$3&gt;=INDEX(Properties!$Q:$Q,$B47+5),I$3&lt;INDEX(Properties!$U:$U,$B47+5)),INDEX(Properties!$P:$P,$B47+5),0))</f>
        <v>1168770.2265372169</v>
      </c>
      <c r="J47" s="123" cm="1">
        <f t="array" ref="J47">INDEX(Properties!$D:$D,$B47+5)*(IF(AND(J$3&gt;=INDEX(Properties!$Q:$Q,$B47+5),J$3&lt;INDEX(Properties!$U:$U,$B47+5)),INDEX(Properties!$P:$P,$B47+5),0))</f>
        <v>1168770.2265372169</v>
      </c>
      <c r="K47" s="123" cm="1">
        <f t="array" ref="K47">INDEX(Properties!$D:$D,$B47+5)*(IF(AND(K$3&gt;=INDEX(Properties!$Q:$Q,$B47+5),K$3&lt;INDEX(Properties!$U:$U,$B47+5)),INDEX(Properties!$P:$P,$B47+5),0))</f>
        <v>1168770.2265372169</v>
      </c>
      <c r="L47" s="123" cm="1">
        <f t="array" ref="L47">INDEX(Properties!$D:$D,$B47+5)*(IF(AND(L$3&gt;=INDEX(Properties!$Q:$Q,$B47+5),L$3&lt;INDEX(Properties!$U:$U,$B47+5)),INDEX(Properties!$P:$P,$B47+5),0))</f>
        <v>1168770.2265372169</v>
      </c>
      <c r="M47" s="123" cm="1">
        <f t="array" ref="M47">INDEX(Properties!$D:$D,$B47+5)*(IF(AND(M$3&gt;=INDEX(Properties!$Q:$Q,$B47+5),M$3&lt;INDEX(Properties!$U:$U,$B47+5)),INDEX(Properties!$P:$P,$B47+5),0))</f>
        <v>1168770.2265372169</v>
      </c>
      <c r="N47" s="123" cm="1">
        <f t="array" ref="N47">INDEX(Properties!$D:$D,$B47+5)*(IF(AND(N$3&gt;=INDEX(Properties!$Q:$Q,$B47+5),N$3&lt;INDEX(Properties!$U:$U,$B47+5)),INDEX(Properties!$P:$P,$B47+5),0))</f>
        <v>1168770.2265372169</v>
      </c>
      <c r="O47" s="123" cm="1">
        <f t="array" ref="O47">INDEX(Properties!$D:$D,$B47+5)*(IF(AND(O$3&gt;=INDEX(Properties!$Q:$Q,$B47+5),O$3&lt;INDEX(Properties!$U:$U,$B47+5)),INDEX(Properties!$P:$P,$B47+5),0))</f>
        <v>1168770.2265372169</v>
      </c>
      <c r="P47" s="123" cm="1">
        <f t="array" ref="P47">INDEX(Properties!$D:$D,$B47+5)*(IF(AND(P$3&gt;=INDEX(Properties!$Q:$Q,$B47+5),P$3&lt;INDEX(Properties!$U:$U,$B47+5)),INDEX(Properties!$P:$P,$B47+5),0))</f>
        <v>1168770.2265372169</v>
      </c>
      <c r="Q47" s="123" cm="1">
        <f t="array" ref="Q47">INDEX(Properties!$D:$D,$B47+5)*(IF(AND(Q$3&gt;=INDEX(Properties!$Q:$Q,$B47+5),Q$3&lt;INDEX(Properties!$U:$U,$B47+5)),INDEX(Properties!$P:$P,$B47+5),0))</f>
        <v>1168770.2265372169</v>
      </c>
      <c r="R47" s="123" cm="1">
        <f t="array" ref="R47">INDEX(Properties!$D:$D,$B47+5)*(IF(AND(R$3&gt;=INDEX(Properties!$Q:$Q,$B47+5),R$3&lt;INDEX(Properties!$U:$U,$B47+5)),INDEX(Properties!$P:$P,$B47+5),0))</f>
        <v>1168770.2265372169</v>
      </c>
      <c r="S47" s="123" cm="1">
        <f t="array" ref="S47">INDEX(Properties!$D:$D,$B47+5)*(IF(AND(S$3&gt;=INDEX(Properties!$Q:$Q,$B47+5),S$3&lt;INDEX(Properties!$U:$U,$B47+5)),INDEX(Properties!$P:$P,$B47+5),0))</f>
        <v>1168770.2265372169</v>
      </c>
      <c r="T47" s="123" cm="1">
        <f t="array" ref="T47">INDEX(Properties!$D:$D,$B47+5)*(IF(AND(T$3&gt;=INDEX(Properties!$Q:$Q,$B47+5),T$3&lt;INDEX(Properties!$U:$U,$B47+5)),INDEX(Properties!$P:$P,$B47+5),0))</f>
        <v>1168770.2265372169</v>
      </c>
      <c r="U47" s="123" cm="1">
        <f t="array" ref="U47">INDEX(Properties!$D:$D,$B47+5)*(IF(AND(U$3&gt;=INDEX(Properties!$Q:$Q,$B47+5),U$3&lt;INDEX(Properties!$U:$U,$B47+5)),INDEX(Properties!$P:$P,$B47+5),0))</f>
        <v>1168770.2265372169</v>
      </c>
      <c r="V47" s="123" cm="1">
        <f t="array" ref="V47">INDEX(Properties!$D:$D,$B47+5)*(IF(AND(V$3&gt;=INDEX(Properties!$Q:$Q,$B47+5),V$3&lt;INDEX(Properties!$U:$U,$B47+5)),INDEX(Properties!$P:$P,$B47+5),0))</f>
        <v>1168770.2265372169</v>
      </c>
      <c r="W47" s="123" cm="1">
        <f t="array" ref="W47">INDEX(Properties!$D:$D,$B47+5)*(IF(AND(W$3&gt;=INDEX(Properties!$Q:$Q,$B47+5),W$3&lt;INDEX(Properties!$U:$U,$B47+5)),INDEX(Properties!$P:$P,$B47+5),0))</f>
        <v>1168770.2265372169</v>
      </c>
      <c r="X47" s="123" cm="1">
        <f t="array" ref="X47">INDEX(Properties!$D:$D,$B47+5)*(IF(AND(X$3&gt;=INDEX(Properties!$Q:$Q,$B47+5),X$3&lt;INDEX(Properties!$U:$U,$B47+5)),INDEX(Properties!$P:$P,$B47+5),0))</f>
        <v>1168770.2265372169</v>
      </c>
      <c r="Y47" s="123" cm="1">
        <f t="array" ref="Y47">INDEX(Properties!$D:$D,$B47+5)*(IF(AND(Y$3&gt;=INDEX(Properties!$Q:$Q,$B47+5),Y$3&lt;INDEX(Properties!$U:$U,$B47+5)),INDEX(Properties!$P:$P,$B47+5),0))</f>
        <v>1168770.2265372169</v>
      </c>
      <c r="Z47" s="123" cm="1">
        <f t="array" ref="Z47">INDEX(Properties!$D:$D,$B47+5)*(IF(AND(Z$3&gt;=INDEX(Properties!$Q:$Q,$B47+5),Z$3&lt;INDEX(Properties!$U:$U,$B47+5)),INDEX(Properties!$P:$P,$B47+5),0))</f>
        <v>1168770.2265372169</v>
      </c>
      <c r="AA47" s="123" cm="1">
        <f t="array" ref="AA47">INDEX(Properties!$D:$D,$B47+5)*(IF(AND(AA$3&gt;=INDEX(Properties!$Q:$Q,$B47+5),AA$3&lt;INDEX(Properties!$U:$U,$B47+5)),INDEX(Properties!$P:$P,$B47+5),0))</f>
        <v>1168770.2265372169</v>
      </c>
      <c r="AB47" s="123" cm="1">
        <f t="array" ref="AB47">INDEX(Properties!$D:$D,$B47+5)*(IF(AND(AB$3&gt;=INDEX(Properties!$Q:$Q,$B47+5),AB$3&lt;INDEX(Properties!$U:$U,$B47+5)),INDEX(Properties!$P:$P,$B47+5),0))</f>
        <v>1168770.2265372169</v>
      </c>
      <c r="AC47" s="123" cm="1">
        <f t="array" ref="AC47">INDEX(Properties!$D:$D,$B47+5)*(IF(AND(AC$3&gt;=INDEX(Properties!$Q:$Q,$B47+5),AC$3&lt;INDEX(Properties!$U:$U,$B47+5)),INDEX(Properties!$P:$P,$B47+5),0))</f>
        <v>1168770.2265372169</v>
      </c>
      <c r="AD47" s="123" cm="1">
        <f t="array" ref="AD47">INDEX(Properties!$D:$D,$B47+5)*(IF(AND(AD$3&gt;=INDEX(Properties!$Q:$Q,$B47+5),AD$3&lt;INDEX(Properties!$U:$U,$B47+5)),INDEX(Properties!$P:$P,$B47+5),0))</f>
        <v>1168770.2265372169</v>
      </c>
      <c r="AE47" s="123" cm="1">
        <f t="array" ref="AE47">INDEX(Properties!$D:$D,$B47+5)*(IF(AND(AE$3&gt;=INDEX(Properties!$Q:$Q,$B47+5),AE$3&lt;INDEX(Properties!$U:$U,$B47+5)),INDEX(Properties!$P:$P,$B47+5),0))</f>
        <v>1168770.2265372169</v>
      </c>
      <c r="AF47" s="123" cm="1">
        <f t="array" ref="AF47">INDEX(Properties!$D:$D,$B47+5)*(IF(AND(AF$3&gt;=INDEX(Properties!$Q:$Q,$B47+5),AF$3&lt;INDEX(Properties!$U:$U,$B47+5)),INDEX(Properties!$P:$P,$B47+5),0))</f>
        <v>0</v>
      </c>
      <c r="AG47" s="123" cm="1">
        <f t="array" ref="AG47">INDEX(Properties!$D:$D,$B47+5)*(IF(AND(AG$3&gt;=INDEX(Properties!$Q:$Q,$B47+5),AG$3&lt;INDEX(Properties!$U:$U,$B47+5)),INDEX(Properties!$P:$P,$B47+5),0))</f>
        <v>0</v>
      </c>
      <c r="AH47" s="123" cm="1">
        <f t="array" ref="AH47">INDEX(Properties!$D:$D,$B47+5)*(IF(AND(AH$3&gt;=INDEX(Properties!$Q:$Q,$B47+5),AH$3&lt;INDEX(Properties!$U:$U,$B47+5)),INDEX(Properties!$P:$P,$B47+5),0))</f>
        <v>0</v>
      </c>
      <c r="AI47" s="123" cm="1">
        <f t="array" ref="AI47">INDEX(Properties!$D:$D,$B47+5)*(IF(AND(AI$3&gt;=INDEX(Properties!$Q:$Q,$B47+5),AI$3&lt;INDEX(Properties!$U:$U,$B47+5)),INDEX(Properties!$P:$P,$B47+5),0))</f>
        <v>0</v>
      </c>
      <c r="AJ47" s="123" cm="1">
        <f t="array" ref="AJ47">INDEX(Properties!$D:$D,$B47+5)*(IF(AND(AJ$3&gt;=INDEX(Properties!$Q:$Q,$B47+5),AJ$3&lt;INDEX(Properties!$U:$U,$B47+5)),INDEX(Properties!$P:$P,$B47+5),0))</f>
        <v>0</v>
      </c>
      <c r="AK47" s="123" cm="1">
        <f t="array" ref="AK47">INDEX(Properties!$D:$D,$B47+5)*(IF(AND(AK$3&gt;=INDEX(Properties!$Q:$Q,$B47+5),AK$3&lt;INDEX(Properties!$U:$U,$B47+5)),INDEX(Properties!$P:$P,$B47+5),0))</f>
        <v>0</v>
      </c>
      <c r="AL47" s="123" cm="1">
        <f t="array" ref="AL47">INDEX(Properties!$D:$D,$B47+5)*(IF(AND(AL$3&gt;=INDEX(Properties!$Q:$Q,$B47+5),AL$3&lt;INDEX(Properties!$U:$U,$B47+5)),INDEX(Properties!$P:$P,$B47+5),0))</f>
        <v>0</v>
      </c>
      <c r="AM47" s="123" cm="1">
        <f t="array" ref="AM47">INDEX(Properties!$D:$D,$B47+5)*(IF(AND(AM$3&gt;=INDEX(Properties!$Q:$Q,$B47+5),AM$3&lt;INDEX(Properties!$U:$U,$B47+5)),INDEX(Properties!$P:$P,$B47+5),0))</f>
        <v>0</v>
      </c>
      <c r="AN47" s="123" cm="1">
        <f t="array" ref="AN47">INDEX(Properties!$D:$D,$B47+5)*(IF(AND(AN$3&gt;=INDEX(Properties!$Q:$Q,$B47+5),AN$3&lt;INDEX(Properties!$U:$U,$B47+5)),INDEX(Properties!$P:$P,$B47+5),0))</f>
        <v>0</v>
      </c>
      <c r="AO47" s="123" cm="1">
        <f t="array" ref="AO47">INDEX(Properties!$D:$D,$B47+5)*(IF(AND(AO$3&gt;=INDEX(Properties!$Q:$Q,$B47+5),AO$3&lt;INDEX(Properties!$U:$U,$B47+5)),INDEX(Properties!$P:$P,$B47+5),0))</f>
        <v>0</v>
      </c>
      <c r="AP47" s="123" cm="1">
        <f t="array" ref="AP47">INDEX(Properties!$D:$D,$B47+5)*(IF(AND(AP$3&gt;=INDEX(Properties!$Q:$Q,$B47+5),AP$3&lt;INDEX(Properties!$U:$U,$B47+5)),INDEX(Properties!$P:$P,$B47+5),0))</f>
        <v>0</v>
      </c>
      <c r="AQ47" s="123" cm="1">
        <f t="array" ref="AQ47">INDEX(Properties!$D:$D,$B47+5)*(IF(AND(AQ$3&gt;=INDEX(Properties!$Q:$Q,$B47+5),AQ$3&lt;INDEX(Properties!$U:$U,$B47+5)),INDEX(Properties!$P:$P,$B47+5),0))</f>
        <v>0</v>
      </c>
      <c r="AR47" s="123" cm="1">
        <f t="array" ref="AR47">INDEX(Properties!$D:$D,$B47+5)*(IF(AND(AR$3&gt;=INDEX(Properties!$Q:$Q,$B47+5),AR$3&lt;INDEX(Properties!$U:$U,$B47+5)),INDEX(Properties!$P:$P,$B47+5),0))</f>
        <v>0</v>
      </c>
      <c r="AS47" s="123" cm="1">
        <f t="array" ref="AS47">INDEX(Properties!$D:$D,$B47+5)*(IF(AND(AS$3&gt;=INDEX(Properties!$Q:$Q,$B47+5),AS$3&lt;INDEX(Properties!$U:$U,$B47+5)),INDEX(Properties!$P:$P,$B47+5),0))</f>
        <v>0</v>
      </c>
      <c r="AT47" s="123" cm="1">
        <f t="array" ref="AT47">INDEX(Properties!$D:$D,$B47+5)*(IF(AND(AT$3&gt;=INDEX(Properties!$Q:$Q,$B47+5),AT$3&lt;INDEX(Properties!$U:$U,$B47+5)),INDEX(Properties!$P:$P,$B47+5),0))</f>
        <v>0</v>
      </c>
      <c r="AU47" s="123" cm="1">
        <f t="array" ref="AU47">INDEX(Properties!$D:$D,$B47+5)*(IF(AND(AU$3&gt;=INDEX(Properties!$Q:$Q,$B47+5),AU$3&lt;INDEX(Properties!$U:$U,$B47+5)),INDEX(Properties!$P:$P,$B47+5),0))</f>
        <v>0</v>
      </c>
      <c r="AV47" s="123" cm="1">
        <f t="array" ref="AV47">INDEX(Properties!$D:$D,$B47+5)*(IF(AND(AV$3&gt;=INDEX(Properties!$Q:$Q,$B47+5),AV$3&lt;INDEX(Properties!$U:$U,$B47+5)),INDEX(Properties!$P:$P,$B47+5),0))</f>
        <v>0</v>
      </c>
      <c r="AW47" s="123" cm="1">
        <f t="array" ref="AW47">INDEX(Properties!$D:$D,$B47+5)*(IF(AND(AW$3&gt;=INDEX(Properties!$Q:$Q,$B47+5),AW$3&lt;INDEX(Properties!$U:$U,$B47+5)),INDEX(Properties!$P:$P,$B47+5),0))</f>
        <v>0</v>
      </c>
      <c r="AX47" s="123" cm="1">
        <f t="array" ref="AX47">INDEX(Properties!$D:$D,$B47+5)*(IF(AND(AX$3&gt;=INDEX(Properties!$Q:$Q,$B47+5),AX$3&lt;INDEX(Properties!$U:$U,$B47+5)),INDEX(Properties!$P:$P,$B47+5),0))</f>
        <v>0</v>
      </c>
      <c r="AY47" s="123" cm="1">
        <f t="array" ref="AY47">INDEX(Properties!$D:$D,$B47+5)*(IF(AND(AY$3&gt;=INDEX(Properties!$Q:$Q,$B47+5),AY$3&lt;INDEX(Properties!$U:$U,$B47+5)),INDEX(Properties!$P:$P,$B47+5),0))</f>
        <v>0</v>
      </c>
      <c r="AZ47" s="123" cm="1">
        <f t="array" ref="AZ47">INDEX(Properties!$D:$D,$B47+5)*(IF(AND(AZ$3&gt;=INDEX(Properties!$Q:$Q,$B47+5),AZ$3&lt;INDEX(Properties!$U:$U,$B47+5)),INDEX(Properties!$P:$P,$B47+5),0))</f>
        <v>0</v>
      </c>
      <c r="BA47" s="123" cm="1">
        <f t="array" ref="BA47">INDEX(Properties!$D:$D,$B47+5)*(IF(AND(BA$3&gt;=INDEX(Properties!$Q:$Q,$B47+5),BA$3&lt;INDEX(Properties!$U:$U,$B47+5)),INDEX(Properties!$P:$P,$B47+5),0))</f>
        <v>0</v>
      </c>
      <c r="BB47" s="123" cm="1">
        <f t="array" ref="BB47">INDEX(Properties!$D:$D,$B47+5)*(IF(AND(BB$3&gt;=INDEX(Properties!$Q:$Q,$B47+5),BB$3&lt;INDEX(Properties!$U:$U,$B47+5)),INDEX(Properties!$P:$P,$B47+5),0))</f>
        <v>0</v>
      </c>
      <c r="BC47" s="123" cm="1">
        <f t="array" ref="BC47">INDEX(Properties!$D:$D,$B47+5)*(IF(AND(BC$3&gt;=INDEX(Properties!$Q:$Q,$B47+5),BC$3&lt;INDEX(Properties!$U:$U,$B47+5)),INDEX(Properties!$P:$P,$B47+5),0))</f>
        <v>0</v>
      </c>
      <c r="BD47" s="123" cm="1">
        <f t="array" ref="BD47">INDEX(Properties!$D:$D,$B47+5)*(IF(AND(BD$3&gt;=INDEX(Properties!$Q:$Q,$B47+5),BD$3&lt;INDEX(Properties!$U:$U,$B47+5)),INDEX(Properties!$P:$P,$B47+5),0))</f>
        <v>0</v>
      </c>
      <c r="BE47" s="123" cm="1">
        <f t="array" ref="BE47">INDEX(Properties!$D:$D,$B47+5)*(IF(AND(BE$3&gt;=INDEX(Properties!$Q:$Q,$B47+5),BE$3&lt;INDEX(Properties!$U:$U,$B47+5)),INDEX(Properties!$P:$P,$B47+5),0))</f>
        <v>0</v>
      </c>
      <c r="BF47" s="123" cm="1">
        <f t="array" ref="BF47">INDEX(Properties!$D:$D,$B47+5)*(IF(AND(BF$3&gt;=INDEX(Properties!$Q:$Q,$B47+5),BF$3&lt;INDEX(Properties!$U:$U,$B47+5)),INDEX(Properties!$P:$P,$B47+5),0))</f>
        <v>0</v>
      </c>
      <c r="BG47" s="123" cm="1">
        <f t="array" ref="BG47">INDEX(Properties!$D:$D,$B47+5)*(IF(AND(BG$3&gt;=INDEX(Properties!$Q:$Q,$B47+5),BG$3&lt;INDEX(Properties!$U:$U,$B47+5)),INDEX(Properties!$P:$P,$B47+5),0))</f>
        <v>0</v>
      </c>
      <c r="BH47" s="123" cm="1">
        <f t="array" ref="BH47">INDEX(Properties!$D:$D,$B47+5)*(IF(AND(BH$3&gt;=INDEX(Properties!$Q:$Q,$B47+5),BH$3&lt;INDEX(Properties!$U:$U,$B47+5)),INDEX(Properties!$P:$P,$B47+5),0))</f>
        <v>0</v>
      </c>
      <c r="BI47" s="123" cm="1">
        <f t="array" ref="BI47">INDEX(Properties!$D:$D,$B47+5)*(IF(AND(BI$3&gt;=INDEX(Properties!$Q:$Q,$B47+5),BI$3&lt;INDEX(Properties!$U:$U,$B47+5)),INDEX(Properties!$P:$P,$B47+5),0))</f>
        <v>0</v>
      </c>
      <c r="BJ47" s="123" cm="1">
        <f t="array" ref="BJ47">INDEX(Properties!$D:$D,$B47+5)*(IF(AND(BJ$3&gt;=INDEX(Properties!$Q:$Q,$B47+5),BJ$3&lt;INDEX(Properties!$U:$U,$B47+5)),INDEX(Properties!$P:$P,$B47+5),0))</f>
        <v>0</v>
      </c>
      <c r="BK47" s="123" cm="1">
        <f t="array" ref="BK47">INDEX(Properties!$D:$D,$B47+5)*(IF(AND(BK$3&gt;=INDEX(Properties!$Q:$Q,$B47+5),BK$3&lt;INDEX(Properties!$U:$U,$B47+5)),INDEX(Properties!$P:$P,$B47+5),0))</f>
        <v>0</v>
      </c>
      <c r="BL47" s="123" cm="1">
        <f t="array" ref="BL47">INDEX(Properties!$D:$D,$B47+5)*(IF(AND(BL$3&gt;=INDEX(Properties!$Q:$Q,$B47+5),BL$3&lt;INDEX(Properties!$U:$U,$B47+5)),INDEX(Properties!$P:$P,$B47+5),0))</f>
        <v>0</v>
      </c>
      <c r="BM47" s="123" cm="1">
        <f t="array" ref="BM47">INDEX(Properties!$D:$D,$B47+5)*(IF(AND(BM$3&gt;=INDEX(Properties!$Q:$Q,$B47+5),BM$3&lt;INDEX(Properties!$U:$U,$B47+5)),INDEX(Properties!$P:$P,$B47+5),0))</f>
        <v>0</v>
      </c>
      <c r="BN47" s="123" cm="1">
        <f t="array" ref="BN47">INDEX(Properties!$D:$D,$B47+5)*(IF(AND(BN$3&gt;=INDEX(Properties!$Q:$Q,$B47+5),BN$3&lt;INDEX(Properties!$U:$U,$B47+5)),INDEX(Properties!$P:$P,$B47+5),0))</f>
        <v>0</v>
      </c>
      <c r="BO47" s="123" cm="1">
        <f t="array" ref="BO47">INDEX(Properties!$D:$D,$B47+5)*(IF(AND(BO$3&gt;=INDEX(Properties!$Q:$Q,$B47+5),BO$3&lt;INDEX(Properties!$U:$U,$B47+5)),INDEX(Properties!$P:$P,$B47+5),0))</f>
        <v>0</v>
      </c>
      <c r="BP47" s="123" cm="1">
        <f t="array" ref="BP47">INDEX(Properties!$D:$D,$B47+5)*(IF(AND(BP$3&gt;=INDEX(Properties!$Q:$Q,$B47+5),BP$3&lt;INDEX(Properties!$U:$U,$B47+5)),INDEX(Properties!$P:$P,$B47+5),0))</f>
        <v>0</v>
      </c>
      <c r="BQ47" s="123" cm="1">
        <f t="array" ref="BQ47">INDEX(Properties!$D:$D,$B47+5)*(IF(AND(BQ$3&gt;=INDEX(Properties!$Q:$Q,$B47+5),BQ$3&lt;INDEX(Properties!$U:$U,$B47+5)),INDEX(Properties!$P:$P,$B47+5),0))</f>
        <v>0</v>
      </c>
      <c r="BR47" s="123" cm="1">
        <f t="array" ref="BR47">INDEX(Properties!$D:$D,$B47+5)*(IF(AND(BR$3&gt;=INDEX(Properties!$Q:$Q,$B47+5),BR$3&lt;INDEX(Properties!$U:$U,$B47+5)),INDEX(Properties!$P:$P,$B47+5),0))</f>
        <v>0</v>
      </c>
      <c r="BS47" s="123" cm="1">
        <f t="array" ref="BS47">INDEX(Properties!$D:$D,$B47+5)*(IF(AND(BS$3&gt;=INDEX(Properties!$Q:$Q,$B47+5),BS$3&lt;INDEX(Properties!$U:$U,$B47+5)),INDEX(Properties!$P:$P,$B47+5),0))</f>
        <v>0</v>
      </c>
      <c r="BT47" s="123" cm="1">
        <f t="array" ref="BT47">INDEX(Properties!$D:$D,$B47+5)*(IF(AND(BT$3&gt;=INDEX(Properties!$Q:$Q,$B47+5),BT$3&lt;INDEX(Properties!$U:$U,$B47+5)),INDEX(Properties!$P:$P,$B47+5),0))</f>
        <v>0</v>
      </c>
      <c r="BU47" s="123" cm="1">
        <f t="array" ref="BU47">INDEX(Properties!$D:$D,$B47+5)*(IF(AND(BU$3&gt;=INDEX(Properties!$Q:$Q,$B47+5),BU$3&lt;INDEX(Properties!$U:$U,$B47+5)),INDEX(Properties!$P:$P,$B47+5),0))</f>
        <v>0</v>
      </c>
      <c r="BV47" s="123" cm="1">
        <f t="array" ref="BV47">INDEX(Properties!$D:$D,$B47+5)*(IF(AND(BV$3&gt;=INDEX(Properties!$Q:$Q,$B47+5),BV$3&lt;INDEX(Properties!$U:$U,$B47+5)),INDEX(Properties!$P:$P,$B47+5),0))</f>
        <v>0</v>
      </c>
      <c r="BW47" s="123" cm="1">
        <f t="array" ref="BW47">INDEX(Properties!$D:$D,$B47+5)*(IF(AND(BW$3&gt;=INDEX(Properties!$Q:$Q,$B47+5),BW$3&lt;INDEX(Properties!$U:$U,$B47+5)),INDEX(Properties!$P:$P,$B47+5),0))</f>
        <v>0</v>
      </c>
      <c r="BX47" s="123" cm="1">
        <f t="array" ref="BX47">INDEX(Properties!$D:$D,$B47+5)*(IF(AND(BX$3&gt;=INDEX(Properties!$Q:$Q,$B47+5),BX$3&lt;INDEX(Properties!$U:$U,$B47+5)),INDEX(Properties!$P:$P,$B47+5),0))</f>
        <v>0</v>
      </c>
      <c r="BY47" s="123" cm="1">
        <f t="array" ref="BY47">INDEX(Properties!$D:$D,$B47+5)*(IF(AND(BY$3&gt;=INDEX(Properties!$Q:$Q,$B47+5),BY$3&lt;INDEX(Properties!$U:$U,$B47+5)),INDEX(Properties!$P:$P,$B47+5),0))</f>
        <v>0</v>
      </c>
      <c r="BZ47" s="123" cm="1">
        <f t="array" ref="BZ47">INDEX(Properties!$D:$D,$B47+5)*(IF(AND(BZ$3&gt;=INDEX(Properties!$Q:$Q,$B47+5),BZ$3&lt;INDEX(Properties!$U:$U,$B47+5)),INDEX(Properties!$P:$P,$B47+5),0))</f>
        <v>0</v>
      </c>
      <c r="CA47" s="123" cm="1">
        <f t="array" ref="CA47">INDEX(Properties!$D:$D,$B47+5)*(IF(AND(CA$3&gt;=INDEX(Properties!$Q:$Q,$B47+5),CA$3&lt;INDEX(Properties!$U:$U,$B47+5)),INDEX(Properties!$P:$P,$B47+5),0))</f>
        <v>0</v>
      </c>
      <c r="CB47" s="123" cm="1">
        <f t="array" ref="CB47">INDEX(Properties!$D:$D,$B47+5)*(IF(AND(CB$3&gt;=INDEX(Properties!$Q:$Q,$B47+5),CB$3&lt;INDEX(Properties!$U:$U,$B47+5)),INDEX(Properties!$P:$P,$B47+5),0))</f>
        <v>0</v>
      </c>
      <c r="CC47" s="123" cm="1">
        <f t="array" ref="CC47">INDEX(Properties!$D:$D,$B47+5)*(IF(AND(CC$3&gt;=INDEX(Properties!$Q:$Q,$B47+5),CC$3&lt;INDEX(Properties!$U:$U,$B47+5)),INDEX(Properties!$P:$P,$B47+5),0))</f>
        <v>0</v>
      </c>
      <c r="CD47" s="123" cm="1">
        <f t="array" ref="CD47">INDEX(Properties!$D:$D,$B47+5)*(IF(AND(CD$3&gt;=INDEX(Properties!$Q:$Q,$B47+5),CD$3&lt;INDEX(Properties!$U:$U,$B47+5)),INDEX(Properties!$P:$P,$B47+5),0))</f>
        <v>0</v>
      </c>
      <c r="CE47" s="123" cm="1">
        <f t="array" ref="CE47">INDEX(Properties!$D:$D,$B47+5)*(IF(AND(CE$3&gt;=INDEX(Properties!$Q:$Q,$B47+5),CE$3&lt;INDEX(Properties!$U:$U,$B47+5)),INDEX(Properties!$P:$P,$B47+5),0))</f>
        <v>0</v>
      </c>
      <c r="CF47" s="123" cm="1">
        <f t="array" ref="CF47">INDEX(Properties!$D:$D,$B47+5)*(IF(AND(CF$3&gt;=INDEX(Properties!$Q:$Q,$B47+5),CF$3&lt;INDEX(Properties!$U:$U,$B47+5)),INDEX(Properties!$P:$P,$B47+5),0))</f>
        <v>0</v>
      </c>
      <c r="CG47" s="123" cm="1">
        <f t="array" ref="CG47">INDEX(Properties!$D:$D,$B47+5)*(IF(AND(CG$3&gt;=INDEX(Properties!$Q:$Q,$B47+5),CG$3&lt;INDEX(Properties!$U:$U,$B47+5)),INDEX(Properties!$P:$P,$B47+5),0))</f>
        <v>0</v>
      </c>
      <c r="CH47" s="123" cm="1">
        <f t="array" ref="CH47">INDEX(Properties!$D:$D,$B47+5)*(IF(AND(CH$3&gt;=INDEX(Properties!$Q:$Q,$B47+5),CH$3&lt;INDEX(Properties!$U:$U,$B47+5)),INDEX(Properties!$P:$P,$B47+5),0))</f>
        <v>0</v>
      </c>
      <c r="CI47" s="123" cm="1">
        <f t="array" ref="CI47">INDEX(Properties!$D:$D,$B47+5)*(IF(AND(CI$3&gt;=INDEX(Properties!$Q:$Q,$B47+5),CI$3&lt;INDEX(Properties!$U:$U,$B47+5)),INDEX(Properties!$P:$P,$B47+5),0))</f>
        <v>0</v>
      </c>
      <c r="CJ47" s="123" cm="1">
        <f t="array" ref="CJ47">INDEX(Properties!$D:$D,$B47+5)*(IF(AND(CJ$3&gt;=INDEX(Properties!$Q:$Q,$B47+5),CJ$3&lt;INDEX(Properties!$U:$U,$B47+5)),INDEX(Properties!$P:$P,$B47+5),0))</f>
        <v>0</v>
      </c>
      <c r="CK47" s="123" cm="1">
        <f t="array" ref="CK47">INDEX(Properties!$D:$D,$B47+5)*(IF(AND(CK$3&gt;=INDEX(Properties!$Q:$Q,$B47+5),CK$3&lt;INDEX(Properties!$U:$U,$B47+5)),INDEX(Properties!$P:$P,$B47+5),0))</f>
        <v>0</v>
      </c>
      <c r="CL47" s="123" cm="1">
        <f t="array" ref="CL47">INDEX(Properties!$D:$D,$B47+5)*(IF(AND(CL$3&gt;=INDEX(Properties!$Q:$Q,$B47+5),CL$3&lt;INDEX(Properties!$U:$U,$B47+5)),INDEX(Properties!$P:$P,$B47+5),0))</f>
        <v>0</v>
      </c>
      <c r="CM47" s="123" cm="1">
        <f t="array" ref="CM47">INDEX(Properties!$D:$D,$B47+5)*(IF(AND(CM$3&gt;=INDEX(Properties!$Q:$Q,$B47+5),CM$3&lt;INDEX(Properties!$U:$U,$B47+5)),INDEX(Properties!$P:$P,$B47+5),0))</f>
        <v>0</v>
      </c>
      <c r="CN47" s="123" cm="1">
        <f t="array" ref="CN47">INDEX(Properties!$D:$D,$B47+5)*(IF(AND(CN$3&gt;=INDEX(Properties!$Q:$Q,$B47+5),CN$3&lt;INDEX(Properties!$U:$U,$B47+5)),INDEX(Properties!$P:$P,$B47+5),0))</f>
        <v>0</v>
      </c>
      <c r="CO47" s="123" cm="1">
        <f t="array" ref="CO47">INDEX(Properties!$D:$D,$B47+5)*(IF(AND(CO$3&gt;=INDEX(Properties!$Q:$Q,$B47+5),CO$3&lt;INDEX(Properties!$U:$U,$B47+5)),INDEX(Properties!$P:$P,$B47+5),0))</f>
        <v>0</v>
      </c>
      <c r="CP47" s="123" cm="1">
        <f t="array" ref="CP47">INDEX(Properties!$D:$D,$B47+5)*(IF(AND(CP$3&gt;=INDEX(Properties!$Q:$Q,$B47+5),CP$3&lt;INDEX(Properties!$U:$U,$B47+5)),INDEX(Properties!$P:$P,$B47+5),0))</f>
        <v>0</v>
      </c>
      <c r="CQ47" s="123" cm="1">
        <f t="array" ref="CQ47">INDEX(Properties!$D:$D,$B47+5)*(IF(AND(CQ$3&gt;=INDEX(Properties!$Q:$Q,$B47+5),CQ$3&lt;INDEX(Properties!$U:$U,$B47+5)),INDEX(Properties!$P:$P,$B47+5),0))</f>
        <v>0</v>
      </c>
      <c r="CR47" s="123" cm="1">
        <f t="array" ref="CR47">INDEX(Properties!$D:$D,$B47+5)*(IF(AND(CR$3&gt;=INDEX(Properties!$Q:$Q,$B47+5),CR$3&lt;INDEX(Properties!$U:$U,$B47+5)),INDEX(Properties!$P:$P,$B47+5),0))</f>
        <v>0</v>
      </c>
      <c r="CS47" s="123" cm="1">
        <f t="array" ref="CS47">INDEX(Properties!$D:$D,$B47+5)*(IF(AND(CS$3&gt;=INDEX(Properties!$Q:$Q,$B47+5),CS$3&lt;INDEX(Properties!$U:$U,$B47+5)),INDEX(Properties!$P:$P,$B47+5),0))</f>
        <v>0</v>
      </c>
      <c r="CT47" s="123" cm="1">
        <f t="array" ref="CT47">INDEX(Properties!$D:$D,$B47+5)*(IF(AND(CT$3&gt;=INDEX(Properties!$Q:$Q,$B47+5),CT$3&lt;INDEX(Properties!$U:$U,$B47+5)),INDEX(Properties!$P:$P,$B47+5),0))</f>
        <v>0</v>
      </c>
      <c r="CU47" s="123" cm="1">
        <f t="array" ref="CU47">INDEX(Properties!$D:$D,$B47+5)*(IF(AND(CU$3&gt;=INDEX(Properties!$Q:$Q,$B47+5),CU$3&lt;INDEX(Properties!$U:$U,$B47+5)),INDEX(Properties!$P:$P,$B47+5),0))</f>
        <v>0</v>
      </c>
      <c r="CV47" s="123" cm="1">
        <f t="array" ref="CV47">INDEX(Properties!$D:$D,$B47+5)*(IF(AND(CV$3&gt;=INDEX(Properties!$Q:$Q,$B47+5),CV$3&lt;INDEX(Properties!$U:$U,$B47+5)),INDEX(Properties!$P:$P,$B47+5),0))</f>
        <v>0</v>
      </c>
      <c r="CW47" s="123" cm="1">
        <f t="array" ref="CW47">INDEX(Properties!$D:$D,$B47+5)*(IF(AND(CW$3&gt;=INDEX(Properties!$Q:$Q,$B47+5),CW$3&lt;INDEX(Properties!$U:$U,$B47+5)),INDEX(Properties!$P:$P,$B47+5),0))</f>
        <v>0</v>
      </c>
      <c r="CX47" s="123" cm="1">
        <f t="array" ref="CX47">INDEX(Properties!$D:$D,$B47+5)*(IF(AND(CX$3&gt;=INDEX(Properties!$Q:$Q,$B47+5),CX$3&lt;INDEX(Properties!$U:$U,$B47+5)),INDEX(Properties!$P:$P,$B47+5),0))</f>
        <v>0</v>
      </c>
      <c r="CY47" s="123" cm="1">
        <f t="array" ref="CY47">INDEX(Properties!$D:$D,$B47+5)*(IF(AND(CY$3&gt;=INDEX(Properties!$Q:$Q,$B47+5),CY$3&lt;INDEX(Properties!$U:$U,$B47+5)),INDEX(Properties!$P:$P,$B47+5),0))</f>
        <v>0</v>
      </c>
      <c r="CZ47" s="123" cm="1">
        <f t="array" ref="CZ47">INDEX(Properties!$D:$D,$B47+5)*(IF(AND(CZ$3&gt;=INDEX(Properties!$Q:$Q,$B47+5),CZ$3&lt;INDEX(Properties!$U:$U,$B47+5)),INDEX(Properties!$P:$P,$B47+5),0))</f>
        <v>0</v>
      </c>
      <c r="DA47" s="123" cm="1">
        <f t="array" ref="DA47">INDEX(Properties!$D:$D,$B47+5)*(IF(AND(DA$3&gt;=INDEX(Properties!$Q:$Q,$B47+5),DA$3&lt;INDEX(Properties!$U:$U,$B47+5)),INDEX(Properties!$P:$P,$B47+5),0))</f>
        <v>0</v>
      </c>
      <c r="DB47" s="123" cm="1">
        <f t="array" ref="DB47">INDEX(Properties!$D:$D,$B47+5)*(IF(AND(DB$3&gt;=INDEX(Properties!$Q:$Q,$B47+5),DB$3&lt;INDEX(Properties!$U:$U,$B47+5)),INDEX(Properties!$P:$P,$B47+5),0))</f>
        <v>0</v>
      </c>
      <c r="DC47" s="123" cm="1">
        <f t="array" ref="DC47">INDEX(Properties!$D:$D,$B47+5)*(IF(AND(DC$3&gt;=INDEX(Properties!$Q:$Q,$B47+5),DC$3&lt;INDEX(Properties!$U:$U,$B47+5)),INDEX(Properties!$P:$P,$B47+5),0))</f>
        <v>0</v>
      </c>
      <c r="DD47" s="123" cm="1">
        <f t="array" ref="DD47">INDEX(Properties!$D:$D,$B47+5)*(IF(AND(DD$3&gt;=INDEX(Properties!$Q:$Q,$B47+5),DD$3&lt;INDEX(Properties!$U:$U,$B47+5)),INDEX(Properties!$P:$P,$B47+5),0))</f>
        <v>0</v>
      </c>
      <c r="DE47" s="123" cm="1">
        <f t="array" ref="DE47">INDEX(Properties!$D:$D,$B47+5)*(IF(AND(DE$3&gt;=INDEX(Properties!$Q:$Q,$B47+5),DE$3&lt;INDEX(Properties!$U:$U,$B47+5)),INDEX(Properties!$P:$P,$B47+5),0))</f>
        <v>0</v>
      </c>
      <c r="DF47" s="123" cm="1">
        <f t="array" ref="DF47">INDEX(Properties!$D:$D,$B47+5)*(IF(AND(DF$3&gt;=INDEX(Properties!$Q:$Q,$B47+5),DF$3&lt;INDEX(Properties!$U:$U,$B47+5)),INDEX(Properties!$P:$P,$B47+5),0))</f>
        <v>0</v>
      </c>
      <c r="DG47" s="123" cm="1">
        <f t="array" ref="DG47">INDEX(Properties!$D:$D,$B47+5)*(IF(AND(DG$3&gt;=INDEX(Properties!$Q:$Q,$B47+5),DG$3&lt;INDEX(Properties!$U:$U,$B47+5)),INDEX(Properties!$P:$P,$B47+5),0))</f>
        <v>0</v>
      </c>
      <c r="DH47" s="123" cm="1">
        <f t="array" ref="DH47">INDEX(Properties!$D:$D,$B47+5)*(IF(AND(DH$3&gt;=INDEX(Properties!$Q:$Q,$B47+5),DH$3&lt;INDEX(Properties!$U:$U,$B47+5)),INDEX(Properties!$P:$P,$B47+5),0))</f>
        <v>0</v>
      </c>
      <c r="DI47" s="123" cm="1">
        <f t="array" ref="DI47">INDEX(Properties!$D:$D,$B47+5)*(IF(AND(DI$3&gt;=INDEX(Properties!$Q:$Q,$B47+5),DI$3&lt;INDEX(Properties!$U:$U,$B47+5)),INDEX(Properties!$P:$P,$B47+5),0))</f>
        <v>0</v>
      </c>
      <c r="DJ47" s="123" cm="1">
        <f t="array" ref="DJ47">INDEX(Properties!$D:$D,$B47+5)*(IF(AND(DJ$3&gt;=INDEX(Properties!$Q:$Q,$B47+5),DJ$3&lt;INDEX(Properties!$U:$U,$B47+5)),INDEX(Properties!$P:$P,$B47+5),0))</f>
        <v>0</v>
      </c>
      <c r="DK47" s="123" cm="1">
        <f t="array" ref="DK47">INDEX(Properties!$D:$D,$B47+5)*(IF(AND(DK$3&gt;=INDEX(Properties!$Q:$Q,$B47+5),DK$3&lt;INDEX(Properties!$U:$U,$B47+5)),INDEX(Properties!$P:$P,$B47+5),0))</f>
        <v>0</v>
      </c>
      <c r="DL47" s="123" cm="1">
        <f t="array" ref="DL47">INDEX(Properties!$D:$D,$B47+5)*(IF(AND(DL$3&gt;=INDEX(Properties!$Q:$Q,$B47+5),DL$3&lt;INDEX(Properties!$U:$U,$B47+5)),INDEX(Properties!$P:$P,$B47+5),0))</f>
        <v>0</v>
      </c>
      <c r="DM47" s="123" cm="1">
        <f t="array" ref="DM47">INDEX(Properties!$D:$D,$B47+5)*(IF(AND(DM$3&gt;=INDEX(Properties!$Q:$Q,$B47+5),DM$3&lt;INDEX(Properties!$U:$U,$B47+5)),INDEX(Properties!$P:$P,$B47+5),0))</f>
        <v>0</v>
      </c>
      <c r="DN47" s="123" cm="1">
        <f t="array" ref="DN47">INDEX(Properties!$D:$D,$B47+5)*(IF(AND(DN$3&gt;=INDEX(Properties!$Q:$Q,$B47+5),DN$3&lt;INDEX(Properties!$U:$U,$B47+5)),INDEX(Properties!$P:$P,$B47+5),0))</f>
        <v>0</v>
      </c>
      <c r="DO47" s="123" cm="1">
        <f t="array" ref="DO47">INDEX(Properties!$D:$D,$B47+5)*(IF(AND(DO$3&gt;=INDEX(Properties!$Q:$Q,$B47+5),DO$3&lt;INDEX(Properties!$U:$U,$B47+5)),INDEX(Properties!$P:$P,$B47+5),0))</f>
        <v>0</v>
      </c>
      <c r="DP47" s="123" cm="1">
        <f t="array" ref="DP47">INDEX(Properties!$D:$D,$B47+5)*(IF(AND(DP$3&gt;=INDEX(Properties!$Q:$Q,$B47+5),DP$3&lt;INDEX(Properties!$U:$U,$B47+5)),INDEX(Properties!$P:$P,$B47+5),0))</f>
        <v>0</v>
      </c>
      <c r="DQ47" s="123" cm="1">
        <f t="array" ref="DQ47">INDEX(Properties!$D:$D,$B47+5)*(IF(AND(DQ$3&gt;=INDEX(Properties!$Q:$Q,$B47+5),DQ$3&lt;INDEX(Properties!$U:$U,$B47+5)),INDEX(Properties!$P:$P,$B47+5),0))</f>
        <v>0</v>
      </c>
      <c r="DR47" s="123" cm="1">
        <f t="array" ref="DR47">INDEX(Properties!$D:$D,$B47+5)*(IF(AND(DR$3&gt;=INDEX(Properties!$Q:$Q,$B47+5),DR$3&lt;INDEX(Properties!$U:$U,$B47+5)),INDEX(Properties!$P:$P,$B47+5),0))</f>
        <v>0</v>
      </c>
    </row>
    <row r="48" spans="1:122" ht="16.05" customHeight="1" x14ac:dyDescent="0.3">
      <c r="A48" s="148" t="str" cm="1">
        <f t="array" ref="A48">INDEX(Properties!$E:$E,$B48+5)</f>
        <v>Fontanar Apto 201 (Penthouse)</v>
      </c>
      <c r="B48" s="1">
        <v>2</v>
      </c>
      <c r="C48" s="123" cm="1">
        <f t="array" ref="C48">INDEX(Properties!$D:$D,$B48+5)*(IF(AND(C$3&gt;=INDEX(Properties!$Q:$Q,$B48+5),C$3&lt;INDEX(Properties!$U:$U,$B48+5)),INDEX(Properties!$P:$P,$B48+5),0))</f>
        <v>1290857.6051779937</v>
      </c>
      <c r="D48" s="123" cm="1">
        <f t="array" ref="D48">INDEX(Properties!$D:$D,$B48+5)*(IF(AND(D$3&gt;=INDEX(Properties!$Q:$Q,$B48+5),D$3&lt;INDEX(Properties!$U:$U,$B48+5)),INDEX(Properties!$P:$P,$B48+5),0))</f>
        <v>1290857.6051779937</v>
      </c>
      <c r="E48" s="123" cm="1">
        <f t="array" ref="E48">INDEX(Properties!$D:$D,$B48+5)*(IF(AND(E$3&gt;=INDEX(Properties!$Q:$Q,$B48+5),E$3&lt;INDEX(Properties!$U:$U,$B48+5)),INDEX(Properties!$P:$P,$B48+5),0))</f>
        <v>1290857.6051779937</v>
      </c>
      <c r="F48" s="123" cm="1">
        <f t="array" ref="F48">INDEX(Properties!$D:$D,$B48+5)*(IF(AND(F$3&gt;=INDEX(Properties!$Q:$Q,$B48+5),F$3&lt;INDEX(Properties!$U:$U,$B48+5)),INDEX(Properties!$P:$P,$B48+5),0))</f>
        <v>1290857.6051779937</v>
      </c>
      <c r="G48" s="123" cm="1">
        <f t="array" ref="G48">INDEX(Properties!$D:$D,$B48+5)*(IF(AND(G$3&gt;=INDEX(Properties!$Q:$Q,$B48+5),G$3&lt;INDEX(Properties!$U:$U,$B48+5)),INDEX(Properties!$P:$P,$B48+5),0))</f>
        <v>1290857.6051779937</v>
      </c>
      <c r="H48" s="123" cm="1">
        <f t="array" ref="H48">INDEX(Properties!$D:$D,$B48+5)*(IF(AND(H$3&gt;=INDEX(Properties!$Q:$Q,$B48+5),H$3&lt;INDEX(Properties!$U:$U,$B48+5)),INDEX(Properties!$P:$P,$B48+5),0))</f>
        <v>1290857.6051779937</v>
      </c>
      <c r="I48" s="123" cm="1">
        <f t="array" ref="I48">INDEX(Properties!$D:$D,$B48+5)*(IF(AND(I$3&gt;=INDEX(Properties!$Q:$Q,$B48+5),I$3&lt;INDEX(Properties!$U:$U,$B48+5)),INDEX(Properties!$P:$P,$B48+5),0))</f>
        <v>1290857.6051779937</v>
      </c>
      <c r="J48" s="123" cm="1">
        <f t="array" ref="J48">INDEX(Properties!$D:$D,$B48+5)*(IF(AND(J$3&gt;=INDEX(Properties!$Q:$Q,$B48+5),J$3&lt;INDEX(Properties!$U:$U,$B48+5)),INDEX(Properties!$P:$P,$B48+5),0))</f>
        <v>1290857.6051779937</v>
      </c>
      <c r="K48" s="123" cm="1">
        <f t="array" ref="K48">INDEX(Properties!$D:$D,$B48+5)*(IF(AND(K$3&gt;=INDEX(Properties!$Q:$Q,$B48+5),K$3&lt;INDEX(Properties!$U:$U,$B48+5)),INDEX(Properties!$P:$P,$B48+5),0))</f>
        <v>1290857.6051779937</v>
      </c>
      <c r="L48" s="123" cm="1">
        <f t="array" ref="L48">INDEX(Properties!$D:$D,$B48+5)*(IF(AND(L$3&gt;=INDEX(Properties!$Q:$Q,$B48+5),L$3&lt;INDEX(Properties!$U:$U,$B48+5)),INDEX(Properties!$P:$P,$B48+5),0))</f>
        <v>1290857.6051779937</v>
      </c>
      <c r="M48" s="123" cm="1">
        <f t="array" ref="M48">INDEX(Properties!$D:$D,$B48+5)*(IF(AND(M$3&gt;=INDEX(Properties!$Q:$Q,$B48+5),M$3&lt;INDEX(Properties!$U:$U,$B48+5)),INDEX(Properties!$P:$P,$B48+5),0))</f>
        <v>1290857.6051779937</v>
      </c>
      <c r="N48" s="123" cm="1">
        <f t="array" ref="N48">INDEX(Properties!$D:$D,$B48+5)*(IF(AND(N$3&gt;=INDEX(Properties!$Q:$Q,$B48+5),N$3&lt;INDEX(Properties!$U:$U,$B48+5)),INDEX(Properties!$P:$P,$B48+5),0))</f>
        <v>1290857.6051779937</v>
      </c>
      <c r="O48" s="123" cm="1">
        <f t="array" ref="O48">INDEX(Properties!$D:$D,$B48+5)*(IF(AND(O$3&gt;=INDEX(Properties!$Q:$Q,$B48+5),O$3&lt;INDEX(Properties!$U:$U,$B48+5)),INDEX(Properties!$P:$P,$B48+5),0))</f>
        <v>1290857.6051779937</v>
      </c>
      <c r="P48" s="123" cm="1">
        <f t="array" ref="P48">INDEX(Properties!$D:$D,$B48+5)*(IF(AND(P$3&gt;=INDEX(Properties!$Q:$Q,$B48+5),P$3&lt;INDEX(Properties!$U:$U,$B48+5)),INDEX(Properties!$P:$P,$B48+5),0))</f>
        <v>1290857.6051779937</v>
      </c>
      <c r="Q48" s="123" cm="1">
        <f t="array" ref="Q48">INDEX(Properties!$D:$D,$B48+5)*(IF(AND(Q$3&gt;=INDEX(Properties!$Q:$Q,$B48+5),Q$3&lt;INDEX(Properties!$U:$U,$B48+5)),INDEX(Properties!$P:$P,$B48+5),0))</f>
        <v>1290857.6051779937</v>
      </c>
      <c r="R48" s="123" cm="1">
        <f t="array" ref="R48">INDEX(Properties!$D:$D,$B48+5)*(IF(AND(R$3&gt;=INDEX(Properties!$Q:$Q,$B48+5),R$3&lt;INDEX(Properties!$U:$U,$B48+5)),INDEX(Properties!$P:$P,$B48+5),0))</f>
        <v>1290857.6051779937</v>
      </c>
      <c r="S48" s="123" cm="1">
        <f t="array" ref="S48">INDEX(Properties!$D:$D,$B48+5)*(IF(AND(S$3&gt;=INDEX(Properties!$Q:$Q,$B48+5),S$3&lt;INDEX(Properties!$U:$U,$B48+5)),INDEX(Properties!$P:$P,$B48+5),0))</f>
        <v>1290857.6051779937</v>
      </c>
      <c r="T48" s="123" cm="1">
        <f t="array" ref="T48">INDEX(Properties!$D:$D,$B48+5)*(IF(AND(T$3&gt;=INDEX(Properties!$Q:$Q,$B48+5),T$3&lt;INDEX(Properties!$U:$U,$B48+5)),INDEX(Properties!$P:$P,$B48+5),0))</f>
        <v>1290857.6051779937</v>
      </c>
      <c r="U48" s="123" cm="1">
        <f t="array" ref="U48">INDEX(Properties!$D:$D,$B48+5)*(IF(AND(U$3&gt;=INDEX(Properties!$Q:$Q,$B48+5),U$3&lt;INDEX(Properties!$U:$U,$B48+5)),INDEX(Properties!$P:$P,$B48+5),0))</f>
        <v>1290857.6051779937</v>
      </c>
      <c r="V48" s="123" cm="1">
        <f t="array" ref="V48">INDEX(Properties!$D:$D,$B48+5)*(IF(AND(V$3&gt;=INDEX(Properties!$Q:$Q,$B48+5),V$3&lt;INDEX(Properties!$U:$U,$B48+5)),INDEX(Properties!$P:$P,$B48+5),0))</f>
        <v>1290857.6051779937</v>
      </c>
      <c r="W48" s="123" cm="1">
        <f t="array" ref="W48">INDEX(Properties!$D:$D,$B48+5)*(IF(AND(W$3&gt;=INDEX(Properties!$Q:$Q,$B48+5),W$3&lt;INDEX(Properties!$U:$U,$B48+5)),INDEX(Properties!$P:$P,$B48+5),0))</f>
        <v>1290857.6051779937</v>
      </c>
      <c r="X48" s="123" cm="1">
        <f t="array" ref="X48">INDEX(Properties!$D:$D,$B48+5)*(IF(AND(X$3&gt;=INDEX(Properties!$Q:$Q,$B48+5),X$3&lt;INDEX(Properties!$U:$U,$B48+5)),INDEX(Properties!$P:$P,$B48+5),0))</f>
        <v>1290857.6051779937</v>
      </c>
      <c r="Y48" s="123" cm="1">
        <f t="array" ref="Y48">INDEX(Properties!$D:$D,$B48+5)*(IF(AND(Y$3&gt;=INDEX(Properties!$Q:$Q,$B48+5),Y$3&lt;INDEX(Properties!$U:$U,$B48+5)),INDEX(Properties!$P:$P,$B48+5),0))</f>
        <v>1290857.6051779937</v>
      </c>
      <c r="Z48" s="123" cm="1">
        <f t="array" ref="Z48">INDEX(Properties!$D:$D,$B48+5)*(IF(AND(Z$3&gt;=INDEX(Properties!$Q:$Q,$B48+5),Z$3&lt;INDEX(Properties!$U:$U,$B48+5)),INDEX(Properties!$P:$P,$B48+5),0))</f>
        <v>1290857.6051779937</v>
      </c>
      <c r="AA48" s="123" cm="1">
        <f t="array" ref="AA48">INDEX(Properties!$D:$D,$B48+5)*(IF(AND(AA$3&gt;=INDEX(Properties!$Q:$Q,$B48+5),AA$3&lt;INDEX(Properties!$U:$U,$B48+5)),INDEX(Properties!$P:$P,$B48+5),0))</f>
        <v>1290857.6051779937</v>
      </c>
      <c r="AB48" s="123" cm="1">
        <f t="array" ref="AB48">INDEX(Properties!$D:$D,$B48+5)*(IF(AND(AB$3&gt;=INDEX(Properties!$Q:$Q,$B48+5),AB$3&lt;INDEX(Properties!$U:$U,$B48+5)),INDEX(Properties!$P:$P,$B48+5),0))</f>
        <v>1290857.6051779937</v>
      </c>
      <c r="AC48" s="123" cm="1">
        <f t="array" ref="AC48">INDEX(Properties!$D:$D,$B48+5)*(IF(AND(AC$3&gt;=INDEX(Properties!$Q:$Q,$B48+5),AC$3&lt;INDEX(Properties!$U:$U,$B48+5)),INDEX(Properties!$P:$P,$B48+5),0))</f>
        <v>1290857.6051779937</v>
      </c>
      <c r="AD48" s="123" cm="1">
        <f t="array" ref="AD48">INDEX(Properties!$D:$D,$B48+5)*(IF(AND(AD$3&gt;=INDEX(Properties!$Q:$Q,$B48+5),AD$3&lt;INDEX(Properties!$U:$U,$B48+5)),INDEX(Properties!$P:$P,$B48+5),0))</f>
        <v>1290857.6051779937</v>
      </c>
      <c r="AE48" s="123" cm="1">
        <f t="array" ref="AE48">INDEX(Properties!$D:$D,$B48+5)*(IF(AND(AE$3&gt;=INDEX(Properties!$Q:$Q,$B48+5),AE$3&lt;INDEX(Properties!$U:$U,$B48+5)),INDEX(Properties!$P:$P,$B48+5),0))</f>
        <v>1290857.6051779937</v>
      </c>
      <c r="AF48" s="123" cm="1">
        <f t="array" ref="AF48">INDEX(Properties!$D:$D,$B48+5)*(IF(AND(AF$3&gt;=INDEX(Properties!$Q:$Q,$B48+5),AF$3&lt;INDEX(Properties!$U:$U,$B48+5)),INDEX(Properties!$P:$P,$B48+5),0))</f>
        <v>1290857.6051779937</v>
      </c>
      <c r="AG48" s="123" cm="1">
        <f t="array" ref="AG48">INDEX(Properties!$D:$D,$B48+5)*(IF(AND(AG$3&gt;=INDEX(Properties!$Q:$Q,$B48+5),AG$3&lt;INDEX(Properties!$U:$U,$B48+5)),INDEX(Properties!$P:$P,$B48+5),0))</f>
        <v>0</v>
      </c>
      <c r="AH48" s="123" cm="1">
        <f t="array" ref="AH48">INDEX(Properties!$D:$D,$B48+5)*(IF(AND(AH$3&gt;=INDEX(Properties!$Q:$Q,$B48+5),AH$3&lt;INDEX(Properties!$U:$U,$B48+5)),INDEX(Properties!$P:$P,$B48+5),0))</f>
        <v>0</v>
      </c>
      <c r="AI48" s="123" cm="1">
        <f t="array" ref="AI48">INDEX(Properties!$D:$D,$B48+5)*(IF(AND(AI$3&gt;=INDEX(Properties!$Q:$Q,$B48+5),AI$3&lt;INDEX(Properties!$U:$U,$B48+5)),INDEX(Properties!$P:$P,$B48+5),0))</f>
        <v>0</v>
      </c>
      <c r="AJ48" s="123" cm="1">
        <f t="array" ref="AJ48">INDEX(Properties!$D:$D,$B48+5)*(IF(AND(AJ$3&gt;=INDEX(Properties!$Q:$Q,$B48+5),AJ$3&lt;INDEX(Properties!$U:$U,$B48+5)),INDEX(Properties!$P:$P,$B48+5),0))</f>
        <v>0</v>
      </c>
      <c r="AK48" s="123" cm="1">
        <f t="array" ref="AK48">INDEX(Properties!$D:$D,$B48+5)*(IF(AND(AK$3&gt;=INDEX(Properties!$Q:$Q,$B48+5),AK$3&lt;INDEX(Properties!$U:$U,$B48+5)),INDEX(Properties!$P:$P,$B48+5),0))</f>
        <v>0</v>
      </c>
      <c r="AL48" s="123" cm="1">
        <f t="array" ref="AL48">INDEX(Properties!$D:$D,$B48+5)*(IF(AND(AL$3&gt;=INDEX(Properties!$Q:$Q,$B48+5),AL$3&lt;INDEX(Properties!$U:$U,$B48+5)),INDEX(Properties!$P:$P,$B48+5),0))</f>
        <v>0</v>
      </c>
      <c r="AM48" s="123" cm="1">
        <f t="array" ref="AM48">INDEX(Properties!$D:$D,$B48+5)*(IF(AND(AM$3&gt;=INDEX(Properties!$Q:$Q,$B48+5),AM$3&lt;INDEX(Properties!$U:$U,$B48+5)),INDEX(Properties!$P:$P,$B48+5),0))</f>
        <v>0</v>
      </c>
      <c r="AN48" s="123" cm="1">
        <f t="array" ref="AN48">INDEX(Properties!$D:$D,$B48+5)*(IF(AND(AN$3&gt;=INDEX(Properties!$Q:$Q,$B48+5),AN$3&lt;INDEX(Properties!$U:$U,$B48+5)),INDEX(Properties!$P:$P,$B48+5),0))</f>
        <v>0</v>
      </c>
      <c r="AO48" s="123" cm="1">
        <f t="array" ref="AO48">INDEX(Properties!$D:$D,$B48+5)*(IF(AND(AO$3&gt;=INDEX(Properties!$Q:$Q,$B48+5),AO$3&lt;INDEX(Properties!$U:$U,$B48+5)),INDEX(Properties!$P:$P,$B48+5),0))</f>
        <v>0</v>
      </c>
      <c r="AP48" s="123" cm="1">
        <f t="array" ref="AP48">INDEX(Properties!$D:$D,$B48+5)*(IF(AND(AP$3&gt;=INDEX(Properties!$Q:$Q,$B48+5),AP$3&lt;INDEX(Properties!$U:$U,$B48+5)),INDEX(Properties!$P:$P,$B48+5),0))</f>
        <v>0</v>
      </c>
      <c r="AQ48" s="123" cm="1">
        <f t="array" ref="AQ48">INDEX(Properties!$D:$D,$B48+5)*(IF(AND(AQ$3&gt;=INDEX(Properties!$Q:$Q,$B48+5),AQ$3&lt;INDEX(Properties!$U:$U,$B48+5)),INDEX(Properties!$P:$P,$B48+5),0))</f>
        <v>0</v>
      </c>
      <c r="AR48" s="123" cm="1">
        <f t="array" ref="AR48">INDEX(Properties!$D:$D,$B48+5)*(IF(AND(AR$3&gt;=INDEX(Properties!$Q:$Q,$B48+5),AR$3&lt;INDEX(Properties!$U:$U,$B48+5)),INDEX(Properties!$P:$P,$B48+5),0))</f>
        <v>0</v>
      </c>
      <c r="AS48" s="123" cm="1">
        <f t="array" ref="AS48">INDEX(Properties!$D:$D,$B48+5)*(IF(AND(AS$3&gt;=INDEX(Properties!$Q:$Q,$B48+5),AS$3&lt;INDEX(Properties!$U:$U,$B48+5)),INDEX(Properties!$P:$P,$B48+5),0))</f>
        <v>0</v>
      </c>
      <c r="AT48" s="123" cm="1">
        <f t="array" ref="AT48">INDEX(Properties!$D:$D,$B48+5)*(IF(AND(AT$3&gt;=INDEX(Properties!$Q:$Q,$B48+5),AT$3&lt;INDEX(Properties!$U:$U,$B48+5)),INDEX(Properties!$P:$P,$B48+5),0))</f>
        <v>0</v>
      </c>
      <c r="AU48" s="123" cm="1">
        <f t="array" ref="AU48">INDEX(Properties!$D:$D,$B48+5)*(IF(AND(AU$3&gt;=INDEX(Properties!$Q:$Q,$B48+5),AU$3&lt;INDEX(Properties!$U:$U,$B48+5)),INDEX(Properties!$P:$P,$B48+5),0))</f>
        <v>0</v>
      </c>
      <c r="AV48" s="123" cm="1">
        <f t="array" ref="AV48">INDEX(Properties!$D:$D,$B48+5)*(IF(AND(AV$3&gt;=INDEX(Properties!$Q:$Q,$B48+5),AV$3&lt;INDEX(Properties!$U:$U,$B48+5)),INDEX(Properties!$P:$P,$B48+5),0))</f>
        <v>0</v>
      </c>
      <c r="AW48" s="123" cm="1">
        <f t="array" ref="AW48">INDEX(Properties!$D:$D,$B48+5)*(IF(AND(AW$3&gt;=INDEX(Properties!$Q:$Q,$B48+5),AW$3&lt;INDEX(Properties!$U:$U,$B48+5)),INDEX(Properties!$P:$P,$B48+5),0))</f>
        <v>0</v>
      </c>
      <c r="AX48" s="123" cm="1">
        <f t="array" ref="AX48">INDEX(Properties!$D:$D,$B48+5)*(IF(AND(AX$3&gt;=INDEX(Properties!$Q:$Q,$B48+5),AX$3&lt;INDEX(Properties!$U:$U,$B48+5)),INDEX(Properties!$P:$P,$B48+5),0))</f>
        <v>0</v>
      </c>
      <c r="AY48" s="123" cm="1">
        <f t="array" ref="AY48">INDEX(Properties!$D:$D,$B48+5)*(IF(AND(AY$3&gt;=INDEX(Properties!$Q:$Q,$B48+5),AY$3&lt;INDEX(Properties!$U:$U,$B48+5)),INDEX(Properties!$P:$P,$B48+5),0))</f>
        <v>0</v>
      </c>
      <c r="AZ48" s="123" cm="1">
        <f t="array" ref="AZ48">INDEX(Properties!$D:$D,$B48+5)*(IF(AND(AZ$3&gt;=INDEX(Properties!$Q:$Q,$B48+5),AZ$3&lt;INDEX(Properties!$U:$U,$B48+5)),INDEX(Properties!$P:$P,$B48+5),0))</f>
        <v>0</v>
      </c>
      <c r="BA48" s="123" cm="1">
        <f t="array" ref="BA48">INDEX(Properties!$D:$D,$B48+5)*(IF(AND(BA$3&gt;=INDEX(Properties!$Q:$Q,$B48+5),BA$3&lt;INDEX(Properties!$U:$U,$B48+5)),INDEX(Properties!$P:$P,$B48+5),0))</f>
        <v>0</v>
      </c>
      <c r="BB48" s="123" cm="1">
        <f t="array" ref="BB48">INDEX(Properties!$D:$D,$B48+5)*(IF(AND(BB$3&gt;=INDEX(Properties!$Q:$Q,$B48+5),BB$3&lt;INDEX(Properties!$U:$U,$B48+5)),INDEX(Properties!$P:$P,$B48+5),0))</f>
        <v>0</v>
      </c>
      <c r="BC48" s="123" cm="1">
        <f t="array" ref="BC48">INDEX(Properties!$D:$D,$B48+5)*(IF(AND(BC$3&gt;=INDEX(Properties!$Q:$Q,$B48+5),BC$3&lt;INDEX(Properties!$U:$U,$B48+5)),INDEX(Properties!$P:$P,$B48+5),0))</f>
        <v>0</v>
      </c>
      <c r="BD48" s="123" cm="1">
        <f t="array" ref="BD48">INDEX(Properties!$D:$D,$B48+5)*(IF(AND(BD$3&gt;=INDEX(Properties!$Q:$Q,$B48+5),BD$3&lt;INDEX(Properties!$U:$U,$B48+5)),INDEX(Properties!$P:$P,$B48+5),0))</f>
        <v>0</v>
      </c>
      <c r="BE48" s="123" cm="1">
        <f t="array" ref="BE48">INDEX(Properties!$D:$D,$B48+5)*(IF(AND(BE$3&gt;=INDEX(Properties!$Q:$Q,$B48+5),BE$3&lt;INDEX(Properties!$U:$U,$B48+5)),INDEX(Properties!$P:$P,$B48+5),0))</f>
        <v>0</v>
      </c>
      <c r="BF48" s="123" cm="1">
        <f t="array" ref="BF48">INDEX(Properties!$D:$D,$B48+5)*(IF(AND(BF$3&gt;=INDEX(Properties!$Q:$Q,$B48+5),BF$3&lt;INDEX(Properties!$U:$U,$B48+5)),INDEX(Properties!$P:$P,$B48+5),0))</f>
        <v>0</v>
      </c>
      <c r="BG48" s="123" cm="1">
        <f t="array" ref="BG48">INDEX(Properties!$D:$D,$B48+5)*(IF(AND(BG$3&gt;=INDEX(Properties!$Q:$Q,$B48+5),BG$3&lt;INDEX(Properties!$U:$U,$B48+5)),INDEX(Properties!$P:$P,$B48+5),0))</f>
        <v>0</v>
      </c>
      <c r="BH48" s="123" cm="1">
        <f t="array" ref="BH48">INDEX(Properties!$D:$D,$B48+5)*(IF(AND(BH$3&gt;=INDEX(Properties!$Q:$Q,$B48+5),BH$3&lt;INDEX(Properties!$U:$U,$B48+5)),INDEX(Properties!$P:$P,$B48+5),0))</f>
        <v>0</v>
      </c>
      <c r="BI48" s="123" cm="1">
        <f t="array" ref="BI48">INDEX(Properties!$D:$D,$B48+5)*(IF(AND(BI$3&gt;=INDEX(Properties!$Q:$Q,$B48+5),BI$3&lt;INDEX(Properties!$U:$U,$B48+5)),INDEX(Properties!$P:$P,$B48+5),0))</f>
        <v>0</v>
      </c>
      <c r="BJ48" s="123" cm="1">
        <f t="array" ref="BJ48">INDEX(Properties!$D:$D,$B48+5)*(IF(AND(BJ$3&gt;=INDEX(Properties!$Q:$Q,$B48+5),BJ$3&lt;INDEX(Properties!$U:$U,$B48+5)),INDEX(Properties!$P:$P,$B48+5),0))</f>
        <v>0</v>
      </c>
      <c r="BK48" s="123" cm="1">
        <f t="array" ref="BK48">INDEX(Properties!$D:$D,$B48+5)*(IF(AND(BK$3&gt;=INDEX(Properties!$Q:$Q,$B48+5),BK$3&lt;INDEX(Properties!$U:$U,$B48+5)),INDEX(Properties!$P:$P,$B48+5),0))</f>
        <v>0</v>
      </c>
      <c r="BL48" s="123" cm="1">
        <f t="array" ref="BL48">INDEX(Properties!$D:$D,$B48+5)*(IF(AND(BL$3&gt;=INDEX(Properties!$Q:$Q,$B48+5),BL$3&lt;INDEX(Properties!$U:$U,$B48+5)),INDEX(Properties!$P:$P,$B48+5),0))</f>
        <v>0</v>
      </c>
      <c r="BM48" s="123" cm="1">
        <f t="array" ref="BM48">INDEX(Properties!$D:$D,$B48+5)*(IF(AND(BM$3&gt;=INDEX(Properties!$Q:$Q,$B48+5),BM$3&lt;INDEX(Properties!$U:$U,$B48+5)),INDEX(Properties!$P:$P,$B48+5),0))</f>
        <v>0</v>
      </c>
      <c r="BN48" s="123" cm="1">
        <f t="array" ref="BN48">INDEX(Properties!$D:$D,$B48+5)*(IF(AND(BN$3&gt;=INDEX(Properties!$Q:$Q,$B48+5),BN$3&lt;INDEX(Properties!$U:$U,$B48+5)),INDEX(Properties!$P:$P,$B48+5),0))</f>
        <v>0</v>
      </c>
      <c r="BO48" s="123" cm="1">
        <f t="array" ref="BO48">INDEX(Properties!$D:$D,$B48+5)*(IF(AND(BO$3&gt;=INDEX(Properties!$Q:$Q,$B48+5),BO$3&lt;INDEX(Properties!$U:$U,$B48+5)),INDEX(Properties!$P:$P,$B48+5),0))</f>
        <v>0</v>
      </c>
      <c r="BP48" s="123" cm="1">
        <f t="array" ref="BP48">INDEX(Properties!$D:$D,$B48+5)*(IF(AND(BP$3&gt;=INDEX(Properties!$Q:$Q,$B48+5),BP$3&lt;INDEX(Properties!$U:$U,$B48+5)),INDEX(Properties!$P:$P,$B48+5),0))</f>
        <v>0</v>
      </c>
      <c r="BQ48" s="123" cm="1">
        <f t="array" ref="BQ48">INDEX(Properties!$D:$D,$B48+5)*(IF(AND(BQ$3&gt;=INDEX(Properties!$Q:$Q,$B48+5),BQ$3&lt;INDEX(Properties!$U:$U,$B48+5)),INDEX(Properties!$P:$P,$B48+5),0))</f>
        <v>0</v>
      </c>
      <c r="BR48" s="123" cm="1">
        <f t="array" ref="BR48">INDEX(Properties!$D:$D,$B48+5)*(IF(AND(BR$3&gt;=INDEX(Properties!$Q:$Q,$B48+5),BR$3&lt;INDEX(Properties!$U:$U,$B48+5)),INDEX(Properties!$P:$P,$B48+5),0))</f>
        <v>0</v>
      </c>
      <c r="BS48" s="123" cm="1">
        <f t="array" ref="BS48">INDEX(Properties!$D:$D,$B48+5)*(IF(AND(BS$3&gt;=INDEX(Properties!$Q:$Q,$B48+5),BS$3&lt;INDEX(Properties!$U:$U,$B48+5)),INDEX(Properties!$P:$P,$B48+5),0))</f>
        <v>0</v>
      </c>
      <c r="BT48" s="123" cm="1">
        <f t="array" ref="BT48">INDEX(Properties!$D:$D,$B48+5)*(IF(AND(BT$3&gt;=INDEX(Properties!$Q:$Q,$B48+5),BT$3&lt;INDEX(Properties!$U:$U,$B48+5)),INDEX(Properties!$P:$P,$B48+5),0))</f>
        <v>0</v>
      </c>
      <c r="BU48" s="123" cm="1">
        <f t="array" ref="BU48">INDEX(Properties!$D:$D,$B48+5)*(IF(AND(BU$3&gt;=INDEX(Properties!$Q:$Q,$B48+5),BU$3&lt;INDEX(Properties!$U:$U,$B48+5)),INDEX(Properties!$P:$P,$B48+5),0))</f>
        <v>0</v>
      </c>
      <c r="BV48" s="123" cm="1">
        <f t="array" ref="BV48">INDEX(Properties!$D:$D,$B48+5)*(IF(AND(BV$3&gt;=INDEX(Properties!$Q:$Q,$B48+5),BV$3&lt;INDEX(Properties!$U:$U,$B48+5)),INDEX(Properties!$P:$P,$B48+5),0))</f>
        <v>0</v>
      </c>
      <c r="BW48" s="123" cm="1">
        <f t="array" ref="BW48">INDEX(Properties!$D:$D,$B48+5)*(IF(AND(BW$3&gt;=INDEX(Properties!$Q:$Q,$B48+5),BW$3&lt;INDEX(Properties!$U:$U,$B48+5)),INDEX(Properties!$P:$P,$B48+5),0))</f>
        <v>0</v>
      </c>
      <c r="BX48" s="123" cm="1">
        <f t="array" ref="BX48">INDEX(Properties!$D:$D,$B48+5)*(IF(AND(BX$3&gt;=INDEX(Properties!$Q:$Q,$B48+5),BX$3&lt;INDEX(Properties!$U:$U,$B48+5)),INDEX(Properties!$P:$P,$B48+5),0))</f>
        <v>0</v>
      </c>
      <c r="BY48" s="123" cm="1">
        <f t="array" ref="BY48">INDEX(Properties!$D:$D,$B48+5)*(IF(AND(BY$3&gt;=INDEX(Properties!$Q:$Q,$B48+5),BY$3&lt;INDEX(Properties!$U:$U,$B48+5)),INDEX(Properties!$P:$P,$B48+5),0))</f>
        <v>0</v>
      </c>
      <c r="BZ48" s="123" cm="1">
        <f t="array" ref="BZ48">INDEX(Properties!$D:$D,$B48+5)*(IF(AND(BZ$3&gt;=INDEX(Properties!$Q:$Q,$B48+5),BZ$3&lt;INDEX(Properties!$U:$U,$B48+5)),INDEX(Properties!$P:$P,$B48+5),0))</f>
        <v>0</v>
      </c>
      <c r="CA48" s="123" cm="1">
        <f t="array" ref="CA48">INDEX(Properties!$D:$D,$B48+5)*(IF(AND(CA$3&gt;=INDEX(Properties!$Q:$Q,$B48+5),CA$3&lt;INDEX(Properties!$U:$U,$B48+5)),INDEX(Properties!$P:$P,$B48+5),0))</f>
        <v>0</v>
      </c>
      <c r="CB48" s="123" cm="1">
        <f t="array" ref="CB48">INDEX(Properties!$D:$D,$B48+5)*(IF(AND(CB$3&gt;=INDEX(Properties!$Q:$Q,$B48+5),CB$3&lt;INDEX(Properties!$U:$U,$B48+5)),INDEX(Properties!$P:$P,$B48+5),0))</f>
        <v>0</v>
      </c>
      <c r="CC48" s="123" cm="1">
        <f t="array" ref="CC48">INDEX(Properties!$D:$D,$B48+5)*(IF(AND(CC$3&gt;=INDEX(Properties!$Q:$Q,$B48+5),CC$3&lt;INDEX(Properties!$U:$U,$B48+5)),INDEX(Properties!$P:$P,$B48+5),0))</f>
        <v>0</v>
      </c>
      <c r="CD48" s="123" cm="1">
        <f t="array" ref="CD48">INDEX(Properties!$D:$D,$B48+5)*(IF(AND(CD$3&gt;=INDEX(Properties!$Q:$Q,$B48+5),CD$3&lt;INDEX(Properties!$U:$U,$B48+5)),INDEX(Properties!$P:$P,$B48+5),0))</f>
        <v>0</v>
      </c>
      <c r="CE48" s="123" cm="1">
        <f t="array" ref="CE48">INDEX(Properties!$D:$D,$B48+5)*(IF(AND(CE$3&gt;=INDEX(Properties!$Q:$Q,$B48+5),CE$3&lt;INDEX(Properties!$U:$U,$B48+5)),INDEX(Properties!$P:$P,$B48+5),0))</f>
        <v>0</v>
      </c>
      <c r="CF48" s="123" cm="1">
        <f t="array" ref="CF48">INDEX(Properties!$D:$D,$B48+5)*(IF(AND(CF$3&gt;=INDEX(Properties!$Q:$Q,$B48+5),CF$3&lt;INDEX(Properties!$U:$U,$B48+5)),INDEX(Properties!$P:$P,$B48+5),0))</f>
        <v>0</v>
      </c>
      <c r="CG48" s="123" cm="1">
        <f t="array" ref="CG48">INDEX(Properties!$D:$D,$B48+5)*(IF(AND(CG$3&gt;=INDEX(Properties!$Q:$Q,$B48+5),CG$3&lt;INDEX(Properties!$U:$U,$B48+5)),INDEX(Properties!$P:$P,$B48+5),0))</f>
        <v>0</v>
      </c>
      <c r="CH48" s="123" cm="1">
        <f t="array" ref="CH48">INDEX(Properties!$D:$D,$B48+5)*(IF(AND(CH$3&gt;=INDEX(Properties!$Q:$Q,$B48+5),CH$3&lt;INDEX(Properties!$U:$U,$B48+5)),INDEX(Properties!$P:$P,$B48+5),0))</f>
        <v>0</v>
      </c>
      <c r="CI48" s="123" cm="1">
        <f t="array" ref="CI48">INDEX(Properties!$D:$D,$B48+5)*(IF(AND(CI$3&gt;=INDEX(Properties!$Q:$Q,$B48+5),CI$3&lt;INDEX(Properties!$U:$U,$B48+5)),INDEX(Properties!$P:$P,$B48+5),0))</f>
        <v>0</v>
      </c>
      <c r="CJ48" s="123" cm="1">
        <f t="array" ref="CJ48">INDEX(Properties!$D:$D,$B48+5)*(IF(AND(CJ$3&gt;=INDEX(Properties!$Q:$Q,$B48+5),CJ$3&lt;INDEX(Properties!$U:$U,$B48+5)),INDEX(Properties!$P:$P,$B48+5),0))</f>
        <v>0</v>
      </c>
      <c r="CK48" s="123" cm="1">
        <f t="array" ref="CK48">INDEX(Properties!$D:$D,$B48+5)*(IF(AND(CK$3&gt;=INDEX(Properties!$Q:$Q,$B48+5),CK$3&lt;INDEX(Properties!$U:$U,$B48+5)),INDEX(Properties!$P:$P,$B48+5),0))</f>
        <v>0</v>
      </c>
      <c r="CL48" s="123" cm="1">
        <f t="array" ref="CL48">INDEX(Properties!$D:$D,$B48+5)*(IF(AND(CL$3&gt;=INDEX(Properties!$Q:$Q,$B48+5),CL$3&lt;INDEX(Properties!$U:$U,$B48+5)),INDEX(Properties!$P:$P,$B48+5),0))</f>
        <v>0</v>
      </c>
      <c r="CM48" s="123" cm="1">
        <f t="array" ref="CM48">INDEX(Properties!$D:$D,$B48+5)*(IF(AND(CM$3&gt;=INDEX(Properties!$Q:$Q,$B48+5),CM$3&lt;INDEX(Properties!$U:$U,$B48+5)),INDEX(Properties!$P:$P,$B48+5),0))</f>
        <v>0</v>
      </c>
      <c r="CN48" s="123" cm="1">
        <f t="array" ref="CN48">INDEX(Properties!$D:$D,$B48+5)*(IF(AND(CN$3&gt;=INDEX(Properties!$Q:$Q,$B48+5),CN$3&lt;INDEX(Properties!$U:$U,$B48+5)),INDEX(Properties!$P:$P,$B48+5),0))</f>
        <v>0</v>
      </c>
      <c r="CO48" s="123" cm="1">
        <f t="array" ref="CO48">INDEX(Properties!$D:$D,$B48+5)*(IF(AND(CO$3&gt;=INDEX(Properties!$Q:$Q,$B48+5),CO$3&lt;INDEX(Properties!$U:$U,$B48+5)),INDEX(Properties!$P:$P,$B48+5),0))</f>
        <v>0</v>
      </c>
      <c r="CP48" s="123" cm="1">
        <f t="array" ref="CP48">INDEX(Properties!$D:$D,$B48+5)*(IF(AND(CP$3&gt;=INDEX(Properties!$Q:$Q,$B48+5),CP$3&lt;INDEX(Properties!$U:$U,$B48+5)),INDEX(Properties!$P:$P,$B48+5),0))</f>
        <v>0</v>
      </c>
      <c r="CQ48" s="123" cm="1">
        <f t="array" ref="CQ48">INDEX(Properties!$D:$D,$B48+5)*(IF(AND(CQ$3&gt;=INDEX(Properties!$Q:$Q,$B48+5),CQ$3&lt;INDEX(Properties!$U:$U,$B48+5)),INDEX(Properties!$P:$P,$B48+5),0))</f>
        <v>0</v>
      </c>
      <c r="CR48" s="123" cm="1">
        <f t="array" ref="CR48">INDEX(Properties!$D:$D,$B48+5)*(IF(AND(CR$3&gt;=INDEX(Properties!$Q:$Q,$B48+5),CR$3&lt;INDEX(Properties!$U:$U,$B48+5)),INDEX(Properties!$P:$P,$B48+5),0))</f>
        <v>0</v>
      </c>
      <c r="CS48" s="123" cm="1">
        <f t="array" ref="CS48">INDEX(Properties!$D:$D,$B48+5)*(IF(AND(CS$3&gt;=INDEX(Properties!$Q:$Q,$B48+5),CS$3&lt;INDEX(Properties!$U:$U,$B48+5)),INDEX(Properties!$P:$P,$B48+5),0))</f>
        <v>0</v>
      </c>
      <c r="CT48" s="123" cm="1">
        <f t="array" ref="CT48">INDEX(Properties!$D:$D,$B48+5)*(IF(AND(CT$3&gt;=INDEX(Properties!$Q:$Q,$B48+5),CT$3&lt;INDEX(Properties!$U:$U,$B48+5)),INDEX(Properties!$P:$P,$B48+5),0))</f>
        <v>0</v>
      </c>
      <c r="CU48" s="123" cm="1">
        <f t="array" ref="CU48">INDEX(Properties!$D:$D,$B48+5)*(IF(AND(CU$3&gt;=INDEX(Properties!$Q:$Q,$B48+5),CU$3&lt;INDEX(Properties!$U:$U,$B48+5)),INDEX(Properties!$P:$P,$B48+5),0))</f>
        <v>0</v>
      </c>
      <c r="CV48" s="123" cm="1">
        <f t="array" ref="CV48">INDEX(Properties!$D:$D,$B48+5)*(IF(AND(CV$3&gt;=INDEX(Properties!$Q:$Q,$B48+5),CV$3&lt;INDEX(Properties!$U:$U,$B48+5)),INDEX(Properties!$P:$P,$B48+5),0))</f>
        <v>0</v>
      </c>
      <c r="CW48" s="123" cm="1">
        <f t="array" ref="CW48">INDEX(Properties!$D:$D,$B48+5)*(IF(AND(CW$3&gt;=INDEX(Properties!$Q:$Q,$B48+5),CW$3&lt;INDEX(Properties!$U:$U,$B48+5)),INDEX(Properties!$P:$P,$B48+5),0))</f>
        <v>0</v>
      </c>
      <c r="CX48" s="123" cm="1">
        <f t="array" ref="CX48">INDEX(Properties!$D:$D,$B48+5)*(IF(AND(CX$3&gt;=INDEX(Properties!$Q:$Q,$B48+5),CX$3&lt;INDEX(Properties!$U:$U,$B48+5)),INDEX(Properties!$P:$P,$B48+5),0))</f>
        <v>0</v>
      </c>
      <c r="CY48" s="123" cm="1">
        <f t="array" ref="CY48">INDEX(Properties!$D:$D,$B48+5)*(IF(AND(CY$3&gt;=INDEX(Properties!$Q:$Q,$B48+5),CY$3&lt;INDEX(Properties!$U:$U,$B48+5)),INDEX(Properties!$P:$P,$B48+5),0))</f>
        <v>0</v>
      </c>
      <c r="CZ48" s="123" cm="1">
        <f t="array" ref="CZ48">INDEX(Properties!$D:$D,$B48+5)*(IF(AND(CZ$3&gt;=INDEX(Properties!$Q:$Q,$B48+5),CZ$3&lt;INDEX(Properties!$U:$U,$B48+5)),INDEX(Properties!$P:$P,$B48+5),0))</f>
        <v>0</v>
      </c>
      <c r="DA48" s="123" cm="1">
        <f t="array" ref="DA48">INDEX(Properties!$D:$D,$B48+5)*(IF(AND(DA$3&gt;=INDEX(Properties!$Q:$Q,$B48+5),DA$3&lt;INDEX(Properties!$U:$U,$B48+5)),INDEX(Properties!$P:$P,$B48+5),0))</f>
        <v>0</v>
      </c>
      <c r="DB48" s="123" cm="1">
        <f t="array" ref="DB48">INDEX(Properties!$D:$D,$B48+5)*(IF(AND(DB$3&gt;=INDEX(Properties!$Q:$Q,$B48+5),DB$3&lt;INDEX(Properties!$U:$U,$B48+5)),INDEX(Properties!$P:$P,$B48+5),0))</f>
        <v>0</v>
      </c>
      <c r="DC48" s="123" cm="1">
        <f t="array" ref="DC48">INDEX(Properties!$D:$D,$B48+5)*(IF(AND(DC$3&gt;=INDEX(Properties!$Q:$Q,$B48+5),DC$3&lt;INDEX(Properties!$U:$U,$B48+5)),INDEX(Properties!$P:$P,$B48+5),0))</f>
        <v>0</v>
      </c>
      <c r="DD48" s="123" cm="1">
        <f t="array" ref="DD48">INDEX(Properties!$D:$D,$B48+5)*(IF(AND(DD$3&gt;=INDEX(Properties!$Q:$Q,$B48+5),DD$3&lt;INDEX(Properties!$U:$U,$B48+5)),INDEX(Properties!$P:$P,$B48+5),0))</f>
        <v>0</v>
      </c>
      <c r="DE48" s="123" cm="1">
        <f t="array" ref="DE48">INDEX(Properties!$D:$D,$B48+5)*(IF(AND(DE$3&gt;=INDEX(Properties!$Q:$Q,$B48+5),DE$3&lt;INDEX(Properties!$U:$U,$B48+5)),INDEX(Properties!$P:$P,$B48+5),0))</f>
        <v>0</v>
      </c>
      <c r="DF48" s="123" cm="1">
        <f t="array" ref="DF48">INDEX(Properties!$D:$D,$B48+5)*(IF(AND(DF$3&gt;=INDEX(Properties!$Q:$Q,$B48+5),DF$3&lt;INDEX(Properties!$U:$U,$B48+5)),INDEX(Properties!$P:$P,$B48+5),0))</f>
        <v>0</v>
      </c>
      <c r="DG48" s="123" cm="1">
        <f t="array" ref="DG48">INDEX(Properties!$D:$D,$B48+5)*(IF(AND(DG$3&gt;=INDEX(Properties!$Q:$Q,$B48+5),DG$3&lt;INDEX(Properties!$U:$U,$B48+5)),INDEX(Properties!$P:$P,$B48+5),0))</f>
        <v>0</v>
      </c>
      <c r="DH48" s="123" cm="1">
        <f t="array" ref="DH48">INDEX(Properties!$D:$D,$B48+5)*(IF(AND(DH$3&gt;=INDEX(Properties!$Q:$Q,$B48+5),DH$3&lt;INDEX(Properties!$U:$U,$B48+5)),INDEX(Properties!$P:$P,$B48+5),0))</f>
        <v>0</v>
      </c>
      <c r="DI48" s="123" cm="1">
        <f t="array" ref="DI48">INDEX(Properties!$D:$D,$B48+5)*(IF(AND(DI$3&gt;=INDEX(Properties!$Q:$Q,$B48+5),DI$3&lt;INDEX(Properties!$U:$U,$B48+5)),INDEX(Properties!$P:$P,$B48+5),0))</f>
        <v>0</v>
      </c>
      <c r="DJ48" s="123" cm="1">
        <f t="array" ref="DJ48">INDEX(Properties!$D:$D,$B48+5)*(IF(AND(DJ$3&gt;=INDEX(Properties!$Q:$Q,$B48+5),DJ$3&lt;INDEX(Properties!$U:$U,$B48+5)),INDEX(Properties!$P:$P,$B48+5),0))</f>
        <v>0</v>
      </c>
      <c r="DK48" s="123" cm="1">
        <f t="array" ref="DK48">INDEX(Properties!$D:$D,$B48+5)*(IF(AND(DK$3&gt;=INDEX(Properties!$Q:$Q,$B48+5),DK$3&lt;INDEX(Properties!$U:$U,$B48+5)),INDEX(Properties!$P:$P,$B48+5),0))</f>
        <v>0</v>
      </c>
      <c r="DL48" s="123" cm="1">
        <f t="array" ref="DL48">INDEX(Properties!$D:$D,$B48+5)*(IF(AND(DL$3&gt;=INDEX(Properties!$Q:$Q,$B48+5),DL$3&lt;INDEX(Properties!$U:$U,$B48+5)),INDEX(Properties!$P:$P,$B48+5),0))</f>
        <v>0</v>
      </c>
      <c r="DM48" s="123" cm="1">
        <f t="array" ref="DM48">INDEX(Properties!$D:$D,$B48+5)*(IF(AND(DM$3&gt;=INDEX(Properties!$Q:$Q,$B48+5),DM$3&lt;INDEX(Properties!$U:$U,$B48+5)),INDEX(Properties!$P:$P,$B48+5),0))</f>
        <v>0</v>
      </c>
      <c r="DN48" s="123" cm="1">
        <f t="array" ref="DN48">INDEX(Properties!$D:$D,$B48+5)*(IF(AND(DN$3&gt;=INDEX(Properties!$Q:$Q,$B48+5),DN$3&lt;INDEX(Properties!$U:$U,$B48+5)),INDEX(Properties!$P:$P,$B48+5),0))</f>
        <v>0</v>
      </c>
      <c r="DO48" s="123" cm="1">
        <f t="array" ref="DO48">INDEX(Properties!$D:$D,$B48+5)*(IF(AND(DO$3&gt;=INDEX(Properties!$Q:$Q,$B48+5),DO$3&lt;INDEX(Properties!$U:$U,$B48+5)),INDEX(Properties!$P:$P,$B48+5),0))</f>
        <v>0</v>
      </c>
      <c r="DP48" s="123" cm="1">
        <f t="array" ref="DP48">INDEX(Properties!$D:$D,$B48+5)*(IF(AND(DP$3&gt;=INDEX(Properties!$Q:$Q,$B48+5),DP$3&lt;INDEX(Properties!$U:$U,$B48+5)),INDEX(Properties!$P:$P,$B48+5),0))</f>
        <v>0</v>
      </c>
      <c r="DQ48" s="123" cm="1">
        <f t="array" ref="DQ48">INDEX(Properties!$D:$D,$B48+5)*(IF(AND(DQ$3&gt;=INDEX(Properties!$Q:$Q,$B48+5),DQ$3&lt;INDEX(Properties!$U:$U,$B48+5)),INDEX(Properties!$P:$P,$B48+5),0))</f>
        <v>0</v>
      </c>
      <c r="DR48" s="123" cm="1">
        <f t="array" ref="DR48">INDEX(Properties!$D:$D,$B48+5)*(IF(AND(DR$3&gt;=INDEX(Properties!$Q:$Q,$B48+5),DR$3&lt;INDEX(Properties!$U:$U,$B48+5)),INDEX(Properties!$P:$P,$B48+5),0))</f>
        <v>0</v>
      </c>
    </row>
    <row r="49" spans="1:122" ht="16.05" customHeight="1" x14ac:dyDescent="0.3">
      <c r="A49" s="148" t="str" cm="1">
        <f t="array" ref="A49">INDEX(Properties!$E:$E,$B49+5)</f>
        <v>San Lucas Apto 101</v>
      </c>
      <c r="B49" s="1">
        <v>3</v>
      </c>
      <c r="C49" s="123" cm="1">
        <f t="array" ref="C49">INDEX(Properties!$D:$D,$B49+5)*(IF(AND(C$3&gt;=INDEX(Properties!$Q:$Q,$B49+5),C$3&lt;INDEX(Properties!$U:$U,$B49+5)),INDEX(Properties!$P:$P,$B49+5),0))</f>
        <v>0</v>
      </c>
      <c r="D49" s="123" cm="1">
        <f t="array" ref="D49">INDEX(Properties!$D:$D,$B49+5)*(IF(AND(D$3&gt;=INDEX(Properties!$Q:$Q,$B49+5),D$3&lt;INDEX(Properties!$U:$U,$B49+5)),INDEX(Properties!$P:$P,$B49+5),0))</f>
        <v>0</v>
      </c>
      <c r="E49" s="123" cm="1">
        <f t="array" ref="E49">INDEX(Properties!$D:$D,$B49+5)*(IF(AND(E$3&gt;=INDEX(Properties!$Q:$Q,$B49+5),E$3&lt;INDEX(Properties!$U:$U,$B49+5)),INDEX(Properties!$P:$P,$B49+5),0))</f>
        <v>747370.55016181234</v>
      </c>
      <c r="F49" s="123" cm="1">
        <f t="array" ref="F49">INDEX(Properties!$D:$D,$B49+5)*(IF(AND(F$3&gt;=INDEX(Properties!$Q:$Q,$B49+5),F$3&lt;INDEX(Properties!$U:$U,$B49+5)),INDEX(Properties!$P:$P,$B49+5),0))</f>
        <v>747370.55016181234</v>
      </c>
      <c r="G49" s="123" cm="1">
        <f t="array" ref="G49">INDEX(Properties!$D:$D,$B49+5)*(IF(AND(G$3&gt;=INDEX(Properties!$Q:$Q,$B49+5),G$3&lt;INDEX(Properties!$U:$U,$B49+5)),INDEX(Properties!$P:$P,$B49+5),0))</f>
        <v>747370.55016181234</v>
      </c>
      <c r="H49" s="123" cm="1">
        <f t="array" ref="H49">INDEX(Properties!$D:$D,$B49+5)*(IF(AND(H$3&gt;=INDEX(Properties!$Q:$Q,$B49+5),H$3&lt;INDEX(Properties!$U:$U,$B49+5)),INDEX(Properties!$P:$P,$B49+5),0))</f>
        <v>747370.55016181234</v>
      </c>
      <c r="I49" s="123" cm="1">
        <f t="array" ref="I49">INDEX(Properties!$D:$D,$B49+5)*(IF(AND(I$3&gt;=INDEX(Properties!$Q:$Q,$B49+5),I$3&lt;INDEX(Properties!$U:$U,$B49+5)),INDEX(Properties!$P:$P,$B49+5),0))</f>
        <v>747370.55016181234</v>
      </c>
      <c r="J49" s="123" cm="1">
        <f t="array" ref="J49">INDEX(Properties!$D:$D,$B49+5)*(IF(AND(J$3&gt;=INDEX(Properties!$Q:$Q,$B49+5),J$3&lt;INDEX(Properties!$U:$U,$B49+5)),INDEX(Properties!$P:$P,$B49+5),0))</f>
        <v>747370.55016181234</v>
      </c>
      <c r="K49" s="123" cm="1">
        <f t="array" ref="K49">INDEX(Properties!$D:$D,$B49+5)*(IF(AND(K$3&gt;=INDEX(Properties!$Q:$Q,$B49+5),K$3&lt;INDEX(Properties!$U:$U,$B49+5)),INDEX(Properties!$P:$P,$B49+5),0))</f>
        <v>747370.55016181234</v>
      </c>
      <c r="L49" s="123" cm="1">
        <f t="array" ref="L49">INDEX(Properties!$D:$D,$B49+5)*(IF(AND(L$3&gt;=INDEX(Properties!$Q:$Q,$B49+5),L$3&lt;INDEX(Properties!$U:$U,$B49+5)),INDEX(Properties!$P:$P,$B49+5),0))</f>
        <v>747370.55016181234</v>
      </c>
      <c r="M49" s="123" cm="1">
        <f t="array" ref="M49">INDEX(Properties!$D:$D,$B49+5)*(IF(AND(M$3&gt;=INDEX(Properties!$Q:$Q,$B49+5),M$3&lt;INDEX(Properties!$U:$U,$B49+5)),INDEX(Properties!$P:$P,$B49+5),0))</f>
        <v>747370.55016181234</v>
      </c>
      <c r="N49" s="123" cm="1">
        <f t="array" ref="N49">INDEX(Properties!$D:$D,$B49+5)*(IF(AND(N$3&gt;=INDEX(Properties!$Q:$Q,$B49+5),N$3&lt;INDEX(Properties!$U:$U,$B49+5)),INDEX(Properties!$P:$P,$B49+5),0))</f>
        <v>747370.55016181234</v>
      </c>
      <c r="O49" s="123" cm="1">
        <f t="array" ref="O49">INDEX(Properties!$D:$D,$B49+5)*(IF(AND(O$3&gt;=INDEX(Properties!$Q:$Q,$B49+5),O$3&lt;INDEX(Properties!$U:$U,$B49+5)),INDEX(Properties!$P:$P,$B49+5),0))</f>
        <v>747370.55016181234</v>
      </c>
      <c r="P49" s="123" cm="1">
        <f t="array" ref="P49">INDEX(Properties!$D:$D,$B49+5)*(IF(AND(P$3&gt;=INDEX(Properties!$Q:$Q,$B49+5),P$3&lt;INDEX(Properties!$U:$U,$B49+5)),INDEX(Properties!$P:$P,$B49+5),0))</f>
        <v>747370.55016181234</v>
      </c>
      <c r="Q49" s="123" cm="1">
        <f t="array" ref="Q49">INDEX(Properties!$D:$D,$B49+5)*(IF(AND(Q$3&gt;=INDEX(Properties!$Q:$Q,$B49+5),Q$3&lt;INDEX(Properties!$U:$U,$B49+5)),INDEX(Properties!$P:$P,$B49+5),0))</f>
        <v>747370.55016181234</v>
      </c>
      <c r="R49" s="123" cm="1">
        <f t="array" ref="R49">INDEX(Properties!$D:$D,$B49+5)*(IF(AND(R$3&gt;=INDEX(Properties!$Q:$Q,$B49+5),R$3&lt;INDEX(Properties!$U:$U,$B49+5)),INDEX(Properties!$P:$P,$B49+5),0))</f>
        <v>747370.55016181234</v>
      </c>
      <c r="S49" s="123" cm="1">
        <f t="array" ref="S49">INDEX(Properties!$D:$D,$B49+5)*(IF(AND(S$3&gt;=INDEX(Properties!$Q:$Q,$B49+5),S$3&lt;INDEX(Properties!$U:$U,$B49+5)),INDEX(Properties!$P:$P,$B49+5),0))</f>
        <v>747370.55016181234</v>
      </c>
      <c r="T49" s="123" cm="1">
        <f t="array" ref="T49">INDEX(Properties!$D:$D,$B49+5)*(IF(AND(T$3&gt;=INDEX(Properties!$Q:$Q,$B49+5),T$3&lt;INDEX(Properties!$U:$U,$B49+5)),INDEX(Properties!$P:$P,$B49+5),0))</f>
        <v>747370.55016181234</v>
      </c>
      <c r="U49" s="123" cm="1">
        <f t="array" ref="U49">INDEX(Properties!$D:$D,$B49+5)*(IF(AND(U$3&gt;=INDEX(Properties!$Q:$Q,$B49+5),U$3&lt;INDEX(Properties!$U:$U,$B49+5)),INDEX(Properties!$P:$P,$B49+5),0))</f>
        <v>747370.55016181234</v>
      </c>
      <c r="V49" s="123" cm="1">
        <f t="array" ref="V49">INDEX(Properties!$D:$D,$B49+5)*(IF(AND(V$3&gt;=INDEX(Properties!$Q:$Q,$B49+5),V$3&lt;INDEX(Properties!$U:$U,$B49+5)),INDEX(Properties!$P:$P,$B49+5),0))</f>
        <v>747370.55016181234</v>
      </c>
      <c r="W49" s="123" cm="1">
        <f t="array" ref="W49">INDEX(Properties!$D:$D,$B49+5)*(IF(AND(W$3&gt;=INDEX(Properties!$Q:$Q,$B49+5),W$3&lt;INDEX(Properties!$U:$U,$B49+5)),INDEX(Properties!$P:$P,$B49+5),0))</f>
        <v>747370.55016181234</v>
      </c>
      <c r="X49" s="123" cm="1">
        <f t="array" ref="X49">INDEX(Properties!$D:$D,$B49+5)*(IF(AND(X$3&gt;=INDEX(Properties!$Q:$Q,$B49+5),X$3&lt;INDEX(Properties!$U:$U,$B49+5)),INDEX(Properties!$P:$P,$B49+5),0))</f>
        <v>747370.55016181234</v>
      </c>
      <c r="Y49" s="123" cm="1">
        <f t="array" ref="Y49">INDEX(Properties!$D:$D,$B49+5)*(IF(AND(Y$3&gt;=INDEX(Properties!$Q:$Q,$B49+5),Y$3&lt;INDEX(Properties!$U:$U,$B49+5)),INDEX(Properties!$P:$P,$B49+5),0))</f>
        <v>747370.55016181234</v>
      </c>
      <c r="Z49" s="123" cm="1">
        <f t="array" ref="Z49">INDEX(Properties!$D:$D,$B49+5)*(IF(AND(Z$3&gt;=INDEX(Properties!$Q:$Q,$B49+5),Z$3&lt;INDEX(Properties!$U:$U,$B49+5)),INDEX(Properties!$P:$P,$B49+5),0))</f>
        <v>747370.55016181234</v>
      </c>
      <c r="AA49" s="123" cm="1">
        <f t="array" ref="AA49">INDEX(Properties!$D:$D,$B49+5)*(IF(AND(AA$3&gt;=INDEX(Properties!$Q:$Q,$B49+5),AA$3&lt;INDEX(Properties!$U:$U,$B49+5)),INDEX(Properties!$P:$P,$B49+5),0))</f>
        <v>747370.55016181234</v>
      </c>
      <c r="AB49" s="123" cm="1">
        <f t="array" ref="AB49">INDEX(Properties!$D:$D,$B49+5)*(IF(AND(AB$3&gt;=INDEX(Properties!$Q:$Q,$B49+5),AB$3&lt;INDEX(Properties!$U:$U,$B49+5)),INDEX(Properties!$P:$P,$B49+5),0))</f>
        <v>747370.55016181234</v>
      </c>
      <c r="AC49" s="123" cm="1">
        <f t="array" ref="AC49">INDEX(Properties!$D:$D,$B49+5)*(IF(AND(AC$3&gt;=INDEX(Properties!$Q:$Q,$B49+5),AC$3&lt;INDEX(Properties!$U:$U,$B49+5)),INDEX(Properties!$P:$P,$B49+5),0))</f>
        <v>747370.55016181234</v>
      </c>
      <c r="AD49" s="123" cm="1">
        <f t="array" ref="AD49">INDEX(Properties!$D:$D,$B49+5)*(IF(AND(AD$3&gt;=INDEX(Properties!$Q:$Q,$B49+5),AD$3&lt;INDEX(Properties!$U:$U,$B49+5)),INDEX(Properties!$P:$P,$B49+5),0))</f>
        <v>0</v>
      </c>
      <c r="AE49" s="123" cm="1">
        <f t="array" ref="AE49">INDEX(Properties!$D:$D,$B49+5)*(IF(AND(AE$3&gt;=INDEX(Properties!$Q:$Q,$B49+5),AE$3&lt;INDEX(Properties!$U:$U,$B49+5)),INDEX(Properties!$P:$P,$B49+5),0))</f>
        <v>0</v>
      </c>
      <c r="AF49" s="123" cm="1">
        <f t="array" ref="AF49">INDEX(Properties!$D:$D,$B49+5)*(IF(AND(AF$3&gt;=INDEX(Properties!$Q:$Q,$B49+5),AF$3&lt;INDEX(Properties!$U:$U,$B49+5)),INDEX(Properties!$P:$P,$B49+5),0))</f>
        <v>0</v>
      </c>
      <c r="AG49" s="123" cm="1">
        <f t="array" ref="AG49">INDEX(Properties!$D:$D,$B49+5)*(IF(AND(AG$3&gt;=INDEX(Properties!$Q:$Q,$B49+5),AG$3&lt;INDEX(Properties!$U:$U,$B49+5)),INDEX(Properties!$P:$P,$B49+5),0))</f>
        <v>0</v>
      </c>
      <c r="AH49" s="123" cm="1">
        <f t="array" ref="AH49">INDEX(Properties!$D:$D,$B49+5)*(IF(AND(AH$3&gt;=INDEX(Properties!$Q:$Q,$B49+5),AH$3&lt;INDEX(Properties!$U:$U,$B49+5)),INDEX(Properties!$P:$P,$B49+5),0))</f>
        <v>0</v>
      </c>
      <c r="AI49" s="123" cm="1">
        <f t="array" ref="AI49">INDEX(Properties!$D:$D,$B49+5)*(IF(AND(AI$3&gt;=INDEX(Properties!$Q:$Q,$B49+5),AI$3&lt;INDEX(Properties!$U:$U,$B49+5)),INDEX(Properties!$P:$P,$B49+5),0))</f>
        <v>0</v>
      </c>
      <c r="AJ49" s="123" cm="1">
        <f t="array" ref="AJ49">INDEX(Properties!$D:$D,$B49+5)*(IF(AND(AJ$3&gt;=INDEX(Properties!$Q:$Q,$B49+5),AJ$3&lt;INDEX(Properties!$U:$U,$B49+5)),INDEX(Properties!$P:$P,$B49+5),0))</f>
        <v>0</v>
      </c>
      <c r="AK49" s="123" cm="1">
        <f t="array" ref="AK49">INDEX(Properties!$D:$D,$B49+5)*(IF(AND(AK$3&gt;=INDEX(Properties!$Q:$Q,$B49+5),AK$3&lt;INDEX(Properties!$U:$U,$B49+5)),INDEX(Properties!$P:$P,$B49+5),0))</f>
        <v>0</v>
      </c>
      <c r="AL49" s="123" cm="1">
        <f t="array" ref="AL49">INDEX(Properties!$D:$D,$B49+5)*(IF(AND(AL$3&gt;=INDEX(Properties!$Q:$Q,$B49+5),AL$3&lt;INDEX(Properties!$U:$U,$B49+5)),INDEX(Properties!$P:$P,$B49+5),0))</f>
        <v>0</v>
      </c>
      <c r="AM49" s="123" cm="1">
        <f t="array" ref="AM49">INDEX(Properties!$D:$D,$B49+5)*(IF(AND(AM$3&gt;=INDEX(Properties!$Q:$Q,$B49+5),AM$3&lt;INDEX(Properties!$U:$U,$B49+5)),INDEX(Properties!$P:$P,$B49+5),0))</f>
        <v>0</v>
      </c>
      <c r="AN49" s="123" cm="1">
        <f t="array" ref="AN49">INDEX(Properties!$D:$D,$B49+5)*(IF(AND(AN$3&gt;=INDEX(Properties!$Q:$Q,$B49+5),AN$3&lt;INDEX(Properties!$U:$U,$B49+5)),INDEX(Properties!$P:$P,$B49+5),0))</f>
        <v>0</v>
      </c>
      <c r="AO49" s="123" cm="1">
        <f t="array" ref="AO49">INDEX(Properties!$D:$D,$B49+5)*(IF(AND(AO$3&gt;=INDEX(Properties!$Q:$Q,$B49+5),AO$3&lt;INDEX(Properties!$U:$U,$B49+5)),INDEX(Properties!$P:$P,$B49+5),0))</f>
        <v>0</v>
      </c>
      <c r="AP49" s="123" cm="1">
        <f t="array" ref="AP49">INDEX(Properties!$D:$D,$B49+5)*(IF(AND(AP$3&gt;=INDEX(Properties!$Q:$Q,$B49+5),AP$3&lt;INDEX(Properties!$U:$U,$B49+5)),INDEX(Properties!$P:$P,$B49+5),0))</f>
        <v>0</v>
      </c>
      <c r="AQ49" s="123" cm="1">
        <f t="array" ref="AQ49">INDEX(Properties!$D:$D,$B49+5)*(IF(AND(AQ$3&gt;=INDEX(Properties!$Q:$Q,$B49+5),AQ$3&lt;INDEX(Properties!$U:$U,$B49+5)),INDEX(Properties!$P:$P,$B49+5),0))</f>
        <v>0</v>
      </c>
      <c r="AR49" s="123" cm="1">
        <f t="array" ref="AR49">INDEX(Properties!$D:$D,$B49+5)*(IF(AND(AR$3&gt;=INDEX(Properties!$Q:$Q,$B49+5),AR$3&lt;INDEX(Properties!$U:$U,$B49+5)),INDEX(Properties!$P:$P,$B49+5),0))</f>
        <v>0</v>
      </c>
      <c r="AS49" s="123" cm="1">
        <f t="array" ref="AS49">INDEX(Properties!$D:$D,$B49+5)*(IF(AND(AS$3&gt;=INDEX(Properties!$Q:$Q,$B49+5),AS$3&lt;INDEX(Properties!$U:$U,$B49+5)),INDEX(Properties!$P:$P,$B49+5),0))</f>
        <v>0</v>
      </c>
      <c r="AT49" s="123" cm="1">
        <f t="array" ref="AT49">INDEX(Properties!$D:$D,$B49+5)*(IF(AND(AT$3&gt;=INDEX(Properties!$Q:$Q,$B49+5),AT$3&lt;INDEX(Properties!$U:$U,$B49+5)),INDEX(Properties!$P:$P,$B49+5),0))</f>
        <v>0</v>
      </c>
      <c r="AU49" s="123" cm="1">
        <f t="array" ref="AU49">INDEX(Properties!$D:$D,$B49+5)*(IF(AND(AU$3&gt;=INDEX(Properties!$Q:$Q,$B49+5),AU$3&lt;INDEX(Properties!$U:$U,$B49+5)),INDEX(Properties!$P:$P,$B49+5),0))</f>
        <v>0</v>
      </c>
      <c r="AV49" s="123" cm="1">
        <f t="array" ref="AV49">INDEX(Properties!$D:$D,$B49+5)*(IF(AND(AV$3&gt;=INDEX(Properties!$Q:$Q,$B49+5),AV$3&lt;INDEX(Properties!$U:$U,$B49+5)),INDEX(Properties!$P:$P,$B49+5),0))</f>
        <v>0</v>
      </c>
      <c r="AW49" s="123" cm="1">
        <f t="array" ref="AW49">INDEX(Properties!$D:$D,$B49+5)*(IF(AND(AW$3&gt;=INDEX(Properties!$Q:$Q,$B49+5),AW$3&lt;INDEX(Properties!$U:$U,$B49+5)),INDEX(Properties!$P:$P,$B49+5),0))</f>
        <v>0</v>
      </c>
      <c r="AX49" s="123" cm="1">
        <f t="array" ref="AX49">INDEX(Properties!$D:$D,$B49+5)*(IF(AND(AX$3&gt;=INDEX(Properties!$Q:$Q,$B49+5),AX$3&lt;INDEX(Properties!$U:$U,$B49+5)),INDEX(Properties!$P:$P,$B49+5),0))</f>
        <v>0</v>
      </c>
      <c r="AY49" s="123" cm="1">
        <f t="array" ref="AY49">INDEX(Properties!$D:$D,$B49+5)*(IF(AND(AY$3&gt;=INDEX(Properties!$Q:$Q,$B49+5),AY$3&lt;INDEX(Properties!$U:$U,$B49+5)),INDEX(Properties!$P:$P,$B49+5),0))</f>
        <v>0</v>
      </c>
      <c r="AZ49" s="123" cm="1">
        <f t="array" ref="AZ49">INDEX(Properties!$D:$D,$B49+5)*(IF(AND(AZ$3&gt;=INDEX(Properties!$Q:$Q,$B49+5),AZ$3&lt;INDEX(Properties!$U:$U,$B49+5)),INDEX(Properties!$P:$P,$B49+5),0))</f>
        <v>0</v>
      </c>
      <c r="BA49" s="123" cm="1">
        <f t="array" ref="BA49">INDEX(Properties!$D:$D,$B49+5)*(IF(AND(BA$3&gt;=INDEX(Properties!$Q:$Q,$B49+5),BA$3&lt;INDEX(Properties!$U:$U,$B49+5)),INDEX(Properties!$P:$P,$B49+5),0))</f>
        <v>0</v>
      </c>
      <c r="BB49" s="123" cm="1">
        <f t="array" ref="BB49">INDEX(Properties!$D:$D,$B49+5)*(IF(AND(BB$3&gt;=INDEX(Properties!$Q:$Q,$B49+5),BB$3&lt;INDEX(Properties!$U:$U,$B49+5)),INDEX(Properties!$P:$P,$B49+5),0))</f>
        <v>0</v>
      </c>
      <c r="BC49" s="123" cm="1">
        <f t="array" ref="BC49">INDEX(Properties!$D:$D,$B49+5)*(IF(AND(BC$3&gt;=INDEX(Properties!$Q:$Q,$B49+5),BC$3&lt;INDEX(Properties!$U:$U,$B49+5)),INDEX(Properties!$P:$P,$B49+5),0))</f>
        <v>0</v>
      </c>
      <c r="BD49" s="123" cm="1">
        <f t="array" ref="BD49">INDEX(Properties!$D:$D,$B49+5)*(IF(AND(BD$3&gt;=INDEX(Properties!$Q:$Q,$B49+5),BD$3&lt;INDEX(Properties!$U:$U,$B49+5)),INDEX(Properties!$P:$P,$B49+5),0))</f>
        <v>0</v>
      </c>
      <c r="BE49" s="123" cm="1">
        <f t="array" ref="BE49">INDEX(Properties!$D:$D,$B49+5)*(IF(AND(BE$3&gt;=INDEX(Properties!$Q:$Q,$B49+5),BE$3&lt;INDEX(Properties!$U:$U,$B49+5)),INDEX(Properties!$P:$P,$B49+5),0))</f>
        <v>0</v>
      </c>
      <c r="BF49" s="123" cm="1">
        <f t="array" ref="BF49">INDEX(Properties!$D:$D,$B49+5)*(IF(AND(BF$3&gt;=INDEX(Properties!$Q:$Q,$B49+5),BF$3&lt;INDEX(Properties!$U:$U,$B49+5)),INDEX(Properties!$P:$P,$B49+5),0))</f>
        <v>0</v>
      </c>
      <c r="BG49" s="123" cm="1">
        <f t="array" ref="BG49">INDEX(Properties!$D:$D,$B49+5)*(IF(AND(BG$3&gt;=INDEX(Properties!$Q:$Q,$B49+5),BG$3&lt;INDEX(Properties!$U:$U,$B49+5)),INDEX(Properties!$P:$P,$B49+5),0))</f>
        <v>0</v>
      </c>
      <c r="BH49" s="123" cm="1">
        <f t="array" ref="BH49">INDEX(Properties!$D:$D,$B49+5)*(IF(AND(BH$3&gt;=INDEX(Properties!$Q:$Q,$B49+5),BH$3&lt;INDEX(Properties!$U:$U,$B49+5)),INDEX(Properties!$P:$P,$B49+5),0))</f>
        <v>0</v>
      </c>
      <c r="BI49" s="123" cm="1">
        <f t="array" ref="BI49">INDEX(Properties!$D:$D,$B49+5)*(IF(AND(BI$3&gt;=INDEX(Properties!$Q:$Q,$B49+5),BI$3&lt;INDEX(Properties!$U:$U,$B49+5)),INDEX(Properties!$P:$P,$B49+5),0))</f>
        <v>0</v>
      </c>
      <c r="BJ49" s="123" cm="1">
        <f t="array" ref="BJ49">INDEX(Properties!$D:$D,$B49+5)*(IF(AND(BJ$3&gt;=INDEX(Properties!$Q:$Q,$B49+5),BJ$3&lt;INDEX(Properties!$U:$U,$B49+5)),INDEX(Properties!$P:$P,$B49+5),0))</f>
        <v>0</v>
      </c>
      <c r="BK49" s="123" cm="1">
        <f t="array" ref="BK49">INDEX(Properties!$D:$D,$B49+5)*(IF(AND(BK$3&gt;=INDEX(Properties!$Q:$Q,$B49+5),BK$3&lt;INDEX(Properties!$U:$U,$B49+5)),INDEX(Properties!$P:$P,$B49+5),0))</f>
        <v>0</v>
      </c>
      <c r="BL49" s="123" cm="1">
        <f t="array" ref="BL49">INDEX(Properties!$D:$D,$B49+5)*(IF(AND(BL$3&gt;=INDEX(Properties!$Q:$Q,$B49+5),BL$3&lt;INDEX(Properties!$U:$U,$B49+5)),INDEX(Properties!$P:$P,$B49+5),0))</f>
        <v>0</v>
      </c>
      <c r="BM49" s="123" cm="1">
        <f t="array" ref="BM49">INDEX(Properties!$D:$D,$B49+5)*(IF(AND(BM$3&gt;=INDEX(Properties!$Q:$Q,$B49+5),BM$3&lt;INDEX(Properties!$U:$U,$B49+5)),INDEX(Properties!$P:$P,$B49+5),0))</f>
        <v>0</v>
      </c>
      <c r="BN49" s="123" cm="1">
        <f t="array" ref="BN49">INDEX(Properties!$D:$D,$B49+5)*(IF(AND(BN$3&gt;=INDEX(Properties!$Q:$Q,$B49+5),BN$3&lt;INDEX(Properties!$U:$U,$B49+5)),INDEX(Properties!$P:$P,$B49+5),0))</f>
        <v>0</v>
      </c>
      <c r="BO49" s="123" cm="1">
        <f t="array" ref="BO49">INDEX(Properties!$D:$D,$B49+5)*(IF(AND(BO$3&gt;=INDEX(Properties!$Q:$Q,$B49+5),BO$3&lt;INDEX(Properties!$U:$U,$B49+5)),INDEX(Properties!$P:$P,$B49+5),0))</f>
        <v>0</v>
      </c>
      <c r="BP49" s="123" cm="1">
        <f t="array" ref="BP49">INDEX(Properties!$D:$D,$B49+5)*(IF(AND(BP$3&gt;=INDEX(Properties!$Q:$Q,$B49+5),BP$3&lt;INDEX(Properties!$U:$U,$B49+5)),INDEX(Properties!$P:$P,$B49+5),0))</f>
        <v>0</v>
      </c>
      <c r="BQ49" s="123" cm="1">
        <f t="array" ref="BQ49">INDEX(Properties!$D:$D,$B49+5)*(IF(AND(BQ$3&gt;=INDEX(Properties!$Q:$Q,$B49+5),BQ$3&lt;INDEX(Properties!$U:$U,$B49+5)),INDEX(Properties!$P:$P,$B49+5),0))</f>
        <v>0</v>
      </c>
      <c r="BR49" s="123" cm="1">
        <f t="array" ref="BR49">INDEX(Properties!$D:$D,$B49+5)*(IF(AND(BR$3&gt;=INDEX(Properties!$Q:$Q,$B49+5),BR$3&lt;INDEX(Properties!$U:$U,$B49+5)),INDEX(Properties!$P:$P,$B49+5),0))</f>
        <v>0</v>
      </c>
      <c r="BS49" s="123" cm="1">
        <f t="array" ref="BS49">INDEX(Properties!$D:$D,$B49+5)*(IF(AND(BS$3&gt;=INDEX(Properties!$Q:$Q,$B49+5),BS$3&lt;INDEX(Properties!$U:$U,$B49+5)),INDEX(Properties!$P:$P,$B49+5),0))</f>
        <v>0</v>
      </c>
      <c r="BT49" s="123" cm="1">
        <f t="array" ref="BT49">INDEX(Properties!$D:$D,$B49+5)*(IF(AND(BT$3&gt;=INDEX(Properties!$Q:$Q,$B49+5),BT$3&lt;INDEX(Properties!$U:$U,$B49+5)),INDEX(Properties!$P:$P,$B49+5),0))</f>
        <v>0</v>
      </c>
      <c r="BU49" s="123" cm="1">
        <f t="array" ref="BU49">INDEX(Properties!$D:$D,$B49+5)*(IF(AND(BU$3&gt;=INDEX(Properties!$Q:$Q,$B49+5),BU$3&lt;INDEX(Properties!$U:$U,$B49+5)),INDEX(Properties!$P:$P,$B49+5),0))</f>
        <v>0</v>
      </c>
      <c r="BV49" s="123" cm="1">
        <f t="array" ref="BV49">INDEX(Properties!$D:$D,$B49+5)*(IF(AND(BV$3&gt;=INDEX(Properties!$Q:$Q,$B49+5),BV$3&lt;INDEX(Properties!$U:$U,$B49+5)),INDEX(Properties!$P:$P,$B49+5),0))</f>
        <v>0</v>
      </c>
      <c r="BW49" s="123" cm="1">
        <f t="array" ref="BW49">INDEX(Properties!$D:$D,$B49+5)*(IF(AND(BW$3&gt;=INDEX(Properties!$Q:$Q,$B49+5),BW$3&lt;INDEX(Properties!$U:$U,$B49+5)),INDEX(Properties!$P:$P,$B49+5),0))</f>
        <v>0</v>
      </c>
      <c r="BX49" s="123" cm="1">
        <f t="array" ref="BX49">INDEX(Properties!$D:$D,$B49+5)*(IF(AND(BX$3&gt;=INDEX(Properties!$Q:$Q,$B49+5),BX$3&lt;INDEX(Properties!$U:$U,$B49+5)),INDEX(Properties!$P:$P,$B49+5),0))</f>
        <v>0</v>
      </c>
      <c r="BY49" s="123" cm="1">
        <f t="array" ref="BY49">INDEX(Properties!$D:$D,$B49+5)*(IF(AND(BY$3&gt;=INDEX(Properties!$Q:$Q,$B49+5),BY$3&lt;INDEX(Properties!$U:$U,$B49+5)),INDEX(Properties!$P:$P,$B49+5),0))</f>
        <v>0</v>
      </c>
      <c r="BZ49" s="123" cm="1">
        <f t="array" ref="BZ49">INDEX(Properties!$D:$D,$B49+5)*(IF(AND(BZ$3&gt;=INDEX(Properties!$Q:$Q,$B49+5),BZ$3&lt;INDEX(Properties!$U:$U,$B49+5)),INDEX(Properties!$P:$P,$B49+5),0))</f>
        <v>0</v>
      </c>
      <c r="CA49" s="123" cm="1">
        <f t="array" ref="CA49">INDEX(Properties!$D:$D,$B49+5)*(IF(AND(CA$3&gt;=INDEX(Properties!$Q:$Q,$B49+5),CA$3&lt;INDEX(Properties!$U:$U,$B49+5)),INDEX(Properties!$P:$P,$B49+5),0))</f>
        <v>0</v>
      </c>
      <c r="CB49" s="123" cm="1">
        <f t="array" ref="CB49">INDEX(Properties!$D:$D,$B49+5)*(IF(AND(CB$3&gt;=INDEX(Properties!$Q:$Q,$B49+5),CB$3&lt;INDEX(Properties!$U:$U,$B49+5)),INDEX(Properties!$P:$P,$B49+5),0))</f>
        <v>0</v>
      </c>
      <c r="CC49" s="123" cm="1">
        <f t="array" ref="CC49">INDEX(Properties!$D:$D,$B49+5)*(IF(AND(CC$3&gt;=INDEX(Properties!$Q:$Q,$B49+5),CC$3&lt;INDEX(Properties!$U:$U,$B49+5)),INDEX(Properties!$P:$P,$B49+5),0))</f>
        <v>0</v>
      </c>
      <c r="CD49" s="123" cm="1">
        <f t="array" ref="CD49">INDEX(Properties!$D:$D,$B49+5)*(IF(AND(CD$3&gt;=INDEX(Properties!$Q:$Q,$B49+5),CD$3&lt;INDEX(Properties!$U:$U,$B49+5)),INDEX(Properties!$P:$P,$B49+5),0))</f>
        <v>0</v>
      </c>
      <c r="CE49" s="123" cm="1">
        <f t="array" ref="CE49">INDEX(Properties!$D:$D,$B49+5)*(IF(AND(CE$3&gt;=INDEX(Properties!$Q:$Q,$B49+5),CE$3&lt;INDEX(Properties!$U:$U,$B49+5)),INDEX(Properties!$P:$P,$B49+5),0))</f>
        <v>0</v>
      </c>
      <c r="CF49" s="123" cm="1">
        <f t="array" ref="CF49">INDEX(Properties!$D:$D,$B49+5)*(IF(AND(CF$3&gt;=INDEX(Properties!$Q:$Q,$B49+5),CF$3&lt;INDEX(Properties!$U:$U,$B49+5)),INDEX(Properties!$P:$P,$B49+5),0))</f>
        <v>0</v>
      </c>
      <c r="CG49" s="123" cm="1">
        <f t="array" ref="CG49">INDEX(Properties!$D:$D,$B49+5)*(IF(AND(CG$3&gt;=INDEX(Properties!$Q:$Q,$B49+5),CG$3&lt;INDEX(Properties!$U:$U,$B49+5)),INDEX(Properties!$P:$P,$B49+5),0))</f>
        <v>0</v>
      </c>
      <c r="CH49" s="123" cm="1">
        <f t="array" ref="CH49">INDEX(Properties!$D:$D,$B49+5)*(IF(AND(CH$3&gt;=INDEX(Properties!$Q:$Q,$B49+5),CH$3&lt;INDEX(Properties!$U:$U,$B49+5)),INDEX(Properties!$P:$P,$B49+5),0))</f>
        <v>0</v>
      </c>
      <c r="CI49" s="123" cm="1">
        <f t="array" ref="CI49">INDEX(Properties!$D:$D,$B49+5)*(IF(AND(CI$3&gt;=INDEX(Properties!$Q:$Q,$B49+5),CI$3&lt;INDEX(Properties!$U:$U,$B49+5)),INDEX(Properties!$P:$P,$B49+5),0))</f>
        <v>0</v>
      </c>
      <c r="CJ49" s="123" cm="1">
        <f t="array" ref="CJ49">INDEX(Properties!$D:$D,$B49+5)*(IF(AND(CJ$3&gt;=INDEX(Properties!$Q:$Q,$B49+5),CJ$3&lt;INDEX(Properties!$U:$U,$B49+5)),INDEX(Properties!$P:$P,$B49+5),0))</f>
        <v>0</v>
      </c>
      <c r="CK49" s="123" cm="1">
        <f t="array" ref="CK49">INDEX(Properties!$D:$D,$B49+5)*(IF(AND(CK$3&gt;=INDEX(Properties!$Q:$Q,$B49+5),CK$3&lt;INDEX(Properties!$U:$U,$B49+5)),INDEX(Properties!$P:$P,$B49+5),0))</f>
        <v>0</v>
      </c>
      <c r="CL49" s="123" cm="1">
        <f t="array" ref="CL49">INDEX(Properties!$D:$D,$B49+5)*(IF(AND(CL$3&gt;=INDEX(Properties!$Q:$Q,$B49+5),CL$3&lt;INDEX(Properties!$U:$U,$B49+5)),INDEX(Properties!$P:$P,$B49+5),0))</f>
        <v>0</v>
      </c>
      <c r="CM49" s="123" cm="1">
        <f t="array" ref="CM49">INDEX(Properties!$D:$D,$B49+5)*(IF(AND(CM$3&gt;=INDEX(Properties!$Q:$Q,$B49+5),CM$3&lt;INDEX(Properties!$U:$U,$B49+5)),INDEX(Properties!$P:$P,$B49+5),0))</f>
        <v>0</v>
      </c>
      <c r="CN49" s="123" cm="1">
        <f t="array" ref="CN49">INDEX(Properties!$D:$D,$B49+5)*(IF(AND(CN$3&gt;=INDEX(Properties!$Q:$Q,$B49+5),CN$3&lt;INDEX(Properties!$U:$U,$B49+5)),INDEX(Properties!$P:$P,$B49+5),0))</f>
        <v>0</v>
      </c>
      <c r="CO49" s="123" cm="1">
        <f t="array" ref="CO49">INDEX(Properties!$D:$D,$B49+5)*(IF(AND(CO$3&gt;=INDEX(Properties!$Q:$Q,$B49+5),CO$3&lt;INDEX(Properties!$U:$U,$B49+5)),INDEX(Properties!$P:$P,$B49+5),0))</f>
        <v>0</v>
      </c>
      <c r="CP49" s="123" cm="1">
        <f t="array" ref="CP49">INDEX(Properties!$D:$D,$B49+5)*(IF(AND(CP$3&gt;=INDEX(Properties!$Q:$Q,$B49+5),CP$3&lt;INDEX(Properties!$U:$U,$B49+5)),INDEX(Properties!$P:$P,$B49+5),0))</f>
        <v>0</v>
      </c>
      <c r="CQ49" s="123" cm="1">
        <f t="array" ref="CQ49">INDEX(Properties!$D:$D,$B49+5)*(IF(AND(CQ$3&gt;=INDEX(Properties!$Q:$Q,$B49+5),CQ$3&lt;INDEX(Properties!$U:$U,$B49+5)),INDEX(Properties!$P:$P,$B49+5),0))</f>
        <v>0</v>
      </c>
      <c r="CR49" s="123" cm="1">
        <f t="array" ref="CR49">INDEX(Properties!$D:$D,$B49+5)*(IF(AND(CR$3&gt;=INDEX(Properties!$Q:$Q,$B49+5),CR$3&lt;INDEX(Properties!$U:$U,$B49+5)),INDEX(Properties!$P:$P,$B49+5),0))</f>
        <v>0</v>
      </c>
      <c r="CS49" s="123" cm="1">
        <f t="array" ref="CS49">INDEX(Properties!$D:$D,$B49+5)*(IF(AND(CS$3&gt;=INDEX(Properties!$Q:$Q,$B49+5),CS$3&lt;INDEX(Properties!$U:$U,$B49+5)),INDEX(Properties!$P:$P,$B49+5),0))</f>
        <v>0</v>
      </c>
      <c r="CT49" s="123" cm="1">
        <f t="array" ref="CT49">INDEX(Properties!$D:$D,$B49+5)*(IF(AND(CT$3&gt;=INDEX(Properties!$Q:$Q,$B49+5),CT$3&lt;INDEX(Properties!$U:$U,$B49+5)),INDEX(Properties!$P:$P,$B49+5),0))</f>
        <v>0</v>
      </c>
      <c r="CU49" s="123" cm="1">
        <f t="array" ref="CU49">INDEX(Properties!$D:$D,$B49+5)*(IF(AND(CU$3&gt;=INDEX(Properties!$Q:$Q,$B49+5),CU$3&lt;INDEX(Properties!$U:$U,$B49+5)),INDEX(Properties!$P:$P,$B49+5),0))</f>
        <v>0</v>
      </c>
      <c r="CV49" s="123" cm="1">
        <f t="array" ref="CV49">INDEX(Properties!$D:$D,$B49+5)*(IF(AND(CV$3&gt;=INDEX(Properties!$Q:$Q,$B49+5),CV$3&lt;INDEX(Properties!$U:$U,$B49+5)),INDEX(Properties!$P:$P,$B49+5),0))</f>
        <v>0</v>
      </c>
      <c r="CW49" s="123" cm="1">
        <f t="array" ref="CW49">INDEX(Properties!$D:$D,$B49+5)*(IF(AND(CW$3&gt;=INDEX(Properties!$Q:$Q,$B49+5),CW$3&lt;INDEX(Properties!$U:$U,$B49+5)),INDEX(Properties!$P:$P,$B49+5),0))</f>
        <v>0</v>
      </c>
      <c r="CX49" s="123" cm="1">
        <f t="array" ref="CX49">INDEX(Properties!$D:$D,$B49+5)*(IF(AND(CX$3&gt;=INDEX(Properties!$Q:$Q,$B49+5),CX$3&lt;INDEX(Properties!$U:$U,$B49+5)),INDEX(Properties!$P:$P,$B49+5),0))</f>
        <v>0</v>
      </c>
      <c r="CY49" s="123" cm="1">
        <f t="array" ref="CY49">INDEX(Properties!$D:$D,$B49+5)*(IF(AND(CY$3&gt;=INDEX(Properties!$Q:$Q,$B49+5),CY$3&lt;INDEX(Properties!$U:$U,$B49+5)),INDEX(Properties!$P:$P,$B49+5),0))</f>
        <v>0</v>
      </c>
      <c r="CZ49" s="123" cm="1">
        <f t="array" ref="CZ49">INDEX(Properties!$D:$D,$B49+5)*(IF(AND(CZ$3&gt;=INDEX(Properties!$Q:$Q,$B49+5),CZ$3&lt;INDEX(Properties!$U:$U,$B49+5)),INDEX(Properties!$P:$P,$B49+5),0))</f>
        <v>0</v>
      </c>
      <c r="DA49" s="123" cm="1">
        <f t="array" ref="DA49">INDEX(Properties!$D:$D,$B49+5)*(IF(AND(DA$3&gt;=INDEX(Properties!$Q:$Q,$B49+5),DA$3&lt;INDEX(Properties!$U:$U,$B49+5)),INDEX(Properties!$P:$P,$B49+5),0))</f>
        <v>0</v>
      </c>
      <c r="DB49" s="123" cm="1">
        <f t="array" ref="DB49">INDEX(Properties!$D:$D,$B49+5)*(IF(AND(DB$3&gt;=INDEX(Properties!$Q:$Q,$B49+5),DB$3&lt;INDEX(Properties!$U:$U,$B49+5)),INDEX(Properties!$P:$P,$B49+5),0))</f>
        <v>0</v>
      </c>
      <c r="DC49" s="123" cm="1">
        <f t="array" ref="DC49">INDEX(Properties!$D:$D,$B49+5)*(IF(AND(DC$3&gt;=INDEX(Properties!$Q:$Q,$B49+5),DC$3&lt;INDEX(Properties!$U:$U,$B49+5)),INDEX(Properties!$P:$P,$B49+5),0))</f>
        <v>0</v>
      </c>
      <c r="DD49" s="123" cm="1">
        <f t="array" ref="DD49">INDEX(Properties!$D:$D,$B49+5)*(IF(AND(DD$3&gt;=INDEX(Properties!$Q:$Q,$B49+5),DD$3&lt;INDEX(Properties!$U:$U,$B49+5)),INDEX(Properties!$P:$P,$B49+5),0))</f>
        <v>0</v>
      </c>
      <c r="DE49" s="123" cm="1">
        <f t="array" ref="DE49">INDEX(Properties!$D:$D,$B49+5)*(IF(AND(DE$3&gt;=INDEX(Properties!$Q:$Q,$B49+5),DE$3&lt;INDEX(Properties!$U:$U,$B49+5)),INDEX(Properties!$P:$P,$B49+5),0))</f>
        <v>0</v>
      </c>
      <c r="DF49" s="123" cm="1">
        <f t="array" ref="DF49">INDEX(Properties!$D:$D,$B49+5)*(IF(AND(DF$3&gt;=INDEX(Properties!$Q:$Q,$B49+5),DF$3&lt;INDEX(Properties!$U:$U,$B49+5)),INDEX(Properties!$P:$P,$B49+5),0))</f>
        <v>0</v>
      </c>
      <c r="DG49" s="123" cm="1">
        <f t="array" ref="DG49">INDEX(Properties!$D:$D,$B49+5)*(IF(AND(DG$3&gt;=INDEX(Properties!$Q:$Q,$B49+5),DG$3&lt;INDEX(Properties!$U:$U,$B49+5)),INDEX(Properties!$P:$P,$B49+5),0))</f>
        <v>0</v>
      </c>
      <c r="DH49" s="123" cm="1">
        <f t="array" ref="DH49">INDEX(Properties!$D:$D,$B49+5)*(IF(AND(DH$3&gt;=INDEX(Properties!$Q:$Q,$B49+5),DH$3&lt;INDEX(Properties!$U:$U,$B49+5)),INDEX(Properties!$P:$P,$B49+5),0))</f>
        <v>0</v>
      </c>
      <c r="DI49" s="123" cm="1">
        <f t="array" ref="DI49">INDEX(Properties!$D:$D,$B49+5)*(IF(AND(DI$3&gt;=INDEX(Properties!$Q:$Q,$B49+5),DI$3&lt;INDEX(Properties!$U:$U,$B49+5)),INDEX(Properties!$P:$P,$B49+5),0))</f>
        <v>0</v>
      </c>
      <c r="DJ49" s="123" cm="1">
        <f t="array" ref="DJ49">INDEX(Properties!$D:$D,$B49+5)*(IF(AND(DJ$3&gt;=INDEX(Properties!$Q:$Q,$B49+5),DJ$3&lt;INDEX(Properties!$U:$U,$B49+5)),INDEX(Properties!$P:$P,$B49+5),0))</f>
        <v>0</v>
      </c>
      <c r="DK49" s="123" cm="1">
        <f t="array" ref="DK49">INDEX(Properties!$D:$D,$B49+5)*(IF(AND(DK$3&gt;=INDEX(Properties!$Q:$Q,$B49+5),DK$3&lt;INDEX(Properties!$U:$U,$B49+5)),INDEX(Properties!$P:$P,$B49+5),0))</f>
        <v>0</v>
      </c>
      <c r="DL49" s="123" cm="1">
        <f t="array" ref="DL49">INDEX(Properties!$D:$D,$B49+5)*(IF(AND(DL$3&gt;=INDEX(Properties!$Q:$Q,$B49+5),DL$3&lt;INDEX(Properties!$U:$U,$B49+5)),INDEX(Properties!$P:$P,$B49+5),0))</f>
        <v>0</v>
      </c>
      <c r="DM49" s="123" cm="1">
        <f t="array" ref="DM49">INDEX(Properties!$D:$D,$B49+5)*(IF(AND(DM$3&gt;=INDEX(Properties!$Q:$Q,$B49+5),DM$3&lt;INDEX(Properties!$U:$U,$B49+5)),INDEX(Properties!$P:$P,$B49+5),0))</f>
        <v>0</v>
      </c>
      <c r="DN49" s="123" cm="1">
        <f t="array" ref="DN49">INDEX(Properties!$D:$D,$B49+5)*(IF(AND(DN$3&gt;=INDEX(Properties!$Q:$Q,$B49+5),DN$3&lt;INDEX(Properties!$U:$U,$B49+5)),INDEX(Properties!$P:$P,$B49+5),0))</f>
        <v>0</v>
      </c>
      <c r="DO49" s="123" cm="1">
        <f t="array" ref="DO49">INDEX(Properties!$D:$D,$B49+5)*(IF(AND(DO$3&gt;=INDEX(Properties!$Q:$Q,$B49+5),DO$3&lt;INDEX(Properties!$U:$U,$B49+5)),INDEX(Properties!$P:$P,$B49+5),0))</f>
        <v>0</v>
      </c>
      <c r="DP49" s="123" cm="1">
        <f t="array" ref="DP49">INDEX(Properties!$D:$D,$B49+5)*(IF(AND(DP$3&gt;=INDEX(Properties!$Q:$Q,$B49+5),DP$3&lt;INDEX(Properties!$U:$U,$B49+5)),INDEX(Properties!$P:$P,$B49+5),0))</f>
        <v>0</v>
      </c>
      <c r="DQ49" s="123" cm="1">
        <f t="array" ref="DQ49">INDEX(Properties!$D:$D,$B49+5)*(IF(AND(DQ$3&gt;=INDEX(Properties!$Q:$Q,$B49+5),DQ$3&lt;INDEX(Properties!$U:$U,$B49+5)),INDEX(Properties!$P:$P,$B49+5),0))</f>
        <v>0</v>
      </c>
      <c r="DR49" s="123" cm="1">
        <f t="array" ref="DR49">INDEX(Properties!$D:$D,$B49+5)*(IF(AND(DR$3&gt;=INDEX(Properties!$Q:$Q,$B49+5),DR$3&lt;INDEX(Properties!$U:$U,$B49+5)),INDEX(Properties!$P:$P,$B49+5),0))</f>
        <v>0</v>
      </c>
    </row>
    <row r="50" spans="1:122" ht="16.05" customHeight="1" x14ac:dyDescent="0.3">
      <c r="A50" s="148" t="str" cm="1">
        <f t="array" ref="A50">INDEX(Properties!$E:$E,$B50+5)</f>
        <v>Casa Montana Lote 2 (Samuel Gaviria House)</v>
      </c>
      <c r="B50" s="1">
        <v>4</v>
      </c>
      <c r="C50" s="123" cm="1">
        <f t="array" ref="C50">INDEX(Properties!$D:$D,$B50+5)*(IF(AND(C$3&gt;=INDEX(Properties!$Q:$Q,$B50+5),C$3&lt;INDEX(Properties!$U:$U,$B50+5)),INDEX(Properties!$P:$P,$B50+5),0))</f>
        <v>0</v>
      </c>
      <c r="D50" s="123" cm="1">
        <f t="array" ref="D50">INDEX(Properties!$D:$D,$B50+5)*(IF(AND(D$3&gt;=INDEX(Properties!$Q:$Q,$B50+5),D$3&lt;INDEX(Properties!$U:$U,$B50+5)),INDEX(Properties!$P:$P,$B50+5),0))</f>
        <v>0</v>
      </c>
      <c r="E50" s="123" cm="1">
        <f t="array" ref="E50">INDEX(Properties!$D:$D,$B50+5)*(IF(AND(E$3&gt;=INDEX(Properties!$Q:$Q,$B50+5),E$3&lt;INDEX(Properties!$U:$U,$B50+5)),INDEX(Properties!$P:$P,$B50+5),0))</f>
        <v>0</v>
      </c>
      <c r="F50" s="123" cm="1">
        <f t="array" ref="F50">INDEX(Properties!$D:$D,$B50+5)*(IF(AND(F$3&gt;=INDEX(Properties!$Q:$Q,$B50+5),F$3&lt;INDEX(Properties!$U:$U,$B50+5)),INDEX(Properties!$P:$P,$B50+5),0))</f>
        <v>0</v>
      </c>
      <c r="G50" s="123" cm="1">
        <f t="array" ref="G50">INDEX(Properties!$D:$D,$B50+5)*(IF(AND(G$3&gt;=INDEX(Properties!$Q:$Q,$B50+5),G$3&lt;INDEX(Properties!$U:$U,$B50+5)),INDEX(Properties!$P:$P,$B50+5),0))</f>
        <v>0</v>
      </c>
      <c r="H50" s="123" cm="1">
        <f t="array" ref="H50">INDEX(Properties!$D:$D,$B50+5)*(IF(AND(H$3&gt;=INDEX(Properties!$Q:$Q,$B50+5),H$3&lt;INDEX(Properties!$U:$U,$B50+5)),INDEX(Properties!$P:$P,$B50+5),0))</f>
        <v>0</v>
      </c>
      <c r="I50" s="123" cm="1">
        <f t="array" ref="I50">INDEX(Properties!$D:$D,$B50+5)*(IF(AND(I$3&gt;=INDEX(Properties!$Q:$Q,$B50+5),I$3&lt;INDEX(Properties!$U:$U,$B50+5)),INDEX(Properties!$P:$P,$B50+5),0))</f>
        <v>0</v>
      </c>
      <c r="J50" s="123" cm="1">
        <f t="array" ref="J50">INDEX(Properties!$D:$D,$B50+5)*(IF(AND(J$3&gt;=INDEX(Properties!$Q:$Q,$B50+5),J$3&lt;INDEX(Properties!$U:$U,$B50+5)),INDEX(Properties!$P:$P,$B50+5),0))</f>
        <v>1714482.2006472494</v>
      </c>
      <c r="K50" s="123" cm="1">
        <f t="array" ref="K50">INDEX(Properties!$D:$D,$B50+5)*(IF(AND(K$3&gt;=INDEX(Properties!$Q:$Q,$B50+5),K$3&lt;INDEX(Properties!$U:$U,$B50+5)),INDEX(Properties!$P:$P,$B50+5),0))</f>
        <v>1714482.2006472494</v>
      </c>
      <c r="L50" s="123" cm="1">
        <f t="array" ref="L50">INDEX(Properties!$D:$D,$B50+5)*(IF(AND(L$3&gt;=INDEX(Properties!$Q:$Q,$B50+5),L$3&lt;INDEX(Properties!$U:$U,$B50+5)),INDEX(Properties!$P:$P,$B50+5),0))</f>
        <v>1714482.2006472494</v>
      </c>
      <c r="M50" s="123" cm="1">
        <f t="array" ref="M50">INDEX(Properties!$D:$D,$B50+5)*(IF(AND(M$3&gt;=INDEX(Properties!$Q:$Q,$B50+5),M$3&lt;INDEX(Properties!$U:$U,$B50+5)),INDEX(Properties!$P:$P,$B50+5),0))</f>
        <v>1714482.2006472494</v>
      </c>
      <c r="N50" s="123" cm="1">
        <f t="array" ref="N50">INDEX(Properties!$D:$D,$B50+5)*(IF(AND(N$3&gt;=INDEX(Properties!$Q:$Q,$B50+5),N$3&lt;INDEX(Properties!$U:$U,$B50+5)),INDEX(Properties!$P:$P,$B50+5),0))</f>
        <v>1714482.2006472494</v>
      </c>
      <c r="O50" s="123" cm="1">
        <f t="array" ref="O50">INDEX(Properties!$D:$D,$B50+5)*(IF(AND(O$3&gt;=INDEX(Properties!$Q:$Q,$B50+5),O$3&lt;INDEX(Properties!$U:$U,$B50+5)),INDEX(Properties!$P:$P,$B50+5),0))</f>
        <v>1714482.2006472494</v>
      </c>
      <c r="P50" s="123" cm="1">
        <f t="array" ref="P50">INDEX(Properties!$D:$D,$B50+5)*(IF(AND(P$3&gt;=INDEX(Properties!$Q:$Q,$B50+5),P$3&lt;INDEX(Properties!$U:$U,$B50+5)),INDEX(Properties!$P:$P,$B50+5),0))</f>
        <v>1714482.2006472494</v>
      </c>
      <c r="Q50" s="123" cm="1">
        <f t="array" ref="Q50">INDEX(Properties!$D:$D,$B50+5)*(IF(AND(Q$3&gt;=INDEX(Properties!$Q:$Q,$B50+5),Q$3&lt;INDEX(Properties!$U:$U,$B50+5)),INDEX(Properties!$P:$P,$B50+5),0))</f>
        <v>1714482.2006472494</v>
      </c>
      <c r="R50" s="123" cm="1">
        <f t="array" ref="R50">INDEX(Properties!$D:$D,$B50+5)*(IF(AND(R$3&gt;=INDEX(Properties!$Q:$Q,$B50+5),R$3&lt;INDEX(Properties!$U:$U,$B50+5)),INDEX(Properties!$P:$P,$B50+5),0))</f>
        <v>1714482.2006472494</v>
      </c>
      <c r="S50" s="123" cm="1">
        <f t="array" ref="S50">INDEX(Properties!$D:$D,$B50+5)*(IF(AND(S$3&gt;=INDEX(Properties!$Q:$Q,$B50+5),S$3&lt;INDEX(Properties!$U:$U,$B50+5)),INDEX(Properties!$P:$P,$B50+5),0))</f>
        <v>1714482.2006472494</v>
      </c>
      <c r="T50" s="123" cm="1">
        <f t="array" ref="T50">INDEX(Properties!$D:$D,$B50+5)*(IF(AND(T$3&gt;=INDEX(Properties!$Q:$Q,$B50+5),T$3&lt;INDEX(Properties!$U:$U,$B50+5)),INDEX(Properties!$P:$P,$B50+5),0))</f>
        <v>1714482.2006472494</v>
      </c>
      <c r="U50" s="123" cm="1">
        <f t="array" ref="U50">INDEX(Properties!$D:$D,$B50+5)*(IF(AND(U$3&gt;=INDEX(Properties!$Q:$Q,$B50+5),U$3&lt;INDEX(Properties!$U:$U,$B50+5)),INDEX(Properties!$P:$P,$B50+5),0))</f>
        <v>1714482.2006472494</v>
      </c>
      <c r="V50" s="123" cm="1">
        <f t="array" ref="V50">INDEX(Properties!$D:$D,$B50+5)*(IF(AND(V$3&gt;=INDEX(Properties!$Q:$Q,$B50+5),V$3&lt;INDEX(Properties!$U:$U,$B50+5)),INDEX(Properties!$P:$P,$B50+5),0))</f>
        <v>1714482.2006472494</v>
      </c>
      <c r="W50" s="123" cm="1">
        <f t="array" ref="W50">INDEX(Properties!$D:$D,$B50+5)*(IF(AND(W$3&gt;=INDEX(Properties!$Q:$Q,$B50+5),W$3&lt;INDEX(Properties!$U:$U,$B50+5)),INDEX(Properties!$P:$P,$B50+5),0))</f>
        <v>1714482.2006472494</v>
      </c>
      <c r="X50" s="123" cm="1">
        <f t="array" ref="X50">INDEX(Properties!$D:$D,$B50+5)*(IF(AND(X$3&gt;=INDEX(Properties!$Q:$Q,$B50+5),X$3&lt;INDEX(Properties!$U:$U,$B50+5)),INDEX(Properties!$P:$P,$B50+5),0))</f>
        <v>1714482.2006472494</v>
      </c>
      <c r="Y50" s="123" cm="1">
        <f t="array" ref="Y50">INDEX(Properties!$D:$D,$B50+5)*(IF(AND(Y$3&gt;=INDEX(Properties!$Q:$Q,$B50+5),Y$3&lt;INDEX(Properties!$U:$U,$B50+5)),INDEX(Properties!$P:$P,$B50+5),0))</f>
        <v>1714482.2006472494</v>
      </c>
      <c r="Z50" s="123" cm="1">
        <f t="array" ref="Z50">INDEX(Properties!$D:$D,$B50+5)*(IF(AND(Z$3&gt;=INDEX(Properties!$Q:$Q,$B50+5),Z$3&lt;INDEX(Properties!$U:$U,$B50+5)),INDEX(Properties!$P:$P,$B50+5),0))</f>
        <v>1714482.2006472494</v>
      </c>
      <c r="AA50" s="123" cm="1">
        <f t="array" ref="AA50">INDEX(Properties!$D:$D,$B50+5)*(IF(AND(AA$3&gt;=INDEX(Properties!$Q:$Q,$B50+5),AA$3&lt;INDEX(Properties!$U:$U,$B50+5)),INDEX(Properties!$P:$P,$B50+5),0))</f>
        <v>1714482.2006472494</v>
      </c>
      <c r="AB50" s="123" cm="1">
        <f t="array" ref="AB50">INDEX(Properties!$D:$D,$B50+5)*(IF(AND(AB$3&gt;=INDEX(Properties!$Q:$Q,$B50+5),AB$3&lt;INDEX(Properties!$U:$U,$B50+5)),INDEX(Properties!$P:$P,$B50+5),0))</f>
        <v>1714482.2006472494</v>
      </c>
      <c r="AC50" s="123" cm="1">
        <f t="array" ref="AC50">INDEX(Properties!$D:$D,$B50+5)*(IF(AND(AC$3&gt;=INDEX(Properties!$Q:$Q,$B50+5),AC$3&lt;INDEX(Properties!$U:$U,$B50+5)),INDEX(Properties!$P:$P,$B50+5),0))</f>
        <v>1714482.2006472494</v>
      </c>
      <c r="AD50" s="123" cm="1">
        <f t="array" ref="AD50">INDEX(Properties!$D:$D,$B50+5)*(IF(AND(AD$3&gt;=INDEX(Properties!$Q:$Q,$B50+5),AD$3&lt;INDEX(Properties!$U:$U,$B50+5)),INDEX(Properties!$P:$P,$B50+5),0))</f>
        <v>1714482.2006472494</v>
      </c>
      <c r="AE50" s="123" cm="1">
        <f t="array" ref="AE50">INDEX(Properties!$D:$D,$B50+5)*(IF(AND(AE$3&gt;=INDEX(Properties!$Q:$Q,$B50+5),AE$3&lt;INDEX(Properties!$U:$U,$B50+5)),INDEX(Properties!$P:$P,$B50+5),0))</f>
        <v>1714482.2006472494</v>
      </c>
      <c r="AF50" s="123" cm="1">
        <f t="array" ref="AF50">INDEX(Properties!$D:$D,$B50+5)*(IF(AND(AF$3&gt;=INDEX(Properties!$Q:$Q,$B50+5),AF$3&lt;INDEX(Properties!$U:$U,$B50+5)),INDEX(Properties!$P:$P,$B50+5),0))</f>
        <v>1714482.2006472494</v>
      </c>
      <c r="AG50" s="123" cm="1">
        <f t="array" ref="AG50">INDEX(Properties!$D:$D,$B50+5)*(IF(AND(AG$3&gt;=INDEX(Properties!$Q:$Q,$B50+5),AG$3&lt;INDEX(Properties!$U:$U,$B50+5)),INDEX(Properties!$P:$P,$B50+5),0))</f>
        <v>1714482.2006472494</v>
      </c>
      <c r="AH50" s="123" cm="1">
        <f t="array" ref="AH50">INDEX(Properties!$D:$D,$B50+5)*(IF(AND(AH$3&gt;=INDEX(Properties!$Q:$Q,$B50+5),AH$3&lt;INDEX(Properties!$U:$U,$B50+5)),INDEX(Properties!$P:$P,$B50+5),0))</f>
        <v>1714482.2006472494</v>
      </c>
      <c r="AI50" s="123" cm="1">
        <f t="array" ref="AI50">INDEX(Properties!$D:$D,$B50+5)*(IF(AND(AI$3&gt;=INDEX(Properties!$Q:$Q,$B50+5),AI$3&lt;INDEX(Properties!$U:$U,$B50+5)),INDEX(Properties!$P:$P,$B50+5),0))</f>
        <v>1714482.2006472494</v>
      </c>
      <c r="AJ50" s="123" cm="1">
        <f t="array" ref="AJ50">INDEX(Properties!$D:$D,$B50+5)*(IF(AND(AJ$3&gt;=INDEX(Properties!$Q:$Q,$B50+5),AJ$3&lt;INDEX(Properties!$U:$U,$B50+5)),INDEX(Properties!$P:$P,$B50+5),0))</f>
        <v>1714482.2006472494</v>
      </c>
      <c r="AK50" s="123" cm="1">
        <f t="array" ref="AK50">INDEX(Properties!$D:$D,$B50+5)*(IF(AND(AK$3&gt;=INDEX(Properties!$Q:$Q,$B50+5),AK$3&lt;INDEX(Properties!$U:$U,$B50+5)),INDEX(Properties!$P:$P,$B50+5),0))</f>
        <v>1714482.2006472494</v>
      </c>
      <c r="AL50" s="123" cm="1">
        <f t="array" ref="AL50">INDEX(Properties!$D:$D,$B50+5)*(IF(AND(AL$3&gt;=INDEX(Properties!$Q:$Q,$B50+5),AL$3&lt;INDEX(Properties!$U:$U,$B50+5)),INDEX(Properties!$P:$P,$B50+5),0))</f>
        <v>1714482.2006472494</v>
      </c>
      <c r="AM50" s="123" cm="1">
        <f t="array" ref="AM50">INDEX(Properties!$D:$D,$B50+5)*(IF(AND(AM$3&gt;=INDEX(Properties!$Q:$Q,$B50+5),AM$3&lt;INDEX(Properties!$U:$U,$B50+5)),INDEX(Properties!$P:$P,$B50+5),0))</f>
        <v>1714482.2006472494</v>
      </c>
      <c r="AN50" s="123" cm="1">
        <f t="array" ref="AN50">INDEX(Properties!$D:$D,$B50+5)*(IF(AND(AN$3&gt;=INDEX(Properties!$Q:$Q,$B50+5),AN$3&lt;INDEX(Properties!$U:$U,$B50+5)),INDEX(Properties!$P:$P,$B50+5),0))</f>
        <v>1714482.2006472494</v>
      </c>
      <c r="AO50" s="123" cm="1">
        <f t="array" ref="AO50">INDEX(Properties!$D:$D,$B50+5)*(IF(AND(AO$3&gt;=INDEX(Properties!$Q:$Q,$B50+5),AO$3&lt;INDEX(Properties!$U:$U,$B50+5)),INDEX(Properties!$P:$P,$B50+5),0))</f>
        <v>1714482.2006472494</v>
      </c>
      <c r="AP50" s="123" cm="1">
        <f t="array" ref="AP50">INDEX(Properties!$D:$D,$B50+5)*(IF(AND(AP$3&gt;=INDEX(Properties!$Q:$Q,$B50+5),AP$3&lt;INDEX(Properties!$U:$U,$B50+5)),INDEX(Properties!$P:$P,$B50+5),0))</f>
        <v>1714482.2006472494</v>
      </c>
      <c r="AQ50" s="123" cm="1">
        <f t="array" ref="AQ50">INDEX(Properties!$D:$D,$B50+5)*(IF(AND(AQ$3&gt;=INDEX(Properties!$Q:$Q,$B50+5),AQ$3&lt;INDEX(Properties!$U:$U,$B50+5)),INDEX(Properties!$P:$P,$B50+5),0))</f>
        <v>1714482.2006472494</v>
      </c>
      <c r="AR50" s="123" cm="1">
        <f t="array" ref="AR50">INDEX(Properties!$D:$D,$B50+5)*(IF(AND(AR$3&gt;=INDEX(Properties!$Q:$Q,$B50+5),AR$3&lt;INDEX(Properties!$U:$U,$B50+5)),INDEX(Properties!$P:$P,$B50+5),0))</f>
        <v>1714482.2006472494</v>
      </c>
      <c r="AS50" s="123" cm="1">
        <f t="array" ref="AS50">INDEX(Properties!$D:$D,$B50+5)*(IF(AND(AS$3&gt;=INDEX(Properties!$Q:$Q,$B50+5),AS$3&lt;INDEX(Properties!$U:$U,$B50+5)),INDEX(Properties!$P:$P,$B50+5),0))</f>
        <v>0</v>
      </c>
      <c r="AT50" s="123" cm="1">
        <f t="array" ref="AT50">INDEX(Properties!$D:$D,$B50+5)*(IF(AND(AT$3&gt;=INDEX(Properties!$Q:$Q,$B50+5),AT$3&lt;INDEX(Properties!$U:$U,$B50+5)),INDEX(Properties!$P:$P,$B50+5),0))</f>
        <v>0</v>
      </c>
      <c r="AU50" s="123" cm="1">
        <f t="array" ref="AU50">INDEX(Properties!$D:$D,$B50+5)*(IF(AND(AU$3&gt;=INDEX(Properties!$Q:$Q,$B50+5),AU$3&lt;INDEX(Properties!$U:$U,$B50+5)),INDEX(Properties!$P:$P,$B50+5),0))</f>
        <v>0</v>
      </c>
      <c r="AV50" s="123" cm="1">
        <f t="array" ref="AV50">INDEX(Properties!$D:$D,$B50+5)*(IF(AND(AV$3&gt;=INDEX(Properties!$Q:$Q,$B50+5),AV$3&lt;INDEX(Properties!$U:$U,$B50+5)),INDEX(Properties!$P:$P,$B50+5),0))</f>
        <v>0</v>
      </c>
      <c r="AW50" s="123" cm="1">
        <f t="array" ref="AW50">INDEX(Properties!$D:$D,$B50+5)*(IF(AND(AW$3&gt;=INDEX(Properties!$Q:$Q,$B50+5),AW$3&lt;INDEX(Properties!$U:$U,$B50+5)),INDEX(Properties!$P:$P,$B50+5),0))</f>
        <v>0</v>
      </c>
      <c r="AX50" s="123" cm="1">
        <f t="array" ref="AX50">INDEX(Properties!$D:$D,$B50+5)*(IF(AND(AX$3&gt;=INDEX(Properties!$Q:$Q,$B50+5),AX$3&lt;INDEX(Properties!$U:$U,$B50+5)),INDEX(Properties!$P:$P,$B50+5),0))</f>
        <v>0</v>
      </c>
      <c r="AY50" s="123" cm="1">
        <f t="array" ref="AY50">INDEX(Properties!$D:$D,$B50+5)*(IF(AND(AY$3&gt;=INDEX(Properties!$Q:$Q,$B50+5),AY$3&lt;INDEX(Properties!$U:$U,$B50+5)),INDEX(Properties!$P:$P,$B50+5),0))</f>
        <v>0</v>
      </c>
      <c r="AZ50" s="123" cm="1">
        <f t="array" ref="AZ50">INDEX(Properties!$D:$D,$B50+5)*(IF(AND(AZ$3&gt;=INDEX(Properties!$Q:$Q,$B50+5),AZ$3&lt;INDEX(Properties!$U:$U,$B50+5)),INDEX(Properties!$P:$P,$B50+5),0))</f>
        <v>0</v>
      </c>
      <c r="BA50" s="123" cm="1">
        <f t="array" ref="BA50">INDEX(Properties!$D:$D,$B50+5)*(IF(AND(BA$3&gt;=INDEX(Properties!$Q:$Q,$B50+5),BA$3&lt;INDEX(Properties!$U:$U,$B50+5)),INDEX(Properties!$P:$P,$B50+5),0))</f>
        <v>0</v>
      </c>
      <c r="BB50" s="123" cm="1">
        <f t="array" ref="BB50">INDEX(Properties!$D:$D,$B50+5)*(IF(AND(BB$3&gt;=INDEX(Properties!$Q:$Q,$B50+5),BB$3&lt;INDEX(Properties!$U:$U,$B50+5)),INDEX(Properties!$P:$P,$B50+5),0))</f>
        <v>0</v>
      </c>
      <c r="BC50" s="123" cm="1">
        <f t="array" ref="BC50">INDEX(Properties!$D:$D,$B50+5)*(IF(AND(BC$3&gt;=INDEX(Properties!$Q:$Q,$B50+5),BC$3&lt;INDEX(Properties!$U:$U,$B50+5)),INDEX(Properties!$P:$P,$B50+5),0))</f>
        <v>0</v>
      </c>
      <c r="BD50" s="123" cm="1">
        <f t="array" ref="BD50">INDEX(Properties!$D:$D,$B50+5)*(IF(AND(BD$3&gt;=INDEX(Properties!$Q:$Q,$B50+5),BD$3&lt;INDEX(Properties!$U:$U,$B50+5)),INDEX(Properties!$P:$P,$B50+5),0))</f>
        <v>0</v>
      </c>
      <c r="BE50" s="123" cm="1">
        <f t="array" ref="BE50">INDEX(Properties!$D:$D,$B50+5)*(IF(AND(BE$3&gt;=INDEX(Properties!$Q:$Q,$B50+5),BE$3&lt;INDEX(Properties!$U:$U,$B50+5)),INDEX(Properties!$P:$P,$B50+5),0))</f>
        <v>0</v>
      </c>
      <c r="BF50" s="123" cm="1">
        <f t="array" ref="BF50">INDEX(Properties!$D:$D,$B50+5)*(IF(AND(BF$3&gt;=INDEX(Properties!$Q:$Q,$B50+5),BF$3&lt;INDEX(Properties!$U:$U,$B50+5)),INDEX(Properties!$P:$P,$B50+5),0))</f>
        <v>0</v>
      </c>
      <c r="BG50" s="123" cm="1">
        <f t="array" ref="BG50">INDEX(Properties!$D:$D,$B50+5)*(IF(AND(BG$3&gt;=INDEX(Properties!$Q:$Q,$B50+5),BG$3&lt;INDEX(Properties!$U:$U,$B50+5)),INDEX(Properties!$P:$P,$B50+5),0))</f>
        <v>0</v>
      </c>
      <c r="BH50" s="123" cm="1">
        <f t="array" ref="BH50">INDEX(Properties!$D:$D,$B50+5)*(IF(AND(BH$3&gt;=INDEX(Properties!$Q:$Q,$B50+5),BH$3&lt;INDEX(Properties!$U:$U,$B50+5)),INDEX(Properties!$P:$P,$B50+5),0))</f>
        <v>0</v>
      </c>
      <c r="BI50" s="123" cm="1">
        <f t="array" ref="BI50">INDEX(Properties!$D:$D,$B50+5)*(IF(AND(BI$3&gt;=INDEX(Properties!$Q:$Q,$B50+5),BI$3&lt;INDEX(Properties!$U:$U,$B50+5)),INDEX(Properties!$P:$P,$B50+5),0))</f>
        <v>0</v>
      </c>
      <c r="BJ50" s="123" cm="1">
        <f t="array" ref="BJ50">INDEX(Properties!$D:$D,$B50+5)*(IF(AND(BJ$3&gt;=INDEX(Properties!$Q:$Q,$B50+5),BJ$3&lt;INDEX(Properties!$U:$U,$B50+5)),INDEX(Properties!$P:$P,$B50+5),0))</f>
        <v>0</v>
      </c>
      <c r="BK50" s="123" cm="1">
        <f t="array" ref="BK50">INDEX(Properties!$D:$D,$B50+5)*(IF(AND(BK$3&gt;=INDEX(Properties!$Q:$Q,$B50+5),BK$3&lt;INDEX(Properties!$U:$U,$B50+5)),INDEX(Properties!$P:$P,$B50+5),0))</f>
        <v>0</v>
      </c>
      <c r="BL50" s="123" cm="1">
        <f t="array" ref="BL50">INDEX(Properties!$D:$D,$B50+5)*(IF(AND(BL$3&gt;=INDEX(Properties!$Q:$Q,$B50+5),BL$3&lt;INDEX(Properties!$U:$U,$B50+5)),INDEX(Properties!$P:$P,$B50+5),0))</f>
        <v>0</v>
      </c>
      <c r="BM50" s="123" cm="1">
        <f t="array" ref="BM50">INDEX(Properties!$D:$D,$B50+5)*(IF(AND(BM$3&gt;=INDEX(Properties!$Q:$Q,$B50+5),BM$3&lt;INDEX(Properties!$U:$U,$B50+5)),INDEX(Properties!$P:$P,$B50+5),0))</f>
        <v>0</v>
      </c>
      <c r="BN50" s="123" cm="1">
        <f t="array" ref="BN50">INDEX(Properties!$D:$D,$B50+5)*(IF(AND(BN$3&gt;=INDEX(Properties!$Q:$Q,$B50+5),BN$3&lt;INDEX(Properties!$U:$U,$B50+5)),INDEX(Properties!$P:$P,$B50+5),0))</f>
        <v>0</v>
      </c>
      <c r="BO50" s="123" cm="1">
        <f t="array" ref="BO50">INDEX(Properties!$D:$D,$B50+5)*(IF(AND(BO$3&gt;=INDEX(Properties!$Q:$Q,$B50+5),BO$3&lt;INDEX(Properties!$U:$U,$B50+5)),INDEX(Properties!$P:$P,$B50+5),0))</f>
        <v>0</v>
      </c>
      <c r="BP50" s="123" cm="1">
        <f t="array" ref="BP50">INDEX(Properties!$D:$D,$B50+5)*(IF(AND(BP$3&gt;=INDEX(Properties!$Q:$Q,$B50+5),BP$3&lt;INDEX(Properties!$U:$U,$B50+5)),INDEX(Properties!$P:$P,$B50+5),0))</f>
        <v>0</v>
      </c>
      <c r="BQ50" s="123" cm="1">
        <f t="array" ref="BQ50">INDEX(Properties!$D:$D,$B50+5)*(IF(AND(BQ$3&gt;=INDEX(Properties!$Q:$Q,$B50+5),BQ$3&lt;INDEX(Properties!$U:$U,$B50+5)),INDEX(Properties!$P:$P,$B50+5),0))</f>
        <v>0</v>
      </c>
      <c r="BR50" s="123" cm="1">
        <f t="array" ref="BR50">INDEX(Properties!$D:$D,$B50+5)*(IF(AND(BR$3&gt;=INDEX(Properties!$Q:$Q,$B50+5),BR$3&lt;INDEX(Properties!$U:$U,$B50+5)),INDEX(Properties!$P:$P,$B50+5),0))</f>
        <v>0</v>
      </c>
      <c r="BS50" s="123" cm="1">
        <f t="array" ref="BS50">INDEX(Properties!$D:$D,$B50+5)*(IF(AND(BS$3&gt;=INDEX(Properties!$Q:$Q,$B50+5),BS$3&lt;INDEX(Properties!$U:$U,$B50+5)),INDEX(Properties!$P:$P,$B50+5),0))</f>
        <v>0</v>
      </c>
      <c r="BT50" s="123" cm="1">
        <f t="array" ref="BT50">INDEX(Properties!$D:$D,$B50+5)*(IF(AND(BT$3&gt;=INDEX(Properties!$Q:$Q,$B50+5),BT$3&lt;INDEX(Properties!$U:$U,$B50+5)),INDEX(Properties!$P:$P,$B50+5),0))</f>
        <v>0</v>
      </c>
      <c r="BU50" s="123" cm="1">
        <f t="array" ref="BU50">INDEX(Properties!$D:$D,$B50+5)*(IF(AND(BU$3&gt;=INDEX(Properties!$Q:$Q,$B50+5),BU$3&lt;INDEX(Properties!$U:$U,$B50+5)),INDEX(Properties!$P:$P,$B50+5),0))</f>
        <v>0</v>
      </c>
      <c r="BV50" s="123" cm="1">
        <f t="array" ref="BV50">INDEX(Properties!$D:$D,$B50+5)*(IF(AND(BV$3&gt;=INDEX(Properties!$Q:$Q,$B50+5),BV$3&lt;INDEX(Properties!$U:$U,$B50+5)),INDEX(Properties!$P:$P,$B50+5),0))</f>
        <v>0</v>
      </c>
      <c r="BW50" s="123" cm="1">
        <f t="array" ref="BW50">INDEX(Properties!$D:$D,$B50+5)*(IF(AND(BW$3&gt;=INDEX(Properties!$Q:$Q,$B50+5),BW$3&lt;INDEX(Properties!$U:$U,$B50+5)),INDEX(Properties!$P:$P,$B50+5),0))</f>
        <v>0</v>
      </c>
      <c r="BX50" s="123" cm="1">
        <f t="array" ref="BX50">INDEX(Properties!$D:$D,$B50+5)*(IF(AND(BX$3&gt;=INDEX(Properties!$Q:$Q,$B50+5),BX$3&lt;INDEX(Properties!$U:$U,$B50+5)),INDEX(Properties!$P:$P,$B50+5),0))</f>
        <v>0</v>
      </c>
      <c r="BY50" s="123" cm="1">
        <f t="array" ref="BY50">INDEX(Properties!$D:$D,$B50+5)*(IF(AND(BY$3&gt;=INDEX(Properties!$Q:$Q,$B50+5),BY$3&lt;INDEX(Properties!$U:$U,$B50+5)),INDEX(Properties!$P:$P,$B50+5),0))</f>
        <v>0</v>
      </c>
      <c r="BZ50" s="123" cm="1">
        <f t="array" ref="BZ50">INDEX(Properties!$D:$D,$B50+5)*(IF(AND(BZ$3&gt;=INDEX(Properties!$Q:$Q,$B50+5),BZ$3&lt;INDEX(Properties!$U:$U,$B50+5)),INDEX(Properties!$P:$P,$B50+5),0))</f>
        <v>0</v>
      </c>
      <c r="CA50" s="123" cm="1">
        <f t="array" ref="CA50">INDEX(Properties!$D:$D,$B50+5)*(IF(AND(CA$3&gt;=INDEX(Properties!$Q:$Q,$B50+5),CA$3&lt;INDEX(Properties!$U:$U,$B50+5)),INDEX(Properties!$P:$P,$B50+5),0))</f>
        <v>0</v>
      </c>
      <c r="CB50" s="123" cm="1">
        <f t="array" ref="CB50">INDEX(Properties!$D:$D,$B50+5)*(IF(AND(CB$3&gt;=INDEX(Properties!$Q:$Q,$B50+5),CB$3&lt;INDEX(Properties!$U:$U,$B50+5)),INDEX(Properties!$P:$P,$B50+5),0))</f>
        <v>0</v>
      </c>
      <c r="CC50" s="123" cm="1">
        <f t="array" ref="CC50">INDEX(Properties!$D:$D,$B50+5)*(IF(AND(CC$3&gt;=INDEX(Properties!$Q:$Q,$B50+5),CC$3&lt;INDEX(Properties!$U:$U,$B50+5)),INDEX(Properties!$P:$P,$B50+5),0))</f>
        <v>0</v>
      </c>
      <c r="CD50" s="123" cm="1">
        <f t="array" ref="CD50">INDEX(Properties!$D:$D,$B50+5)*(IF(AND(CD$3&gt;=INDEX(Properties!$Q:$Q,$B50+5),CD$3&lt;INDEX(Properties!$U:$U,$B50+5)),INDEX(Properties!$P:$P,$B50+5),0))</f>
        <v>0</v>
      </c>
      <c r="CE50" s="123" cm="1">
        <f t="array" ref="CE50">INDEX(Properties!$D:$D,$B50+5)*(IF(AND(CE$3&gt;=INDEX(Properties!$Q:$Q,$B50+5),CE$3&lt;INDEX(Properties!$U:$U,$B50+5)),INDEX(Properties!$P:$P,$B50+5),0))</f>
        <v>0</v>
      </c>
      <c r="CF50" s="123" cm="1">
        <f t="array" ref="CF50">INDEX(Properties!$D:$D,$B50+5)*(IF(AND(CF$3&gt;=INDEX(Properties!$Q:$Q,$B50+5),CF$3&lt;INDEX(Properties!$U:$U,$B50+5)),INDEX(Properties!$P:$P,$B50+5),0))</f>
        <v>0</v>
      </c>
      <c r="CG50" s="123" cm="1">
        <f t="array" ref="CG50">INDEX(Properties!$D:$D,$B50+5)*(IF(AND(CG$3&gt;=INDEX(Properties!$Q:$Q,$B50+5),CG$3&lt;INDEX(Properties!$U:$U,$B50+5)),INDEX(Properties!$P:$P,$B50+5),0))</f>
        <v>0</v>
      </c>
      <c r="CH50" s="123" cm="1">
        <f t="array" ref="CH50">INDEX(Properties!$D:$D,$B50+5)*(IF(AND(CH$3&gt;=INDEX(Properties!$Q:$Q,$B50+5),CH$3&lt;INDEX(Properties!$U:$U,$B50+5)),INDEX(Properties!$P:$P,$B50+5),0))</f>
        <v>0</v>
      </c>
      <c r="CI50" s="123" cm="1">
        <f t="array" ref="CI50">INDEX(Properties!$D:$D,$B50+5)*(IF(AND(CI$3&gt;=INDEX(Properties!$Q:$Q,$B50+5),CI$3&lt;INDEX(Properties!$U:$U,$B50+5)),INDEX(Properties!$P:$P,$B50+5),0))</f>
        <v>0</v>
      </c>
      <c r="CJ50" s="123" cm="1">
        <f t="array" ref="CJ50">INDEX(Properties!$D:$D,$B50+5)*(IF(AND(CJ$3&gt;=INDEX(Properties!$Q:$Q,$B50+5),CJ$3&lt;INDEX(Properties!$U:$U,$B50+5)),INDEX(Properties!$P:$P,$B50+5),0))</f>
        <v>0</v>
      </c>
      <c r="CK50" s="123" cm="1">
        <f t="array" ref="CK50">INDEX(Properties!$D:$D,$B50+5)*(IF(AND(CK$3&gt;=INDEX(Properties!$Q:$Q,$B50+5),CK$3&lt;INDEX(Properties!$U:$U,$B50+5)),INDEX(Properties!$P:$P,$B50+5),0))</f>
        <v>0</v>
      </c>
      <c r="CL50" s="123" cm="1">
        <f t="array" ref="CL50">INDEX(Properties!$D:$D,$B50+5)*(IF(AND(CL$3&gt;=INDEX(Properties!$Q:$Q,$B50+5),CL$3&lt;INDEX(Properties!$U:$U,$B50+5)),INDEX(Properties!$P:$P,$B50+5),0))</f>
        <v>0</v>
      </c>
      <c r="CM50" s="123" cm="1">
        <f t="array" ref="CM50">INDEX(Properties!$D:$D,$B50+5)*(IF(AND(CM$3&gt;=INDEX(Properties!$Q:$Q,$B50+5),CM$3&lt;INDEX(Properties!$U:$U,$B50+5)),INDEX(Properties!$P:$P,$B50+5),0))</f>
        <v>0</v>
      </c>
      <c r="CN50" s="123" cm="1">
        <f t="array" ref="CN50">INDEX(Properties!$D:$D,$B50+5)*(IF(AND(CN$3&gt;=INDEX(Properties!$Q:$Q,$B50+5),CN$3&lt;INDEX(Properties!$U:$U,$B50+5)),INDEX(Properties!$P:$P,$B50+5),0))</f>
        <v>0</v>
      </c>
      <c r="CO50" s="123" cm="1">
        <f t="array" ref="CO50">INDEX(Properties!$D:$D,$B50+5)*(IF(AND(CO$3&gt;=INDEX(Properties!$Q:$Q,$B50+5),CO$3&lt;INDEX(Properties!$U:$U,$B50+5)),INDEX(Properties!$P:$P,$B50+5),0))</f>
        <v>0</v>
      </c>
      <c r="CP50" s="123" cm="1">
        <f t="array" ref="CP50">INDEX(Properties!$D:$D,$B50+5)*(IF(AND(CP$3&gt;=INDEX(Properties!$Q:$Q,$B50+5),CP$3&lt;INDEX(Properties!$U:$U,$B50+5)),INDEX(Properties!$P:$P,$B50+5),0))</f>
        <v>0</v>
      </c>
      <c r="CQ50" s="123" cm="1">
        <f t="array" ref="CQ50">INDEX(Properties!$D:$D,$B50+5)*(IF(AND(CQ$3&gt;=INDEX(Properties!$Q:$Q,$B50+5),CQ$3&lt;INDEX(Properties!$U:$U,$B50+5)),INDEX(Properties!$P:$P,$B50+5),0))</f>
        <v>0</v>
      </c>
      <c r="CR50" s="123" cm="1">
        <f t="array" ref="CR50">INDEX(Properties!$D:$D,$B50+5)*(IF(AND(CR$3&gt;=INDEX(Properties!$Q:$Q,$B50+5),CR$3&lt;INDEX(Properties!$U:$U,$B50+5)),INDEX(Properties!$P:$P,$B50+5),0))</f>
        <v>0</v>
      </c>
      <c r="CS50" s="123" cm="1">
        <f t="array" ref="CS50">INDEX(Properties!$D:$D,$B50+5)*(IF(AND(CS$3&gt;=INDEX(Properties!$Q:$Q,$B50+5),CS$3&lt;INDEX(Properties!$U:$U,$B50+5)),INDEX(Properties!$P:$P,$B50+5),0))</f>
        <v>0</v>
      </c>
      <c r="CT50" s="123" cm="1">
        <f t="array" ref="CT50">INDEX(Properties!$D:$D,$B50+5)*(IF(AND(CT$3&gt;=INDEX(Properties!$Q:$Q,$B50+5),CT$3&lt;INDEX(Properties!$U:$U,$B50+5)),INDEX(Properties!$P:$P,$B50+5),0))</f>
        <v>0</v>
      </c>
      <c r="CU50" s="123" cm="1">
        <f t="array" ref="CU50">INDEX(Properties!$D:$D,$B50+5)*(IF(AND(CU$3&gt;=INDEX(Properties!$Q:$Q,$B50+5),CU$3&lt;INDEX(Properties!$U:$U,$B50+5)),INDEX(Properties!$P:$P,$B50+5),0))</f>
        <v>0</v>
      </c>
      <c r="CV50" s="123" cm="1">
        <f t="array" ref="CV50">INDEX(Properties!$D:$D,$B50+5)*(IF(AND(CV$3&gt;=INDEX(Properties!$Q:$Q,$B50+5),CV$3&lt;INDEX(Properties!$U:$U,$B50+5)),INDEX(Properties!$P:$P,$B50+5),0))</f>
        <v>0</v>
      </c>
      <c r="CW50" s="123" cm="1">
        <f t="array" ref="CW50">INDEX(Properties!$D:$D,$B50+5)*(IF(AND(CW$3&gt;=INDEX(Properties!$Q:$Q,$B50+5),CW$3&lt;INDEX(Properties!$U:$U,$B50+5)),INDEX(Properties!$P:$P,$B50+5),0))</f>
        <v>0</v>
      </c>
      <c r="CX50" s="123" cm="1">
        <f t="array" ref="CX50">INDEX(Properties!$D:$D,$B50+5)*(IF(AND(CX$3&gt;=INDEX(Properties!$Q:$Q,$B50+5),CX$3&lt;INDEX(Properties!$U:$U,$B50+5)),INDEX(Properties!$P:$P,$B50+5),0))</f>
        <v>0</v>
      </c>
      <c r="CY50" s="123" cm="1">
        <f t="array" ref="CY50">INDEX(Properties!$D:$D,$B50+5)*(IF(AND(CY$3&gt;=INDEX(Properties!$Q:$Q,$B50+5),CY$3&lt;INDEX(Properties!$U:$U,$B50+5)),INDEX(Properties!$P:$P,$B50+5),0))</f>
        <v>0</v>
      </c>
      <c r="CZ50" s="123" cm="1">
        <f t="array" ref="CZ50">INDEX(Properties!$D:$D,$B50+5)*(IF(AND(CZ$3&gt;=INDEX(Properties!$Q:$Q,$B50+5),CZ$3&lt;INDEX(Properties!$U:$U,$B50+5)),INDEX(Properties!$P:$P,$B50+5),0))</f>
        <v>0</v>
      </c>
      <c r="DA50" s="123" cm="1">
        <f t="array" ref="DA50">INDEX(Properties!$D:$D,$B50+5)*(IF(AND(DA$3&gt;=INDEX(Properties!$Q:$Q,$B50+5),DA$3&lt;INDEX(Properties!$U:$U,$B50+5)),INDEX(Properties!$P:$P,$B50+5),0))</f>
        <v>0</v>
      </c>
      <c r="DB50" s="123" cm="1">
        <f t="array" ref="DB50">INDEX(Properties!$D:$D,$B50+5)*(IF(AND(DB$3&gt;=INDEX(Properties!$Q:$Q,$B50+5),DB$3&lt;INDEX(Properties!$U:$U,$B50+5)),INDEX(Properties!$P:$P,$B50+5),0))</f>
        <v>0</v>
      </c>
      <c r="DC50" s="123" cm="1">
        <f t="array" ref="DC50">INDEX(Properties!$D:$D,$B50+5)*(IF(AND(DC$3&gt;=INDEX(Properties!$Q:$Q,$B50+5),DC$3&lt;INDEX(Properties!$U:$U,$B50+5)),INDEX(Properties!$P:$P,$B50+5),0))</f>
        <v>0</v>
      </c>
      <c r="DD50" s="123" cm="1">
        <f t="array" ref="DD50">INDEX(Properties!$D:$D,$B50+5)*(IF(AND(DD$3&gt;=INDEX(Properties!$Q:$Q,$B50+5),DD$3&lt;INDEX(Properties!$U:$U,$B50+5)),INDEX(Properties!$P:$P,$B50+5),0))</f>
        <v>0</v>
      </c>
      <c r="DE50" s="123" cm="1">
        <f t="array" ref="DE50">INDEX(Properties!$D:$D,$B50+5)*(IF(AND(DE$3&gt;=INDEX(Properties!$Q:$Q,$B50+5),DE$3&lt;INDEX(Properties!$U:$U,$B50+5)),INDEX(Properties!$P:$P,$B50+5),0))</f>
        <v>0</v>
      </c>
      <c r="DF50" s="123" cm="1">
        <f t="array" ref="DF50">INDEX(Properties!$D:$D,$B50+5)*(IF(AND(DF$3&gt;=INDEX(Properties!$Q:$Q,$B50+5),DF$3&lt;INDEX(Properties!$U:$U,$B50+5)),INDEX(Properties!$P:$P,$B50+5),0))</f>
        <v>0</v>
      </c>
      <c r="DG50" s="123" cm="1">
        <f t="array" ref="DG50">INDEX(Properties!$D:$D,$B50+5)*(IF(AND(DG$3&gt;=INDEX(Properties!$Q:$Q,$B50+5),DG$3&lt;INDEX(Properties!$U:$U,$B50+5)),INDEX(Properties!$P:$P,$B50+5),0))</f>
        <v>0</v>
      </c>
      <c r="DH50" s="123" cm="1">
        <f t="array" ref="DH50">INDEX(Properties!$D:$D,$B50+5)*(IF(AND(DH$3&gt;=INDEX(Properties!$Q:$Q,$B50+5),DH$3&lt;INDEX(Properties!$U:$U,$B50+5)),INDEX(Properties!$P:$P,$B50+5),0))</f>
        <v>0</v>
      </c>
      <c r="DI50" s="123" cm="1">
        <f t="array" ref="DI50">INDEX(Properties!$D:$D,$B50+5)*(IF(AND(DI$3&gt;=INDEX(Properties!$Q:$Q,$B50+5),DI$3&lt;INDEX(Properties!$U:$U,$B50+5)),INDEX(Properties!$P:$P,$B50+5),0))</f>
        <v>0</v>
      </c>
      <c r="DJ50" s="123" cm="1">
        <f t="array" ref="DJ50">INDEX(Properties!$D:$D,$B50+5)*(IF(AND(DJ$3&gt;=INDEX(Properties!$Q:$Q,$B50+5),DJ$3&lt;INDEX(Properties!$U:$U,$B50+5)),INDEX(Properties!$P:$P,$B50+5),0))</f>
        <v>0</v>
      </c>
      <c r="DK50" s="123" cm="1">
        <f t="array" ref="DK50">INDEX(Properties!$D:$D,$B50+5)*(IF(AND(DK$3&gt;=INDEX(Properties!$Q:$Q,$B50+5),DK$3&lt;INDEX(Properties!$U:$U,$B50+5)),INDEX(Properties!$P:$P,$B50+5),0))</f>
        <v>0</v>
      </c>
      <c r="DL50" s="123" cm="1">
        <f t="array" ref="DL50">INDEX(Properties!$D:$D,$B50+5)*(IF(AND(DL$3&gt;=INDEX(Properties!$Q:$Q,$B50+5),DL$3&lt;INDEX(Properties!$U:$U,$B50+5)),INDEX(Properties!$P:$P,$B50+5),0))</f>
        <v>0</v>
      </c>
      <c r="DM50" s="123" cm="1">
        <f t="array" ref="DM50">INDEX(Properties!$D:$D,$B50+5)*(IF(AND(DM$3&gt;=INDEX(Properties!$Q:$Q,$B50+5),DM$3&lt;INDEX(Properties!$U:$U,$B50+5)),INDEX(Properties!$P:$P,$B50+5),0))</f>
        <v>0</v>
      </c>
      <c r="DN50" s="123" cm="1">
        <f t="array" ref="DN50">INDEX(Properties!$D:$D,$B50+5)*(IF(AND(DN$3&gt;=INDEX(Properties!$Q:$Q,$B50+5),DN$3&lt;INDEX(Properties!$U:$U,$B50+5)),INDEX(Properties!$P:$P,$B50+5),0))</f>
        <v>0</v>
      </c>
      <c r="DO50" s="123" cm="1">
        <f t="array" ref="DO50">INDEX(Properties!$D:$D,$B50+5)*(IF(AND(DO$3&gt;=INDEX(Properties!$Q:$Q,$B50+5),DO$3&lt;INDEX(Properties!$U:$U,$B50+5)),INDEX(Properties!$P:$P,$B50+5),0))</f>
        <v>0</v>
      </c>
      <c r="DP50" s="123" cm="1">
        <f t="array" ref="DP50">INDEX(Properties!$D:$D,$B50+5)*(IF(AND(DP$3&gt;=INDEX(Properties!$Q:$Q,$B50+5),DP$3&lt;INDEX(Properties!$U:$U,$B50+5)),INDEX(Properties!$P:$P,$B50+5),0))</f>
        <v>0</v>
      </c>
      <c r="DQ50" s="123" cm="1">
        <f t="array" ref="DQ50">INDEX(Properties!$D:$D,$B50+5)*(IF(AND(DQ$3&gt;=INDEX(Properties!$Q:$Q,$B50+5),DQ$3&lt;INDEX(Properties!$U:$U,$B50+5)),INDEX(Properties!$P:$P,$B50+5),0))</f>
        <v>0</v>
      </c>
      <c r="DR50" s="123" cm="1">
        <f t="array" ref="DR50">INDEX(Properties!$D:$D,$B50+5)*(IF(AND(DR$3&gt;=INDEX(Properties!$Q:$Q,$B50+5),DR$3&lt;INDEX(Properties!$U:$U,$B50+5)),INDEX(Properties!$P:$P,$B50+5),0))</f>
        <v>0</v>
      </c>
    </row>
    <row r="51" spans="1:122" ht="16.05" customHeight="1" x14ac:dyDescent="0.3">
      <c r="A51" s="148" t="str" cm="1">
        <f t="array" ref="A51">INDEX(Properties!$E:$E,$B51+5)</f>
        <v>Casa Monte Sereno</v>
      </c>
      <c r="B51" s="1">
        <v>5</v>
      </c>
      <c r="C51" s="123" cm="1">
        <f t="array" ref="C51">INDEX(Properties!$D:$D,$B51+5)*(IF(AND(C$3&gt;=INDEX(Properties!$Q:$Q,$B51+5),C$3&lt;INDEX(Properties!$U:$U,$B51+5)),INDEX(Properties!$P:$P,$B51+5),0))</f>
        <v>0</v>
      </c>
      <c r="D51" s="123" cm="1">
        <f t="array" ref="D51">INDEX(Properties!$D:$D,$B51+5)*(IF(AND(D$3&gt;=INDEX(Properties!$Q:$Q,$B51+5),D$3&lt;INDEX(Properties!$U:$U,$B51+5)),INDEX(Properties!$P:$P,$B51+5),0))</f>
        <v>0</v>
      </c>
      <c r="E51" s="123" cm="1">
        <f t="array" ref="E51">INDEX(Properties!$D:$D,$B51+5)*(IF(AND(E$3&gt;=INDEX(Properties!$Q:$Q,$B51+5),E$3&lt;INDEX(Properties!$U:$U,$B51+5)),INDEX(Properties!$P:$P,$B51+5),0))</f>
        <v>0</v>
      </c>
      <c r="F51" s="123" cm="1">
        <f t="array" ref="F51">INDEX(Properties!$D:$D,$B51+5)*(IF(AND(F$3&gt;=INDEX(Properties!$Q:$Q,$B51+5),F$3&lt;INDEX(Properties!$U:$U,$B51+5)),INDEX(Properties!$P:$P,$B51+5),0))</f>
        <v>0</v>
      </c>
      <c r="G51" s="123" cm="1">
        <f t="array" ref="G51">INDEX(Properties!$D:$D,$B51+5)*(IF(AND(G$3&gt;=INDEX(Properties!$Q:$Q,$B51+5),G$3&lt;INDEX(Properties!$U:$U,$B51+5)),INDEX(Properties!$P:$P,$B51+5),0))</f>
        <v>1650485.4368932038</v>
      </c>
      <c r="H51" s="123" cm="1">
        <f t="array" ref="H51">INDEX(Properties!$D:$D,$B51+5)*(IF(AND(H$3&gt;=INDEX(Properties!$Q:$Q,$B51+5),H$3&lt;INDEX(Properties!$U:$U,$B51+5)),INDEX(Properties!$P:$P,$B51+5),0))</f>
        <v>1650485.4368932038</v>
      </c>
      <c r="I51" s="123" cm="1">
        <f t="array" ref="I51">INDEX(Properties!$D:$D,$B51+5)*(IF(AND(I$3&gt;=INDEX(Properties!$Q:$Q,$B51+5),I$3&lt;INDEX(Properties!$U:$U,$B51+5)),INDEX(Properties!$P:$P,$B51+5),0))</f>
        <v>1650485.4368932038</v>
      </c>
      <c r="J51" s="123" cm="1">
        <f t="array" ref="J51">INDEX(Properties!$D:$D,$B51+5)*(IF(AND(J$3&gt;=INDEX(Properties!$Q:$Q,$B51+5),J$3&lt;INDEX(Properties!$U:$U,$B51+5)),INDEX(Properties!$P:$P,$B51+5),0))</f>
        <v>1650485.4368932038</v>
      </c>
      <c r="K51" s="123" cm="1">
        <f t="array" ref="K51">INDEX(Properties!$D:$D,$B51+5)*(IF(AND(K$3&gt;=INDEX(Properties!$Q:$Q,$B51+5),K$3&lt;INDEX(Properties!$U:$U,$B51+5)),INDEX(Properties!$P:$P,$B51+5),0))</f>
        <v>1650485.4368932038</v>
      </c>
      <c r="L51" s="123" cm="1">
        <f t="array" ref="L51">INDEX(Properties!$D:$D,$B51+5)*(IF(AND(L$3&gt;=INDEX(Properties!$Q:$Q,$B51+5),L$3&lt;INDEX(Properties!$U:$U,$B51+5)),INDEX(Properties!$P:$P,$B51+5),0))</f>
        <v>1650485.4368932038</v>
      </c>
      <c r="M51" s="123" cm="1">
        <f t="array" ref="M51">INDEX(Properties!$D:$D,$B51+5)*(IF(AND(M$3&gt;=INDEX(Properties!$Q:$Q,$B51+5),M$3&lt;INDEX(Properties!$U:$U,$B51+5)),INDEX(Properties!$P:$P,$B51+5),0))</f>
        <v>1650485.4368932038</v>
      </c>
      <c r="N51" s="123" cm="1">
        <f t="array" ref="N51">INDEX(Properties!$D:$D,$B51+5)*(IF(AND(N$3&gt;=INDEX(Properties!$Q:$Q,$B51+5),N$3&lt;INDEX(Properties!$U:$U,$B51+5)),INDEX(Properties!$P:$P,$B51+5),0))</f>
        <v>1650485.4368932038</v>
      </c>
      <c r="O51" s="123" cm="1">
        <f t="array" ref="O51">INDEX(Properties!$D:$D,$B51+5)*(IF(AND(O$3&gt;=INDEX(Properties!$Q:$Q,$B51+5),O$3&lt;INDEX(Properties!$U:$U,$B51+5)),INDEX(Properties!$P:$P,$B51+5),0))</f>
        <v>1650485.4368932038</v>
      </c>
      <c r="P51" s="123" cm="1">
        <f t="array" ref="P51">INDEX(Properties!$D:$D,$B51+5)*(IF(AND(P$3&gt;=INDEX(Properties!$Q:$Q,$B51+5),P$3&lt;INDEX(Properties!$U:$U,$B51+5)),INDEX(Properties!$P:$P,$B51+5),0))</f>
        <v>1650485.4368932038</v>
      </c>
      <c r="Q51" s="123" cm="1">
        <f t="array" ref="Q51">INDEX(Properties!$D:$D,$B51+5)*(IF(AND(Q$3&gt;=INDEX(Properties!$Q:$Q,$B51+5),Q$3&lt;INDEX(Properties!$U:$U,$B51+5)),INDEX(Properties!$P:$P,$B51+5),0))</f>
        <v>1650485.4368932038</v>
      </c>
      <c r="R51" s="123" cm="1">
        <f t="array" ref="R51">INDEX(Properties!$D:$D,$B51+5)*(IF(AND(R$3&gt;=INDEX(Properties!$Q:$Q,$B51+5),R$3&lt;INDEX(Properties!$U:$U,$B51+5)),INDEX(Properties!$P:$P,$B51+5),0))</f>
        <v>1650485.4368932038</v>
      </c>
      <c r="S51" s="123" cm="1">
        <f t="array" ref="S51">INDEX(Properties!$D:$D,$B51+5)*(IF(AND(S$3&gt;=INDEX(Properties!$Q:$Q,$B51+5),S$3&lt;INDEX(Properties!$U:$U,$B51+5)),INDEX(Properties!$P:$P,$B51+5),0))</f>
        <v>1650485.4368932038</v>
      </c>
      <c r="T51" s="123" cm="1">
        <f t="array" ref="T51">INDEX(Properties!$D:$D,$B51+5)*(IF(AND(T$3&gt;=INDEX(Properties!$Q:$Q,$B51+5),T$3&lt;INDEX(Properties!$U:$U,$B51+5)),INDEX(Properties!$P:$P,$B51+5),0))</f>
        <v>1650485.4368932038</v>
      </c>
      <c r="U51" s="123" cm="1">
        <f t="array" ref="U51">INDEX(Properties!$D:$D,$B51+5)*(IF(AND(U$3&gt;=INDEX(Properties!$Q:$Q,$B51+5),U$3&lt;INDEX(Properties!$U:$U,$B51+5)),INDEX(Properties!$P:$P,$B51+5),0))</f>
        <v>1650485.4368932038</v>
      </c>
      <c r="V51" s="123" cm="1">
        <f t="array" ref="V51">INDEX(Properties!$D:$D,$B51+5)*(IF(AND(V$3&gt;=INDEX(Properties!$Q:$Q,$B51+5),V$3&lt;INDEX(Properties!$U:$U,$B51+5)),INDEX(Properties!$P:$P,$B51+5),0))</f>
        <v>1650485.4368932038</v>
      </c>
      <c r="W51" s="123" cm="1">
        <f t="array" ref="W51">INDEX(Properties!$D:$D,$B51+5)*(IF(AND(W$3&gt;=INDEX(Properties!$Q:$Q,$B51+5),W$3&lt;INDEX(Properties!$U:$U,$B51+5)),INDEX(Properties!$P:$P,$B51+5),0))</f>
        <v>1650485.4368932038</v>
      </c>
      <c r="X51" s="123" cm="1">
        <f t="array" ref="X51">INDEX(Properties!$D:$D,$B51+5)*(IF(AND(X$3&gt;=INDEX(Properties!$Q:$Q,$B51+5),X$3&lt;INDEX(Properties!$U:$U,$B51+5)),INDEX(Properties!$P:$P,$B51+5),0))</f>
        <v>1650485.4368932038</v>
      </c>
      <c r="Y51" s="123" cm="1">
        <f t="array" ref="Y51">INDEX(Properties!$D:$D,$B51+5)*(IF(AND(Y$3&gt;=INDEX(Properties!$Q:$Q,$B51+5),Y$3&lt;INDEX(Properties!$U:$U,$B51+5)),INDEX(Properties!$P:$P,$B51+5),0))</f>
        <v>1650485.4368932038</v>
      </c>
      <c r="Z51" s="123" cm="1">
        <f t="array" ref="Z51">INDEX(Properties!$D:$D,$B51+5)*(IF(AND(Z$3&gt;=INDEX(Properties!$Q:$Q,$B51+5),Z$3&lt;INDEX(Properties!$U:$U,$B51+5)),INDEX(Properties!$P:$P,$B51+5),0))</f>
        <v>1650485.4368932038</v>
      </c>
      <c r="AA51" s="123" cm="1">
        <f t="array" ref="AA51">INDEX(Properties!$D:$D,$B51+5)*(IF(AND(AA$3&gt;=INDEX(Properties!$Q:$Q,$B51+5),AA$3&lt;INDEX(Properties!$U:$U,$B51+5)),INDEX(Properties!$P:$P,$B51+5),0))</f>
        <v>1650485.4368932038</v>
      </c>
      <c r="AB51" s="123" cm="1">
        <f t="array" ref="AB51">INDEX(Properties!$D:$D,$B51+5)*(IF(AND(AB$3&gt;=INDEX(Properties!$Q:$Q,$B51+5),AB$3&lt;INDEX(Properties!$U:$U,$B51+5)),INDEX(Properties!$P:$P,$B51+5),0))</f>
        <v>1650485.4368932038</v>
      </c>
      <c r="AC51" s="123" cm="1">
        <f t="array" ref="AC51">INDEX(Properties!$D:$D,$B51+5)*(IF(AND(AC$3&gt;=INDEX(Properties!$Q:$Q,$B51+5),AC$3&lt;INDEX(Properties!$U:$U,$B51+5)),INDEX(Properties!$P:$P,$B51+5),0))</f>
        <v>1650485.4368932038</v>
      </c>
      <c r="AD51" s="123" cm="1">
        <f t="array" ref="AD51">INDEX(Properties!$D:$D,$B51+5)*(IF(AND(AD$3&gt;=INDEX(Properties!$Q:$Q,$B51+5),AD$3&lt;INDEX(Properties!$U:$U,$B51+5)),INDEX(Properties!$P:$P,$B51+5),0))</f>
        <v>1650485.4368932038</v>
      </c>
      <c r="AE51" s="123" cm="1">
        <f t="array" ref="AE51">INDEX(Properties!$D:$D,$B51+5)*(IF(AND(AE$3&gt;=INDEX(Properties!$Q:$Q,$B51+5),AE$3&lt;INDEX(Properties!$U:$U,$B51+5)),INDEX(Properties!$P:$P,$B51+5),0))</f>
        <v>1650485.4368932038</v>
      </c>
      <c r="AF51" s="123" cm="1">
        <f t="array" ref="AF51">INDEX(Properties!$D:$D,$B51+5)*(IF(AND(AF$3&gt;=INDEX(Properties!$Q:$Q,$B51+5),AF$3&lt;INDEX(Properties!$U:$U,$B51+5)),INDEX(Properties!$P:$P,$B51+5),0))</f>
        <v>1650485.4368932038</v>
      </c>
      <c r="AG51" s="123" cm="1">
        <f t="array" ref="AG51">INDEX(Properties!$D:$D,$B51+5)*(IF(AND(AG$3&gt;=INDEX(Properties!$Q:$Q,$B51+5),AG$3&lt;INDEX(Properties!$U:$U,$B51+5)),INDEX(Properties!$P:$P,$B51+5),0))</f>
        <v>1650485.4368932038</v>
      </c>
      <c r="AH51" s="123" cm="1">
        <f t="array" ref="AH51">INDEX(Properties!$D:$D,$B51+5)*(IF(AND(AH$3&gt;=INDEX(Properties!$Q:$Q,$B51+5),AH$3&lt;INDEX(Properties!$U:$U,$B51+5)),INDEX(Properties!$P:$P,$B51+5),0))</f>
        <v>1650485.4368932038</v>
      </c>
      <c r="AI51" s="123" cm="1">
        <f t="array" ref="AI51">INDEX(Properties!$D:$D,$B51+5)*(IF(AND(AI$3&gt;=INDEX(Properties!$Q:$Q,$B51+5),AI$3&lt;INDEX(Properties!$U:$U,$B51+5)),INDEX(Properties!$P:$P,$B51+5),0))</f>
        <v>1650485.4368932038</v>
      </c>
      <c r="AJ51" s="123" cm="1">
        <f t="array" ref="AJ51">INDEX(Properties!$D:$D,$B51+5)*(IF(AND(AJ$3&gt;=INDEX(Properties!$Q:$Q,$B51+5),AJ$3&lt;INDEX(Properties!$U:$U,$B51+5)),INDEX(Properties!$P:$P,$B51+5),0))</f>
        <v>1650485.4368932038</v>
      </c>
      <c r="AK51" s="123" cm="1">
        <f t="array" ref="AK51">INDEX(Properties!$D:$D,$B51+5)*(IF(AND(AK$3&gt;=INDEX(Properties!$Q:$Q,$B51+5),AK$3&lt;INDEX(Properties!$U:$U,$B51+5)),INDEX(Properties!$P:$P,$B51+5),0))</f>
        <v>1650485.4368932038</v>
      </c>
      <c r="AL51" s="123" cm="1">
        <f t="array" ref="AL51">INDEX(Properties!$D:$D,$B51+5)*(IF(AND(AL$3&gt;=INDEX(Properties!$Q:$Q,$B51+5),AL$3&lt;INDEX(Properties!$U:$U,$B51+5)),INDEX(Properties!$P:$P,$B51+5),0))</f>
        <v>1650485.4368932038</v>
      </c>
      <c r="AM51" s="123" cm="1">
        <f t="array" ref="AM51">INDEX(Properties!$D:$D,$B51+5)*(IF(AND(AM$3&gt;=INDEX(Properties!$Q:$Q,$B51+5),AM$3&lt;INDEX(Properties!$U:$U,$B51+5)),INDEX(Properties!$P:$P,$B51+5),0))</f>
        <v>0</v>
      </c>
      <c r="AN51" s="123" cm="1">
        <f t="array" ref="AN51">INDEX(Properties!$D:$D,$B51+5)*(IF(AND(AN$3&gt;=INDEX(Properties!$Q:$Q,$B51+5),AN$3&lt;INDEX(Properties!$U:$U,$B51+5)),INDEX(Properties!$P:$P,$B51+5),0))</f>
        <v>0</v>
      </c>
      <c r="AO51" s="123" cm="1">
        <f t="array" ref="AO51">INDEX(Properties!$D:$D,$B51+5)*(IF(AND(AO$3&gt;=INDEX(Properties!$Q:$Q,$B51+5),AO$3&lt;INDEX(Properties!$U:$U,$B51+5)),INDEX(Properties!$P:$P,$B51+5),0))</f>
        <v>0</v>
      </c>
      <c r="AP51" s="123" cm="1">
        <f t="array" ref="AP51">INDEX(Properties!$D:$D,$B51+5)*(IF(AND(AP$3&gt;=INDEX(Properties!$Q:$Q,$B51+5),AP$3&lt;INDEX(Properties!$U:$U,$B51+5)),INDEX(Properties!$P:$P,$B51+5),0))</f>
        <v>0</v>
      </c>
      <c r="AQ51" s="123" cm="1">
        <f t="array" ref="AQ51">INDEX(Properties!$D:$D,$B51+5)*(IF(AND(AQ$3&gt;=INDEX(Properties!$Q:$Q,$B51+5),AQ$3&lt;INDEX(Properties!$U:$U,$B51+5)),INDEX(Properties!$P:$P,$B51+5),0))</f>
        <v>0</v>
      </c>
      <c r="AR51" s="123" cm="1">
        <f t="array" ref="AR51">INDEX(Properties!$D:$D,$B51+5)*(IF(AND(AR$3&gt;=INDEX(Properties!$Q:$Q,$B51+5),AR$3&lt;INDEX(Properties!$U:$U,$B51+5)),INDEX(Properties!$P:$P,$B51+5),0))</f>
        <v>0</v>
      </c>
      <c r="AS51" s="123" cm="1">
        <f t="array" ref="AS51">INDEX(Properties!$D:$D,$B51+5)*(IF(AND(AS$3&gt;=INDEX(Properties!$Q:$Q,$B51+5),AS$3&lt;INDEX(Properties!$U:$U,$B51+5)),INDEX(Properties!$P:$P,$B51+5),0))</f>
        <v>0</v>
      </c>
      <c r="AT51" s="123" cm="1">
        <f t="array" ref="AT51">INDEX(Properties!$D:$D,$B51+5)*(IF(AND(AT$3&gt;=INDEX(Properties!$Q:$Q,$B51+5),AT$3&lt;INDEX(Properties!$U:$U,$B51+5)),INDEX(Properties!$P:$P,$B51+5),0))</f>
        <v>0</v>
      </c>
      <c r="AU51" s="123" cm="1">
        <f t="array" ref="AU51">INDEX(Properties!$D:$D,$B51+5)*(IF(AND(AU$3&gt;=INDEX(Properties!$Q:$Q,$B51+5),AU$3&lt;INDEX(Properties!$U:$U,$B51+5)),INDEX(Properties!$P:$P,$B51+5),0))</f>
        <v>0</v>
      </c>
      <c r="AV51" s="123" cm="1">
        <f t="array" ref="AV51">INDEX(Properties!$D:$D,$B51+5)*(IF(AND(AV$3&gt;=INDEX(Properties!$Q:$Q,$B51+5),AV$3&lt;INDEX(Properties!$U:$U,$B51+5)),INDEX(Properties!$P:$P,$B51+5),0))</f>
        <v>0</v>
      </c>
      <c r="AW51" s="123" cm="1">
        <f t="array" ref="AW51">INDEX(Properties!$D:$D,$B51+5)*(IF(AND(AW$3&gt;=INDEX(Properties!$Q:$Q,$B51+5),AW$3&lt;INDEX(Properties!$U:$U,$B51+5)),INDEX(Properties!$P:$P,$B51+5),0))</f>
        <v>0</v>
      </c>
      <c r="AX51" s="123" cm="1">
        <f t="array" ref="AX51">INDEX(Properties!$D:$D,$B51+5)*(IF(AND(AX$3&gt;=INDEX(Properties!$Q:$Q,$B51+5),AX$3&lt;INDEX(Properties!$U:$U,$B51+5)),INDEX(Properties!$P:$P,$B51+5),0))</f>
        <v>0</v>
      </c>
      <c r="AY51" s="123" cm="1">
        <f t="array" ref="AY51">INDEX(Properties!$D:$D,$B51+5)*(IF(AND(AY$3&gt;=INDEX(Properties!$Q:$Q,$B51+5),AY$3&lt;INDEX(Properties!$U:$U,$B51+5)),INDEX(Properties!$P:$P,$B51+5),0))</f>
        <v>0</v>
      </c>
      <c r="AZ51" s="123" cm="1">
        <f t="array" ref="AZ51">INDEX(Properties!$D:$D,$B51+5)*(IF(AND(AZ$3&gt;=INDEX(Properties!$Q:$Q,$B51+5),AZ$3&lt;INDEX(Properties!$U:$U,$B51+5)),INDEX(Properties!$P:$P,$B51+5),0))</f>
        <v>0</v>
      </c>
      <c r="BA51" s="123" cm="1">
        <f t="array" ref="BA51">INDEX(Properties!$D:$D,$B51+5)*(IF(AND(BA$3&gt;=INDEX(Properties!$Q:$Q,$B51+5),BA$3&lt;INDEX(Properties!$U:$U,$B51+5)),INDEX(Properties!$P:$P,$B51+5),0))</f>
        <v>0</v>
      </c>
      <c r="BB51" s="123" cm="1">
        <f t="array" ref="BB51">INDEX(Properties!$D:$D,$B51+5)*(IF(AND(BB$3&gt;=INDEX(Properties!$Q:$Q,$B51+5),BB$3&lt;INDEX(Properties!$U:$U,$B51+5)),INDEX(Properties!$P:$P,$B51+5),0))</f>
        <v>0</v>
      </c>
      <c r="BC51" s="123" cm="1">
        <f t="array" ref="BC51">INDEX(Properties!$D:$D,$B51+5)*(IF(AND(BC$3&gt;=INDEX(Properties!$Q:$Q,$B51+5),BC$3&lt;INDEX(Properties!$U:$U,$B51+5)),INDEX(Properties!$P:$P,$B51+5),0))</f>
        <v>0</v>
      </c>
      <c r="BD51" s="123" cm="1">
        <f t="array" ref="BD51">INDEX(Properties!$D:$D,$B51+5)*(IF(AND(BD$3&gt;=INDEX(Properties!$Q:$Q,$B51+5),BD$3&lt;INDEX(Properties!$U:$U,$B51+5)),INDEX(Properties!$P:$P,$B51+5),0))</f>
        <v>0</v>
      </c>
      <c r="BE51" s="123" cm="1">
        <f t="array" ref="BE51">INDEX(Properties!$D:$D,$B51+5)*(IF(AND(BE$3&gt;=INDEX(Properties!$Q:$Q,$B51+5),BE$3&lt;INDEX(Properties!$U:$U,$B51+5)),INDEX(Properties!$P:$P,$B51+5),0))</f>
        <v>0</v>
      </c>
      <c r="BF51" s="123" cm="1">
        <f t="array" ref="BF51">INDEX(Properties!$D:$D,$B51+5)*(IF(AND(BF$3&gt;=INDEX(Properties!$Q:$Q,$B51+5),BF$3&lt;INDEX(Properties!$U:$U,$B51+5)),INDEX(Properties!$P:$P,$B51+5),0))</f>
        <v>0</v>
      </c>
      <c r="BG51" s="123" cm="1">
        <f t="array" ref="BG51">INDEX(Properties!$D:$D,$B51+5)*(IF(AND(BG$3&gt;=INDEX(Properties!$Q:$Q,$B51+5),BG$3&lt;INDEX(Properties!$U:$U,$B51+5)),INDEX(Properties!$P:$P,$B51+5),0))</f>
        <v>0</v>
      </c>
      <c r="BH51" s="123" cm="1">
        <f t="array" ref="BH51">INDEX(Properties!$D:$D,$B51+5)*(IF(AND(BH$3&gt;=INDEX(Properties!$Q:$Q,$B51+5),BH$3&lt;INDEX(Properties!$U:$U,$B51+5)),INDEX(Properties!$P:$P,$B51+5),0))</f>
        <v>0</v>
      </c>
      <c r="BI51" s="123" cm="1">
        <f t="array" ref="BI51">INDEX(Properties!$D:$D,$B51+5)*(IF(AND(BI$3&gt;=INDEX(Properties!$Q:$Q,$B51+5),BI$3&lt;INDEX(Properties!$U:$U,$B51+5)),INDEX(Properties!$P:$P,$B51+5),0))</f>
        <v>0</v>
      </c>
      <c r="BJ51" s="123" cm="1">
        <f t="array" ref="BJ51">INDEX(Properties!$D:$D,$B51+5)*(IF(AND(BJ$3&gt;=INDEX(Properties!$Q:$Q,$B51+5),BJ$3&lt;INDEX(Properties!$U:$U,$B51+5)),INDEX(Properties!$P:$P,$B51+5),0))</f>
        <v>0</v>
      </c>
      <c r="BK51" s="123" cm="1">
        <f t="array" ref="BK51">INDEX(Properties!$D:$D,$B51+5)*(IF(AND(BK$3&gt;=INDEX(Properties!$Q:$Q,$B51+5),BK$3&lt;INDEX(Properties!$U:$U,$B51+5)),INDEX(Properties!$P:$P,$B51+5),0))</f>
        <v>0</v>
      </c>
      <c r="BL51" s="123" cm="1">
        <f t="array" ref="BL51">INDEX(Properties!$D:$D,$B51+5)*(IF(AND(BL$3&gt;=INDEX(Properties!$Q:$Q,$B51+5),BL$3&lt;INDEX(Properties!$U:$U,$B51+5)),INDEX(Properties!$P:$P,$B51+5),0))</f>
        <v>0</v>
      </c>
      <c r="BM51" s="123" cm="1">
        <f t="array" ref="BM51">INDEX(Properties!$D:$D,$B51+5)*(IF(AND(BM$3&gt;=INDEX(Properties!$Q:$Q,$B51+5),BM$3&lt;INDEX(Properties!$U:$U,$B51+5)),INDEX(Properties!$P:$P,$B51+5),0))</f>
        <v>0</v>
      </c>
      <c r="BN51" s="123" cm="1">
        <f t="array" ref="BN51">INDEX(Properties!$D:$D,$B51+5)*(IF(AND(BN$3&gt;=INDEX(Properties!$Q:$Q,$B51+5),BN$3&lt;INDEX(Properties!$U:$U,$B51+5)),INDEX(Properties!$P:$P,$B51+5),0))</f>
        <v>0</v>
      </c>
      <c r="BO51" s="123" cm="1">
        <f t="array" ref="BO51">INDEX(Properties!$D:$D,$B51+5)*(IF(AND(BO$3&gt;=INDEX(Properties!$Q:$Q,$B51+5),BO$3&lt;INDEX(Properties!$U:$U,$B51+5)),INDEX(Properties!$P:$P,$B51+5),0))</f>
        <v>0</v>
      </c>
      <c r="BP51" s="123" cm="1">
        <f t="array" ref="BP51">INDEX(Properties!$D:$D,$B51+5)*(IF(AND(BP$3&gt;=INDEX(Properties!$Q:$Q,$B51+5),BP$3&lt;INDEX(Properties!$U:$U,$B51+5)),INDEX(Properties!$P:$P,$B51+5),0))</f>
        <v>0</v>
      </c>
      <c r="BQ51" s="123" cm="1">
        <f t="array" ref="BQ51">INDEX(Properties!$D:$D,$B51+5)*(IF(AND(BQ$3&gt;=INDEX(Properties!$Q:$Q,$B51+5),BQ$3&lt;INDEX(Properties!$U:$U,$B51+5)),INDEX(Properties!$P:$P,$B51+5),0))</f>
        <v>0</v>
      </c>
      <c r="BR51" s="123" cm="1">
        <f t="array" ref="BR51">INDEX(Properties!$D:$D,$B51+5)*(IF(AND(BR$3&gt;=INDEX(Properties!$Q:$Q,$B51+5),BR$3&lt;INDEX(Properties!$U:$U,$B51+5)),INDEX(Properties!$P:$P,$B51+5),0))</f>
        <v>0</v>
      </c>
      <c r="BS51" s="123" cm="1">
        <f t="array" ref="BS51">INDEX(Properties!$D:$D,$B51+5)*(IF(AND(BS$3&gt;=INDEX(Properties!$Q:$Q,$B51+5),BS$3&lt;INDEX(Properties!$U:$U,$B51+5)),INDEX(Properties!$P:$P,$B51+5),0))</f>
        <v>0</v>
      </c>
      <c r="BT51" s="123" cm="1">
        <f t="array" ref="BT51">INDEX(Properties!$D:$D,$B51+5)*(IF(AND(BT$3&gt;=INDEX(Properties!$Q:$Q,$B51+5),BT$3&lt;INDEX(Properties!$U:$U,$B51+5)),INDEX(Properties!$P:$P,$B51+5),0))</f>
        <v>0</v>
      </c>
      <c r="BU51" s="123" cm="1">
        <f t="array" ref="BU51">INDEX(Properties!$D:$D,$B51+5)*(IF(AND(BU$3&gt;=INDEX(Properties!$Q:$Q,$B51+5),BU$3&lt;INDEX(Properties!$U:$U,$B51+5)),INDEX(Properties!$P:$P,$B51+5),0))</f>
        <v>0</v>
      </c>
      <c r="BV51" s="123" cm="1">
        <f t="array" ref="BV51">INDEX(Properties!$D:$D,$B51+5)*(IF(AND(BV$3&gt;=INDEX(Properties!$Q:$Q,$B51+5),BV$3&lt;INDEX(Properties!$U:$U,$B51+5)),INDEX(Properties!$P:$P,$B51+5),0))</f>
        <v>0</v>
      </c>
      <c r="BW51" s="123" cm="1">
        <f t="array" ref="BW51">INDEX(Properties!$D:$D,$B51+5)*(IF(AND(BW$3&gt;=INDEX(Properties!$Q:$Q,$B51+5),BW$3&lt;INDEX(Properties!$U:$U,$B51+5)),INDEX(Properties!$P:$P,$B51+5),0))</f>
        <v>0</v>
      </c>
      <c r="BX51" s="123" cm="1">
        <f t="array" ref="BX51">INDEX(Properties!$D:$D,$B51+5)*(IF(AND(BX$3&gt;=INDEX(Properties!$Q:$Q,$B51+5),BX$3&lt;INDEX(Properties!$U:$U,$B51+5)),INDEX(Properties!$P:$P,$B51+5),0))</f>
        <v>0</v>
      </c>
      <c r="BY51" s="123" cm="1">
        <f t="array" ref="BY51">INDEX(Properties!$D:$D,$B51+5)*(IF(AND(BY$3&gt;=INDEX(Properties!$Q:$Q,$B51+5),BY$3&lt;INDEX(Properties!$U:$U,$B51+5)),INDEX(Properties!$P:$P,$B51+5),0))</f>
        <v>0</v>
      </c>
      <c r="BZ51" s="123" cm="1">
        <f t="array" ref="BZ51">INDEX(Properties!$D:$D,$B51+5)*(IF(AND(BZ$3&gt;=INDEX(Properties!$Q:$Q,$B51+5),BZ$3&lt;INDEX(Properties!$U:$U,$B51+5)),INDEX(Properties!$P:$P,$B51+5),0))</f>
        <v>0</v>
      </c>
      <c r="CA51" s="123" cm="1">
        <f t="array" ref="CA51">INDEX(Properties!$D:$D,$B51+5)*(IF(AND(CA$3&gt;=INDEX(Properties!$Q:$Q,$B51+5),CA$3&lt;INDEX(Properties!$U:$U,$B51+5)),INDEX(Properties!$P:$P,$B51+5),0))</f>
        <v>0</v>
      </c>
      <c r="CB51" s="123" cm="1">
        <f t="array" ref="CB51">INDEX(Properties!$D:$D,$B51+5)*(IF(AND(CB$3&gt;=INDEX(Properties!$Q:$Q,$B51+5),CB$3&lt;INDEX(Properties!$U:$U,$B51+5)),INDEX(Properties!$P:$P,$B51+5),0))</f>
        <v>0</v>
      </c>
      <c r="CC51" s="123" cm="1">
        <f t="array" ref="CC51">INDEX(Properties!$D:$D,$B51+5)*(IF(AND(CC$3&gt;=INDEX(Properties!$Q:$Q,$B51+5),CC$3&lt;INDEX(Properties!$U:$U,$B51+5)),INDEX(Properties!$P:$P,$B51+5),0))</f>
        <v>0</v>
      </c>
      <c r="CD51" s="123" cm="1">
        <f t="array" ref="CD51">INDEX(Properties!$D:$D,$B51+5)*(IF(AND(CD$3&gt;=INDEX(Properties!$Q:$Q,$B51+5),CD$3&lt;INDEX(Properties!$U:$U,$B51+5)),INDEX(Properties!$P:$P,$B51+5),0))</f>
        <v>0</v>
      </c>
      <c r="CE51" s="123" cm="1">
        <f t="array" ref="CE51">INDEX(Properties!$D:$D,$B51+5)*(IF(AND(CE$3&gt;=INDEX(Properties!$Q:$Q,$B51+5),CE$3&lt;INDEX(Properties!$U:$U,$B51+5)),INDEX(Properties!$P:$P,$B51+5),0))</f>
        <v>0</v>
      </c>
      <c r="CF51" s="123" cm="1">
        <f t="array" ref="CF51">INDEX(Properties!$D:$D,$B51+5)*(IF(AND(CF$3&gt;=INDEX(Properties!$Q:$Q,$B51+5),CF$3&lt;INDEX(Properties!$U:$U,$B51+5)),INDEX(Properties!$P:$P,$B51+5),0))</f>
        <v>0</v>
      </c>
      <c r="CG51" s="123" cm="1">
        <f t="array" ref="CG51">INDEX(Properties!$D:$D,$B51+5)*(IF(AND(CG$3&gt;=INDEX(Properties!$Q:$Q,$B51+5),CG$3&lt;INDEX(Properties!$U:$U,$B51+5)),INDEX(Properties!$P:$P,$B51+5),0))</f>
        <v>0</v>
      </c>
      <c r="CH51" s="123" cm="1">
        <f t="array" ref="CH51">INDEX(Properties!$D:$D,$B51+5)*(IF(AND(CH$3&gt;=INDEX(Properties!$Q:$Q,$B51+5),CH$3&lt;INDEX(Properties!$U:$U,$B51+5)),INDEX(Properties!$P:$P,$B51+5),0))</f>
        <v>0</v>
      </c>
      <c r="CI51" s="123" cm="1">
        <f t="array" ref="CI51">INDEX(Properties!$D:$D,$B51+5)*(IF(AND(CI$3&gt;=INDEX(Properties!$Q:$Q,$B51+5),CI$3&lt;INDEX(Properties!$U:$U,$B51+5)),INDEX(Properties!$P:$P,$B51+5),0))</f>
        <v>0</v>
      </c>
      <c r="CJ51" s="123" cm="1">
        <f t="array" ref="CJ51">INDEX(Properties!$D:$D,$B51+5)*(IF(AND(CJ$3&gt;=INDEX(Properties!$Q:$Q,$B51+5),CJ$3&lt;INDEX(Properties!$U:$U,$B51+5)),INDEX(Properties!$P:$P,$B51+5),0))</f>
        <v>0</v>
      </c>
      <c r="CK51" s="123" cm="1">
        <f t="array" ref="CK51">INDEX(Properties!$D:$D,$B51+5)*(IF(AND(CK$3&gt;=INDEX(Properties!$Q:$Q,$B51+5),CK$3&lt;INDEX(Properties!$U:$U,$B51+5)),INDEX(Properties!$P:$P,$B51+5),0))</f>
        <v>0</v>
      </c>
      <c r="CL51" s="123" cm="1">
        <f t="array" ref="CL51">INDEX(Properties!$D:$D,$B51+5)*(IF(AND(CL$3&gt;=INDEX(Properties!$Q:$Q,$B51+5),CL$3&lt;INDEX(Properties!$U:$U,$B51+5)),INDEX(Properties!$P:$P,$B51+5),0))</f>
        <v>0</v>
      </c>
      <c r="CM51" s="123" cm="1">
        <f t="array" ref="CM51">INDEX(Properties!$D:$D,$B51+5)*(IF(AND(CM$3&gt;=INDEX(Properties!$Q:$Q,$B51+5),CM$3&lt;INDEX(Properties!$U:$U,$B51+5)),INDEX(Properties!$P:$P,$B51+5),0))</f>
        <v>0</v>
      </c>
      <c r="CN51" s="123" cm="1">
        <f t="array" ref="CN51">INDEX(Properties!$D:$D,$B51+5)*(IF(AND(CN$3&gt;=INDEX(Properties!$Q:$Q,$B51+5),CN$3&lt;INDEX(Properties!$U:$U,$B51+5)),INDEX(Properties!$P:$P,$B51+5),0))</f>
        <v>0</v>
      </c>
      <c r="CO51" s="123" cm="1">
        <f t="array" ref="CO51">INDEX(Properties!$D:$D,$B51+5)*(IF(AND(CO$3&gt;=INDEX(Properties!$Q:$Q,$B51+5),CO$3&lt;INDEX(Properties!$U:$U,$B51+5)),INDEX(Properties!$P:$P,$B51+5),0))</f>
        <v>0</v>
      </c>
      <c r="CP51" s="123" cm="1">
        <f t="array" ref="CP51">INDEX(Properties!$D:$D,$B51+5)*(IF(AND(CP$3&gt;=INDEX(Properties!$Q:$Q,$B51+5),CP$3&lt;INDEX(Properties!$U:$U,$B51+5)),INDEX(Properties!$P:$P,$B51+5),0))</f>
        <v>0</v>
      </c>
      <c r="CQ51" s="123" cm="1">
        <f t="array" ref="CQ51">INDEX(Properties!$D:$D,$B51+5)*(IF(AND(CQ$3&gt;=INDEX(Properties!$Q:$Q,$B51+5),CQ$3&lt;INDEX(Properties!$U:$U,$B51+5)),INDEX(Properties!$P:$P,$B51+5),0))</f>
        <v>0</v>
      </c>
      <c r="CR51" s="123" cm="1">
        <f t="array" ref="CR51">INDEX(Properties!$D:$D,$B51+5)*(IF(AND(CR$3&gt;=INDEX(Properties!$Q:$Q,$B51+5),CR$3&lt;INDEX(Properties!$U:$U,$B51+5)),INDEX(Properties!$P:$P,$B51+5),0))</f>
        <v>0</v>
      </c>
      <c r="CS51" s="123" cm="1">
        <f t="array" ref="CS51">INDEX(Properties!$D:$D,$B51+5)*(IF(AND(CS$3&gt;=INDEX(Properties!$Q:$Q,$B51+5),CS$3&lt;INDEX(Properties!$U:$U,$B51+5)),INDEX(Properties!$P:$P,$B51+5),0))</f>
        <v>0</v>
      </c>
      <c r="CT51" s="123" cm="1">
        <f t="array" ref="CT51">INDEX(Properties!$D:$D,$B51+5)*(IF(AND(CT$3&gt;=INDEX(Properties!$Q:$Q,$B51+5),CT$3&lt;INDEX(Properties!$U:$U,$B51+5)),INDEX(Properties!$P:$P,$B51+5),0))</f>
        <v>0</v>
      </c>
      <c r="CU51" s="123" cm="1">
        <f t="array" ref="CU51">INDEX(Properties!$D:$D,$B51+5)*(IF(AND(CU$3&gt;=INDEX(Properties!$Q:$Q,$B51+5),CU$3&lt;INDEX(Properties!$U:$U,$B51+5)),INDEX(Properties!$P:$P,$B51+5),0))</f>
        <v>0</v>
      </c>
      <c r="CV51" s="123" cm="1">
        <f t="array" ref="CV51">INDEX(Properties!$D:$D,$B51+5)*(IF(AND(CV$3&gt;=INDEX(Properties!$Q:$Q,$B51+5),CV$3&lt;INDEX(Properties!$U:$U,$B51+5)),INDEX(Properties!$P:$P,$B51+5),0))</f>
        <v>0</v>
      </c>
      <c r="CW51" s="123" cm="1">
        <f t="array" ref="CW51">INDEX(Properties!$D:$D,$B51+5)*(IF(AND(CW$3&gt;=INDEX(Properties!$Q:$Q,$B51+5),CW$3&lt;INDEX(Properties!$U:$U,$B51+5)),INDEX(Properties!$P:$P,$B51+5),0))</f>
        <v>0</v>
      </c>
      <c r="CX51" s="123" cm="1">
        <f t="array" ref="CX51">INDEX(Properties!$D:$D,$B51+5)*(IF(AND(CX$3&gt;=INDEX(Properties!$Q:$Q,$B51+5),CX$3&lt;INDEX(Properties!$U:$U,$B51+5)),INDEX(Properties!$P:$P,$B51+5),0))</f>
        <v>0</v>
      </c>
      <c r="CY51" s="123" cm="1">
        <f t="array" ref="CY51">INDEX(Properties!$D:$D,$B51+5)*(IF(AND(CY$3&gt;=INDEX(Properties!$Q:$Q,$B51+5),CY$3&lt;INDEX(Properties!$U:$U,$B51+5)),INDEX(Properties!$P:$P,$B51+5),0))</f>
        <v>0</v>
      </c>
      <c r="CZ51" s="123" cm="1">
        <f t="array" ref="CZ51">INDEX(Properties!$D:$D,$B51+5)*(IF(AND(CZ$3&gt;=INDEX(Properties!$Q:$Q,$B51+5),CZ$3&lt;INDEX(Properties!$U:$U,$B51+5)),INDEX(Properties!$P:$P,$B51+5),0))</f>
        <v>0</v>
      </c>
      <c r="DA51" s="123" cm="1">
        <f t="array" ref="DA51">INDEX(Properties!$D:$D,$B51+5)*(IF(AND(DA$3&gt;=INDEX(Properties!$Q:$Q,$B51+5),DA$3&lt;INDEX(Properties!$U:$U,$B51+5)),INDEX(Properties!$P:$P,$B51+5),0))</f>
        <v>0</v>
      </c>
      <c r="DB51" s="123" cm="1">
        <f t="array" ref="DB51">INDEX(Properties!$D:$D,$B51+5)*(IF(AND(DB$3&gt;=INDEX(Properties!$Q:$Q,$B51+5),DB$3&lt;INDEX(Properties!$U:$U,$B51+5)),INDEX(Properties!$P:$P,$B51+5),0))</f>
        <v>0</v>
      </c>
      <c r="DC51" s="123" cm="1">
        <f t="array" ref="DC51">INDEX(Properties!$D:$D,$B51+5)*(IF(AND(DC$3&gt;=INDEX(Properties!$Q:$Q,$B51+5),DC$3&lt;INDEX(Properties!$U:$U,$B51+5)),INDEX(Properties!$P:$P,$B51+5),0))</f>
        <v>0</v>
      </c>
      <c r="DD51" s="123" cm="1">
        <f t="array" ref="DD51">INDEX(Properties!$D:$D,$B51+5)*(IF(AND(DD$3&gt;=INDEX(Properties!$Q:$Q,$B51+5),DD$3&lt;INDEX(Properties!$U:$U,$B51+5)),INDEX(Properties!$P:$P,$B51+5),0))</f>
        <v>0</v>
      </c>
      <c r="DE51" s="123" cm="1">
        <f t="array" ref="DE51">INDEX(Properties!$D:$D,$B51+5)*(IF(AND(DE$3&gt;=INDEX(Properties!$Q:$Q,$B51+5),DE$3&lt;INDEX(Properties!$U:$U,$B51+5)),INDEX(Properties!$P:$P,$B51+5),0))</f>
        <v>0</v>
      </c>
      <c r="DF51" s="123" cm="1">
        <f t="array" ref="DF51">INDEX(Properties!$D:$D,$B51+5)*(IF(AND(DF$3&gt;=INDEX(Properties!$Q:$Q,$B51+5),DF$3&lt;INDEX(Properties!$U:$U,$B51+5)),INDEX(Properties!$P:$P,$B51+5),0))</f>
        <v>0</v>
      </c>
      <c r="DG51" s="123" cm="1">
        <f t="array" ref="DG51">INDEX(Properties!$D:$D,$B51+5)*(IF(AND(DG$3&gt;=INDEX(Properties!$Q:$Q,$B51+5),DG$3&lt;INDEX(Properties!$U:$U,$B51+5)),INDEX(Properties!$P:$P,$B51+5),0))</f>
        <v>0</v>
      </c>
      <c r="DH51" s="123" cm="1">
        <f t="array" ref="DH51">INDEX(Properties!$D:$D,$B51+5)*(IF(AND(DH$3&gt;=INDEX(Properties!$Q:$Q,$B51+5),DH$3&lt;INDEX(Properties!$U:$U,$B51+5)),INDEX(Properties!$P:$P,$B51+5),0))</f>
        <v>0</v>
      </c>
      <c r="DI51" s="123" cm="1">
        <f t="array" ref="DI51">INDEX(Properties!$D:$D,$B51+5)*(IF(AND(DI$3&gt;=INDEX(Properties!$Q:$Q,$B51+5),DI$3&lt;INDEX(Properties!$U:$U,$B51+5)),INDEX(Properties!$P:$P,$B51+5),0))</f>
        <v>0</v>
      </c>
      <c r="DJ51" s="123" cm="1">
        <f t="array" ref="DJ51">INDEX(Properties!$D:$D,$B51+5)*(IF(AND(DJ$3&gt;=INDEX(Properties!$Q:$Q,$B51+5),DJ$3&lt;INDEX(Properties!$U:$U,$B51+5)),INDEX(Properties!$P:$P,$B51+5),0))</f>
        <v>0</v>
      </c>
      <c r="DK51" s="123" cm="1">
        <f t="array" ref="DK51">INDEX(Properties!$D:$D,$B51+5)*(IF(AND(DK$3&gt;=INDEX(Properties!$Q:$Q,$B51+5),DK$3&lt;INDEX(Properties!$U:$U,$B51+5)),INDEX(Properties!$P:$P,$B51+5),0))</f>
        <v>0</v>
      </c>
      <c r="DL51" s="123" cm="1">
        <f t="array" ref="DL51">INDEX(Properties!$D:$D,$B51+5)*(IF(AND(DL$3&gt;=INDEX(Properties!$Q:$Q,$B51+5),DL$3&lt;INDEX(Properties!$U:$U,$B51+5)),INDEX(Properties!$P:$P,$B51+5),0))</f>
        <v>0</v>
      </c>
      <c r="DM51" s="123" cm="1">
        <f t="array" ref="DM51">INDEX(Properties!$D:$D,$B51+5)*(IF(AND(DM$3&gt;=INDEX(Properties!$Q:$Q,$B51+5),DM$3&lt;INDEX(Properties!$U:$U,$B51+5)),INDEX(Properties!$P:$P,$B51+5),0))</f>
        <v>0</v>
      </c>
      <c r="DN51" s="123" cm="1">
        <f t="array" ref="DN51">INDEX(Properties!$D:$D,$B51+5)*(IF(AND(DN$3&gt;=INDEX(Properties!$Q:$Q,$B51+5),DN$3&lt;INDEX(Properties!$U:$U,$B51+5)),INDEX(Properties!$P:$P,$B51+5),0))</f>
        <v>0</v>
      </c>
      <c r="DO51" s="123" cm="1">
        <f t="array" ref="DO51">INDEX(Properties!$D:$D,$B51+5)*(IF(AND(DO$3&gt;=INDEX(Properties!$Q:$Q,$B51+5),DO$3&lt;INDEX(Properties!$U:$U,$B51+5)),INDEX(Properties!$P:$P,$B51+5),0))</f>
        <v>0</v>
      </c>
      <c r="DP51" s="123" cm="1">
        <f t="array" ref="DP51">INDEX(Properties!$D:$D,$B51+5)*(IF(AND(DP$3&gt;=INDEX(Properties!$Q:$Q,$B51+5),DP$3&lt;INDEX(Properties!$U:$U,$B51+5)),INDEX(Properties!$P:$P,$B51+5),0))</f>
        <v>0</v>
      </c>
      <c r="DQ51" s="123" cm="1">
        <f t="array" ref="DQ51">INDEX(Properties!$D:$D,$B51+5)*(IF(AND(DQ$3&gt;=INDEX(Properties!$Q:$Q,$B51+5),DQ$3&lt;INDEX(Properties!$U:$U,$B51+5)),INDEX(Properties!$P:$P,$B51+5),0))</f>
        <v>0</v>
      </c>
      <c r="DR51" s="123" cm="1">
        <f t="array" ref="DR51">INDEX(Properties!$D:$D,$B51+5)*(IF(AND(DR$3&gt;=INDEX(Properties!$Q:$Q,$B51+5),DR$3&lt;INDEX(Properties!$U:$U,$B51+5)),INDEX(Properties!$P:$P,$B51+5),0))</f>
        <v>0</v>
      </c>
    </row>
    <row r="52" spans="1:122" ht="16.05" customHeight="1" x14ac:dyDescent="0.3">
      <c r="A52" s="148" cm="1">
        <f t="array" ref="A52">INDEX(Properties!$E:$E,$B52+5)</f>
        <v>0</v>
      </c>
      <c r="B52" s="1">
        <v>6</v>
      </c>
      <c r="C52" s="123" cm="1">
        <f t="array" ref="C52">INDEX(Properties!$D:$D,$B52+5)*(IF(AND(C$3&gt;=INDEX(Properties!$Q:$Q,$B52+5),C$3&lt;INDEX(Properties!$U:$U,$B52+5)),INDEX(Properties!$P:$P,$B52+5),0))</f>
        <v>0</v>
      </c>
      <c r="D52" s="123" cm="1">
        <f t="array" ref="D52">INDEX(Properties!$D:$D,$B52+5)*(IF(AND(D$3&gt;=INDEX(Properties!$Q:$Q,$B52+5),D$3&lt;INDEX(Properties!$U:$U,$B52+5)),INDEX(Properties!$P:$P,$B52+5),0))</f>
        <v>0</v>
      </c>
      <c r="E52" s="123" cm="1">
        <f t="array" ref="E52">INDEX(Properties!$D:$D,$B52+5)*(IF(AND(E$3&gt;=INDEX(Properties!$Q:$Q,$B52+5),E$3&lt;INDEX(Properties!$U:$U,$B52+5)),INDEX(Properties!$P:$P,$B52+5),0))</f>
        <v>0</v>
      </c>
      <c r="F52" s="123" cm="1">
        <f t="array" ref="F52">INDEX(Properties!$D:$D,$B52+5)*(IF(AND(F$3&gt;=INDEX(Properties!$Q:$Q,$B52+5),F$3&lt;INDEX(Properties!$U:$U,$B52+5)),INDEX(Properties!$P:$P,$B52+5),0))</f>
        <v>0</v>
      </c>
      <c r="G52" s="123" cm="1">
        <f t="array" ref="G52">INDEX(Properties!$D:$D,$B52+5)*(IF(AND(G$3&gt;=INDEX(Properties!$Q:$Q,$B52+5),G$3&lt;INDEX(Properties!$U:$U,$B52+5)),INDEX(Properties!$P:$P,$B52+5),0))</f>
        <v>0</v>
      </c>
      <c r="H52" s="123" cm="1">
        <f t="array" ref="H52">INDEX(Properties!$D:$D,$B52+5)*(IF(AND(H$3&gt;=INDEX(Properties!$Q:$Q,$B52+5),H$3&lt;INDEX(Properties!$U:$U,$B52+5)),INDEX(Properties!$P:$P,$B52+5),0))</f>
        <v>0</v>
      </c>
      <c r="I52" s="123" cm="1">
        <f t="array" ref="I52">INDEX(Properties!$D:$D,$B52+5)*(IF(AND(I$3&gt;=INDEX(Properties!$Q:$Q,$B52+5),I$3&lt;INDEX(Properties!$U:$U,$B52+5)),INDEX(Properties!$P:$P,$B52+5),0))</f>
        <v>0</v>
      </c>
      <c r="J52" s="123" cm="1">
        <f t="array" ref="J52">INDEX(Properties!$D:$D,$B52+5)*(IF(AND(J$3&gt;=INDEX(Properties!$Q:$Q,$B52+5),J$3&lt;INDEX(Properties!$U:$U,$B52+5)),INDEX(Properties!$P:$P,$B52+5),0))</f>
        <v>0</v>
      </c>
      <c r="K52" s="123" cm="1">
        <f t="array" ref="K52">INDEX(Properties!$D:$D,$B52+5)*(IF(AND(K$3&gt;=INDEX(Properties!$Q:$Q,$B52+5),K$3&lt;INDEX(Properties!$U:$U,$B52+5)),INDEX(Properties!$P:$P,$B52+5),0))</f>
        <v>0</v>
      </c>
      <c r="L52" s="123" cm="1">
        <f t="array" ref="L52">INDEX(Properties!$D:$D,$B52+5)*(IF(AND(L$3&gt;=INDEX(Properties!$Q:$Q,$B52+5),L$3&lt;INDEX(Properties!$U:$U,$B52+5)),INDEX(Properties!$P:$P,$B52+5),0))</f>
        <v>0</v>
      </c>
      <c r="M52" s="123" cm="1">
        <f t="array" ref="M52">INDEX(Properties!$D:$D,$B52+5)*(IF(AND(M$3&gt;=INDEX(Properties!$Q:$Q,$B52+5),M$3&lt;INDEX(Properties!$U:$U,$B52+5)),INDEX(Properties!$P:$P,$B52+5),0))</f>
        <v>0</v>
      </c>
      <c r="N52" s="123" cm="1">
        <f t="array" ref="N52">INDEX(Properties!$D:$D,$B52+5)*(IF(AND(N$3&gt;=INDEX(Properties!$Q:$Q,$B52+5),N$3&lt;INDEX(Properties!$U:$U,$B52+5)),INDEX(Properties!$P:$P,$B52+5),0))</f>
        <v>0</v>
      </c>
      <c r="O52" s="123" cm="1">
        <f t="array" ref="O52">INDEX(Properties!$D:$D,$B52+5)*(IF(AND(O$3&gt;=INDEX(Properties!$Q:$Q,$B52+5),O$3&lt;INDEX(Properties!$U:$U,$B52+5)),INDEX(Properties!$P:$P,$B52+5),0))</f>
        <v>0</v>
      </c>
      <c r="P52" s="123" cm="1">
        <f t="array" ref="P52">INDEX(Properties!$D:$D,$B52+5)*(IF(AND(P$3&gt;=INDEX(Properties!$Q:$Q,$B52+5),P$3&lt;INDEX(Properties!$U:$U,$B52+5)),INDEX(Properties!$P:$P,$B52+5),0))</f>
        <v>0</v>
      </c>
      <c r="Q52" s="123" cm="1">
        <f t="array" ref="Q52">INDEX(Properties!$D:$D,$B52+5)*(IF(AND(Q$3&gt;=INDEX(Properties!$Q:$Q,$B52+5),Q$3&lt;INDEX(Properties!$U:$U,$B52+5)),INDEX(Properties!$P:$P,$B52+5),0))</f>
        <v>0</v>
      </c>
      <c r="R52" s="123" cm="1">
        <f t="array" ref="R52">INDEX(Properties!$D:$D,$B52+5)*(IF(AND(R$3&gt;=INDEX(Properties!$Q:$Q,$B52+5),R$3&lt;INDEX(Properties!$U:$U,$B52+5)),INDEX(Properties!$P:$P,$B52+5),0))</f>
        <v>0</v>
      </c>
      <c r="S52" s="123" cm="1">
        <f t="array" ref="S52">INDEX(Properties!$D:$D,$B52+5)*(IF(AND(S$3&gt;=INDEX(Properties!$Q:$Q,$B52+5),S$3&lt;INDEX(Properties!$U:$U,$B52+5)),INDEX(Properties!$P:$P,$B52+5),0))</f>
        <v>0</v>
      </c>
      <c r="T52" s="123" cm="1">
        <f t="array" ref="T52">INDEX(Properties!$D:$D,$B52+5)*(IF(AND(T$3&gt;=INDEX(Properties!$Q:$Q,$B52+5),T$3&lt;INDEX(Properties!$U:$U,$B52+5)),INDEX(Properties!$P:$P,$B52+5),0))</f>
        <v>0</v>
      </c>
      <c r="U52" s="123" cm="1">
        <f t="array" ref="U52">INDEX(Properties!$D:$D,$B52+5)*(IF(AND(U$3&gt;=INDEX(Properties!$Q:$Q,$B52+5),U$3&lt;INDEX(Properties!$U:$U,$B52+5)),INDEX(Properties!$P:$P,$B52+5),0))</f>
        <v>0</v>
      </c>
      <c r="V52" s="123" cm="1">
        <f t="array" ref="V52">INDEX(Properties!$D:$D,$B52+5)*(IF(AND(V$3&gt;=INDEX(Properties!$Q:$Q,$B52+5),V$3&lt;INDEX(Properties!$U:$U,$B52+5)),INDEX(Properties!$P:$P,$B52+5),0))</f>
        <v>0</v>
      </c>
      <c r="W52" s="123" cm="1">
        <f t="array" ref="W52">INDEX(Properties!$D:$D,$B52+5)*(IF(AND(W$3&gt;=INDEX(Properties!$Q:$Q,$B52+5),W$3&lt;INDEX(Properties!$U:$U,$B52+5)),INDEX(Properties!$P:$P,$B52+5),0))</f>
        <v>0</v>
      </c>
      <c r="X52" s="123" cm="1">
        <f t="array" ref="X52">INDEX(Properties!$D:$D,$B52+5)*(IF(AND(X$3&gt;=INDEX(Properties!$Q:$Q,$B52+5),X$3&lt;INDEX(Properties!$U:$U,$B52+5)),INDEX(Properties!$P:$P,$B52+5),0))</f>
        <v>0</v>
      </c>
      <c r="Y52" s="123" cm="1">
        <f t="array" ref="Y52">INDEX(Properties!$D:$D,$B52+5)*(IF(AND(Y$3&gt;=INDEX(Properties!$Q:$Q,$B52+5),Y$3&lt;INDEX(Properties!$U:$U,$B52+5)),INDEX(Properties!$P:$P,$B52+5),0))</f>
        <v>0</v>
      </c>
      <c r="Z52" s="123" cm="1">
        <f t="array" ref="Z52">INDEX(Properties!$D:$D,$B52+5)*(IF(AND(Z$3&gt;=INDEX(Properties!$Q:$Q,$B52+5),Z$3&lt;INDEX(Properties!$U:$U,$B52+5)),INDEX(Properties!$P:$P,$B52+5),0))</f>
        <v>0</v>
      </c>
      <c r="AA52" s="123" cm="1">
        <f t="array" ref="AA52">INDEX(Properties!$D:$D,$B52+5)*(IF(AND(AA$3&gt;=INDEX(Properties!$Q:$Q,$B52+5),AA$3&lt;INDEX(Properties!$U:$U,$B52+5)),INDEX(Properties!$P:$P,$B52+5),0))</f>
        <v>0</v>
      </c>
      <c r="AB52" s="123" cm="1">
        <f t="array" ref="AB52">INDEX(Properties!$D:$D,$B52+5)*(IF(AND(AB$3&gt;=INDEX(Properties!$Q:$Q,$B52+5),AB$3&lt;INDEX(Properties!$U:$U,$B52+5)),INDEX(Properties!$P:$P,$B52+5),0))</f>
        <v>0</v>
      </c>
      <c r="AC52" s="123" cm="1">
        <f t="array" ref="AC52">INDEX(Properties!$D:$D,$B52+5)*(IF(AND(AC$3&gt;=INDEX(Properties!$Q:$Q,$B52+5),AC$3&lt;INDEX(Properties!$U:$U,$B52+5)),INDEX(Properties!$P:$P,$B52+5),0))</f>
        <v>0</v>
      </c>
      <c r="AD52" s="123" cm="1">
        <f t="array" ref="AD52">INDEX(Properties!$D:$D,$B52+5)*(IF(AND(AD$3&gt;=INDEX(Properties!$Q:$Q,$B52+5),AD$3&lt;INDEX(Properties!$U:$U,$B52+5)),INDEX(Properties!$P:$P,$B52+5),0))</f>
        <v>0</v>
      </c>
      <c r="AE52" s="123" cm="1">
        <f t="array" ref="AE52">INDEX(Properties!$D:$D,$B52+5)*(IF(AND(AE$3&gt;=INDEX(Properties!$Q:$Q,$B52+5),AE$3&lt;INDEX(Properties!$U:$U,$B52+5)),INDEX(Properties!$P:$P,$B52+5),0))</f>
        <v>0</v>
      </c>
      <c r="AF52" s="123" cm="1">
        <f t="array" ref="AF52">INDEX(Properties!$D:$D,$B52+5)*(IF(AND(AF$3&gt;=INDEX(Properties!$Q:$Q,$B52+5),AF$3&lt;INDEX(Properties!$U:$U,$B52+5)),INDEX(Properties!$P:$P,$B52+5),0))</f>
        <v>0</v>
      </c>
      <c r="AG52" s="123" cm="1">
        <f t="array" ref="AG52">INDEX(Properties!$D:$D,$B52+5)*(IF(AND(AG$3&gt;=INDEX(Properties!$Q:$Q,$B52+5),AG$3&lt;INDEX(Properties!$U:$U,$B52+5)),INDEX(Properties!$P:$P,$B52+5),0))</f>
        <v>0</v>
      </c>
      <c r="AH52" s="123" cm="1">
        <f t="array" ref="AH52">INDEX(Properties!$D:$D,$B52+5)*(IF(AND(AH$3&gt;=INDEX(Properties!$Q:$Q,$B52+5),AH$3&lt;INDEX(Properties!$U:$U,$B52+5)),INDEX(Properties!$P:$P,$B52+5),0))</f>
        <v>0</v>
      </c>
      <c r="AI52" s="123" cm="1">
        <f t="array" ref="AI52">INDEX(Properties!$D:$D,$B52+5)*(IF(AND(AI$3&gt;=INDEX(Properties!$Q:$Q,$B52+5),AI$3&lt;INDEX(Properties!$U:$U,$B52+5)),INDEX(Properties!$P:$P,$B52+5),0))</f>
        <v>0</v>
      </c>
      <c r="AJ52" s="123" cm="1">
        <f t="array" ref="AJ52">INDEX(Properties!$D:$D,$B52+5)*(IF(AND(AJ$3&gt;=INDEX(Properties!$Q:$Q,$B52+5),AJ$3&lt;INDEX(Properties!$U:$U,$B52+5)),INDEX(Properties!$P:$P,$B52+5),0))</f>
        <v>0</v>
      </c>
      <c r="AK52" s="123" cm="1">
        <f t="array" ref="AK52">INDEX(Properties!$D:$D,$B52+5)*(IF(AND(AK$3&gt;=INDEX(Properties!$Q:$Q,$B52+5),AK$3&lt;INDEX(Properties!$U:$U,$B52+5)),INDEX(Properties!$P:$P,$B52+5),0))</f>
        <v>0</v>
      </c>
      <c r="AL52" s="123" cm="1">
        <f t="array" ref="AL52">INDEX(Properties!$D:$D,$B52+5)*(IF(AND(AL$3&gt;=INDEX(Properties!$Q:$Q,$B52+5),AL$3&lt;INDEX(Properties!$U:$U,$B52+5)),INDEX(Properties!$P:$P,$B52+5),0))</f>
        <v>0</v>
      </c>
      <c r="AM52" s="123" cm="1">
        <f t="array" ref="AM52">INDEX(Properties!$D:$D,$B52+5)*(IF(AND(AM$3&gt;=INDEX(Properties!$Q:$Q,$B52+5),AM$3&lt;INDEX(Properties!$U:$U,$B52+5)),INDEX(Properties!$P:$P,$B52+5),0))</f>
        <v>0</v>
      </c>
      <c r="AN52" s="123" cm="1">
        <f t="array" ref="AN52">INDEX(Properties!$D:$D,$B52+5)*(IF(AND(AN$3&gt;=INDEX(Properties!$Q:$Q,$B52+5),AN$3&lt;INDEX(Properties!$U:$U,$B52+5)),INDEX(Properties!$P:$P,$B52+5),0))</f>
        <v>0</v>
      </c>
      <c r="AO52" s="123" cm="1">
        <f t="array" ref="AO52">INDEX(Properties!$D:$D,$B52+5)*(IF(AND(AO$3&gt;=INDEX(Properties!$Q:$Q,$B52+5),AO$3&lt;INDEX(Properties!$U:$U,$B52+5)),INDEX(Properties!$P:$P,$B52+5),0))</f>
        <v>0</v>
      </c>
      <c r="AP52" s="123" cm="1">
        <f t="array" ref="AP52">INDEX(Properties!$D:$D,$B52+5)*(IF(AND(AP$3&gt;=INDEX(Properties!$Q:$Q,$B52+5),AP$3&lt;INDEX(Properties!$U:$U,$B52+5)),INDEX(Properties!$P:$P,$B52+5),0))</f>
        <v>0</v>
      </c>
      <c r="AQ52" s="123" cm="1">
        <f t="array" ref="AQ52">INDEX(Properties!$D:$D,$B52+5)*(IF(AND(AQ$3&gt;=INDEX(Properties!$Q:$Q,$B52+5),AQ$3&lt;INDEX(Properties!$U:$U,$B52+5)),INDEX(Properties!$P:$P,$B52+5),0))</f>
        <v>0</v>
      </c>
      <c r="AR52" s="123" cm="1">
        <f t="array" ref="AR52">INDEX(Properties!$D:$D,$B52+5)*(IF(AND(AR$3&gt;=INDEX(Properties!$Q:$Q,$B52+5),AR$3&lt;INDEX(Properties!$U:$U,$B52+5)),INDEX(Properties!$P:$P,$B52+5),0))</f>
        <v>0</v>
      </c>
      <c r="AS52" s="123" cm="1">
        <f t="array" ref="AS52">INDEX(Properties!$D:$D,$B52+5)*(IF(AND(AS$3&gt;=INDEX(Properties!$Q:$Q,$B52+5),AS$3&lt;INDEX(Properties!$U:$U,$B52+5)),INDEX(Properties!$P:$P,$B52+5),0))</f>
        <v>0</v>
      </c>
      <c r="AT52" s="123" cm="1">
        <f t="array" ref="AT52">INDEX(Properties!$D:$D,$B52+5)*(IF(AND(AT$3&gt;=INDEX(Properties!$Q:$Q,$B52+5),AT$3&lt;INDEX(Properties!$U:$U,$B52+5)),INDEX(Properties!$P:$P,$B52+5),0))</f>
        <v>0</v>
      </c>
      <c r="AU52" s="123" cm="1">
        <f t="array" ref="AU52">INDEX(Properties!$D:$D,$B52+5)*(IF(AND(AU$3&gt;=INDEX(Properties!$Q:$Q,$B52+5),AU$3&lt;INDEX(Properties!$U:$U,$B52+5)),INDEX(Properties!$P:$P,$B52+5),0))</f>
        <v>0</v>
      </c>
      <c r="AV52" s="123" cm="1">
        <f t="array" ref="AV52">INDEX(Properties!$D:$D,$B52+5)*(IF(AND(AV$3&gt;=INDEX(Properties!$Q:$Q,$B52+5),AV$3&lt;INDEX(Properties!$U:$U,$B52+5)),INDEX(Properties!$P:$P,$B52+5),0))</f>
        <v>0</v>
      </c>
      <c r="AW52" s="123" cm="1">
        <f t="array" ref="AW52">INDEX(Properties!$D:$D,$B52+5)*(IF(AND(AW$3&gt;=INDEX(Properties!$Q:$Q,$B52+5),AW$3&lt;INDEX(Properties!$U:$U,$B52+5)),INDEX(Properties!$P:$P,$B52+5),0))</f>
        <v>0</v>
      </c>
      <c r="AX52" s="123" cm="1">
        <f t="array" ref="AX52">INDEX(Properties!$D:$D,$B52+5)*(IF(AND(AX$3&gt;=INDEX(Properties!$Q:$Q,$B52+5),AX$3&lt;INDEX(Properties!$U:$U,$B52+5)),INDEX(Properties!$P:$P,$B52+5),0))</f>
        <v>0</v>
      </c>
      <c r="AY52" s="123" cm="1">
        <f t="array" ref="AY52">INDEX(Properties!$D:$D,$B52+5)*(IF(AND(AY$3&gt;=INDEX(Properties!$Q:$Q,$B52+5),AY$3&lt;INDEX(Properties!$U:$U,$B52+5)),INDEX(Properties!$P:$P,$B52+5),0))</f>
        <v>0</v>
      </c>
      <c r="AZ52" s="123" cm="1">
        <f t="array" ref="AZ52">INDEX(Properties!$D:$D,$B52+5)*(IF(AND(AZ$3&gt;=INDEX(Properties!$Q:$Q,$B52+5),AZ$3&lt;INDEX(Properties!$U:$U,$B52+5)),INDEX(Properties!$P:$P,$B52+5),0))</f>
        <v>0</v>
      </c>
      <c r="BA52" s="123" cm="1">
        <f t="array" ref="BA52">INDEX(Properties!$D:$D,$B52+5)*(IF(AND(BA$3&gt;=INDEX(Properties!$Q:$Q,$B52+5),BA$3&lt;INDEX(Properties!$U:$U,$B52+5)),INDEX(Properties!$P:$P,$B52+5),0))</f>
        <v>0</v>
      </c>
      <c r="BB52" s="123" cm="1">
        <f t="array" ref="BB52">INDEX(Properties!$D:$D,$B52+5)*(IF(AND(BB$3&gt;=INDEX(Properties!$Q:$Q,$B52+5),BB$3&lt;INDEX(Properties!$U:$U,$B52+5)),INDEX(Properties!$P:$P,$B52+5),0))</f>
        <v>0</v>
      </c>
      <c r="BC52" s="123" cm="1">
        <f t="array" ref="BC52">INDEX(Properties!$D:$D,$B52+5)*(IF(AND(BC$3&gt;=INDEX(Properties!$Q:$Q,$B52+5),BC$3&lt;INDEX(Properties!$U:$U,$B52+5)),INDEX(Properties!$P:$P,$B52+5),0))</f>
        <v>0</v>
      </c>
      <c r="BD52" s="123" cm="1">
        <f t="array" ref="BD52">INDEX(Properties!$D:$D,$B52+5)*(IF(AND(BD$3&gt;=INDEX(Properties!$Q:$Q,$B52+5),BD$3&lt;INDEX(Properties!$U:$U,$B52+5)),INDEX(Properties!$P:$P,$B52+5),0))</f>
        <v>0</v>
      </c>
      <c r="BE52" s="123" cm="1">
        <f t="array" ref="BE52">INDEX(Properties!$D:$D,$B52+5)*(IF(AND(BE$3&gt;=INDEX(Properties!$Q:$Q,$B52+5),BE$3&lt;INDEX(Properties!$U:$U,$B52+5)),INDEX(Properties!$P:$P,$B52+5),0))</f>
        <v>0</v>
      </c>
      <c r="BF52" s="123" cm="1">
        <f t="array" ref="BF52">INDEX(Properties!$D:$D,$B52+5)*(IF(AND(BF$3&gt;=INDEX(Properties!$Q:$Q,$B52+5),BF$3&lt;INDEX(Properties!$U:$U,$B52+5)),INDEX(Properties!$P:$P,$B52+5),0))</f>
        <v>0</v>
      </c>
      <c r="BG52" s="123" cm="1">
        <f t="array" ref="BG52">INDEX(Properties!$D:$D,$B52+5)*(IF(AND(BG$3&gt;=INDEX(Properties!$Q:$Q,$B52+5),BG$3&lt;INDEX(Properties!$U:$U,$B52+5)),INDEX(Properties!$P:$P,$B52+5),0))</f>
        <v>0</v>
      </c>
      <c r="BH52" s="123" cm="1">
        <f t="array" ref="BH52">INDEX(Properties!$D:$D,$B52+5)*(IF(AND(BH$3&gt;=INDEX(Properties!$Q:$Q,$B52+5),BH$3&lt;INDEX(Properties!$U:$U,$B52+5)),INDEX(Properties!$P:$P,$B52+5),0))</f>
        <v>0</v>
      </c>
      <c r="BI52" s="123" cm="1">
        <f t="array" ref="BI52">INDEX(Properties!$D:$D,$B52+5)*(IF(AND(BI$3&gt;=INDEX(Properties!$Q:$Q,$B52+5),BI$3&lt;INDEX(Properties!$U:$U,$B52+5)),INDEX(Properties!$P:$P,$B52+5),0))</f>
        <v>0</v>
      </c>
      <c r="BJ52" s="123" cm="1">
        <f t="array" ref="BJ52">INDEX(Properties!$D:$D,$B52+5)*(IF(AND(BJ$3&gt;=INDEX(Properties!$Q:$Q,$B52+5),BJ$3&lt;INDEX(Properties!$U:$U,$B52+5)),INDEX(Properties!$P:$P,$B52+5),0))</f>
        <v>0</v>
      </c>
      <c r="BK52" s="123" cm="1">
        <f t="array" ref="BK52">INDEX(Properties!$D:$D,$B52+5)*(IF(AND(BK$3&gt;=INDEX(Properties!$Q:$Q,$B52+5),BK$3&lt;INDEX(Properties!$U:$U,$B52+5)),INDEX(Properties!$P:$P,$B52+5),0))</f>
        <v>0</v>
      </c>
      <c r="BL52" s="123" cm="1">
        <f t="array" ref="BL52">INDEX(Properties!$D:$D,$B52+5)*(IF(AND(BL$3&gt;=INDEX(Properties!$Q:$Q,$B52+5),BL$3&lt;INDEX(Properties!$U:$U,$B52+5)),INDEX(Properties!$P:$P,$B52+5),0))</f>
        <v>0</v>
      </c>
      <c r="BM52" s="123" cm="1">
        <f t="array" ref="BM52">INDEX(Properties!$D:$D,$B52+5)*(IF(AND(BM$3&gt;=INDEX(Properties!$Q:$Q,$B52+5),BM$3&lt;INDEX(Properties!$U:$U,$B52+5)),INDEX(Properties!$P:$P,$B52+5),0))</f>
        <v>0</v>
      </c>
      <c r="BN52" s="123" cm="1">
        <f t="array" ref="BN52">INDEX(Properties!$D:$D,$B52+5)*(IF(AND(BN$3&gt;=INDEX(Properties!$Q:$Q,$B52+5),BN$3&lt;INDEX(Properties!$U:$U,$B52+5)),INDEX(Properties!$P:$P,$B52+5),0))</f>
        <v>0</v>
      </c>
      <c r="BO52" s="123" cm="1">
        <f t="array" ref="BO52">INDEX(Properties!$D:$D,$B52+5)*(IF(AND(BO$3&gt;=INDEX(Properties!$Q:$Q,$B52+5),BO$3&lt;INDEX(Properties!$U:$U,$B52+5)),INDEX(Properties!$P:$P,$B52+5),0))</f>
        <v>0</v>
      </c>
      <c r="BP52" s="123" cm="1">
        <f t="array" ref="BP52">INDEX(Properties!$D:$D,$B52+5)*(IF(AND(BP$3&gt;=INDEX(Properties!$Q:$Q,$B52+5),BP$3&lt;INDEX(Properties!$U:$U,$B52+5)),INDEX(Properties!$P:$P,$B52+5),0))</f>
        <v>0</v>
      </c>
      <c r="BQ52" s="123" cm="1">
        <f t="array" ref="BQ52">INDEX(Properties!$D:$D,$B52+5)*(IF(AND(BQ$3&gt;=INDEX(Properties!$Q:$Q,$B52+5),BQ$3&lt;INDEX(Properties!$U:$U,$B52+5)),INDEX(Properties!$P:$P,$B52+5),0))</f>
        <v>0</v>
      </c>
      <c r="BR52" s="123" cm="1">
        <f t="array" ref="BR52">INDEX(Properties!$D:$D,$B52+5)*(IF(AND(BR$3&gt;=INDEX(Properties!$Q:$Q,$B52+5),BR$3&lt;INDEX(Properties!$U:$U,$B52+5)),INDEX(Properties!$P:$P,$B52+5),0))</f>
        <v>0</v>
      </c>
      <c r="BS52" s="123" cm="1">
        <f t="array" ref="BS52">INDEX(Properties!$D:$D,$B52+5)*(IF(AND(BS$3&gt;=INDEX(Properties!$Q:$Q,$B52+5),BS$3&lt;INDEX(Properties!$U:$U,$B52+5)),INDEX(Properties!$P:$P,$B52+5),0))</f>
        <v>0</v>
      </c>
      <c r="BT52" s="123" cm="1">
        <f t="array" ref="BT52">INDEX(Properties!$D:$D,$B52+5)*(IF(AND(BT$3&gt;=INDEX(Properties!$Q:$Q,$B52+5),BT$3&lt;INDEX(Properties!$U:$U,$B52+5)),INDEX(Properties!$P:$P,$B52+5),0))</f>
        <v>0</v>
      </c>
      <c r="BU52" s="123" cm="1">
        <f t="array" ref="BU52">INDEX(Properties!$D:$D,$B52+5)*(IF(AND(BU$3&gt;=INDEX(Properties!$Q:$Q,$B52+5),BU$3&lt;INDEX(Properties!$U:$U,$B52+5)),INDEX(Properties!$P:$P,$B52+5),0))</f>
        <v>0</v>
      </c>
      <c r="BV52" s="123" cm="1">
        <f t="array" ref="BV52">INDEX(Properties!$D:$D,$B52+5)*(IF(AND(BV$3&gt;=INDEX(Properties!$Q:$Q,$B52+5),BV$3&lt;INDEX(Properties!$U:$U,$B52+5)),INDEX(Properties!$P:$P,$B52+5),0))</f>
        <v>0</v>
      </c>
      <c r="BW52" s="123" cm="1">
        <f t="array" ref="BW52">INDEX(Properties!$D:$D,$B52+5)*(IF(AND(BW$3&gt;=INDEX(Properties!$Q:$Q,$B52+5),BW$3&lt;INDEX(Properties!$U:$U,$B52+5)),INDEX(Properties!$P:$P,$B52+5),0))</f>
        <v>0</v>
      </c>
      <c r="BX52" s="123" cm="1">
        <f t="array" ref="BX52">INDEX(Properties!$D:$D,$B52+5)*(IF(AND(BX$3&gt;=INDEX(Properties!$Q:$Q,$B52+5),BX$3&lt;INDEX(Properties!$U:$U,$B52+5)),INDEX(Properties!$P:$P,$B52+5),0))</f>
        <v>0</v>
      </c>
      <c r="BY52" s="123" cm="1">
        <f t="array" ref="BY52">INDEX(Properties!$D:$D,$B52+5)*(IF(AND(BY$3&gt;=INDEX(Properties!$Q:$Q,$B52+5),BY$3&lt;INDEX(Properties!$U:$U,$B52+5)),INDEX(Properties!$P:$P,$B52+5),0))</f>
        <v>0</v>
      </c>
      <c r="BZ52" s="123" cm="1">
        <f t="array" ref="BZ52">INDEX(Properties!$D:$D,$B52+5)*(IF(AND(BZ$3&gt;=INDEX(Properties!$Q:$Q,$B52+5),BZ$3&lt;INDEX(Properties!$U:$U,$B52+5)),INDEX(Properties!$P:$P,$B52+5),0))</f>
        <v>0</v>
      </c>
      <c r="CA52" s="123" cm="1">
        <f t="array" ref="CA52">INDEX(Properties!$D:$D,$B52+5)*(IF(AND(CA$3&gt;=INDEX(Properties!$Q:$Q,$B52+5),CA$3&lt;INDEX(Properties!$U:$U,$B52+5)),INDEX(Properties!$P:$P,$B52+5),0))</f>
        <v>0</v>
      </c>
      <c r="CB52" s="123" cm="1">
        <f t="array" ref="CB52">INDEX(Properties!$D:$D,$B52+5)*(IF(AND(CB$3&gt;=INDEX(Properties!$Q:$Q,$B52+5),CB$3&lt;INDEX(Properties!$U:$U,$B52+5)),INDEX(Properties!$P:$P,$B52+5),0))</f>
        <v>0</v>
      </c>
      <c r="CC52" s="123" cm="1">
        <f t="array" ref="CC52">INDEX(Properties!$D:$D,$B52+5)*(IF(AND(CC$3&gt;=INDEX(Properties!$Q:$Q,$B52+5),CC$3&lt;INDEX(Properties!$U:$U,$B52+5)),INDEX(Properties!$P:$P,$B52+5),0))</f>
        <v>0</v>
      </c>
      <c r="CD52" s="123" cm="1">
        <f t="array" ref="CD52">INDEX(Properties!$D:$D,$B52+5)*(IF(AND(CD$3&gt;=INDEX(Properties!$Q:$Q,$B52+5),CD$3&lt;INDEX(Properties!$U:$U,$B52+5)),INDEX(Properties!$P:$P,$B52+5),0))</f>
        <v>0</v>
      </c>
      <c r="CE52" s="123" cm="1">
        <f t="array" ref="CE52">INDEX(Properties!$D:$D,$B52+5)*(IF(AND(CE$3&gt;=INDEX(Properties!$Q:$Q,$B52+5),CE$3&lt;INDEX(Properties!$U:$U,$B52+5)),INDEX(Properties!$P:$P,$B52+5),0))</f>
        <v>0</v>
      </c>
      <c r="CF52" s="123" cm="1">
        <f t="array" ref="CF52">INDEX(Properties!$D:$D,$B52+5)*(IF(AND(CF$3&gt;=INDEX(Properties!$Q:$Q,$B52+5),CF$3&lt;INDEX(Properties!$U:$U,$B52+5)),INDEX(Properties!$P:$P,$B52+5),0))</f>
        <v>0</v>
      </c>
      <c r="CG52" s="123" cm="1">
        <f t="array" ref="CG52">INDEX(Properties!$D:$D,$B52+5)*(IF(AND(CG$3&gt;=INDEX(Properties!$Q:$Q,$B52+5),CG$3&lt;INDEX(Properties!$U:$U,$B52+5)),INDEX(Properties!$P:$P,$B52+5),0))</f>
        <v>0</v>
      </c>
      <c r="CH52" s="123" cm="1">
        <f t="array" ref="CH52">INDEX(Properties!$D:$D,$B52+5)*(IF(AND(CH$3&gt;=INDEX(Properties!$Q:$Q,$B52+5),CH$3&lt;INDEX(Properties!$U:$U,$B52+5)),INDEX(Properties!$P:$P,$B52+5),0))</f>
        <v>0</v>
      </c>
      <c r="CI52" s="123" cm="1">
        <f t="array" ref="CI52">INDEX(Properties!$D:$D,$B52+5)*(IF(AND(CI$3&gt;=INDEX(Properties!$Q:$Q,$B52+5),CI$3&lt;INDEX(Properties!$U:$U,$B52+5)),INDEX(Properties!$P:$P,$B52+5),0))</f>
        <v>0</v>
      </c>
      <c r="CJ52" s="123" cm="1">
        <f t="array" ref="CJ52">INDEX(Properties!$D:$D,$B52+5)*(IF(AND(CJ$3&gt;=INDEX(Properties!$Q:$Q,$B52+5),CJ$3&lt;INDEX(Properties!$U:$U,$B52+5)),INDEX(Properties!$P:$P,$B52+5),0))</f>
        <v>0</v>
      </c>
      <c r="CK52" s="123" cm="1">
        <f t="array" ref="CK52">INDEX(Properties!$D:$D,$B52+5)*(IF(AND(CK$3&gt;=INDEX(Properties!$Q:$Q,$B52+5),CK$3&lt;INDEX(Properties!$U:$U,$B52+5)),INDEX(Properties!$P:$P,$B52+5),0))</f>
        <v>0</v>
      </c>
      <c r="CL52" s="123" cm="1">
        <f t="array" ref="CL52">INDEX(Properties!$D:$D,$B52+5)*(IF(AND(CL$3&gt;=INDEX(Properties!$Q:$Q,$B52+5),CL$3&lt;INDEX(Properties!$U:$U,$B52+5)),INDEX(Properties!$P:$P,$B52+5),0))</f>
        <v>0</v>
      </c>
      <c r="CM52" s="123" cm="1">
        <f t="array" ref="CM52">INDEX(Properties!$D:$D,$B52+5)*(IF(AND(CM$3&gt;=INDEX(Properties!$Q:$Q,$B52+5),CM$3&lt;INDEX(Properties!$U:$U,$B52+5)),INDEX(Properties!$P:$P,$B52+5),0))</f>
        <v>0</v>
      </c>
      <c r="CN52" s="123" cm="1">
        <f t="array" ref="CN52">INDEX(Properties!$D:$D,$B52+5)*(IF(AND(CN$3&gt;=INDEX(Properties!$Q:$Q,$B52+5),CN$3&lt;INDEX(Properties!$U:$U,$B52+5)),INDEX(Properties!$P:$P,$B52+5),0))</f>
        <v>0</v>
      </c>
      <c r="CO52" s="123" cm="1">
        <f t="array" ref="CO52">INDEX(Properties!$D:$D,$B52+5)*(IF(AND(CO$3&gt;=INDEX(Properties!$Q:$Q,$B52+5),CO$3&lt;INDEX(Properties!$U:$U,$B52+5)),INDEX(Properties!$P:$P,$B52+5),0))</f>
        <v>0</v>
      </c>
      <c r="CP52" s="123" cm="1">
        <f t="array" ref="CP52">INDEX(Properties!$D:$D,$B52+5)*(IF(AND(CP$3&gt;=INDEX(Properties!$Q:$Q,$B52+5),CP$3&lt;INDEX(Properties!$U:$U,$B52+5)),INDEX(Properties!$P:$P,$B52+5),0))</f>
        <v>0</v>
      </c>
      <c r="CQ52" s="123" cm="1">
        <f t="array" ref="CQ52">INDEX(Properties!$D:$D,$B52+5)*(IF(AND(CQ$3&gt;=INDEX(Properties!$Q:$Q,$B52+5),CQ$3&lt;INDEX(Properties!$U:$U,$B52+5)),INDEX(Properties!$P:$P,$B52+5),0))</f>
        <v>0</v>
      </c>
      <c r="CR52" s="123" cm="1">
        <f t="array" ref="CR52">INDEX(Properties!$D:$D,$B52+5)*(IF(AND(CR$3&gt;=INDEX(Properties!$Q:$Q,$B52+5),CR$3&lt;INDEX(Properties!$U:$U,$B52+5)),INDEX(Properties!$P:$P,$B52+5),0))</f>
        <v>0</v>
      </c>
      <c r="CS52" s="123" cm="1">
        <f t="array" ref="CS52">INDEX(Properties!$D:$D,$B52+5)*(IF(AND(CS$3&gt;=INDEX(Properties!$Q:$Q,$B52+5),CS$3&lt;INDEX(Properties!$U:$U,$B52+5)),INDEX(Properties!$P:$P,$B52+5),0))</f>
        <v>0</v>
      </c>
      <c r="CT52" s="123" cm="1">
        <f t="array" ref="CT52">INDEX(Properties!$D:$D,$B52+5)*(IF(AND(CT$3&gt;=INDEX(Properties!$Q:$Q,$B52+5),CT$3&lt;INDEX(Properties!$U:$U,$B52+5)),INDEX(Properties!$P:$P,$B52+5),0))</f>
        <v>0</v>
      </c>
      <c r="CU52" s="123" cm="1">
        <f t="array" ref="CU52">INDEX(Properties!$D:$D,$B52+5)*(IF(AND(CU$3&gt;=INDEX(Properties!$Q:$Q,$B52+5),CU$3&lt;INDEX(Properties!$U:$U,$B52+5)),INDEX(Properties!$P:$P,$B52+5),0))</f>
        <v>0</v>
      </c>
      <c r="CV52" s="123" cm="1">
        <f t="array" ref="CV52">INDEX(Properties!$D:$D,$B52+5)*(IF(AND(CV$3&gt;=INDEX(Properties!$Q:$Q,$B52+5),CV$3&lt;INDEX(Properties!$U:$U,$B52+5)),INDEX(Properties!$P:$P,$B52+5),0))</f>
        <v>0</v>
      </c>
      <c r="CW52" s="123" cm="1">
        <f t="array" ref="CW52">INDEX(Properties!$D:$D,$B52+5)*(IF(AND(CW$3&gt;=INDEX(Properties!$Q:$Q,$B52+5),CW$3&lt;INDEX(Properties!$U:$U,$B52+5)),INDEX(Properties!$P:$P,$B52+5),0))</f>
        <v>0</v>
      </c>
      <c r="CX52" s="123" cm="1">
        <f t="array" ref="CX52">INDEX(Properties!$D:$D,$B52+5)*(IF(AND(CX$3&gt;=INDEX(Properties!$Q:$Q,$B52+5),CX$3&lt;INDEX(Properties!$U:$U,$B52+5)),INDEX(Properties!$P:$P,$B52+5),0))</f>
        <v>0</v>
      </c>
      <c r="CY52" s="123" cm="1">
        <f t="array" ref="CY52">INDEX(Properties!$D:$D,$B52+5)*(IF(AND(CY$3&gt;=INDEX(Properties!$Q:$Q,$B52+5),CY$3&lt;INDEX(Properties!$U:$U,$B52+5)),INDEX(Properties!$P:$P,$B52+5),0))</f>
        <v>0</v>
      </c>
      <c r="CZ52" s="123" cm="1">
        <f t="array" ref="CZ52">INDEX(Properties!$D:$D,$B52+5)*(IF(AND(CZ$3&gt;=INDEX(Properties!$Q:$Q,$B52+5),CZ$3&lt;INDEX(Properties!$U:$U,$B52+5)),INDEX(Properties!$P:$P,$B52+5),0))</f>
        <v>0</v>
      </c>
      <c r="DA52" s="123" cm="1">
        <f t="array" ref="DA52">INDEX(Properties!$D:$D,$B52+5)*(IF(AND(DA$3&gt;=INDEX(Properties!$Q:$Q,$B52+5),DA$3&lt;INDEX(Properties!$U:$U,$B52+5)),INDEX(Properties!$P:$P,$B52+5),0))</f>
        <v>0</v>
      </c>
      <c r="DB52" s="123" cm="1">
        <f t="array" ref="DB52">INDEX(Properties!$D:$D,$B52+5)*(IF(AND(DB$3&gt;=INDEX(Properties!$Q:$Q,$B52+5),DB$3&lt;INDEX(Properties!$U:$U,$B52+5)),INDEX(Properties!$P:$P,$B52+5),0))</f>
        <v>0</v>
      </c>
      <c r="DC52" s="123" cm="1">
        <f t="array" ref="DC52">INDEX(Properties!$D:$D,$B52+5)*(IF(AND(DC$3&gt;=INDEX(Properties!$Q:$Q,$B52+5),DC$3&lt;INDEX(Properties!$U:$U,$B52+5)),INDEX(Properties!$P:$P,$B52+5),0))</f>
        <v>0</v>
      </c>
      <c r="DD52" s="123" cm="1">
        <f t="array" ref="DD52">INDEX(Properties!$D:$D,$B52+5)*(IF(AND(DD$3&gt;=INDEX(Properties!$Q:$Q,$B52+5),DD$3&lt;INDEX(Properties!$U:$U,$B52+5)),INDEX(Properties!$P:$P,$B52+5),0))</f>
        <v>0</v>
      </c>
      <c r="DE52" s="123" cm="1">
        <f t="array" ref="DE52">INDEX(Properties!$D:$D,$B52+5)*(IF(AND(DE$3&gt;=INDEX(Properties!$Q:$Q,$B52+5),DE$3&lt;INDEX(Properties!$U:$U,$B52+5)),INDEX(Properties!$P:$P,$B52+5),0))</f>
        <v>0</v>
      </c>
      <c r="DF52" s="123" cm="1">
        <f t="array" ref="DF52">INDEX(Properties!$D:$D,$B52+5)*(IF(AND(DF$3&gt;=INDEX(Properties!$Q:$Q,$B52+5),DF$3&lt;INDEX(Properties!$U:$U,$B52+5)),INDEX(Properties!$P:$P,$B52+5),0))</f>
        <v>0</v>
      </c>
      <c r="DG52" s="123" cm="1">
        <f t="array" ref="DG52">INDEX(Properties!$D:$D,$B52+5)*(IF(AND(DG$3&gt;=INDEX(Properties!$Q:$Q,$B52+5),DG$3&lt;INDEX(Properties!$U:$U,$B52+5)),INDEX(Properties!$P:$P,$B52+5),0))</f>
        <v>0</v>
      </c>
      <c r="DH52" s="123" cm="1">
        <f t="array" ref="DH52">INDEX(Properties!$D:$D,$B52+5)*(IF(AND(DH$3&gt;=INDEX(Properties!$Q:$Q,$B52+5),DH$3&lt;INDEX(Properties!$U:$U,$B52+5)),INDEX(Properties!$P:$P,$B52+5),0))</f>
        <v>0</v>
      </c>
      <c r="DI52" s="123" cm="1">
        <f t="array" ref="DI52">INDEX(Properties!$D:$D,$B52+5)*(IF(AND(DI$3&gt;=INDEX(Properties!$Q:$Q,$B52+5),DI$3&lt;INDEX(Properties!$U:$U,$B52+5)),INDEX(Properties!$P:$P,$B52+5),0))</f>
        <v>0</v>
      </c>
      <c r="DJ52" s="123" cm="1">
        <f t="array" ref="DJ52">INDEX(Properties!$D:$D,$B52+5)*(IF(AND(DJ$3&gt;=INDEX(Properties!$Q:$Q,$B52+5),DJ$3&lt;INDEX(Properties!$U:$U,$B52+5)),INDEX(Properties!$P:$P,$B52+5),0))</f>
        <v>0</v>
      </c>
      <c r="DK52" s="123" cm="1">
        <f t="array" ref="DK52">INDEX(Properties!$D:$D,$B52+5)*(IF(AND(DK$3&gt;=INDEX(Properties!$Q:$Q,$B52+5),DK$3&lt;INDEX(Properties!$U:$U,$B52+5)),INDEX(Properties!$P:$P,$B52+5),0))</f>
        <v>0</v>
      </c>
      <c r="DL52" s="123" cm="1">
        <f t="array" ref="DL52">INDEX(Properties!$D:$D,$B52+5)*(IF(AND(DL$3&gt;=INDEX(Properties!$Q:$Q,$B52+5),DL$3&lt;INDEX(Properties!$U:$U,$B52+5)),INDEX(Properties!$P:$P,$B52+5),0))</f>
        <v>0</v>
      </c>
      <c r="DM52" s="123" cm="1">
        <f t="array" ref="DM52">INDEX(Properties!$D:$D,$B52+5)*(IF(AND(DM$3&gt;=INDEX(Properties!$Q:$Q,$B52+5),DM$3&lt;INDEX(Properties!$U:$U,$B52+5)),INDEX(Properties!$P:$P,$B52+5),0))</f>
        <v>0</v>
      </c>
      <c r="DN52" s="123" cm="1">
        <f t="array" ref="DN52">INDEX(Properties!$D:$D,$B52+5)*(IF(AND(DN$3&gt;=INDEX(Properties!$Q:$Q,$B52+5),DN$3&lt;INDEX(Properties!$U:$U,$B52+5)),INDEX(Properties!$P:$P,$B52+5),0))</f>
        <v>0</v>
      </c>
      <c r="DO52" s="123" cm="1">
        <f t="array" ref="DO52">INDEX(Properties!$D:$D,$B52+5)*(IF(AND(DO$3&gt;=INDEX(Properties!$Q:$Q,$B52+5),DO$3&lt;INDEX(Properties!$U:$U,$B52+5)),INDEX(Properties!$P:$P,$B52+5),0))</f>
        <v>0</v>
      </c>
      <c r="DP52" s="123" cm="1">
        <f t="array" ref="DP52">INDEX(Properties!$D:$D,$B52+5)*(IF(AND(DP$3&gt;=INDEX(Properties!$Q:$Q,$B52+5),DP$3&lt;INDEX(Properties!$U:$U,$B52+5)),INDEX(Properties!$P:$P,$B52+5),0))</f>
        <v>0</v>
      </c>
      <c r="DQ52" s="123" cm="1">
        <f t="array" ref="DQ52">INDEX(Properties!$D:$D,$B52+5)*(IF(AND(DQ$3&gt;=INDEX(Properties!$Q:$Q,$B52+5),DQ$3&lt;INDEX(Properties!$U:$U,$B52+5)),INDEX(Properties!$P:$P,$B52+5),0))</f>
        <v>0</v>
      </c>
      <c r="DR52" s="123" cm="1">
        <f t="array" ref="DR52">INDEX(Properties!$D:$D,$B52+5)*(IF(AND(DR$3&gt;=INDEX(Properties!$Q:$Q,$B52+5),DR$3&lt;INDEX(Properties!$U:$U,$B52+5)),INDEX(Properties!$P:$P,$B52+5),0))</f>
        <v>0</v>
      </c>
    </row>
    <row r="53" spans="1:122" ht="16.05" customHeight="1" x14ac:dyDescent="0.3">
      <c r="A53" s="148" cm="1">
        <f t="array" ref="A53">INDEX(Properties!$E:$E,$B53+5)</f>
        <v>0</v>
      </c>
      <c r="B53" s="1">
        <v>7</v>
      </c>
      <c r="C53" s="123" cm="1">
        <f t="array" ref="C53">INDEX(Properties!$D:$D,$B53+5)*(IF(AND(C$3&gt;=INDEX(Properties!$Q:$Q,$B53+5),C$3&lt;INDEX(Properties!$U:$U,$B53+5)),INDEX(Properties!$P:$P,$B53+5),0))</f>
        <v>0</v>
      </c>
      <c r="D53" s="123" cm="1">
        <f t="array" ref="D53">INDEX(Properties!$D:$D,$B53+5)*(IF(AND(D$3&gt;=INDEX(Properties!$Q:$Q,$B53+5),D$3&lt;INDEX(Properties!$U:$U,$B53+5)),INDEX(Properties!$P:$P,$B53+5),0))</f>
        <v>0</v>
      </c>
      <c r="E53" s="123" cm="1">
        <f t="array" ref="E53">INDEX(Properties!$D:$D,$B53+5)*(IF(AND(E$3&gt;=INDEX(Properties!$Q:$Q,$B53+5),E$3&lt;INDEX(Properties!$U:$U,$B53+5)),INDEX(Properties!$P:$P,$B53+5),0))</f>
        <v>0</v>
      </c>
      <c r="F53" s="123" cm="1">
        <f t="array" ref="F53">INDEX(Properties!$D:$D,$B53+5)*(IF(AND(F$3&gt;=INDEX(Properties!$Q:$Q,$B53+5),F$3&lt;INDEX(Properties!$U:$U,$B53+5)),INDEX(Properties!$P:$P,$B53+5),0))</f>
        <v>0</v>
      </c>
      <c r="G53" s="123" cm="1">
        <f t="array" ref="G53">INDEX(Properties!$D:$D,$B53+5)*(IF(AND(G$3&gt;=INDEX(Properties!$Q:$Q,$B53+5),G$3&lt;INDEX(Properties!$U:$U,$B53+5)),INDEX(Properties!$P:$P,$B53+5),0))</f>
        <v>0</v>
      </c>
      <c r="H53" s="123" cm="1">
        <f t="array" ref="H53">INDEX(Properties!$D:$D,$B53+5)*(IF(AND(H$3&gt;=INDEX(Properties!$Q:$Q,$B53+5),H$3&lt;INDEX(Properties!$U:$U,$B53+5)),INDEX(Properties!$P:$P,$B53+5),0))</f>
        <v>0</v>
      </c>
      <c r="I53" s="123" cm="1">
        <f t="array" ref="I53">INDEX(Properties!$D:$D,$B53+5)*(IF(AND(I$3&gt;=INDEX(Properties!$Q:$Q,$B53+5),I$3&lt;INDEX(Properties!$U:$U,$B53+5)),INDEX(Properties!$P:$P,$B53+5),0))</f>
        <v>0</v>
      </c>
      <c r="J53" s="123" cm="1">
        <f t="array" ref="J53">INDEX(Properties!$D:$D,$B53+5)*(IF(AND(J$3&gt;=INDEX(Properties!$Q:$Q,$B53+5),J$3&lt;INDEX(Properties!$U:$U,$B53+5)),INDEX(Properties!$P:$P,$B53+5),0))</f>
        <v>0</v>
      </c>
      <c r="K53" s="123" cm="1">
        <f t="array" ref="K53">INDEX(Properties!$D:$D,$B53+5)*(IF(AND(K$3&gt;=INDEX(Properties!$Q:$Q,$B53+5),K$3&lt;INDEX(Properties!$U:$U,$B53+5)),INDEX(Properties!$P:$P,$B53+5),0))</f>
        <v>0</v>
      </c>
      <c r="L53" s="123" cm="1">
        <f t="array" ref="L53">INDEX(Properties!$D:$D,$B53+5)*(IF(AND(L$3&gt;=INDEX(Properties!$Q:$Q,$B53+5),L$3&lt;INDEX(Properties!$U:$U,$B53+5)),INDEX(Properties!$P:$P,$B53+5),0))</f>
        <v>0</v>
      </c>
      <c r="M53" s="123" cm="1">
        <f t="array" ref="M53">INDEX(Properties!$D:$D,$B53+5)*(IF(AND(M$3&gt;=INDEX(Properties!$Q:$Q,$B53+5),M$3&lt;INDEX(Properties!$U:$U,$B53+5)),INDEX(Properties!$P:$P,$B53+5),0))</f>
        <v>0</v>
      </c>
      <c r="N53" s="123" cm="1">
        <f t="array" ref="N53">INDEX(Properties!$D:$D,$B53+5)*(IF(AND(N$3&gt;=INDEX(Properties!$Q:$Q,$B53+5),N$3&lt;INDEX(Properties!$U:$U,$B53+5)),INDEX(Properties!$P:$P,$B53+5),0))</f>
        <v>0</v>
      </c>
      <c r="O53" s="123" cm="1">
        <f t="array" ref="O53">INDEX(Properties!$D:$D,$B53+5)*(IF(AND(O$3&gt;=INDEX(Properties!$Q:$Q,$B53+5),O$3&lt;INDEX(Properties!$U:$U,$B53+5)),INDEX(Properties!$P:$P,$B53+5),0))</f>
        <v>0</v>
      </c>
      <c r="P53" s="123" cm="1">
        <f t="array" ref="P53">INDEX(Properties!$D:$D,$B53+5)*(IF(AND(P$3&gt;=INDEX(Properties!$Q:$Q,$B53+5),P$3&lt;INDEX(Properties!$U:$U,$B53+5)),INDEX(Properties!$P:$P,$B53+5),0))</f>
        <v>0</v>
      </c>
      <c r="Q53" s="123" cm="1">
        <f t="array" ref="Q53">INDEX(Properties!$D:$D,$B53+5)*(IF(AND(Q$3&gt;=INDEX(Properties!$Q:$Q,$B53+5),Q$3&lt;INDEX(Properties!$U:$U,$B53+5)),INDEX(Properties!$P:$P,$B53+5),0))</f>
        <v>0</v>
      </c>
      <c r="R53" s="123" cm="1">
        <f t="array" ref="R53">INDEX(Properties!$D:$D,$B53+5)*(IF(AND(R$3&gt;=INDEX(Properties!$Q:$Q,$B53+5),R$3&lt;INDEX(Properties!$U:$U,$B53+5)),INDEX(Properties!$P:$P,$B53+5),0))</f>
        <v>0</v>
      </c>
      <c r="S53" s="123" cm="1">
        <f t="array" ref="S53">INDEX(Properties!$D:$D,$B53+5)*(IF(AND(S$3&gt;=INDEX(Properties!$Q:$Q,$B53+5),S$3&lt;INDEX(Properties!$U:$U,$B53+5)),INDEX(Properties!$P:$P,$B53+5),0))</f>
        <v>0</v>
      </c>
      <c r="T53" s="123" cm="1">
        <f t="array" ref="T53">INDEX(Properties!$D:$D,$B53+5)*(IF(AND(T$3&gt;=INDEX(Properties!$Q:$Q,$B53+5),T$3&lt;INDEX(Properties!$U:$U,$B53+5)),INDEX(Properties!$P:$P,$B53+5),0))</f>
        <v>0</v>
      </c>
      <c r="U53" s="123" cm="1">
        <f t="array" ref="U53">INDEX(Properties!$D:$D,$B53+5)*(IF(AND(U$3&gt;=INDEX(Properties!$Q:$Q,$B53+5),U$3&lt;INDEX(Properties!$U:$U,$B53+5)),INDEX(Properties!$P:$P,$B53+5),0))</f>
        <v>0</v>
      </c>
      <c r="V53" s="123" cm="1">
        <f t="array" ref="V53">INDEX(Properties!$D:$D,$B53+5)*(IF(AND(V$3&gt;=INDEX(Properties!$Q:$Q,$B53+5),V$3&lt;INDEX(Properties!$U:$U,$B53+5)),INDEX(Properties!$P:$P,$B53+5),0))</f>
        <v>0</v>
      </c>
      <c r="W53" s="123" cm="1">
        <f t="array" ref="W53">INDEX(Properties!$D:$D,$B53+5)*(IF(AND(W$3&gt;=INDEX(Properties!$Q:$Q,$B53+5),W$3&lt;INDEX(Properties!$U:$U,$B53+5)),INDEX(Properties!$P:$P,$B53+5),0))</f>
        <v>0</v>
      </c>
      <c r="X53" s="123" cm="1">
        <f t="array" ref="X53">INDEX(Properties!$D:$D,$B53+5)*(IF(AND(X$3&gt;=INDEX(Properties!$Q:$Q,$B53+5),X$3&lt;INDEX(Properties!$U:$U,$B53+5)),INDEX(Properties!$P:$P,$B53+5),0))</f>
        <v>0</v>
      </c>
      <c r="Y53" s="123" cm="1">
        <f t="array" ref="Y53">INDEX(Properties!$D:$D,$B53+5)*(IF(AND(Y$3&gt;=INDEX(Properties!$Q:$Q,$B53+5),Y$3&lt;INDEX(Properties!$U:$U,$B53+5)),INDEX(Properties!$P:$P,$B53+5),0))</f>
        <v>0</v>
      </c>
      <c r="Z53" s="123" cm="1">
        <f t="array" ref="Z53">INDEX(Properties!$D:$D,$B53+5)*(IF(AND(Z$3&gt;=INDEX(Properties!$Q:$Q,$B53+5),Z$3&lt;INDEX(Properties!$U:$U,$B53+5)),INDEX(Properties!$P:$P,$B53+5),0))</f>
        <v>0</v>
      </c>
      <c r="AA53" s="123" cm="1">
        <f t="array" ref="AA53">INDEX(Properties!$D:$D,$B53+5)*(IF(AND(AA$3&gt;=INDEX(Properties!$Q:$Q,$B53+5),AA$3&lt;INDEX(Properties!$U:$U,$B53+5)),INDEX(Properties!$P:$P,$B53+5),0))</f>
        <v>0</v>
      </c>
      <c r="AB53" s="123" cm="1">
        <f t="array" ref="AB53">INDEX(Properties!$D:$D,$B53+5)*(IF(AND(AB$3&gt;=INDEX(Properties!$Q:$Q,$B53+5),AB$3&lt;INDEX(Properties!$U:$U,$B53+5)),INDEX(Properties!$P:$P,$B53+5),0))</f>
        <v>0</v>
      </c>
      <c r="AC53" s="123" cm="1">
        <f t="array" ref="AC53">INDEX(Properties!$D:$D,$B53+5)*(IF(AND(AC$3&gt;=INDEX(Properties!$Q:$Q,$B53+5),AC$3&lt;INDEX(Properties!$U:$U,$B53+5)),INDEX(Properties!$P:$P,$B53+5),0))</f>
        <v>0</v>
      </c>
      <c r="AD53" s="123" cm="1">
        <f t="array" ref="AD53">INDEX(Properties!$D:$D,$B53+5)*(IF(AND(AD$3&gt;=INDEX(Properties!$Q:$Q,$B53+5),AD$3&lt;INDEX(Properties!$U:$U,$B53+5)),INDEX(Properties!$P:$P,$B53+5),0))</f>
        <v>0</v>
      </c>
      <c r="AE53" s="123" cm="1">
        <f t="array" ref="AE53">INDEX(Properties!$D:$D,$B53+5)*(IF(AND(AE$3&gt;=INDEX(Properties!$Q:$Q,$B53+5),AE$3&lt;INDEX(Properties!$U:$U,$B53+5)),INDEX(Properties!$P:$P,$B53+5),0))</f>
        <v>0</v>
      </c>
      <c r="AF53" s="123" cm="1">
        <f t="array" ref="AF53">INDEX(Properties!$D:$D,$B53+5)*(IF(AND(AF$3&gt;=INDEX(Properties!$Q:$Q,$B53+5),AF$3&lt;INDEX(Properties!$U:$U,$B53+5)),INDEX(Properties!$P:$P,$B53+5),0))</f>
        <v>0</v>
      </c>
      <c r="AG53" s="123" cm="1">
        <f t="array" ref="AG53">INDEX(Properties!$D:$D,$B53+5)*(IF(AND(AG$3&gt;=INDEX(Properties!$Q:$Q,$B53+5),AG$3&lt;INDEX(Properties!$U:$U,$B53+5)),INDEX(Properties!$P:$P,$B53+5),0))</f>
        <v>0</v>
      </c>
      <c r="AH53" s="123" cm="1">
        <f t="array" ref="AH53">INDEX(Properties!$D:$D,$B53+5)*(IF(AND(AH$3&gt;=INDEX(Properties!$Q:$Q,$B53+5),AH$3&lt;INDEX(Properties!$U:$U,$B53+5)),INDEX(Properties!$P:$P,$B53+5),0))</f>
        <v>0</v>
      </c>
      <c r="AI53" s="123" cm="1">
        <f t="array" ref="AI53">INDEX(Properties!$D:$D,$B53+5)*(IF(AND(AI$3&gt;=INDEX(Properties!$Q:$Q,$B53+5),AI$3&lt;INDEX(Properties!$U:$U,$B53+5)),INDEX(Properties!$P:$P,$B53+5),0))</f>
        <v>0</v>
      </c>
      <c r="AJ53" s="123" cm="1">
        <f t="array" ref="AJ53">INDEX(Properties!$D:$D,$B53+5)*(IF(AND(AJ$3&gt;=INDEX(Properties!$Q:$Q,$B53+5),AJ$3&lt;INDEX(Properties!$U:$U,$B53+5)),INDEX(Properties!$P:$P,$B53+5),0))</f>
        <v>0</v>
      </c>
      <c r="AK53" s="123" cm="1">
        <f t="array" ref="AK53">INDEX(Properties!$D:$D,$B53+5)*(IF(AND(AK$3&gt;=INDEX(Properties!$Q:$Q,$B53+5),AK$3&lt;INDEX(Properties!$U:$U,$B53+5)),INDEX(Properties!$P:$P,$B53+5),0))</f>
        <v>0</v>
      </c>
      <c r="AL53" s="123" cm="1">
        <f t="array" ref="AL53">INDEX(Properties!$D:$D,$B53+5)*(IF(AND(AL$3&gt;=INDEX(Properties!$Q:$Q,$B53+5),AL$3&lt;INDEX(Properties!$U:$U,$B53+5)),INDEX(Properties!$P:$P,$B53+5),0))</f>
        <v>0</v>
      </c>
      <c r="AM53" s="123" cm="1">
        <f t="array" ref="AM53">INDEX(Properties!$D:$D,$B53+5)*(IF(AND(AM$3&gt;=INDEX(Properties!$Q:$Q,$B53+5),AM$3&lt;INDEX(Properties!$U:$U,$B53+5)),INDEX(Properties!$P:$P,$B53+5),0))</f>
        <v>0</v>
      </c>
      <c r="AN53" s="123" cm="1">
        <f t="array" ref="AN53">INDEX(Properties!$D:$D,$B53+5)*(IF(AND(AN$3&gt;=INDEX(Properties!$Q:$Q,$B53+5),AN$3&lt;INDEX(Properties!$U:$U,$B53+5)),INDEX(Properties!$P:$P,$B53+5),0))</f>
        <v>0</v>
      </c>
      <c r="AO53" s="123" cm="1">
        <f t="array" ref="AO53">INDEX(Properties!$D:$D,$B53+5)*(IF(AND(AO$3&gt;=INDEX(Properties!$Q:$Q,$B53+5),AO$3&lt;INDEX(Properties!$U:$U,$B53+5)),INDEX(Properties!$P:$P,$B53+5),0))</f>
        <v>0</v>
      </c>
      <c r="AP53" s="123" cm="1">
        <f t="array" ref="AP53">INDEX(Properties!$D:$D,$B53+5)*(IF(AND(AP$3&gt;=INDEX(Properties!$Q:$Q,$B53+5),AP$3&lt;INDEX(Properties!$U:$U,$B53+5)),INDEX(Properties!$P:$P,$B53+5),0))</f>
        <v>0</v>
      </c>
      <c r="AQ53" s="123" cm="1">
        <f t="array" ref="AQ53">INDEX(Properties!$D:$D,$B53+5)*(IF(AND(AQ$3&gt;=INDEX(Properties!$Q:$Q,$B53+5),AQ$3&lt;INDEX(Properties!$U:$U,$B53+5)),INDEX(Properties!$P:$P,$B53+5),0))</f>
        <v>0</v>
      </c>
      <c r="AR53" s="123" cm="1">
        <f t="array" ref="AR53">INDEX(Properties!$D:$D,$B53+5)*(IF(AND(AR$3&gt;=INDEX(Properties!$Q:$Q,$B53+5),AR$3&lt;INDEX(Properties!$U:$U,$B53+5)),INDEX(Properties!$P:$P,$B53+5),0))</f>
        <v>0</v>
      </c>
      <c r="AS53" s="123" cm="1">
        <f t="array" ref="AS53">INDEX(Properties!$D:$D,$B53+5)*(IF(AND(AS$3&gt;=INDEX(Properties!$Q:$Q,$B53+5),AS$3&lt;INDEX(Properties!$U:$U,$B53+5)),INDEX(Properties!$P:$P,$B53+5),0))</f>
        <v>0</v>
      </c>
      <c r="AT53" s="123" cm="1">
        <f t="array" ref="AT53">INDEX(Properties!$D:$D,$B53+5)*(IF(AND(AT$3&gt;=INDEX(Properties!$Q:$Q,$B53+5),AT$3&lt;INDEX(Properties!$U:$U,$B53+5)),INDEX(Properties!$P:$P,$B53+5),0))</f>
        <v>0</v>
      </c>
      <c r="AU53" s="123" cm="1">
        <f t="array" ref="AU53">INDEX(Properties!$D:$D,$B53+5)*(IF(AND(AU$3&gt;=INDEX(Properties!$Q:$Q,$B53+5),AU$3&lt;INDEX(Properties!$U:$U,$B53+5)),INDEX(Properties!$P:$P,$B53+5),0))</f>
        <v>0</v>
      </c>
      <c r="AV53" s="123" cm="1">
        <f t="array" ref="AV53">INDEX(Properties!$D:$D,$B53+5)*(IF(AND(AV$3&gt;=INDEX(Properties!$Q:$Q,$B53+5),AV$3&lt;INDEX(Properties!$U:$U,$B53+5)),INDEX(Properties!$P:$P,$B53+5),0))</f>
        <v>0</v>
      </c>
      <c r="AW53" s="123" cm="1">
        <f t="array" ref="AW53">INDEX(Properties!$D:$D,$B53+5)*(IF(AND(AW$3&gt;=INDEX(Properties!$Q:$Q,$B53+5),AW$3&lt;INDEX(Properties!$U:$U,$B53+5)),INDEX(Properties!$P:$P,$B53+5),0))</f>
        <v>0</v>
      </c>
      <c r="AX53" s="123" cm="1">
        <f t="array" ref="AX53">INDEX(Properties!$D:$D,$B53+5)*(IF(AND(AX$3&gt;=INDEX(Properties!$Q:$Q,$B53+5),AX$3&lt;INDEX(Properties!$U:$U,$B53+5)),INDEX(Properties!$P:$P,$B53+5),0))</f>
        <v>0</v>
      </c>
      <c r="AY53" s="123" cm="1">
        <f t="array" ref="AY53">INDEX(Properties!$D:$D,$B53+5)*(IF(AND(AY$3&gt;=INDEX(Properties!$Q:$Q,$B53+5),AY$3&lt;INDEX(Properties!$U:$U,$B53+5)),INDEX(Properties!$P:$P,$B53+5),0))</f>
        <v>0</v>
      </c>
      <c r="AZ53" s="123" cm="1">
        <f t="array" ref="AZ53">INDEX(Properties!$D:$D,$B53+5)*(IF(AND(AZ$3&gt;=INDEX(Properties!$Q:$Q,$B53+5),AZ$3&lt;INDEX(Properties!$U:$U,$B53+5)),INDEX(Properties!$P:$P,$B53+5),0))</f>
        <v>0</v>
      </c>
      <c r="BA53" s="123" cm="1">
        <f t="array" ref="BA53">INDEX(Properties!$D:$D,$B53+5)*(IF(AND(BA$3&gt;=INDEX(Properties!$Q:$Q,$B53+5),BA$3&lt;INDEX(Properties!$U:$U,$B53+5)),INDEX(Properties!$P:$P,$B53+5),0))</f>
        <v>0</v>
      </c>
      <c r="BB53" s="123" cm="1">
        <f t="array" ref="BB53">INDEX(Properties!$D:$D,$B53+5)*(IF(AND(BB$3&gt;=INDEX(Properties!$Q:$Q,$B53+5),BB$3&lt;INDEX(Properties!$U:$U,$B53+5)),INDEX(Properties!$P:$P,$B53+5),0))</f>
        <v>0</v>
      </c>
      <c r="BC53" s="123" cm="1">
        <f t="array" ref="BC53">INDEX(Properties!$D:$D,$B53+5)*(IF(AND(BC$3&gt;=INDEX(Properties!$Q:$Q,$B53+5),BC$3&lt;INDEX(Properties!$U:$U,$B53+5)),INDEX(Properties!$P:$P,$B53+5),0))</f>
        <v>0</v>
      </c>
      <c r="BD53" s="123" cm="1">
        <f t="array" ref="BD53">INDEX(Properties!$D:$D,$B53+5)*(IF(AND(BD$3&gt;=INDEX(Properties!$Q:$Q,$B53+5),BD$3&lt;INDEX(Properties!$U:$U,$B53+5)),INDEX(Properties!$P:$P,$B53+5),0))</f>
        <v>0</v>
      </c>
      <c r="BE53" s="123" cm="1">
        <f t="array" ref="BE53">INDEX(Properties!$D:$D,$B53+5)*(IF(AND(BE$3&gt;=INDEX(Properties!$Q:$Q,$B53+5),BE$3&lt;INDEX(Properties!$U:$U,$B53+5)),INDEX(Properties!$P:$P,$B53+5),0))</f>
        <v>0</v>
      </c>
      <c r="BF53" s="123" cm="1">
        <f t="array" ref="BF53">INDEX(Properties!$D:$D,$B53+5)*(IF(AND(BF$3&gt;=INDEX(Properties!$Q:$Q,$B53+5),BF$3&lt;INDEX(Properties!$U:$U,$B53+5)),INDEX(Properties!$P:$P,$B53+5),0))</f>
        <v>0</v>
      </c>
      <c r="BG53" s="123" cm="1">
        <f t="array" ref="BG53">INDEX(Properties!$D:$D,$B53+5)*(IF(AND(BG$3&gt;=INDEX(Properties!$Q:$Q,$B53+5),BG$3&lt;INDEX(Properties!$U:$U,$B53+5)),INDEX(Properties!$P:$P,$B53+5),0))</f>
        <v>0</v>
      </c>
      <c r="BH53" s="123" cm="1">
        <f t="array" ref="BH53">INDEX(Properties!$D:$D,$B53+5)*(IF(AND(BH$3&gt;=INDEX(Properties!$Q:$Q,$B53+5),BH$3&lt;INDEX(Properties!$U:$U,$B53+5)),INDEX(Properties!$P:$P,$B53+5),0))</f>
        <v>0</v>
      </c>
      <c r="BI53" s="123" cm="1">
        <f t="array" ref="BI53">INDEX(Properties!$D:$D,$B53+5)*(IF(AND(BI$3&gt;=INDEX(Properties!$Q:$Q,$B53+5),BI$3&lt;INDEX(Properties!$U:$U,$B53+5)),INDEX(Properties!$P:$P,$B53+5),0))</f>
        <v>0</v>
      </c>
      <c r="BJ53" s="123" cm="1">
        <f t="array" ref="BJ53">INDEX(Properties!$D:$D,$B53+5)*(IF(AND(BJ$3&gt;=INDEX(Properties!$Q:$Q,$B53+5),BJ$3&lt;INDEX(Properties!$U:$U,$B53+5)),INDEX(Properties!$P:$P,$B53+5),0))</f>
        <v>0</v>
      </c>
      <c r="BK53" s="123" cm="1">
        <f t="array" ref="BK53">INDEX(Properties!$D:$D,$B53+5)*(IF(AND(BK$3&gt;=INDEX(Properties!$Q:$Q,$B53+5),BK$3&lt;INDEX(Properties!$U:$U,$B53+5)),INDEX(Properties!$P:$P,$B53+5),0))</f>
        <v>0</v>
      </c>
      <c r="BL53" s="123" cm="1">
        <f t="array" ref="BL53">INDEX(Properties!$D:$D,$B53+5)*(IF(AND(BL$3&gt;=INDEX(Properties!$Q:$Q,$B53+5),BL$3&lt;INDEX(Properties!$U:$U,$B53+5)),INDEX(Properties!$P:$P,$B53+5),0))</f>
        <v>0</v>
      </c>
      <c r="BM53" s="123" cm="1">
        <f t="array" ref="BM53">INDEX(Properties!$D:$D,$B53+5)*(IF(AND(BM$3&gt;=INDEX(Properties!$Q:$Q,$B53+5),BM$3&lt;INDEX(Properties!$U:$U,$B53+5)),INDEX(Properties!$P:$P,$B53+5),0))</f>
        <v>0</v>
      </c>
      <c r="BN53" s="123" cm="1">
        <f t="array" ref="BN53">INDEX(Properties!$D:$D,$B53+5)*(IF(AND(BN$3&gt;=INDEX(Properties!$Q:$Q,$B53+5),BN$3&lt;INDEX(Properties!$U:$U,$B53+5)),INDEX(Properties!$P:$P,$B53+5),0))</f>
        <v>0</v>
      </c>
      <c r="BO53" s="123" cm="1">
        <f t="array" ref="BO53">INDEX(Properties!$D:$D,$B53+5)*(IF(AND(BO$3&gt;=INDEX(Properties!$Q:$Q,$B53+5),BO$3&lt;INDEX(Properties!$U:$U,$B53+5)),INDEX(Properties!$P:$P,$B53+5),0))</f>
        <v>0</v>
      </c>
      <c r="BP53" s="123" cm="1">
        <f t="array" ref="BP53">INDEX(Properties!$D:$D,$B53+5)*(IF(AND(BP$3&gt;=INDEX(Properties!$Q:$Q,$B53+5),BP$3&lt;INDEX(Properties!$U:$U,$B53+5)),INDEX(Properties!$P:$P,$B53+5),0))</f>
        <v>0</v>
      </c>
      <c r="BQ53" s="123" cm="1">
        <f t="array" ref="BQ53">INDEX(Properties!$D:$D,$B53+5)*(IF(AND(BQ$3&gt;=INDEX(Properties!$Q:$Q,$B53+5),BQ$3&lt;INDEX(Properties!$U:$U,$B53+5)),INDEX(Properties!$P:$P,$B53+5),0))</f>
        <v>0</v>
      </c>
      <c r="BR53" s="123" cm="1">
        <f t="array" ref="BR53">INDEX(Properties!$D:$D,$B53+5)*(IF(AND(BR$3&gt;=INDEX(Properties!$Q:$Q,$B53+5),BR$3&lt;INDEX(Properties!$U:$U,$B53+5)),INDEX(Properties!$P:$P,$B53+5),0))</f>
        <v>0</v>
      </c>
      <c r="BS53" s="123" cm="1">
        <f t="array" ref="BS53">INDEX(Properties!$D:$D,$B53+5)*(IF(AND(BS$3&gt;=INDEX(Properties!$Q:$Q,$B53+5),BS$3&lt;INDEX(Properties!$U:$U,$B53+5)),INDEX(Properties!$P:$P,$B53+5),0))</f>
        <v>0</v>
      </c>
      <c r="BT53" s="123" cm="1">
        <f t="array" ref="BT53">INDEX(Properties!$D:$D,$B53+5)*(IF(AND(BT$3&gt;=INDEX(Properties!$Q:$Q,$B53+5),BT$3&lt;INDEX(Properties!$U:$U,$B53+5)),INDEX(Properties!$P:$P,$B53+5),0))</f>
        <v>0</v>
      </c>
      <c r="BU53" s="123" cm="1">
        <f t="array" ref="BU53">INDEX(Properties!$D:$D,$B53+5)*(IF(AND(BU$3&gt;=INDEX(Properties!$Q:$Q,$B53+5),BU$3&lt;INDEX(Properties!$U:$U,$B53+5)),INDEX(Properties!$P:$P,$B53+5),0))</f>
        <v>0</v>
      </c>
      <c r="BV53" s="123" cm="1">
        <f t="array" ref="BV53">INDEX(Properties!$D:$D,$B53+5)*(IF(AND(BV$3&gt;=INDEX(Properties!$Q:$Q,$B53+5),BV$3&lt;INDEX(Properties!$U:$U,$B53+5)),INDEX(Properties!$P:$P,$B53+5),0))</f>
        <v>0</v>
      </c>
      <c r="BW53" s="123" cm="1">
        <f t="array" ref="BW53">INDEX(Properties!$D:$D,$B53+5)*(IF(AND(BW$3&gt;=INDEX(Properties!$Q:$Q,$B53+5),BW$3&lt;INDEX(Properties!$U:$U,$B53+5)),INDEX(Properties!$P:$P,$B53+5),0))</f>
        <v>0</v>
      </c>
      <c r="BX53" s="123" cm="1">
        <f t="array" ref="BX53">INDEX(Properties!$D:$D,$B53+5)*(IF(AND(BX$3&gt;=INDEX(Properties!$Q:$Q,$B53+5),BX$3&lt;INDEX(Properties!$U:$U,$B53+5)),INDEX(Properties!$P:$P,$B53+5),0))</f>
        <v>0</v>
      </c>
      <c r="BY53" s="123" cm="1">
        <f t="array" ref="BY53">INDEX(Properties!$D:$D,$B53+5)*(IF(AND(BY$3&gt;=INDEX(Properties!$Q:$Q,$B53+5),BY$3&lt;INDEX(Properties!$U:$U,$B53+5)),INDEX(Properties!$P:$P,$B53+5),0))</f>
        <v>0</v>
      </c>
      <c r="BZ53" s="123" cm="1">
        <f t="array" ref="BZ53">INDEX(Properties!$D:$D,$B53+5)*(IF(AND(BZ$3&gt;=INDEX(Properties!$Q:$Q,$B53+5),BZ$3&lt;INDEX(Properties!$U:$U,$B53+5)),INDEX(Properties!$P:$P,$B53+5),0))</f>
        <v>0</v>
      </c>
      <c r="CA53" s="123" cm="1">
        <f t="array" ref="CA53">INDEX(Properties!$D:$D,$B53+5)*(IF(AND(CA$3&gt;=INDEX(Properties!$Q:$Q,$B53+5),CA$3&lt;INDEX(Properties!$U:$U,$B53+5)),INDEX(Properties!$P:$P,$B53+5),0))</f>
        <v>0</v>
      </c>
      <c r="CB53" s="123" cm="1">
        <f t="array" ref="CB53">INDEX(Properties!$D:$D,$B53+5)*(IF(AND(CB$3&gt;=INDEX(Properties!$Q:$Q,$B53+5),CB$3&lt;INDEX(Properties!$U:$U,$B53+5)),INDEX(Properties!$P:$P,$B53+5),0))</f>
        <v>0</v>
      </c>
      <c r="CC53" s="123" cm="1">
        <f t="array" ref="CC53">INDEX(Properties!$D:$D,$B53+5)*(IF(AND(CC$3&gt;=INDEX(Properties!$Q:$Q,$B53+5),CC$3&lt;INDEX(Properties!$U:$U,$B53+5)),INDEX(Properties!$P:$P,$B53+5),0))</f>
        <v>0</v>
      </c>
      <c r="CD53" s="123" cm="1">
        <f t="array" ref="CD53">INDEX(Properties!$D:$D,$B53+5)*(IF(AND(CD$3&gt;=INDEX(Properties!$Q:$Q,$B53+5),CD$3&lt;INDEX(Properties!$U:$U,$B53+5)),INDEX(Properties!$P:$P,$B53+5),0))</f>
        <v>0</v>
      </c>
      <c r="CE53" s="123" cm="1">
        <f t="array" ref="CE53">INDEX(Properties!$D:$D,$B53+5)*(IF(AND(CE$3&gt;=INDEX(Properties!$Q:$Q,$B53+5),CE$3&lt;INDEX(Properties!$U:$U,$B53+5)),INDEX(Properties!$P:$P,$B53+5),0))</f>
        <v>0</v>
      </c>
      <c r="CF53" s="123" cm="1">
        <f t="array" ref="CF53">INDEX(Properties!$D:$D,$B53+5)*(IF(AND(CF$3&gt;=INDEX(Properties!$Q:$Q,$B53+5),CF$3&lt;INDEX(Properties!$U:$U,$B53+5)),INDEX(Properties!$P:$P,$B53+5),0))</f>
        <v>0</v>
      </c>
      <c r="CG53" s="123" cm="1">
        <f t="array" ref="CG53">INDEX(Properties!$D:$D,$B53+5)*(IF(AND(CG$3&gt;=INDEX(Properties!$Q:$Q,$B53+5),CG$3&lt;INDEX(Properties!$U:$U,$B53+5)),INDEX(Properties!$P:$P,$B53+5),0))</f>
        <v>0</v>
      </c>
      <c r="CH53" s="123" cm="1">
        <f t="array" ref="CH53">INDEX(Properties!$D:$D,$B53+5)*(IF(AND(CH$3&gt;=INDEX(Properties!$Q:$Q,$B53+5),CH$3&lt;INDEX(Properties!$U:$U,$B53+5)),INDEX(Properties!$P:$P,$B53+5),0))</f>
        <v>0</v>
      </c>
      <c r="CI53" s="123" cm="1">
        <f t="array" ref="CI53">INDEX(Properties!$D:$D,$B53+5)*(IF(AND(CI$3&gt;=INDEX(Properties!$Q:$Q,$B53+5),CI$3&lt;INDEX(Properties!$U:$U,$B53+5)),INDEX(Properties!$P:$P,$B53+5),0))</f>
        <v>0</v>
      </c>
      <c r="CJ53" s="123" cm="1">
        <f t="array" ref="CJ53">INDEX(Properties!$D:$D,$B53+5)*(IF(AND(CJ$3&gt;=INDEX(Properties!$Q:$Q,$B53+5),CJ$3&lt;INDEX(Properties!$U:$U,$B53+5)),INDEX(Properties!$P:$P,$B53+5),0))</f>
        <v>0</v>
      </c>
      <c r="CK53" s="123" cm="1">
        <f t="array" ref="CK53">INDEX(Properties!$D:$D,$B53+5)*(IF(AND(CK$3&gt;=INDEX(Properties!$Q:$Q,$B53+5),CK$3&lt;INDEX(Properties!$U:$U,$B53+5)),INDEX(Properties!$P:$P,$B53+5),0))</f>
        <v>0</v>
      </c>
      <c r="CL53" s="123" cm="1">
        <f t="array" ref="CL53">INDEX(Properties!$D:$D,$B53+5)*(IF(AND(CL$3&gt;=INDEX(Properties!$Q:$Q,$B53+5),CL$3&lt;INDEX(Properties!$U:$U,$B53+5)),INDEX(Properties!$P:$P,$B53+5),0))</f>
        <v>0</v>
      </c>
      <c r="CM53" s="123" cm="1">
        <f t="array" ref="CM53">INDEX(Properties!$D:$D,$B53+5)*(IF(AND(CM$3&gt;=INDEX(Properties!$Q:$Q,$B53+5),CM$3&lt;INDEX(Properties!$U:$U,$B53+5)),INDEX(Properties!$P:$P,$B53+5),0))</f>
        <v>0</v>
      </c>
      <c r="CN53" s="123" cm="1">
        <f t="array" ref="CN53">INDEX(Properties!$D:$D,$B53+5)*(IF(AND(CN$3&gt;=INDEX(Properties!$Q:$Q,$B53+5),CN$3&lt;INDEX(Properties!$U:$U,$B53+5)),INDEX(Properties!$P:$P,$B53+5),0))</f>
        <v>0</v>
      </c>
      <c r="CO53" s="123" cm="1">
        <f t="array" ref="CO53">INDEX(Properties!$D:$D,$B53+5)*(IF(AND(CO$3&gt;=INDEX(Properties!$Q:$Q,$B53+5),CO$3&lt;INDEX(Properties!$U:$U,$B53+5)),INDEX(Properties!$P:$P,$B53+5),0))</f>
        <v>0</v>
      </c>
      <c r="CP53" s="123" cm="1">
        <f t="array" ref="CP53">INDEX(Properties!$D:$D,$B53+5)*(IF(AND(CP$3&gt;=INDEX(Properties!$Q:$Q,$B53+5),CP$3&lt;INDEX(Properties!$U:$U,$B53+5)),INDEX(Properties!$P:$P,$B53+5),0))</f>
        <v>0</v>
      </c>
      <c r="CQ53" s="123" cm="1">
        <f t="array" ref="CQ53">INDEX(Properties!$D:$D,$B53+5)*(IF(AND(CQ$3&gt;=INDEX(Properties!$Q:$Q,$B53+5),CQ$3&lt;INDEX(Properties!$U:$U,$B53+5)),INDEX(Properties!$P:$P,$B53+5),0))</f>
        <v>0</v>
      </c>
      <c r="CR53" s="123" cm="1">
        <f t="array" ref="CR53">INDEX(Properties!$D:$D,$B53+5)*(IF(AND(CR$3&gt;=INDEX(Properties!$Q:$Q,$B53+5),CR$3&lt;INDEX(Properties!$U:$U,$B53+5)),INDEX(Properties!$P:$P,$B53+5),0))</f>
        <v>0</v>
      </c>
      <c r="CS53" s="123" cm="1">
        <f t="array" ref="CS53">INDEX(Properties!$D:$D,$B53+5)*(IF(AND(CS$3&gt;=INDEX(Properties!$Q:$Q,$B53+5),CS$3&lt;INDEX(Properties!$U:$U,$B53+5)),INDEX(Properties!$P:$P,$B53+5),0))</f>
        <v>0</v>
      </c>
      <c r="CT53" s="123" cm="1">
        <f t="array" ref="CT53">INDEX(Properties!$D:$D,$B53+5)*(IF(AND(CT$3&gt;=INDEX(Properties!$Q:$Q,$B53+5),CT$3&lt;INDEX(Properties!$U:$U,$B53+5)),INDEX(Properties!$P:$P,$B53+5),0))</f>
        <v>0</v>
      </c>
      <c r="CU53" s="123" cm="1">
        <f t="array" ref="CU53">INDEX(Properties!$D:$D,$B53+5)*(IF(AND(CU$3&gt;=INDEX(Properties!$Q:$Q,$B53+5),CU$3&lt;INDEX(Properties!$U:$U,$B53+5)),INDEX(Properties!$P:$P,$B53+5),0))</f>
        <v>0</v>
      </c>
      <c r="CV53" s="123" cm="1">
        <f t="array" ref="CV53">INDEX(Properties!$D:$D,$B53+5)*(IF(AND(CV$3&gt;=INDEX(Properties!$Q:$Q,$B53+5),CV$3&lt;INDEX(Properties!$U:$U,$B53+5)),INDEX(Properties!$P:$P,$B53+5),0))</f>
        <v>0</v>
      </c>
      <c r="CW53" s="123" cm="1">
        <f t="array" ref="CW53">INDEX(Properties!$D:$D,$B53+5)*(IF(AND(CW$3&gt;=INDEX(Properties!$Q:$Q,$B53+5),CW$3&lt;INDEX(Properties!$U:$U,$B53+5)),INDEX(Properties!$P:$P,$B53+5),0))</f>
        <v>0</v>
      </c>
      <c r="CX53" s="123" cm="1">
        <f t="array" ref="CX53">INDEX(Properties!$D:$D,$B53+5)*(IF(AND(CX$3&gt;=INDEX(Properties!$Q:$Q,$B53+5),CX$3&lt;INDEX(Properties!$U:$U,$B53+5)),INDEX(Properties!$P:$P,$B53+5),0))</f>
        <v>0</v>
      </c>
      <c r="CY53" s="123" cm="1">
        <f t="array" ref="CY53">INDEX(Properties!$D:$D,$B53+5)*(IF(AND(CY$3&gt;=INDEX(Properties!$Q:$Q,$B53+5),CY$3&lt;INDEX(Properties!$U:$U,$B53+5)),INDEX(Properties!$P:$P,$B53+5),0))</f>
        <v>0</v>
      </c>
      <c r="CZ53" s="123" cm="1">
        <f t="array" ref="CZ53">INDEX(Properties!$D:$D,$B53+5)*(IF(AND(CZ$3&gt;=INDEX(Properties!$Q:$Q,$B53+5),CZ$3&lt;INDEX(Properties!$U:$U,$B53+5)),INDEX(Properties!$P:$P,$B53+5),0))</f>
        <v>0</v>
      </c>
      <c r="DA53" s="123" cm="1">
        <f t="array" ref="DA53">INDEX(Properties!$D:$D,$B53+5)*(IF(AND(DA$3&gt;=INDEX(Properties!$Q:$Q,$B53+5),DA$3&lt;INDEX(Properties!$U:$U,$B53+5)),INDEX(Properties!$P:$P,$B53+5),0))</f>
        <v>0</v>
      </c>
      <c r="DB53" s="123" cm="1">
        <f t="array" ref="DB53">INDEX(Properties!$D:$D,$B53+5)*(IF(AND(DB$3&gt;=INDEX(Properties!$Q:$Q,$B53+5),DB$3&lt;INDEX(Properties!$U:$U,$B53+5)),INDEX(Properties!$P:$P,$B53+5),0))</f>
        <v>0</v>
      </c>
      <c r="DC53" s="123" cm="1">
        <f t="array" ref="DC53">INDEX(Properties!$D:$D,$B53+5)*(IF(AND(DC$3&gt;=INDEX(Properties!$Q:$Q,$B53+5),DC$3&lt;INDEX(Properties!$U:$U,$B53+5)),INDEX(Properties!$P:$P,$B53+5),0))</f>
        <v>0</v>
      </c>
      <c r="DD53" s="123" cm="1">
        <f t="array" ref="DD53">INDEX(Properties!$D:$D,$B53+5)*(IF(AND(DD$3&gt;=INDEX(Properties!$Q:$Q,$B53+5),DD$3&lt;INDEX(Properties!$U:$U,$B53+5)),INDEX(Properties!$P:$P,$B53+5),0))</f>
        <v>0</v>
      </c>
      <c r="DE53" s="123" cm="1">
        <f t="array" ref="DE53">INDEX(Properties!$D:$D,$B53+5)*(IF(AND(DE$3&gt;=INDEX(Properties!$Q:$Q,$B53+5),DE$3&lt;INDEX(Properties!$U:$U,$B53+5)),INDEX(Properties!$P:$P,$B53+5),0))</f>
        <v>0</v>
      </c>
      <c r="DF53" s="123" cm="1">
        <f t="array" ref="DF53">INDEX(Properties!$D:$D,$B53+5)*(IF(AND(DF$3&gt;=INDEX(Properties!$Q:$Q,$B53+5),DF$3&lt;INDEX(Properties!$U:$U,$B53+5)),INDEX(Properties!$P:$P,$B53+5),0))</f>
        <v>0</v>
      </c>
      <c r="DG53" s="123" cm="1">
        <f t="array" ref="DG53">INDEX(Properties!$D:$D,$B53+5)*(IF(AND(DG$3&gt;=INDEX(Properties!$Q:$Q,$B53+5),DG$3&lt;INDEX(Properties!$U:$U,$B53+5)),INDEX(Properties!$P:$P,$B53+5),0))</f>
        <v>0</v>
      </c>
      <c r="DH53" s="123" cm="1">
        <f t="array" ref="DH53">INDEX(Properties!$D:$D,$B53+5)*(IF(AND(DH$3&gt;=INDEX(Properties!$Q:$Q,$B53+5),DH$3&lt;INDEX(Properties!$U:$U,$B53+5)),INDEX(Properties!$P:$P,$B53+5),0))</f>
        <v>0</v>
      </c>
      <c r="DI53" s="123" cm="1">
        <f t="array" ref="DI53">INDEX(Properties!$D:$D,$B53+5)*(IF(AND(DI$3&gt;=INDEX(Properties!$Q:$Q,$B53+5),DI$3&lt;INDEX(Properties!$U:$U,$B53+5)),INDEX(Properties!$P:$P,$B53+5),0))</f>
        <v>0</v>
      </c>
      <c r="DJ53" s="123" cm="1">
        <f t="array" ref="DJ53">INDEX(Properties!$D:$D,$B53+5)*(IF(AND(DJ$3&gt;=INDEX(Properties!$Q:$Q,$B53+5),DJ$3&lt;INDEX(Properties!$U:$U,$B53+5)),INDEX(Properties!$P:$P,$B53+5),0))</f>
        <v>0</v>
      </c>
      <c r="DK53" s="123" cm="1">
        <f t="array" ref="DK53">INDEX(Properties!$D:$D,$B53+5)*(IF(AND(DK$3&gt;=INDEX(Properties!$Q:$Q,$B53+5),DK$3&lt;INDEX(Properties!$U:$U,$B53+5)),INDEX(Properties!$P:$P,$B53+5),0))</f>
        <v>0</v>
      </c>
      <c r="DL53" s="123" cm="1">
        <f t="array" ref="DL53">INDEX(Properties!$D:$D,$B53+5)*(IF(AND(DL$3&gt;=INDEX(Properties!$Q:$Q,$B53+5),DL$3&lt;INDEX(Properties!$U:$U,$B53+5)),INDEX(Properties!$P:$P,$B53+5),0))</f>
        <v>0</v>
      </c>
      <c r="DM53" s="123" cm="1">
        <f t="array" ref="DM53">INDEX(Properties!$D:$D,$B53+5)*(IF(AND(DM$3&gt;=INDEX(Properties!$Q:$Q,$B53+5),DM$3&lt;INDEX(Properties!$U:$U,$B53+5)),INDEX(Properties!$P:$P,$B53+5),0))</f>
        <v>0</v>
      </c>
      <c r="DN53" s="123" cm="1">
        <f t="array" ref="DN53">INDEX(Properties!$D:$D,$B53+5)*(IF(AND(DN$3&gt;=INDEX(Properties!$Q:$Q,$B53+5),DN$3&lt;INDEX(Properties!$U:$U,$B53+5)),INDEX(Properties!$P:$P,$B53+5),0))</f>
        <v>0</v>
      </c>
      <c r="DO53" s="123" cm="1">
        <f t="array" ref="DO53">INDEX(Properties!$D:$D,$B53+5)*(IF(AND(DO$3&gt;=INDEX(Properties!$Q:$Q,$B53+5),DO$3&lt;INDEX(Properties!$U:$U,$B53+5)),INDEX(Properties!$P:$P,$B53+5),0))</f>
        <v>0</v>
      </c>
      <c r="DP53" s="123" cm="1">
        <f t="array" ref="DP53">INDEX(Properties!$D:$D,$B53+5)*(IF(AND(DP$3&gt;=INDEX(Properties!$Q:$Q,$B53+5),DP$3&lt;INDEX(Properties!$U:$U,$B53+5)),INDEX(Properties!$P:$P,$B53+5),0))</f>
        <v>0</v>
      </c>
      <c r="DQ53" s="123" cm="1">
        <f t="array" ref="DQ53">INDEX(Properties!$D:$D,$B53+5)*(IF(AND(DQ$3&gt;=INDEX(Properties!$Q:$Q,$B53+5),DQ$3&lt;INDEX(Properties!$U:$U,$B53+5)),INDEX(Properties!$P:$P,$B53+5),0))</f>
        <v>0</v>
      </c>
      <c r="DR53" s="123" cm="1">
        <f t="array" ref="DR53">INDEX(Properties!$D:$D,$B53+5)*(IF(AND(DR$3&gt;=INDEX(Properties!$Q:$Q,$B53+5),DR$3&lt;INDEX(Properties!$U:$U,$B53+5)),INDEX(Properties!$P:$P,$B53+5),0))</f>
        <v>0</v>
      </c>
    </row>
    <row r="54" spans="1:122" ht="16.05" customHeight="1" x14ac:dyDescent="0.3">
      <c r="A54" s="148" cm="1">
        <f t="array" ref="A54">INDEX(Properties!$E:$E,$B54+5)</f>
        <v>0</v>
      </c>
      <c r="B54" s="1">
        <v>9</v>
      </c>
      <c r="C54" s="123" cm="1">
        <f t="array" ref="C54">INDEX(Properties!$D:$D,$B54+5)*(IF(AND(C$3&gt;=INDEX(Properties!$Q:$Q,$B54+5),C$3&lt;INDEX(Properties!$U:$U,$B54+5)),INDEX(Properties!$P:$P,$B54+5),0))</f>
        <v>0</v>
      </c>
      <c r="D54" s="123" cm="1">
        <f t="array" ref="D54">INDEX(Properties!$D:$D,$B54+5)*(IF(AND(D$3&gt;=INDEX(Properties!$Q:$Q,$B54+5),D$3&lt;INDEX(Properties!$U:$U,$B54+5)),INDEX(Properties!$P:$P,$B54+5),0))</f>
        <v>0</v>
      </c>
      <c r="E54" s="123" cm="1">
        <f t="array" ref="E54">INDEX(Properties!$D:$D,$B54+5)*(IF(AND(E$3&gt;=INDEX(Properties!$Q:$Q,$B54+5),E$3&lt;INDEX(Properties!$U:$U,$B54+5)),INDEX(Properties!$P:$P,$B54+5),0))</f>
        <v>0</v>
      </c>
      <c r="F54" s="123" cm="1">
        <f t="array" ref="F54">INDEX(Properties!$D:$D,$B54+5)*(IF(AND(F$3&gt;=INDEX(Properties!$Q:$Q,$B54+5),F$3&lt;INDEX(Properties!$U:$U,$B54+5)),INDEX(Properties!$P:$P,$B54+5),0))</f>
        <v>0</v>
      </c>
      <c r="G54" s="123" cm="1">
        <f t="array" ref="G54">INDEX(Properties!$D:$D,$B54+5)*(IF(AND(G$3&gt;=INDEX(Properties!$Q:$Q,$B54+5),G$3&lt;INDEX(Properties!$U:$U,$B54+5)),INDEX(Properties!$P:$P,$B54+5),0))</f>
        <v>0</v>
      </c>
      <c r="H54" s="123" cm="1">
        <f t="array" ref="H54">INDEX(Properties!$D:$D,$B54+5)*(IF(AND(H$3&gt;=INDEX(Properties!$Q:$Q,$B54+5),H$3&lt;INDEX(Properties!$U:$U,$B54+5)),INDEX(Properties!$P:$P,$B54+5),0))</f>
        <v>0</v>
      </c>
      <c r="I54" s="123" cm="1">
        <f t="array" ref="I54">INDEX(Properties!$D:$D,$B54+5)*(IF(AND(I$3&gt;=INDEX(Properties!$Q:$Q,$B54+5),I$3&lt;INDEX(Properties!$U:$U,$B54+5)),INDEX(Properties!$P:$P,$B54+5),0))</f>
        <v>0</v>
      </c>
      <c r="J54" s="123" cm="1">
        <f t="array" ref="J54">INDEX(Properties!$D:$D,$B54+5)*(IF(AND(J$3&gt;=INDEX(Properties!$Q:$Q,$B54+5),J$3&lt;INDEX(Properties!$U:$U,$B54+5)),INDEX(Properties!$P:$P,$B54+5),0))</f>
        <v>0</v>
      </c>
      <c r="K54" s="123" cm="1">
        <f t="array" ref="K54">INDEX(Properties!$D:$D,$B54+5)*(IF(AND(K$3&gt;=INDEX(Properties!$Q:$Q,$B54+5),K$3&lt;INDEX(Properties!$U:$U,$B54+5)),INDEX(Properties!$P:$P,$B54+5),0))</f>
        <v>0</v>
      </c>
      <c r="L54" s="123" cm="1">
        <f t="array" ref="L54">INDEX(Properties!$D:$D,$B54+5)*(IF(AND(L$3&gt;=INDEX(Properties!$Q:$Q,$B54+5),L$3&lt;INDEX(Properties!$U:$U,$B54+5)),INDEX(Properties!$P:$P,$B54+5),0))</f>
        <v>0</v>
      </c>
      <c r="M54" s="123" cm="1">
        <f t="array" ref="M54">INDEX(Properties!$D:$D,$B54+5)*(IF(AND(M$3&gt;=INDEX(Properties!$Q:$Q,$B54+5),M$3&lt;INDEX(Properties!$U:$U,$B54+5)),INDEX(Properties!$P:$P,$B54+5),0))</f>
        <v>0</v>
      </c>
      <c r="N54" s="123" cm="1">
        <f t="array" ref="N54">INDEX(Properties!$D:$D,$B54+5)*(IF(AND(N$3&gt;=INDEX(Properties!$Q:$Q,$B54+5),N$3&lt;INDEX(Properties!$U:$U,$B54+5)),INDEX(Properties!$P:$P,$B54+5),0))</f>
        <v>0</v>
      </c>
      <c r="O54" s="123" cm="1">
        <f t="array" ref="O54">INDEX(Properties!$D:$D,$B54+5)*(IF(AND(O$3&gt;=INDEX(Properties!$Q:$Q,$B54+5),O$3&lt;INDEX(Properties!$U:$U,$B54+5)),INDEX(Properties!$P:$P,$B54+5),0))</f>
        <v>0</v>
      </c>
      <c r="P54" s="123" cm="1">
        <f t="array" ref="P54">INDEX(Properties!$D:$D,$B54+5)*(IF(AND(P$3&gt;=INDEX(Properties!$Q:$Q,$B54+5),P$3&lt;INDEX(Properties!$U:$U,$B54+5)),INDEX(Properties!$P:$P,$B54+5),0))</f>
        <v>0</v>
      </c>
      <c r="Q54" s="123" cm="1">
        <f t="array" ref="Q54">INDEX(Properties!$D:$D,$B54+5)*(IF(AND(Q$3&gt;=INDEX(Properties!$Q:$Q,$B54+5),Q$3&lt;INDEX(Properties!$U:$U,$B54+5)),INDEX(Properties!$P:$P,$B54+5),0))</f>
        <v>0</v>
      </c>
      <c r="R54" s="123" cm="1">
        <f t="array" ref="R54">INDEX(Properties!$D:$D,$B54+5)*(IF(AND(R$3&gt;=INDEX(Properties!$Q:$Q,$B54+5),R$3&lt;INDEX(Properties!$U:$U,$B54+5)),INDEX(Properties!$P:$P,$B54+5),0))</f>
        <v>0</v>
      </c>
      <c r="S54" s="123" cm="1">
        <f t="array" ref="S54">INDEX(Properties!$D:$D,$B54+5)*(IF(AND(S$3&gt;=INDEX(Properties!$Q:$Q,$B54+5),S$3&lt;INDEX(Properties!$U:$U,$B54+5)),INDEX(Properties!$P:$P,$B54+5),0))</f>
        <v>0</v>
      </c>
      <c r="T54" s="123" cm="1">
        <f t="array" ref="T54">INDEX(Properties!$D:$D,$B54+5)*(IF(AND(T$3&gt;=INDEX(Properties!$Q:$Q,$B54+5),T$3&lt;INDEX(Properties!$U:$U,$B54+5)),INDEX(Properties!$P:$P,$B54+5),0))</f>
        <v>0</v>
      </c>
      <c r="U54" s="123" cm="1">
        <f t="array" ref="U54">INDEX(Properties!$D:$D,$B54+5)*(IF(AND(U$3&gt;=INDEX(Properties!$Q:$Q,$B54+5),U$3&lt;INDEX(Properties!$U:$U,$B54+5)),INDEX(Properties!$P:$P,$B54+5),0))</f>
        <v>0</v>
      </c>
      <c r="V54" s="123" cm="1">
        <f t="array" ref="V54">INDEX(Properties!$D:$D,$B54+5)*(IF(AND(V$3&gt;=INDEX(Properties!$Q:$Q,$B54+5),V$3&lt;INDEX(Properties!$U:$U,$B54+5)),INDEX(Properties!$P:$P,$B54+5),0))</f>
        <v>0</v>
      </c>
      <c r="W54" s="123" cm="1">
        <f t="array" ref="W54">INDEX(Properties!$D:$D,$B54+5)*(IF(AND(W$3&gt;=INDEX(Properties!$Q:$Q,$B54+5),W$3&lt;INDEX(Properties!$U:$U,$B54+5)),INDEX(Properties!$P:$P,$B54+5),0))</f>
        <v>0</v>
      </c>
      <c r="X54" s="123" cm="1">
        <f t="array" ref="X54">INDEX(Properties!$D:$D,$B54+5)*(IF(AND(X$3&gt;=INDEX(Properties!$Q:$Q,$B54+5),X$3&lt;INDEX(Properties!$U:$U,$B54+5)),INDEX(Properties!$P:$P,$B54+5),0))</f>
        <v>0</v>
      </c>
      <c r="Y54" s="123" cm="1">
        <f t="array" ref="Y54">INDEX(Properties!$D:$D,$B54+5)*(IF(AND(Y$3&gt;=INDEX(Properties!$Q:$Q,$B54+5),Y$3&lt;INDEX(Properties!$U:$U,$B54+5)),INDEX(Properties!$P:$P,$B54+5),0))</f>
        <v>0</v>
      </c>
      <c r="Z54" s="123" cm="1">
        <f t="array" ref="Z54">INDEX(Properties!$D:$D,$B54+5)*(IF(AND(Z$3&gt;=INDEX(Properties!$Q:$Q,$B54+5),Z$3&lt;INDEX(Properties!$U:$U,$B54+5)),INDEX(Properties!$P:$P,$B54+5),0))</f>
        <v>0</v>
      </c>
      <c r="AA54" s="123" cm="1">
        <f t="array" ref="AA54">INDEX(Properties!$D:$D,$B54+5)*(IF(AND(AA$3&gt;=INDEX(Properties!$Q:$Q,$B54+5),AA$3&lt;INDEX(Properties!$U:$U,$B54+5)),INDEX(Properties!$P:$P,$B54+5),0))</f>
        <v>0</v>
      </c>
      <c r="AB54" s="123" cm="1">
        <f t="array" ref="AB54">INDEX(Properties!$D:$D,$B54+5)*(IF(AND(AB$3&gt;=INDEX(Properties!$Q:$Q,$B54+5),AB$3&lt;INDEX(Properties!$U:$U,$B54+5)),INDEX(Properties!$P:$P,$B54+5),0))</f>
        <v>0</v>
      </c>
      <c r="AC54" s="123" cm="1">
        <f t="array" ref="AC54">INDEX(Properties!$D:$D,$B54+5)*(IF(AND(AC$3&gt;=INDEX(Properties!$Q:$Q,$B54+5),AC$3&lt;INDEX(Properties!$U:$U,$B54+5)),INDEX(Properties!$P:$P,$B54+5),0))</f>
        <v>0</v>
      </c>
      <c r="AD54" s="123" cm="1">
        <f t="array" ref="AD54">INDEX(Properties!$D:$D,$B54+5)*(IF(AND(AD$3&gt;=INDEX(Properties!$Q:$Q,$B54+5),AD$3&lt;INDEX(Properties!$U:$U,$B54+5)),INDEX(Properties!$P:$P,$B54+5),0))</f>
        <v>0</v>
      </c>
      <c r="AE54" s="123" cm="1">
        <f t="array" ref="AE54">INDEX(Properties!$D:$D,$B54+5)*(IF(AND(AE$3&gt;=INDEX(Properties!$Q:$Q,$B54+5),AE$3&lt;INDEX(Properties!$U:$U,$B54+5)),INDEX(Properties!$P:$P,$B54+5),0))</f>
        <v>0</v>
      </c>
      <c r="AF54" s="123" cm="1">
        <f t="array" ref="AF54">INDEX(Properties!$D:$D,$B54+5)*(IF(AND(AF$3&gt;=INDEX(Properties!$Q:$Q,$B54+5),AF$3&lt;INDEX(Properties!$U:$U,$B54+5)),INDEX(Properties!$P:$P,$B54+5),0))</f>
        <v>0</v>
      </c>
      <c r="AG54" s="123" cm="1">
        <f t="array" ref="AG54">INDEX(Properties!$D:$D,$B54+5)*(IF(AND(AG$3&gt;=INDEX(Properties!$Q:$Q,$B54+5),AG$3&lt;INDEX(Properties!$U:$U,$B54+5)),INDEX(Properties!$P:$P,$B54+5),0))</f>
        <v>0</v>
      </c>
      <c r="AH54" s="123" cm="1">
        <f t="array" ref="AH54">INDEX(Properties!$D:$D,$B54+5)*(IF(AND(AH$3&gt;=INDEX(Properties!$Q:$Q,$B54+5),AH$3&lt;INDEX(Properties!$U:$U,$B54+5)),INDEX(Properties!$P:$P,$B54+5),0))</f>
        <v>0</v>
      </c>
      <c r="AI54" s="123" cm="1">
        <f t="array" ref="AI54">INDEX(Properties!$D:$D,$B54+5)*(IF(AND(AI$3&gt;=INDEX(Properties!$Q:$Q,$B54+5),AI$3&lt;INDEX(Properties!$U:$U,$B54+5)),INDEX(Properties!$P:$P,$B54+5),0))</f>
        <v>0</v>
      </c>
      <c r="AJ54" s="123" cm="1">
        <f t="array" ref="AJ54">INDEX(Properties!$D:$D,$B54+5)*(IF(AND(AJ$3&gt;=INDEX(Properties!$Q:$Q,$B54+5),AJ$3&lt;INDEX(Properties!$U:$U,$B54+5)),INDEX(Properties!$P:$P,$B54+5),0))</f>
        <v>0</v>
      </c>
      <c r="AK54" s="123" cm="1">
        <f t="array" ref="AK54">INDEX(Properties!$D:$D,$B54+5)*(IF(AND(AK$3&gt;=INDEX(Properties!$Q:$Q,$B54+5),AK$3&lt;INDEX(Properties!$U:$U,$B54+5)),INDEX(Properties!$P:$P,$B54+5),0))</f>
        <v>0</v>
      </c>
      <c r="AL54" s="123" cm="1">
        <f t="array" ref="AL54">INDEX(Properties!$D:$D,$B54+5)*(IF(AND(AL$3&gt;=INDEX(Properties!$Q:$Q,$B54+5),AL$3&lt;INDEX(Properties!$U:$U,$B54+5)),INDEX(Properties!$P:$P,$B54+5),0))</f>
        <v>0</v>
      </c>
      <c r="AM54" s="123" cm="1">
        <f t="array" ref="AM54">INDEX(Properties!$D:$D,$B54+5)*(IF(AND(AM$3&gt;=INDEX(Properties!$Q:$Q,$B54+5),AM$3&lt;INDEX(Properties!$U:$U,$B54+5)),INDEX(Properties!$P:$P,$B54+5),0))</f>
        <v>0</v>
      </c>
      <c r="AN54" s="123" cm="1">
        <f t="array" ref="AN54">INDEX(Properties!$D:$D,$B54+5)*(IF(AND(AN$3&gt;=INDEX(Properties!$Q:$Q,$B54+5),AN$3&lt;INDEX(Properties!$U:$U,$B54+5)),INDEX(Properties!$P:$P,$B54+5),0))</f>
        <v>0</v>
      </c>
      <c r="AO54" s="123" cm="1">
        <f t="array" ref="AO54">INDEX(Properties!$D:$D,$B54+5)*(IF(AND(AO$3&gt;=INDEX(Properties!$Q:$Q,$B54+5),AO$3&lt;INDEX(Properties!$U:$U,$B54+5)),INDEX(Properties!$P:$P,$B54+5),0))</f>
        <v>0</v>
      </c>
      <c r="AP54" s="123" cm="1">
        <f t="array" ref="AP54">INDEX(Properties!$D:$D,$B54+5)*(IF(AND(AP$3&gt;=INDEX(Properties!$Q:$Q,$B54+5),AP$3&lt;INDEX(Properties!$U:$U,$B54+5)),INDEX(Properties!$P:$P,$B54+5),0))</f>
        <v>0</v>
      </c>
      <c r="AQ54" s="123" cm="1">
        <f t="array" ref="AQ54">INDEX(Properties!$D:$D,$B54+5)*(IF(AND(AQ$3&gt;=INDEX(Properties!$Q:$Q,$B54+5),AQ$3&lt;INDEX(Properties!$U:$U,$B54+5)),INDEX(Properties!$P:$P,$B54+5),0))</f>
        <v>0</v>
      </c>
      <c r="AR54" s="123" cm="1">
        <f t="array" ref="AR54">INDEX(Properties!$D:$D,$B54+5)*(IF(AND(AR$3&gt;=INDEX(Properties!$Q:$Q,$B54+5),AR$3&lt;INDEX(Properties!$U:$U,$B54+5)),INDEX(Properties!$P:$P,$B54+5),0))</f>
        <v>0</v>
      </c>
      <c r="AS54" s="123" cm="1">
        <f t="array" ref="AS54">INDEX(Properties!$D:$D,$B54+5)*(IF(AND(AS$3&gt;=INDEX(Properties!$Q:$Q,$B54+5),AS$3&lt;INDEX(Properties!$U:$U,$B54+5)),INDEX(Properties!$P:$P,$B54+5),0))</f>
        <v>0</v>
      </c>
      <c r="AT54" s="123" cm="1">
        <f t="array" ref="AT54">INDEX(Properties!$D:$D,$B54+5)*(IF(AND(AT$3&gt;=INDEX(Properties!$Q:$Q,$B54+5),AT$3&lt;INDEX(Properties!$U:$U,$B54+5)),INDEX(Properties!$P:$P,$B54+5),0))</f>
        <v>0</v>
      </c>
      <c r="AU54" s="123" cm="1">
        <f t="array" ref="AU54">INDEX(Properties!$D:$D,$B54+5)*(IF(AND(AU$3&gt;=INDEX(Properties!$Q:$Q,$B54+5),AU$3&lt;INDEX(Properties!$U:$U,$B54+5)),INDEX(Properties!$P:$P,$B54+5),0))</f>
        <v>0</v>
      </c>
      <c r="AV54" s="123" cm="1">
        <f t="array" ref="AV54">INDEX(Properties!$D:$D,$B54+5)*(IF(AND(AV$3&gt;=INDEX(Properties!$Q:$Q,$B54+5),AV$3&lt;INDEX(Properties!$U:$U,$B54+5)),INDEX(Properties!$P:$P,$B54+5),0))</f>
        <v>0</v>
      </c>
      <c r="AW54" s="123" cm="1">
        <f t="array" ref="AW54">INDEX(Properties!$D:$D,$B54+5)*(IF(AND(AW$3&gt;=INDEX(Properties!$Q:$Q,$B54+5),AW$3&lt;INDEX(Properties!$U:$U,$B54+5)),INDEX(Properties!$P:$P,$B54+5),0))</f>
        <v>0</v>
      </c>
      <c r="AX54" s="123" cm="1">
        <f t="array" ref="AX54">INDEX(Properties!$D:$D,$B54+5)*(IF(AND(AX$3&gt;=INDEX(Properties!$Q:$Q,$B54+5),AX$3&lt;INDEX(Properties!$U:$U,$B54+5)),INDEX(Properties!$P:$P,$B54+5),0))</f>
        <v>0</v>
      </c>
      <c r="AY54" s="123" cm="1">
        <f t="array" ref="AY54">INDEX(Properties!$D:$D,$B54+5)*(IF(AND(AY$3&gt;=INDEX(Properties!$Q:$Q,$B54+5),AY$3&lt;INDEX(Properties!$U:$U,$B54+5)),INDEX(Properties!$P:$P,$B54+5),0))</f>
        <v>0</v>
      </c>
      <c r="AZ54" s="123" cm="1">
        <f t="array" ref="AZ54">INDEX(Properties!$D:$D,$B54+5)*(IF(AND(AZ$3&gt;=INDEX(Properties!$Q:$Q,$B54+5),AZ$3&lt;INDEX(Properties!$U:$U,$B54+5)),INDEX(Properties!$P:$P,$B54+5),0))</f>
        <v>0</v>
      </c>
      <c r="BA54" s="123" cm="1">
        <f t="array" ref="BA54">INDEX(Properties!$D:$D,$B54+5)*(IF(AND(BA$3&gt;=INDEX(Properties!$Q:$Q,$B54+5),BA$3&lt;INDEX(Properties!$U:$U,$B54+5)),INDEX(Properties!$P:$P,$B54+5),0))</f>
        <v>0</v>
      </c>
      <c r="BB54" s="123" cm="1">
        <f t="array" ref="BB54">INDEX(Properties!$D:$D,$B54+5)*(IF(AND(BB$3&gt;=INDEX(Properties!$Q:$Q,$B54+5),BB$3&lt;INDEX(Properties!$U:$U,$B54+5)),INDEX(Properties!$P:$P,$B54+5),0))</f>
        <v>0</v>
      </c>
      <c r="BC54" s="123" cm="1">
        <f t="array" ref="BC54">INDEX(Properties!$D:$D,$B54+5)*(IF(AND(BC$3&gt;=INDEX(Properties!$Q:$Q,$B54+5),BC$3&lt;INDEX(Properties!$U:$U,$B54+5)),INDEX(Properties!$P:$P,$B54+5),0))</f>
        <v>0</v>
      </c>
      <c r="BD54" s="123" cm="1">
        <f t="array" ref="BD54">INDEX(Properties!$D:$D,$B54+5)*(IF(AND(BD$3&gt;=INDEX(Properties!$Q:$Q,$B54+5),BD$3&lt;INDEX(Properties!$U:$U,$B54+5)),INDEX(Properties!$P:$P,$B54+5),0))</f>
        <v>0</v>
      </c>
      <c r="BE54" s="123" cm="1">
        <f t="array" ref="BE54">INDEX(Properties!$D:$D,$B54+5)*(IF(AND(BE$3&gt;=INDEX(Properties!$Q:$Q,$B54+5),BE$3&lt;INDEX(Properties!$U:$U,$B54+5)),INDEX(Properties!$P:$P,$B54+5),0))</f>
        <v>0</v>
      </c>
      <c r="BF54" s="123" cm="1">
        <f t="array" ref="BF54">INDEX(Properties!$D:$D,$B54+5)*(IF(AND(BF$3&gt;=INDEX(Properties!$Q:$Q,$B54+5),BF$3&lt;INDEX(Properties!$U:$U,$B54+5)),INDEX(Properties!$P:$P,$B54+5),0))</f>
        <v>0</v>
      </c>
      <c r="BG54" s="123" cm="1">
        <f t="array" ref="BG54">INDEX(Properties!$D:$D,$B54+5)*(IF(AND(BG$3&gt;=INDEX(Properties!$Q:$Q,$B54+5),BG$3&lt;INDEX(Properties!$U:$U,$B54+5)),INDEX(Properties!$P:$P,$B54+5),0))</f>
        <v>0</v>
      </c>
      <c r="BH54" s="123" cm="1">
        <f t="array" ref="BH54">INDEX(Properties!$D:$D,$B54+5)*(IF(AND(BH$3&gt;=INDEX(Properties!$Q:$Q,$B54+5),BH$3&lt;INDEX(Properties!$U:$U,$B54+5)),INDEX(Properties!$P:$P,$B54+5),0))</f>
        <v>0</v>
      </c>
      <c r="BI54" s="123" cm="1">
        <f t="array" ref="BI54">INDEX(Properties!$D:$D,$B54+5)*(IF(AND(BI$3&gt;=INDEX(Properties!$Q:$Q,$B54+5),BI$3&lt;INDEX(Properties!$U:$U,$B54+5)),INDEX(Properties!$P:$P,$B54+5),0))</f>
        <v>0</v>
      </c>
      <c r="BJ54" s="123" cm="1">
        <f t="array" ref="BJ54">INDEX(Properties!$D:$D,$B54+5)*(IF(AND(BJ$3&gt;=INDEX(Properties!$Q:$Q,$B54+5),BJ$3&lt;INDEX(Properties!$U:$U,$B54+5)),INDEX(Properties!$P:$P,$B54+5),0))</f>
        <v>0</v>
      </c>
      <c r="BK54" s="123" cm="1">
        <f t="array" ref="BK54">INDEX(Properties!$D:$D,$B54+5)*(IF(AND(BK$3&gt;=INDEX(Properties!$Q:$Q,$B54+5),BK$3&lt;INDEX(Properties!$U:$U,$B54+5)),INDEX(Properties!$P:$P,$B54+5),0))</f>
        <v>0</v>
      </c>
      <c r="BL54" s="123" cm="1">
        <f t="array" ref="BL54">INDEX(Properties!$D:$D,$B54+5)*(IF(AND(BL$3&gt;=INDEX(Properties!$Q:$Q,$B54+5),BL$3&lt;INDEX(Properties!$U:$U,$B54+5)),INDEX(Properties!$P:$P,$B54+5),0))</f>
        <v>0</v>
      </c>
      <c r="BM54" s="123" cm="1">
        <f t="array" ref="BM54">INDEX(Properties!$D:$D,$B54+5)*(IF(AND(BM$3&gt;=INDEX(Properties!$Q:$Q,$B54+5),BM$3&lt;INDEX(Properties!$U:$U,$B54+5)),INDEX(Properties!$P:$P,$B54+5),0))</f>
        <v>0</v>
      </c>
      <c r="BN54" s="123" cm="1">
        <f t="array" ref="BN54">INDEX(Properties!$D:$D,$B54+5)*(IF(AND(BN$3&gt;=INDEX(Properties!$Q:$Q,$B54+5),BN$3&lt;INDEX(Properties!$U:$U,$B54+5)),INDEX(Properties!$P:$P,$B54+5),0))</f>
        <v>0</v>
      </c>
      <c r="BO54" s="123" cm="1">
        <f t="array" ref="BO54">INDEX(Properties!$D:$D,$B54+5)*(IF(AND(BO$3&gt;=INDEX(Properties!$Q:$Q,$B54+5),BO$3&lt;INDEX(Properties!$U:$U,$B54+5)),INDEX(Properties!$P:$P,$B54+5),0))</f>
        <v>0</v>
      </c>
      <c r="BP54" s="123" cm="1">
        <f t="array" ref="BP54">INDEX(Properties!$D:$D,$B54+5)*(IF(AND(BP$3&gt;=INDEX(Properties!$Q:$Q,$B54+5),BP$3&lt;INDEX(Properties!$U:$U,$B54+5)),INDEX(Properties!$P:$P,$B54+5),0))</f>
        <v>0</v>
      </c>
      <c r="BQ54" s="123" cm="1">
        <f t="array" ref="BQ54">INDEX(Properties!$D:$D,$B54+5)*(IF(AND(BQ$3&gt;=INDEX(Properties!$Q:$Q,$B54+5),BQ$3&lt;INDEX(Properties!$U:$U,$B54+5)),INDEX(Properties!$P:$P,$B54+5),0))</f>
        <v>0</v>
      </c>
      <c r="BR54" s="123" cm="1">
        <f t="array" ref="BR54">INDEX(Properties!$D:$D,$B54+5)*(IF(AND(BR$3&gt;=INDEX(Properties!$Q:$Q,$B54+5),BR$3&lt;INDEX(Properties!$U:$U,$B54+5)),INDEX(Properties!$P:$P,$B54+5),0))</f>
        <v>0</v>
      </c>
      <c r="BS54" s="123" cm="1">
        <f t="array" ref="BS54">INDEX(Properties!$D:$D,$B54+5)*(IF(AND(BS$3&gt;=INDEX(Properties!$Q:$Q,$B54+5),BS$3&lt;INDEX(Properties!$U:$U,$B54+5)),INDEX(Properties!$P:$P,$B54+5),0))</f>
        <v>0</v>
      </c>
      <c r="BT54" s="123" cm="1">
        <f t="array" ref="BT54">INDEX(Properties!$D:$D,$B54+5)*(IF(AND(BT$3&gt;=INDEX(Properties!$Q:$Q,$B54+5),BT$3&lt;INDEX(Properties!$U:$U,$B54+5)),INDEX(Properties!$P:$P,$B54+5),0))</f>
        <v>0</v>
      </c>
      <c r="BU54" s="123" cm="1">
        <f t="array" ref="BU54">INDEX(Properties!$D:$D,$B54+5)*(IF(AND(BU$3&gt;=INDEX(Properties!$Q:$Q,$B54+5),BU$3&lt;INDEX(Properties!$U:$U,$B54+5)),INDEX(Properties!$P:$P,$B54+5),0))</f>
        <v>0</v>
      </c>
      <c r="BV54" s="123" cm="1">
        <f t="array" ref="BV54">INDEX(Properties!$D:$D,$B54+5)*(IF(AND(BV$3&gt;=INDEX(Properties!$Q:$Q,$B54+5),BV$3&lt;INDEX(Properties!$U:$U,$B54+5)),INDEX(Properties!$P:$P,$B54+5),0))</f>
        <v>0</v>
      </c>
      <c r="BW54" s="123" cm="1">
        <f t="array" ref="BW54">INDEX(Properties!$D:$D,$B54+5)*(IF(AND(BW$3&gt;=INDEX(Properties!$Q:$Q,$B54+5),BW$3&lt;INDEX(Properties!$U:$U,$B54+5)),INDEX(Properties!$P:$P,$B54+5),0))</f>
        <v>0</v>
      </c>
      <c r="BX54" s="123" cm="1">
        <f t="array" ref="BX54">INDEX(Properties!$D:$D,$B54+5)*(IF(AND(BX$3&gt;=INDEX(Properties!$Q:$Q,$B54+5),BX$3&lt;INDEX(Properties!$U:$U,$B54+5)),INDEX(Properties!$P:$P,$B54+5),0))</f>
        <v>0</v>
      </c>
      <c r="BY54" s="123" cm="1">
        <f t="array" ref="BY54">INDEX(Properties!$D:$D,$B54+5)*(IF(AND(BY$3&gt;=INDEX(Properties!$Q:$Q,$B54+5),BY$3&lt;INDEX(Properties!$U:$U,$B54+5)),INDEX(Properties!$P:$P,$B54+5),0))</f>
        <v>0</v>
      </c>
      <c r="BZ54" s="123" cm="1">
        <f t="array" ref="BZ54">INDEX(Properties!$D:$D,$B54+5)*(IF(AND(BZ$3&gt;=INDEX(Properties!$Q:$Q,$B54+5),BZ$3&lt;INDEX(Properties!$U:$U,$B54+5)),INDEX(Properties!$P:$P,$B54+5),0))</f>
        <v>0</v>
      </c>
      <c r="CA54" s="123" cm="1">
        <f t="array" ref="CA54">INDEX(Properties!$D:$D,$B54+5)*(IF(AND(CA$3&gt;=INDEX(Properties!$Q:$Q,$B54+5),CA$3&lt;INDEX(Properties!$U:$U,$B54+5)),INDEX(Properties!$P:$P,$B54+5),0))</f>
        <v>0</v>
      </c>
      <c r="CB54" s="123" cm="1">
        <f t="array" ref="CB54">INDEX(Properties!$D:$D,$B54+5)*(IF(AND(CB$3&gt;=INDEX(Properties!$Q:$Q,$B54+5),CB$3&lt;INDEX(Properties!$U:$U,$B54+5)),INDEX(Properties!$P:$P,$B54+5),0))</f>
        <v>0</v>
      </c>
      <c r="CC54" s="123" cm="1">
        <f t="array" ref="CC54">INDEX(Properties!$D:$D,$B54+5)*(IF(AND(CC$3&gt;=INDEX(Properties!$Q:$Q,$B54+5),CC$3&lt;INDEX(Properties!$U:$U,$B54+5)),INDEX(Properties!$P:$P,$B54+5),0))</f>
        <v>0</v>
      </c>
      <c r="CD54" s="123" cm="1">
        <f t="array" ref="CD54">INDEX(Properties!$D:$D,$B54+5)*(IF(AND(CD$3&gt;=INDEX(Properties!$Q:$Q,$B54+5),CD$3&lt;INDEX(Properties!$U:$U,$B54+5)),INDEX(Properties!$P:$P,$B54+5),0))</f>
        <v>0</v>
      </c>
      <c r="CE54" s="123" cm="1">
        <f t="array" ref="CE54">INDEX(Properties!$D:$D,$B54+5)*(IF(AND(CE$3&gt;=INDEX(Properties!$Q:$Q,$B54+5),CE$3&lt;INDEX(Properties!$U:$U,$B54+5)),INDEX(Properties!$P:$P,$B54+5),0))</f>
        <v>0</v>
      </c>
      <c r="CF54" s="123" cm="1">
        <f t="array" ref="CF54">INDEX(Properties!$D:$D,$B54+5)*(IF(AND(CF$3&gt;=INDEX(Properties!$Q:$Q,$B54+5),CF$3&lt;INDEX(Properties!$U:$U,$B54+5)),INDEX(Properties!$P:$P,$B54+5),0))</f>
        <v>0</v>
      </c>
      <c r="CG54" s="123" cm="1">
        <f t="array" ref="CG54">INDEX(Properties!$D:$D,$B54+5)*(IF(AND(CG$3&gt;=INDEX(Properties!$Q:$Q,$B54+5),CG$3&lt;INDEX(Properties!$U:$U,$B54+5)),INDEX(Properties!$P:$P,$B54+5),0))</f>
        <v>0</v>
      </c>
      <c r="CH54" s="123" cm="1">
        <f t="array" ref="CH54">INDEX(Properties!$D:$D,$B54+5)*(IF(AND(CH$3&gt;=INDEX(Properties!$Q:$Q,$B54+5),CH$3&lt;INDEX(Properties!$U:$U,$B54+5)),INDEX(Properties!$P:$P,$B54+5),0))</f>
        <v>0</v>
      </c>
      <c r="CI54" s="123" cm="1">
        <f t="array" ref="CI54">INDEX(Properties!$D:$D,$B54+5)*(IF(AND(CI$3&gt;=INDEX(Properties!$Q:$Q,$B54+5),CI$3&lt;INDEX(Properties!$U:$U,$B54+5)),INDEX(Properties!$P:$P,$B54+5),0))</f>
        <v>0</v>
      </c>
      <c r="CJ54" s="123" cm="1">
        <f t="array" ref="CJ54">INDEX(Properties!$D:$D,$B54+5)*(IF(AND(CJ$3&gt;=INDEX(Properties!$Q:$Q,$B54+5),CJ$3&lt;INDEX(Properties!$U:$U,$B54+5)),INDEX(Properties!$P:$P,$B54+5),0))</f>
        <v>0</v>
      </c>
      <c r="CK54" s="123" cm="1">
        <f t="array" ref="CK54">INDEX(Properties!$D:$D,$B54+5)*(IF(AND(CK$3&gt;=INDEX(Properties!$Q:$Q,$B54+5),CK$3&lt;INDEX(Properties!$U:$U,$B54+5)),INDEX(Properties!$P:$P,$B54+5),0))</f>
        <v>0</v>
      </c>
      <c r="CL54" s="123" cm="1">
        <f t="array" ref="CL54">INDEX(Properties!$D:$D,$B54+5)*(IF(AND(CL$3&gt;=INDEX(Properties!$Q:$Q,$B54+5),CL$3&lt;INDEX(Properties!$U:$U,$B54+5)),INDEX(Properties!$P:$P,$B54+5),0))</f>
        <v>0</v>
      </c>
      <c r="CM54" s="123" cm="1">
        <f t="array" ref="CM54">INDEX(Properties!$D:$D,$B54+5)*(IF(AND(CM$3&gt;=INDEX(Properties!$Q:$Q,$B54+5),CM$3&lt;INDEX(Properties!$U:$U,$B54+5)),INDEX(Properties!$P:$P,$B54+5),0))</f>
        <v>0</v>
      </c>
      <c r="CN54" s="123" cm="1">
        <f t="array" ref="CN54">INDEX(Properties!$D:$D,$B54+5)*(IF(AND(CN$3&gt;=INDEX(Properties!$Q:$Q,$B54+5),CN$3&lt;INDEX(Properties!$U:$U,$B54+5)),INDEX(Properties!$P:$P,$B54+5),0))</f>
        <v>0</v>
      </c>
      <c r="CO54" s="123" cm="1">
        <f t="array" ref="CO54">INDEX(Properties!$D:$D,$B54+5)*(IF(AND(CO$3&gt;=INDEX(Properties!$Q:$Q,$B54+5),CO$3&lt;INDEX(Properties!$U:$U,$B54+5)),INDEX(Properties!$P:$P,$B54+5),0))</f>
        <v>0</v>
      </c>
      <c r="CP54" s="123" cm="1">
        <f t="array" ref="CP54">INDEX(Properties!$D:$D,$B54+5)*(IF(AND(CP$3&gt;=INDEX(Properties!$Q:$Q,$B54+5),CP$3&lt;INDEX(Properties!$U:$U,$B54+5)),INDEX(Properties!$P:$P,$B54+5),0))</f>
        <v>0</v>
      </c>
      <c r="CQ54" s="123" cm="1">
        <f t="array" ref="CQ54">INDEX(Properties!$D:$D,$B54+5)*(IF(AND(CQ$3&gt;=INDEX(Properties!$Q:$Q,$B54+5),CQ$3&lt;INDEX(Properties!$U:$U,$B54+5)),INDEX(Properties!$P:$P,$B54+5),0))</f>
        <v>0</v>
      </c>
      <c r="CR54" s="123" cm="1">
        <f t="array" ref="CR54">INDEX(Properties!$D:$D,$B54+5)*(IF(AND(CR$3&gt;=INDEX(Properties!$Q:$Q,$B54+5),CR$3&lt;INDEX(Properties!$U:$U,$B54+5)),INDEX(Properties!$P:$P,$B54+5),0))</f>
        <v>0</v>
      </c>
      <c r="CS54" s="123" cm="1">
        <f t="array" ref="CS54">INDEX(Properties!$D:$D,$B54+5)*(IF(AND(CS$3&gt;=INDEX(Properties!$Q:$Q,$B54+5),CS$3&lt;INDEX(Properties!$U:$U,$B54+5)),INDEX(Properties!$P:$P,$B54+5),0))</f>
        <v>0</v>
      </c>
      <c r="CT54" s="123" cm="1">
        <f t="array" ref="CT54">INDEX(Properties!$D:$D,$B54+5)*(IF(AND(CT$3&gt;=INDEX(Properties!$Q:$Q,$B54+5),CT$3&lt;INDEX(Properties!$U:$U,$B54+5)),INDEX(Properties!$P:$P,$B54+5),0))</f>
        <v>0</v>
      </c>
      <c r="CU54" s="123" cm="1">
        <f t="array" ref="CU54">INDEX(Properties!$D:$D,$B54+5)*(IF(AND(CU$3&gt;=INDEX(Properties!$Q:$Q,$B54+5),CU$3&lt;INDEX(Properties!$U:$U,$B54+5)),INDEX(Properties!$P:$P,$B54+5),0))</f>
        <v>0</v>
      </c>
      <c r="CV54" s="123" cm="1">
        <f t="array" ref="CV54">INDEX(Properties!$D:$D,$B54+5)*(IF(AND(CV$3&gt;=INDEX(Properties!$Q:$Q,$B54+5),CV$3&lt;INDEX(Properties!$U:$U,$B54+5)),INDEX(Properties!$P:$P,$B54+5),0))</f>
        <v>0</v>
      </c>
      <c r="CW54" s="123" cm="1">
        <f t="array" ref="CW54">INDEX(Properties!$D:$D,$B54+5)*(IF(AND(CW$3&gt;=INDEX(Properties!$Q:$Q,$B54+5),CW$3&lt;INDEX(Properties!$U:$U,$B54+5)),INDEX(Properties!$P:$P,$B54+5),0))</f>
        <v>0</v>
      </c>
      <c r="CX54" s="123" cm="1">
        <f t="array" ref="CX54">INDEX(Properties!$D:$D,$B54+5)*(IF(AND(CX$3&gt;=INDEX(Properties!$Q:$Q,$B54+5),CX$3&lt;INDEX(Properties!$U:$U,$B54+5)),INDEX(Properties!$P:$P,$B54+5),0))</f>
        <v>0</v>
      </c>
      <c r="CY54" s="123" cm="1">
        <f t="array" ref="CY54">INDEX(Properties!$D:$D,$B54+5)*(IF(AND(CY$3&gt;=INDEX(Properties!$Q:$Q,$B54+5),CY$3&lt;INDEX(Properties!$U:$U,$B54+5)),INDEX(Properties!$P:$P,$B54+5),0))</f>
        <v>0</v>
      </c>
      <c r="CZ54" s="123" cm="1">
        <f t="array" ref="CZ54">INDEX(Properties!$D:$D,$B54+5)*(IF(AND(CZ$3&gt;=INDEX(Properties!$Q:$Q,$B54+5),CZ$3&lt;INDEX(Properties!$U:$U,$B54+5)),INDEX(Properties!$P:$P,$B54+5),0))</f>
        <v>0</v>
      </c>
      <c r="DA54" s="123" cm="1">
        <f t="array" ref="DA54">INDEX(Properties!$D:$D,$B54+5)*(IF(AND(DA$3&gt;=INDEX(Properties!$Q:$Q,$B54+5),DA$3&lt;INDEX(Properties!$U:$U,$B54+5)),INDEX(Properties!$P:$P,$B54+5),0))</f>
        <v>0</v>
      </c>
      <c r="DB54" s="123" cm="1">
        <f t="array" ref="DB54">INDEX(Properties!$D:$D,$B54+5)*(IF(AND(DB$3&gt;=INDEX(Properties!$Q:$Q,$B54+5),DB$3&lt;INDEX(Properties!$U:$U,$B54+5)),INDEX(Properties!$P:$P,$B54+5),0))</f>
        <v>0</v>
      </c>
      <c r="DC54" s="123" cm="1">
        <f t="array" ref="DC54">INDEX(Properties!$D:$D,$B54+5)*(IF(AND(DC$3&gt;=INDEX(Properties!$Q:$Q,$B54+5),DC$3&lt;INDEX(Properties!$U:$U,$B54+5)),INDEX(Properties!$P:$P,$B54+5),0))</f>
        <v>0</v>
      </c>
      <c r="DD54" s="123" cm="1">
        <f t="array" ref="DD54">INDEX(Properties!$D:$D,$B54+5)*(IF(AND(DD$3&gt;=INDEX(Properties!$Q:$Q,$B54+5),DD$3&lt;INDEX(Properties!$U:$U,$B54+5)),INDEX(Properties!$P:$P,$B54+5),0))</f>
        <v>0</v>
      </c>
      <c r="DE54" s="123" cm="1">
        <f t="array" ref="DE54">INDEX(Properties!$D:$D,$B54+5)*(IF(AND(DE$3&gt;=INDEX(Properties!$Q:$Q,$B54+5),DE$3&lt;INDEX(Properties!$U:$U,$B54+5)),INDEX(Properties!$P:$P,$B54+5),0))</f>
        <v>0</v>
      </c>
      <c r="DF54" s="123" cm="1">
        <f t="array" ref="DF54">INDEX(Properties!$D:$D,$B54+5)*(IF(AND(DF$3&gt;=INDEX(Properties!$Q:$Q,$B54+5),DF$3&lt;INDEX(Properties!$U:$U,$B54+5)),INDEX(Properties!$P:$P,$B54+5),0))</f>
        <v>0</v>
      </c>
      <c r="DG54" s="123" cm="1">
        <f t="array" ref="DG54">INDEX(Properties!$D:$D,$B54+5)*(IF(AND(DG$3&gt;=INDEX(Properties!$Q:$Q,$B54+5),DG$3&lt;INDEX(Properties!$U:$U,$B54+5)),INDEX(Properties!$P:$P,$B54+5),0))</f>
        <v>0</v>
      </c>
      <c r="DH54" s="123" cm="1">
        <f t="array" ref="DH54">INDEX(Properties!$D:$D,$B54+5)*(IF(AND(DH$3&gt;=INDEX(Properties!$Q:$Q,$B54+5),DH$3&lt;INDEX(Properties!$U:$U,$B54+5)),INDEX(Properties!$P:$P,$B54+5),0))</f>
        <v>0</v>
      </c>
      <c r="DI54" s="123" cm="1">
        <f t="array" ref="DI54">INDEX(Properties!$D:$D,$B54+5)*(IF(AND(DI$3&gt;=INDEX(Properties!$Q:$Q,$B54+5),DI$3&lt;INDEX(Properties!$U:$U,$B54+5)),INDEX(Properties!$P:$P,$B54+5),0))</f>
        <v>0</v>
      </c>
      <c r="DJ54" s="123" cm="1">
        <f t="array" ref="DJ54">INDEX(Properties!$D:$D,$B54+5)*(IF(AND(DJ$3&gt;=INDEX(Properties!$Q:$Q,$B54+5),DJ$3&lt;INDEX(Properties!$U:$U,$B54+5)),INDEX(Properties!$P:$P,$B54+5),0))</f>
        <v>0</v>
      </c>
      <c r="DK54" s="123" cm="1">
        <f t="array" ref="DK54">INDEX(Properties!$D:$D,$B54+5)*(IF(AND(DK$3&gt;=INDEX(Properties!$Q:$Q,$B54+5),DK$3&lt;INDEX(Properties!$U:$U,$B54+5)),INDEX(Properties!$P:$P,$B54+5),0))</f>
        <v>0</v>
      </c>
      <c r="DL54" s="123" cm="1">
        <f t="array" ref="DL54">INDEX(Properties!$D:$D,$B54+5)*(IF(AND(DL$3&gt;=INDEX(Properties!$Q:$Q,$B54+5),DL$3&lt;INDEX(Properties!$U:$U,$B54+5)),INDEX(Properties!$P:$P,$B54+5),0))</f>
        <v>0</v>
      </c>
      <c r="DM54" s="123" cm="1">
        <f t="array" ref="DM54">INDEX(Properties!$D:$D,$B54+5)*(IF(AND(DM$3&gt;=INDEX(Properties!$Q:$Q,$B54+5),DM$3&lt;INDEX(Properties!$U:$U,$B54+5)),INDEX(Properties!$P:$P,$B54+5),0))</f>
        <v>0</v>
      </c>
      <c r="DN54" s="123" cm="1">
        <f t="array" ref="DN54">INDEX(Properties!$D:$D,$B54+5)*(IF(AND(DN$3&gt;=INDEX(Properties!$Q:$Q,$B54+5),DN$3&lt;INDEX(Properties!$U:$U,$B54+5)),INDEX(Properties!$P:$P,$B54+5),0))</f>
        <v>0</v>
      </c>
      <c r="DO54" s="123" cm="1">
        <f t="array" ref="DO54">INDEX(Properties!$D:$D,$B54+5)*(IF(AND(DO$3&gt;=INDEX(Properties!$Q:$Q,$B54+5),DO$3&lt;INDEX(Properties!$U:$U,$B54+5)),INDEX(Properties!$P:$P,$B54+5),0))</f>
        <v>0</v>
      </c>
      <c r="DP54" s="123" cm="1">
        <f t="array" ref="DP54">INDEX(Properties!$D:$D,$B54+5)*(IF(AND(DP$3&gt;=INDEX(Properties!$Q:$Q,$B54+5),DP$3&lt;INDEX(Properties!$U:$U,$B54+5)),INDEX(Properties!$P:$P,$B54+5),0))</f>
        <v>0</v>
      </c>
      <c r="DQ54" s="123" cm="1">
        <f t="array" ref="DQ54">INDEX(Properties!$D:$D,$B54+5)*(IF(AND(DQ$3&gt;=INDEX(Properties!$Q:$Q,$B54+5),DQ$3&lt;INDEX(Properties!$U:$U,$B54+5)),INDEX(Properties!$P:$P,$B54+5),0))</f>
        <v>0</v>
      </c>
      <c r="DR54" s="123" cm="1">
        <f t="array" ref="DR54">INDEX(Properties!$D:$D,$B54+5)*(IF(AND(DR$3&gt;=INDEX(Properties!$Q:$Q,$B54+5),DR$3&lt;INDEX(Properties!$U:$U,$B54+5)),INDEX(Properties!$P:$P,$B54+5),0))</f>
        <v>0</v>
      </c>
    </row>
    <row r="55" spans="1:122" ht="16.05" customHeight="1" x14ac:dyDescent="0.3">
      <c r="A55" s="148" cm="1">
        <f t="array" ref="A55">INDEX(Properties!$E:$E,$B55+5)</f>
        <v>0</v>
      </c>
      <c r="B55" s="1">
        <v>10</v>
      </c>
      <c r="C55" s="123" cm="1">
        <f t="array" ref="C55">INDEX(Properties!$D:$D,$B55+5)*(IF(AND(C$3&gt;=INDEX(Properties!$Q:$Q,$B55+5),C$3&lt;INDEX(Properties!$U:$U,$B55+5)),INDEX(Properties!$P:$P,$B55+5),0))</f>
        <v>0</v>
      </c>
      <c r="D55" s="123" cm="1">
        <f t="array" ref="D55">INDEX(Properties!$D:$D,$B55+5)*(IF(AND(D$3&gt;=INDEX(Properties!$Q:$Q,$B55+5),D$3&lt;INDEX(Properties!$U:$U,$B55+5)),INDEX(Properties!$P:$P,$B55+5),0))</f>
        <v>0</v>
      </c>
      <c r="E55" s="123" cm="1">
        <f t="array" ref="E55">INDEX(Properties!$D:$D,$B55+5)*(IF(AND(E$3&gt;=INDEX(Properties!$Q:$Q,$B55+5),E$3&lt;INDEX(Properties!$U:$U,$B55+5)),INDEX(Properties!$P:$P,$B55+5),0))</f>
        <v>0</v>
      </c>
      <c r="F55" s="123" cm="1">
        <f t="array" ref="F55">INDEX(Properties!$D:$D,$B55+5)*(IF(AND(F$3&gt;=INDEX(Properties!$Q:$Q,$B55+5),F$3&lt;INDEX(Properties!$U:$U,$B55+5)),INDEX(Properties!$P:$P,$B55+5),0))</f>
        <v>0</v>
      </c>
      <c r="G55" s="123" cm="1">
        <f t="array" ref="G55">INDEX(Properties!$D:$D,$B55+5)*(IF(AND(G$3&gt;=INDEX(Properties!$Q:$Q,$B55+5),G$3&lt;INDEX(Properties!$U:$U,$B55+5)),INDEX(Properties!$P:$P,$B55+5),0))</f>
        <v>0</v>
      </c>
      <c r="H55" s="123" cm="1">
        <f t="array" ref="H55">INDEX(Properties!$D:$D,$B55+5)*(IF(AND(H$3&gt;=INDEX(Properties!$Q:$Q,$B55+5),H$3&lt;INDEX(Properties!$U:$U,$B55+5)),INDEX(Properties!$P:$P,$B55+5),0))</f>
        <v>0</v>
      </c>
      <c r="I55" s="123" cm="1">
        <f t="array" ref="I55">INDEX(Properties!$D:$D,$B55+5)*(IF(AND(I$3&gt;=INDEX(Properties!$Q:$Q,$B55+5),I$3&lt;INDEX(Properties!$U:$U,$B55+5)),INDEX(Properties!$P:$P,$B55+5),0))</f>
        <v>0</v>
      </c>
      <c r="J55" s="123" cm="1">
        <f t="array" ref="J55">INDEX(Properties!$D:$D,$B55+5)*(IF(AND(J$3&gt;=INDEX(Properties!$Q:$Q,$B55+5),J$3&lt;INDEX(Properties!$U:$U,$B55+5)),INDEX(Properties!$P:$P,$B55+5),0))</f>
        <v>0</v>
      </c>
      <c r="K55" s="123" cm="1">
        <f t="array" ref="K55">INDEX(Properties!$D:$D,$B55+5)*(IF(AND(K$3&gt;=INDEX(Properties!$Q:$Q,$B55+5),K$3&lt;INDEX(Properties!$U:$U,$B55+5)),INDEX(Properties!$P:$P,$B55+5),0))</f>
        <v>0</v>
      </c>
      <c r="L55" s="123" cm="1">
        <f t="array" ref="L55">INDEX(Properties!$D:$D,$B55+5)*(IF(AND(L$3&gt;=INDEX(Properties!$Q:$Q,$B55+5),L$3&lt;INDEX(Properties!$U:$U,$B55+5)),INDEX(Properties!$P:$P,$B55+5),0))</f>
        <v>0</v>
      </c>
      <c r="M55" s="123" cm="1">
        <f t="array" ref="M55">INDEX(Properties!$D:$D,$B55+5)*(IF(AND(M$3&gt;=INDEX(Properties!$Q:$Q,$B55+5),M$3&lt;INDEX(Properties!$U:$U,$B55+5)),INDEX(Properties!$P:$P,$B55+5),0))</f>
        <v>0</v>
      </c>
      <c r="N55" s="123" cm="1">
        <f t="array" ref="N55">INDEX(Properties!$D:$D,$B55+5)*(IF(AND(N$3&gt;=INDEX(Properties!$Q:$Q,$B55+5),N$3&lt;INDEX(Properties!$U:$U,$B55+5)),INDEX(Properties!$P:$P,$B55+5),0))</f>
        <v>0</v>
      </c>
      <c r="O55" s="123" cm="1">
        <f t="array" ref="O55">INDEX(Properties!$D:$D,$B55+5)*(IF(AND(O$3&gt;=INDEX(Properties!$Q:$Q,$B55+5),O$3&lt;INDEX(Properties!$U:$U,$B55+5)),INDEX(Properties!$P:$P,$B55+5),0))</f>
        <v>0</v>
      </c>
      <c r="P55" s="123" cm="1">
        <f t="array" ref="P55">INDEX(Properties!$D:$D,$B55+5)*(IF(AND(P$3&gt;=INDEX(Properties!$Q:$Q,$B55+5),P$3&lt;INDEX(Properties!$U:$U,$B55+5)),INDEX(Properties!$P:$P,$B55+5),0))</f>
        <v>0</v>
      </c>
      <c r="Q55" s="123" cm="1">
        <f t="array" ref="Q55">INDEX(Properties!$D:$D,$B55+5)*(IF(AND(Q$3&gt;=INDEX(Properties!$Q:$Q,$B55+5),Q$3&lt;INDEX(Properties!$U:$U,$B55+5)),INDEX(Properties!$P:$P,$B55+5),0))</f>
        <v>0</v>
      </c>
      <c r="R55" s="123" cm="1">
        <f t="array" ref="R55">INDEX(Properties!$D:$D,$B55+5)*(IF(AND(R$3&gt;=INDEX(Properties!$Q:$Q,$B55+5),R$3&lt;INDEX(Properties!$U:$U,$B55+5)),INDEX(Properties!$P:$P,$B55+5),0))</f>
        <v>0</v>
      </c>
      <c r="S55" s="123" cm="1">
        <f t="array" ref="S55">INDEX(Properties!$D:$D,$B55+5)*(IF(AND(S$3&gt;=INDEX(Properties!$Q:$Q,$B55+5),S$3&lt;INDEX(Properties!$U:$U,$B55+5)),INDEX(Properties!$P:$P,$B55+5),0))</f>
        <v>0</v>
      </c>
      <c r="T55" s="123" cm="1">
        <f t="array" ref="T55">INDEX(Properties!$D:$D,$B55+5)*(IF(AND(T$3&gt;=INDEX(Properties!$Q:$Q,$B55+5),T$3&lt;INDEX(Properties!$U:$U,$B55+5)),INDEX(Properties!$P:$P,$B55+5),0))</f>
        <v>0</v>
      </c>
      <c r="U55" s="123" cm="1">
        <f t="array" ref="U55">INDEX(Properties!$D:$D,$B55+5)*(IF(AND(U$3&gt;=INDEX(Properties!$Q:$Q,$B55+5),U$3&lt;INDEX(Properties!$U:$U,$B55+5)),INDEX(Properties!$P:$P,$B55+5),0))</f>
        <v>0</v>
      </c>
      <c r="V55" s="123" cm="1">
        <f t="array" ref="V55">INDEX(Properties!$D:$D,$B55+5)*(IF(AND(V$3&gt;=INDEX(Properties!$Q:$Q,$B55+5),V$3&lt;INDEX(Properties!$U:$U,$B55+5)),INDEX(Properties!$P:$P,$B55+5),0))</f>
        <v>0</v>
      </c>
      <c r="W55" s="123" cm="1">
        <f t="array" ref="W55">INDEX(Properties!$D:$D,$B55+5)*(IF(AND(W$3&gt;=INDEX(Properties!$Q:$Q,$B55+5),W$3&lt;INDEX(Properties!$U:$U,$B55+5)),INDEX(Properties!$P:$P,$B55+5),0))</f>
        <v>0</v>
      </c>
      <c r="X55" s="123" cm="1">
        <f t="array" ref="X55">INDEX(Properties!$D:$D,$B55+5)*(IF(AND(X$3&gt;=INDEX(Properties!$Q:$Q,$B55+5),X$3&lt;INDEX(Properties!$U:$U,$B55+5)),INDEX(Properties!$P:$P,$B55+5),0))</f>
        <v>0</v>
      </c>
      <c r="Y55" s="123" cm="1">
        <f t="array" ref="Y55">INDEX(Properties!$D:$D,$B55+5)*(IF(AND(Y$3&gt;=INDEX(Properties!$Q:$Q,$B55+5),Y$3&lt;INDEX(Properties!$U:$U,$B55+5)),INDEX(Properties!$P:$P,$B55+5),0))</f>
        <v>0</v>
      </c>
      <c r="Z55" s="123" cm="1">
        <f t="array" ref="Z55">INDEX(Properties!$D:$D,$B55+5)*(IF(AND(Z$3&gt;=INDEX(Properties!$Q:$Q,$B55+5),Z$3&lt;INDEX(Properties!$U:$U,$B55+5)),INDEX(Properties!$P:$P,$B55+5),0))</f>
        <v>0</v>
      </c>
      <c r="AA55" s="123" cm="1">
        <f t="array" ref="AA55">INDEX(Properties!$D:$D,$B55+5)*(IF(AND(AA$3&gt;=INDEX(Properties!$Q:$Q,$B55+5),AA$3&lt;INDEX(Properties!$U:$U,$B55+5)),INDEX(Properties!$P:$P,$B55+5),0))</f>
        <v>0</v>
      </c>
      <c r="AB55" s="123" cm="1">
        <f t="array" ref="AB55">INDEX(Properties!$D:$D,$B55+5)*(IF(AND(AB$3&gt;=INDEX(Properties!$Q:$Q,$B55+5),AB$3&lt;INDEX(Properties!$U:$U,$B55+5)),INDEX(Properties!$P:$P,$B55+5),0))</f>
        <v>0</v>
      </c>
      <c r="AC55" s="123" cm="1">
        <f t="array" ref="AC55">INDEX(Properties!$D:$D,$B55+5)*(IF(AND(AC$3&gt;=INDEX(Properties!$Q:$Q,$B55+5),AC$3&lt;INDEX(Properties!$U:$U,$B55+5)),INDEX(Properties!$P:$P,$B55+5),0))</f>
        <v>0</v>
      </c>
      <c r="AD55" s="123" cm="1">
        <f t="array" ref="AD55">INDEX(Properties!$D:$D,$B55+5)*(IF(AND(AD$3&gt;=INDEX(Properties!$Q:$Q,$B55+5),AD$3&lt;INDEX(Properties!$U:$U,$B55+5)),INDEX(Properties!$P:$P,$B55+5),0))</f>
        <v>0</v>
      </c>
      <c r="AE55" s="123" cm="1">
        <f t="array" ref="AE55">INDEX(Properties!$D:$D,$B55+5)*(IF(AND(AE$3&gt;=INDEX(Properties!$Q:$Q,$B55+5),AE$3&lt;INDEX(Properties!$U:$U,$B55+5)),INDEX(Properties!$P:$P,$B55+5),0))</f>
        <v>0</v>
      </c>
      <c r="AF55" s="123" cm="1">
        <f t="array" ref="AF55">INDEX(Properties!$D:$D,$B55+5)*(IF(AND(AF$3&gt;=INDEX(Properties!$Q:$Q,$B55+5),AF$3&lt;INDEX(Properties!$U:$U,$B55+5)),INDEX(Properties!$P:$P,$B55+5),0))</f>
        <v>0</v>
      </c>
      <c r="AG55" s="123" cm="1">
        <f t="array" ref="AG55">INDEX(Properties!$D:$D,$B55+5)*(IF(AND(AG$3&gt;=INDEX(Properties!$Q:$Q,$B55+5),AG$3&lt;INDEX(Properties!$U:$U,$B55+5)),INDEX(Properties!$P:$P,$B55+5),0))</f>
        <v>0</v>
      </c>
      <c r="AH55" s="123" cm="1">
        <f t="array" ref="AH55">INDEX(Properties!$D:$D,$B55+5)*(IF(AND(AH$3&gt;=INDEX(Properties!$Q:$Q,$B55+5),AH$3&lt;INDEX(Properties!$U:$U,$B55+5)),INDEX(Properties!$P:$P,$B55+5),0))</f>
        <v>0</v>
      </c>
      <c r="AI55" s="123" cm="1">
        <f t="array" ref="AI55">INDEX(Properties!$D:$D,$B55+5)*(IF(AND(AI$3&gt;=INDEX(Properties!$Q:$Q,$B55+5),AI$3&lt;INDEX(Properties!$U:$U,$B55+5)),INDEX(Properties!$P:$P,$B55+5),0))</f>
        <v>0</v>
      </c>
      <c r="AJ55" s="123" cm="1">
        <f t="array" ref="AJ55">INDEX(Properties!$D:$D,$B55+5)*(IF(AND(AJ$3&gt;=INDEX(Properties!$Q:$Q,$B55+5),AJ$3&lt;INDEX(Properties!$U:$U,$B55+5)),INDEX(Properties!$P:$P,$B55+5),0))</f>
        <v>0</v>
      </c>
      <c r="AK55" s="123" cm="1">
        <f t="array" ref="AK55">INDEX(Properties!$D:$D,$B55+5)*(IF(AND(AK$3&gt;=INDEX(Properties!$Q:$Q,$B55+5),AK$3&lt;INDEX(Properties!$U:$U,$B55+5)),INDEX(Properties!$P:$P,$B55+5),0))</f>
        <v>0</v>
      </c>
      <c r="AL55" s="123" cm="1">
        <f t="array" ref="AL55">INDEX(Properties!$D:$D,$B55+5)*(IF(AND(AL$3&gt;=INDEX(Properties!$Q:$Q,$B55+5),AL$3&lt;INDEX(Properties!$U:$U,$B55+5)),INDEX(Properties!$P:$P,$B55+5),0))</f>
        <v>0</v>
      </c>
      <c r="AM55" s="123" cm="1">
        <f t="array" ref="AM55">INDEX(Properties!$D:$D,$B55+5)*(IF(AND(AM$3&gt;=INDEX(Properties!$Q:$Q,$B55+5),AM$3&lt;INDEX(Properties!$U:$U,$B55+5)),INDEX(Properties!$P:$P,$B55+5),0))</f>
        <v>0</v>
      </c>
      <c r="AN55" s="123" cm="1">
        <f t="array" ref="AN55">INDEX(Properties!$D:$D,$B55+5)*(IF(AND(AN$3&gt;=INDEX(Properties!$Q:$Q,$B55+5),AN$3&lt;INDEX(Properties!$U:$U,$B55+5)),INDEX(Properties!$P:$P,$B55+5),0))</f>
        <v>0</v>
      </c>
      <c r="AO55" s="123" cm="1">
        <f t="array" ref="AO55">INDEX(Properties!$D:$D,$B55+5)*(IF(AND(AO$3&gt;=INDEX(Properties!$Q:$Q,$B55+5),AO$3&lt;INDEX(Properties!$U:$U,$B55+5)),INDEX(Properties!$P:$P,$B55+5),0))</f>
        <v>0</v>
      </c>
      <c r="AP55" s="123" cm="1">
        <f t="array" ref="AP55">INDEX(Properties!$D:$D,$B55+5)*(IF(AND(AP$3&gt;=INDEX(Properties!$Q:$Q,$B55+5),AP$3&lt;INDEX(Properties!$U:$U,$B55+5)),INDEX(Properties!$P:$P,$B55+5),0))</f>
        <v>0</v>
      </c>
      <c r="AQ55" s="123" cm="1">
        <f t="array" ref="AQ55">INDEX(Properties!$D:$D,$B55+5)*(IF(AND(AQ$3&gt;=INDEX(Properties!$Q:$Q,$B55+5),AQ$3&lt;INDEX(Properties!$U:$U,$B55+5)),INDEX(Properties!$P:$P,$B55+5),0))</f>
        <v>0</v>
      </c>
      <c r="AR55" s="123" cm="1">
        <f t="array" ref="AR55">INDEX(Properties!$D:$D,$B55+5)*(IF(AND(AR$3&gt;=INDEX(Properties!$Q:$Q,$B55+5),AR$3&lt;INDEX(Properties!$U:$U,$B55+5)),INDEX(Properties!$P:$P,$B55+5),0))</f>
        <v>0</v>
      </c>
      <c r="AS55" s="123" cm="1">
        <f t="array" ref="AS55">INDEX(Properties!$D:$D,$B55+5)*(IF(AND(AS$3&gt;=INDEX(Properties!$Q:$Q,$B55+5),AS$3&lt;INDEX(Properties!$U:$U,$B55+5)),INDEX(Properties!$P:$P,$B55+5),0))</f>
        <v>0</v>
      </c>
      <c r="AT55" s="123" cm="1">
        <f t="array" ref="AT55">INDEX(Properties!$D:$D,$B55+5)*(IF(AND(AT$3&gt;=INDEX(Properties!$Q:$Q,$B55+5),AT$3&lt;INDEX(Properties!$U:$U,$B55+5)),INDEX(Properties!$P:$P,$B55+5),0))</f>
        <v>0</v>
      </c>
      <c r="AU55" s="123" cm="1">
        <f t="array" ref="AU55">INDEX(Properties!$D:$D,$B55+5)*(IF(AND(AU$3&gt;=INDEX(Properties!$Q:$Q,$B55+5),AU$3&lt;INDEX(Properties!$U:$U,$B55+5)),INDEX(Properties!$P:$P,$B55+5),0))</f>
        <v>0</v>
      </c>
      <c r="AV55" s="123" cm="1">
        <f t="array" ref="AV55">INDEX(Properties!$D:$D,$B55+5)*(IF(AND(AV$3&gt;=INDEX(Properties!$Q:$Q,$B55+5),AV$3&lt;INDEX(Properties!$U:$U,$B55+5)),INDEX(Properties!$P:$P,$B55+5),0))</f>
        <v>0</v>
      </c>
      <c r="AW55" s="123" cm="1">
        <f t="array" ref="AW55">INDEX(Properties!$D:$D,$B55+5)*(IF(AND(AW$3&gt;=INDEX(Properties!$Q:$Q,$B55+5),AW$3&lt;INDEX(Properties!$U:$U,$B55+5)),INDEX(Properties!$P:$P,$B55+5),0))</f>
        <v>0</v>
      </c>
      <c r="AX55" s="123" cm="1">
        <f t="array" ref="AX55">INDEX(Properties!$D:$D,$B55+5)*(IF(AND(AX$3&gt;=INDEX(Properties!$Q:$Q,$B55+5),AX$3&lt;INDEX(Properties!$U:$U,$B55+5)),INDEX(Properties!$P:$P,$B55+5),0))</f>
        <v>0</v>
      </c>
      <c r="AY55" s="123" cm="1">
        <f t="array" ref="AY55">INDEX(Properties!$D:$D,$B55+5)*(IF(AND(AY$3&gt;=INDEX(Properties!$Q:$Q,$B55+5),AY$3&lt;INDEX(Properties!$U:$U,$B55+5)),INDEX(Properties!$P:$P,$B55+5),0))</f>
        <v>0</v>
      </c>
      <c r="AZ55" s="123" cm="1">
        <f t="array" ref="AZ55">INDEX(Properties!$D:$D,$B55+5)*(IF(AND(AZ$3&gt;=INDEX(Properties!$Q:$Q,$B55+5),AZ$3&lt;INDEX(Properties!$U:$U,$B55+5)),INDEX(Properties!$P:$P,$B55+5),0))</f>
        <v>0</v>
      </c>
      <c r="BA55" s="123" cm="1">
        <f t="array" ref="BA55">INDEX(Properties!$D:$D,$B55+5)*(IF(AND(BA$3&gt;=INDEX(Properties!$Q:$Q,$B55+5),BA$3&lt;INDEX(Properties!$U:$U,$B55+5)),INDEX(Properties!$P:$P,$B55+5),0))</f>
        <v>0</v>
      </c>
      <c r="BB55" s="123" cm="1">
        <f t="array" ref="BB55">INDEX(Properties!$D:$D,$B55+5)*(IF(AND(BB$3&gt;=INDEX(Properties!$Q:$Q,$B55+5),BB$3&lt;INDEX(Properties!$U:$U,$B55+5)),INDEX(Properties!$P:$P,$B55+5),0))</f>
        <v>0</v>
      </c>
      <c r="BC55" s="123" cm="1">
        <f t="array" ref="BC55">INDEX(Properties!$D:$D,$B55+5)*(IF(AND(BC$3&gt;=INDEX(Properties!$Q:$Q,$B55+5),BC$3&lt;INDEX(Properties!$U:$U,$B55+5)),INDEX(Properties!$P:$P,$B55+5),0))</f>
        <v>0</v>
      </c>
      <c r="BD55" s="123" cm="1">
        <f t="array" ref="BD55">INDEX(Properties!$D:$D,$B55+5)*(IF(AND(BD$3&gt;=INDEX(Properties!$Q:$Q,$B55+5),BD$3&lt;INDEX(Properties!$U:$U,$B55+5)),INDEX(Properties!$P:$P,$B55+5),0))</f>
        <v>0</v>
      </c>
      <c r="BE55" s="123" cm="1">
        <f t="array" ref="BE55">INDEX(Properties!$D:$D,$B55+5)*(IF(AND(BE$3&gt;=INDEX(Properties!$Q:$Q,$B55+5),BE$3&lt;INDEX(Properties!$U:$U,$B55+5)),INDEX(Properties!$P:$P,$B55+5),0))</f>
        <v>0</v>
      </c>
      <c r="BF55" s="123" cm="1">
        <f t="array" ref="BF55">INDEX(Properties!$D:$D,$B55+5)*(IF(AND(BF$3&gt;=INDEX(Properties!$Q:$Q,$B55+5),BF$3&lt;INDEX(Properties!$U:$U,$B55+5)),INDEX(Properties!$P:$P,$B55+5),0))</f>
        <v>0</v>
      </c>
      <c r="BG55" s="123" cm="1">
        <f t="array" ref="BG55">INDEX(Properties!$D:$D,$B55+5)*(IF(AND(BG$3&gt;=INDEX(Properties!$Q:$Q,$B55+5),BG$3&lt;INDEX(Properties!$U:$U,$B55+5)),INDEX(Properties!$P:$P,$B55+5),0))</f>
        <v>0</v>
      </c>
      <c r="BH55" s="123" cm="1">
        <f t="array" ref="BH55">INDEX(Properties!$D:$D,$B55+5)*(IF(AND(BH$3&gt;=INDEX(Properties!$Q:$Q,$B55+5),BH$3&lt;INDEX(Properties!$U:$U,$B55+5)),INDEX(Properties!$P:$P,$B55+5),0))</f>
        <v>0</v>
      </c>
      <c r="BI55" s="123" cm="1">
        <f t="array" ref="BI55">INDEX(Properties!$D:$D,$B55+5)*(IF(AND(BI$3&gt;=INDEX(Properties!$Q:$Q,$B55+5),BI$3&lt;INDEX(Properties!$U:$U,$B55+5)),INDEX(Properties!$P:$P,$B55+5),0))</f>
        <v>0</v>
      </c>
      <c r="BJ55" s="123" cm="1">
        <f t="array" ref="BJ55">INDEX(Properties!$D:$D,$B55+5)*(IF(AND(BJ$3&gt;=INDEX(Properties!$Q:$Q,$B55+5),BJ$3&lt;INDEX(Properties!$U:$U,$B55+5)),INDEX(Properties!$P:$P,$B55+5),0))</f>
        <v>0</v>
      </c>
      <c r="BK55" s="123" cm="1">
        <f t="array" ref="BK55">INDEX(Properties!$D:$D,$B55+5)*(IF(AND(BK$3&gt;=INDEX(Properties!$Q:$Q,$B55+5),BK$3&lt;INDEX(Properties!$U:$U,$B55+5)),INDEX(Properties!$P:$P,$B55+5),0))</f>
        <v>0</v>
      </c>
      <c r="BL55" s="123" cm="1">
        <f t="array" ref="BL55">INDEX(Properties!$D:$D,$B55+5)*(IF(AND(BL$3&gt;=INDEX(Properties!$Q:$Q,$B55+5),BL$3&lt;INDEX(Properties!$U:$U,$B55+5)),INDEX(Properties!$P:$P,$B55+5),0))</f>
        <v>0</v>
      </c>
      <c r="BM55" s="123" cm="1">
        <f t="array" ref="BM55">INDEX(Properties!$D:$D,$B55+5)*(IF(AND(BM$3&gt;=INDEX(Properties!$Q:$Q,$B55+5),BM$3&lt;INDEX(Properties!$U:$U,$B55+5)),INDEX(Properties!$P:$P,$B55+5),0))</f>
        <v>0</v>
      </c>
      <c r="BN55" s="123" cm="1">
        <f t="array" ref="BN55">INDEX(Properties!$D:$D,$B55+5)*(IF(AND(BN$3&gt;=INDEX(Properties!$Q:$Q,$B55+5),BN$3&lt;INDEX(Properties!$U:$U,$B55+5)),INDEX(Properties!$P:$P,$B55+5),0))</f>
        <v>0</v>
      </c>
      <c r="BO55" s="123" cm="1">
        <f t="array" ref="BO55">INDEX(Properties!$D:$D,$B55+5)*(IF(AND(BO$3&gt;=INDEX(Properties!$Q:$Q,$B55+5),BO$3&lt;INDEX(Properties!$U:$U,$B55+5)),INDEX(Properties!$P:$P,$B55+5),0))</f>
        <v>0</v>
      </c>
      <c r="BP55" s="123" cm="1">
        <f t="array" ref="BP55">INDEX(Properties!$D:$D,$B55+5)*(IF(AND(BP$3&gt;=INDEX(Properties!$Q:$Q,$B55+5),BP$3&lt;INDEX(Properties!$U:$U,$B55+5)),INDEX(Properties!$P:$P,$B55+5),0))</f>
        <v>0</v>
      </c>
      <c r="BQ55" s="123" cm="1">
        <f t="array" ref="BQ55">INDEX(Properties!$D:$D,$B55+5)*(IF(AND(BQ$3&gt;=INDEX(Properties!$Q:$Q,$B55+5),BQ$3&lt;INDEX(Properties!$U:$U,$B55+5)),INDEX(Properties!$P:$P,$B55+5),0))</f>
        <v>0</v>
      </c>
      <c r="BR55" s="123" cm="1">
        <f t="array" ref="BR55">INDEX(Properties!$D:$D,$B55+5)*(IF(AND(BR$3&gt;=INDEX(Properties!$Q:$Q,$B55+5),BR$3&lt;INDEX(Properties!$U:$U,$B55+5)),INDEX(Properties!$P:$P,$B55+5),0))</f>
        <v>0</v>
      </c>
      <c r="BS55" s="123" cm="1">
        <f t="array" ref="BS55">INDEX(Properties!$D:$D,$B55+5)*(IF(AND(BS$3&gt;=INDEX(Properties!$Q:$Q,$B55+5),BS$3&lt;INDEX(Properties!$U:$U,$B55+5)),INDEX(Properties!$P:$P,$B55+5),0))</f>
        <v>0</v>
      </c>
      <c r="BT55" s="123" cm="1">
        <f t="array" ref="BT55">INDEX(Properties!$D:$D,$B55+5)*(IF(AND(BT$3&gt;=INDEX(Properties!$Q:$Q,$B55+5),BT$3&lt;INDEX(Properties!$U:$U,$B55+5)),INDEX(Properties!$P:$P,$B55+5),0))</f>
        <v>0</v>
      </c>
      <c r="BU55" s="123" cm="1">
        <f t="array" ref="BU55">INDEX(Properties!$D:$D,$B55+5)*(IF(AND(BU$3&gt;=INDEX(Properties!$Q:$Q,$B55+5),BU$3&lt;INDEX(Properties!$U:$U,$B55+5)),INDEX(Properties!$P:$P,$B55+5),0))</f>
        <v>0</v>
      </c>
      <c r="BV55" s="123" cm="1">
        <f t="array" ref="BV55">INDEX(Properties!$D:$D,$B55+5)*(IF(AND(BV$3&gt;=INDEX(Properties!$Q:$Q,$B55+5),BV$3&lt;INDEX(Properties!$U:$U,$B55+5)),INDEX(Properties!$P:$P,$B55+5),0))</f>
        <v>0</v>
      </c>
      <c r="BW55" s="123" cm="1">
        <f t="array" ref="BW55">INDEX(Properties!$D:$D,$B55+5)*(IF(AND(BW$3&gt;=INDEX(Properties!$Q:$Q,$B55+5),BW$3&lt;INDEX(Properties!$U:$U,$B55+5)),INDEX(Properties!$P:$P,$B55+5),0))</f>
        <v>0</v>
      </c>
      <c r="BX55" s="123" cm="1">
        <f t="array" ref="BX55">INDEX(Properties!$D:$D,$B55+5)*(IF(AND(BX$3&gt;=INDEX(Properties!$Q:$Q,$B55+5),BX$3&lt;INDEX(Properties!$U:$U,$B55+5)),INDEX(Properties!$P:$P,$B55+5),0))</f>
        <v>0</v>
      </c>
      <c r="BY55" s="123" cm="1">
        <f t="array" ref="BY55">INDEX(Properties!$D:$D,$B55+5)*(IF(AND(BY$3&gt;=INDEX(Properties!$Q:$Q,$B55+5),BY$3&lt;INDEX(Properties!$U:$U,$B55+5)),INDEX(Properties!$P:$P,$B55+5),0))</f>
        <v>0</v>
      </c>
      <c r="BZ55" s="123" cm="1">
        <f t="array" ref="BZ55">INDEX(Properties!$D:$D,$B55+5)*(IF(AND(BZ$3&gt;=INDEX(Properties!$Q:$Q,$B55+5),BZ$3&lt;INDEX(Properties!$U:$U,$B55+5)),INDEX(Properties!$P:$P,$B55+5),0))</f>
        <v>0</v>
      </c>
      <c r="CA55" s="123" cm="1">
        <f t="array" ref="CA55">INDEX(Properties!$D:$D,$B55+5)*(IF(AND(CA$3&gt;=INDEX(Properties!$Q:$Q,$B55+5),CA$3&lt;INDEX(Properties!$U:$U,$B55+5)),INDEX(Properties!$P:$P,$B55+5),0))</f>
        <v>0</v>
      </c>
      <c r="CB55" s="123" cm="1">
        <f t="array" ref="CB55">INDEX(Properties!$D:$D,$B55+5)*(IF(AND(CB$3&gt;=INDEX(Properties!$Q:$Q,$B55+5),CB$3&lt;INDEX(Properties!$U:$U,$B55+5)),INDEX(Properties!$P:$P,$B55+5),0))</f>
        <v>0</v>
      </c>
      <c r="CC55" s="123" cm="1">
        <f t="array" ref="CC55">INDEX(Properties!$D:$D,$B55+5)*(IF(AND(CC$3&gt;=INDEX(Properties!$Q:$Q,$B55+5),CC$3&lt;INDEX(Properties!$U:$U,$B55+5)),INDEX(Properties!$P:$P,$B55+5),0))</f>
        <v>0</v>
      </c>
      <c r="CD55" s="123" cm="1">
        <f t="array" ref="CD55">INDEX(Properties!$D:$D,$B55+5)*(IF(AND(CD$3&gt;=INDEX(Properties!$Q:$Q,$B55+5),CD$3&lt;INDEX(Properties!$U:$U,$B55+5)),INDEX(Properties!$P:$P,$B55+5),0))</f>
        <v>0</v>
      </c>
      <c r="CE55" s="123" cm="1">
        <f t="array" ref="CE55">INDEX(Properties!$D:$D,$B55+5)*(IF(AND(CE$3&gt;=INDEX(Properties!$Q:$Q,$B55+5),CE$3&lt;INDEX(Properties!$U:$U,$B55+5)),INDEX(Properties!$P:$P,$B55+5),0))</f>
        <v>0</v>
      </c>
      <c r="CF55" s="123" cm="1">
        <f t="array" ref="CF55">INDEX(Properties!$D:$D,$B55+5)*(IF(AND(CF$3&gt;=INDEX(Properties!$Q:$Q,$B55+5),CF$3&lt;INDEX(Properties!$U:$U,$B55+5)),INDEX(Properties!$P:$P,$B55+5),0))</f>
        <v>0</v>
      </c>
      <c r="CG55" s="123" cm="1">
        <f t="array" ref="CG55">INDEX(Properties!$D:$D,$B55+5)*(IF(AND(CG$3&gt;=INDEX(Properties!$Q:$Q,$B55+5),CG$3&lt;INDEX(Properties!$U:$U,$B55+5)),INDEX(Properties!$P:$P,$B55+5),0))</f>
        <v>0</v>
      </c>
      <c r="CH55" s="123" cm="1">
        <f t="array" ref="CH55">INDEX(Properties!$D:$D,$B55+5)*(IF(AND(CH$3&gt;=INDEX(Properties!$Q:$Q,$B55+5),CH$3&lt;INDEX(Properties!$U:$U,$B55+5)),INDEX(Properties!$P:$P,$B55+5),0))</f>
        <v>0</v>
      </c>
      <c r="CI55" s="123" cm="1">
        <f t="array" ref="CI55">INDEX(Properties!$D:$D,$B55+5)*(IF(AND(CI$3&gt;=INDEX(Properties!$Q:$Q,$B55+5),CI$3&lt;INDEX(Properties!$U:$U,$B55+5)),INDEX(Properties!$P:$P,$B55+5),0))</f>
        <v>0</v>
      </c>
      <c r="CJ55" s="123" cm="1">
        <f t="array" ref="CJ55">INDEX(Properties!$D:$D,$B55+5)*(IF(AND(CJ$3&gt;=INDEX(Properties!$Q:$Q,$B55+5),CJ$3&lt;INDEX(Properties!$U:$U,$B55+5)),INDEX(Properties!$P:$P,$B55+5),0))</f>
        <v>0</v>
      </c>
      <c r="CK55" s="123" cm="1">
        <f t="array" ref="CK55">INDEX(Properties!$D:$D,$B55+5)*(IF(AND(CK$3&gt;=INDEX(Properties!$Q:$Q,$B55+5),CK$3&lt;INDEX(Properties!$U:$U,$B55+5)),INDEX(Properties!$P:$P,$B55+5),0))</f>
        <v>0</v>
      </c>
      <c r="CL55" s="123" cm="1">
        <f t="array" ref="CL55">INDEX(Properties!$D:$D,$B55+5)*(IF(AND(CL$3&gt;=INDEX(Properties!$Q:$Q,$B55+5),CL$3&lt;INDEX(Properties!$U:$U,$B55+5)),INDEX(Properties!$P:$P,$B55+5),0))</f>
        <v>0</v>
      </c>
      <c r="CM55" s="123" cm="1">
        <f t="array" ref="CM55">INDEX(Properties!$D:$D,$B55+5)*(IF(AND(CM$3&gt;=INDEX(Properties!$Q:$Q,$B55+5),CM$3&lt;INDEX(Properties!$U:$U,$B55+5)),INDEX(Properties!$P:$P,$B55+5),0))</f>
        <v>0</v>
      </c>
      <c r="CN55" s="123" cm="1">
        <f t="array" ref="CN55">INDEX(Properties!$D:$D,$B55+5)*(IF(AND(CN$3&gt;=INDEX(Properties!$Q:$Q,$B55+5),CN$3&lt;INDEX(Properties!$U:$U,$B55+5)),INDEX(Properties!$P:$P,$B55+5),0))</f>
        <v>0</v>
      </c>
      <c r="CO55" s="123" cm="1">
        <f t="array" ref="CO55">INDEX(Properties!$D:$D,$B55+5)*(IF(AND(CO$3&gt;=INDEX(Properties!$Q:$Q,$B55+5),CO$3&lt;INDEX(Properties!$U:$U,$B55+5)),INDEX(Properties!$P:$P,$B55+5),0))</f>
        <v>0</v>
      </c>
      <c r="CP55" s="123" cm="1">
        <f t="array" ref="CP55">INDEX(Properties!$D:$D,$B55+5)*(IF(AND(CP$3&gt;=INDEX(Properties!$Q:$Q,$B55+5),CP$3&lt;INDEX(Properties!$U:$U,$B55+5)),INDEX(Properties!$P:$P,$B55+5),0))</f>
        <v>0</v>
      </c>
      <c r="CQ55" s="123" cm="1">
        <f t="array" ref="CQ55">INDEX(Properties!$D:$D,$B55+5)*(IF(AND(CQ$3&gt;=INDEX(Properties!$Q:$Q,$B55+5),CQ$3&lt;INDEX(Properties!$U:$U,$B55+5)),INDEX(Properties!$P:$P,$B55+5),0))</f>
        <v>0</v>
      </c>
      <c r="CR55" s="123" cm="1">
        <f t="array" ref="CR55">INDEX(Properties!$D:$D,$B55+5)*(IF(AND(CR$3&gt;=INDEX(Properties!$Q:$Q,$B55+5),CR$3&lt;INDEX(Properties!$U:$U,$B55+5)),INDEX(Properties!$P:$P,$B55+5),0))</f>
        <v>0</v>
      </c>
      <c r="CS55" s="123" cm="1">
        <f t="array" ref="CS55">INDEX(Properties!$D:$D,$B55+5)*(IF(AND(CS$3&gt;=INDEX(Properties!$Q:$Q,$B55+5),CS$3&lt;INDEX(Properties!$U:$U,$B55+5)),INDEX(Properties!$P:$P,$B55+5),0))</f>
        <v>0</v>
      </c>
      <c r="CT55" s="123" cm="1">
        <f t="array" ref="CT55">INDEX(Properties!$D:$D,$B55+5)*(IF(AND(CT$3&gt;=INDEX(Properties!$Q:$Q,$B55+5),CT$3&lt;INDEX(Properties!$U:$U,$B55+5)),INDEX(Properties!$P:$P,$B55+5),0))</f>
        <v>0</v>
      </c>
      <c r="CU55" s="123" cm="1">
        <f t="array" ref="CU55">INDEX(Properties!$D:$D,$B55+5)*(IF(AND(CU$3&gt;=INDEX(Properties!$Q:$Q,$B55+5),CU$3&lt;INDEX(Properties!$U:$U,$B55+5)),INDEX(Properties!$P:$P,$B55+5),0))</f>
        <v>0</v>
      </c>
      <c r="CV55" s="123" cm="1">
        <f t="array" ref="CV55">INDEX(Properties!$D:$D,$B55+5)*(IF(AND(CV$3&gt;=INDEX(Properties!$Q:$Q,$B55+5),CV$3&lt;INDEX(Properties!$U:$U,$B55+5)),INDEX(Properties!$P:$P,$B55+5),0))</f>
        <v>0</v>
      </c>
      <c r="CW55" s="123" cm="1">
        <f t="array" ref="CW55">INDEX(Properties!$D:$D,$B55+5)*(IF(AND(CW$3&gt;=INDEX(Properties!$Q:$Q,$B55+5),CW$3&lt;INDEX(Properties!$U:$U,$B55+5)),INDEX(Properties!$P:$P,$B55+5),0))</f>
        <v>0</v>
      </c>
      <c r="CX55" s="123" cm="1">
        <f t="array" ref="CX55">INDEX(Properties!$D:$D,$B55+5)*(IF(AND(CX$3&gt;=INDEX(Properties!$Q:$Q,$B55+5),CX$3&lt;INDEX(Properties!$U:$U,$B55+5)),INDEX(Properties!$P:$P,$B55+5),0))</f>
        <v>0</v>
      </c>
      <c r="CY55" s="123" cm="1">
        <f t="array" ref="CY55">INDEX(Properties!$D:$D,$B55+5)*(IF(AND(CY$3&gt;=INDEX(Properties!$Q:$Q,$B55+5),CY$3&lt;INDEX(Properties!$U:$U,$B55+5)),INDEX(Properties!$P:$P,$B55+5),0))</f>
        <v>0</v>
      </c>
      <c r="CZ55" s="123" cm="1">
        <f t="array" ref="CZ55">INDEX(Properties!$D:$D,$B55+5)*(IF(AND(CZ$3&gt;=INDEX(Properties!$Q:$Q,$B55+5),CZ$3&lt;INDEX(Properties!$U:$U,$B55+5)),INDEX(Properties!$P:$P,$B55+5),0))</f>
        <v>0</v>
      </c>
      <c r="DA55" s="123" cm="1">
        <f t="array" ref="DA55">INDEX(Properties!$D:$D,$B55+5)*(IF(AND(DA$3&gt;=INDEX(Properties!$Q:$Q,$B55+5),DA$3&lt;INDEX(Properties!$U:$U,$B55+5)),INDEX(Properties!$P:$P,$B55+5),0))</f>
        <v>0</v>
      </c>
      <c r="DB55" s="123" cm="1">
        <f t="array" ref="DB55">INDEX(Properties!$D:$D,$B55+5)*(IF(AND(DB$3&gt;=INDEX(Properties!$Q:$Q,$B55+5),DB$3&lt;INDEX(Properties!$U:$U,$B55+5)),INDEX(Properties!$P:$P,$B55+5),0))</f>
        <v>0</v>
      </c>
      <c r="DC55" s="123" cm="1">
        <f t="array" ref="DC55">INDEX(Properties!$D:$D,$B55+5)*(IF(AND(DC$3&gt;=INDEX(Properties!$Q:$Q,$B55+5),DC$3&lt;INDEX(Properties!$U:$U,$B55+5)),INDEX(Properties!$P:$P,$B55+5),0))</f>
        <v>0</v>
      </c>
      <c r="DD55" s="123" cm="1">
        <f t="array" ref="DD55">INDEX(Properties!$D:$D,$B55+5)*(IF(AND(DD$3&gt;=INDEX(Properties!$Q:$Q,$B55+5),DD$3&lt;INDEX(Properties!$U:$U,$B55+5)),INDEX(Properties!$P:$P,$B55+5),0))</f>
        <v>0</v>
      </c>
      <c r="DE55" s="123" cm="1">
        <f t="array" ref="DE55">INDEX(Properties!$D:$D,$B55+5)*(IF(AND(DE$3&gt;=INDEX(Properties!$Q:$Q,$B55+5),DE$3&lt;INDEX(Properties!$U:$U,$B55+5)),INDEX(Properties!$P:$P,$B55+5),0))</f>
        <v>0</v>
      </c>
      <c r="DF55" s="123" cm="1">
        <f t="array" ref="DF55">INDEX(Properties!$D:$D,$B55+5)*(IF(AND(DF$3&gt;=INDEX(Properties!$Q:$Q,$B55+5),DF$3&lt;INDEX(Properties!$U:$U,$B55+5)),INDEX(Properties!$P:$P,$B55+5),0))</f>
        <v>0</v>
      </c>
      <c r="DG55" s="123" cm="1">
        <f t="array" ref="DG55">INDEX(Properties!$D:$D,$B55+5)*(IF(AND(DG$3&gt;=INDEX(Properties!$Q:$Q,$B55+5),DG$3&lt;INDEX(Properties!$U:$U,$B55+5)),INDEX(Properties!$P:$P,$B55+5),0))</f>
        <v>0</v>
      </c>
      <c r="DH55" s="123" cm="1">
        <f t="array" ref="DH55">INDEX(Properties!$D:$D,$B55+5)*(IF(AND(DH$3&gt;=INDEX(Properties!$Q:$Q,$B55+5),DH$3&lt;INDEX(Properties!$U:$U,$B55+5)),INDEX(Properties!$P:$P,$B55+5),0))</f>
        <v>0</v>
      </c>
      <c r="DI55" s="123" cm="1">
        <f t="array" ref="DI55">INDEX(Properties!$D:$D,$B55+5)*(IF(AND(DI$3&gt;=INDEX(Properties!$Q:$Q,$B55+5),DI$3&lt;INDEX(Properties!$U:$U,$B55+5)),INDEX(Properties!$P:$P,$B55+5),0))</f>
        <v>0</v>
      </c>
      <c r="DJ55" s="123" cm="1">
        <f t="array" ref="DJ55">INDEX(Properties!$D:$D,$B55+5)*(IF(AND(DJ$3&gt;=INDEX(Properties!$Q:$Q,$B55+5),DJ$3&lt;INDEX(Properties!$U:$U,$B55+5)),INDEX(Properties!$P:$P,$B55+5),0))</f>
        <v>0</v>
      </c>
      <c r="DK55" s="123" cm="1">
        <f t="array" ref="DK55">INDEX(Properties!$D:$D,$B55+5)*(IF(AND(DK$3&gt;=INDEX(Properties!$Q:$Q,$B55+5),DK$3&lt;INDEX(Properties!$U:$U,$B55+5)),INDEX(Properties!$P:$P,$B55+5),0))</f>
        <v>0</v>
      </c>
      <c r="DL55" s="123" cm="1">
        <f t="array" ref="DL55">INDEX(Properties!$D:$D,$B55+5)*(IF(AND(DL$3&gt;=INDEX(Properties!$Q:$Q,$B55+5),DL$3&lt;INDEX(Properties!$U:$U,$B55+5)),INDEX(Properties!$P:$P,$B55+5),0))</f>
        <v>0</v>
      </c>
      <c r="DM55" s="123" cm="1">
        <f t="array" ref="DM55">INDEX(Properties!$D:$D,$B55+5)*(IF(AND(DM$3&gt;=INDEX(Properties!$Q:$Q,$B55+5),DM$3&lt;INDEX(Properties!$U:$U,$B55+5)),INDEX(Properties!$P:$P,$B55+5),0))</f>
        <v>0</v>
      </c>
      <c r="DN55" s="123" cm="1">
        <f t="array" ref="DN55">INDEX(Properties!$D:$D,$B55+5)*(IF(AND(DN$3&gt;=INDEX(Properties!$Q:$Q,$B55+5),DN$3&lt;INDEX(Properties!$U:$U,$B55+5)),INDEX(Properties!$P:$P,$B55+5),0))</f>
        <v>0</v>
      </c>
      <c r="DO55" s="123" cm="1">
        <f t="array" ref="DO55">INDEX(Properties!$D:$D,$B55+5)*(IF(AND(DO$3&gt;=INDEX(Properties!$Q:$Q,$B55+5),DO$3&lt;INDEX(Properties!$U:$U,$B55+5)),INDEX(Properties!$P:$P,$B55+5),0))</f>
        <v>0</v>
      </c>
      <c r="DP55" s="123" cm="1">
        <f t="array" ref="DP55">INDEX(Properties!$D:$D,$B55+5)*(IF(AND(DP$3&gt;=INDEX(Properties!$Q:$Q,$B55+5),DP$3&lt;INDEX(Properties!$U:$U,$B55+5)),INDEX(Properties!$P:$P,$B55+5),0))</f>
        <v>0</v>
      </c>
      <c r="DQ55" s="123" cm="1">
        <f t="array" ref="DQ55">INDEX(Properties!$D:$D,$B55+5)*(IF(AND(DQ$3&gt;=INDEX(Properties!$Q:$Q,$B55+5),DQ$3&lt;INDEX(Properties!$U:$U,$B55+5)),INDEX(Properties!$P:$P,$B55+5),0))</f>
        <v>0</v>
      </c>
      <c r="DR55" s="123" cm="1">
        <f t="array" ref="DR55">INDEX(Properties!$D:$D,$B55+5)*(IF(AND(DR$3&gt;=INDEX(Properties!$Q:$Q,$B55+5),DR$3&lt;INDEX(Properties!$U:$U,$B55+5)),INDEX(Properties!$P:$P,$B55+5),0))</f>
        <v>0</v>
      </c>
    </row>
    <row r="56" spans="1:122" ht="16.05" customHeight="1" x14ac:dyDescent="0.3">
      <c r="A56" s="148" cm="1">
        <f t="array" ref="A56">INDEX(Properties!$E:$E,$B56+5)</f>
        <v>0</v>
      </c>
      <c r="B56" s="1">
        <v>8</v>
      </c>
      <c r="C56" s="123" cm="1">
        <f t="array" ref="C56">INDEX(Properties!$D:$D,$B56+5)*(IF(AND(C$3&gt;=INDEX(Properties!$Q:$Q,$B56+5),C$3&lt;INDEX(Properties!$U:$U,$B56+5)),INDEX(Properties!$P:$P,$B56+5),0))</f>
        <v>0</v>
      </c>
      <c r="D56" s="123" cm="1">
        <f t="array" ref="D56">INDEX(Properties!$D:$D,$B56+5)*(IF(AND(D$3&gt;=INDEX(Properties!$Q:$Q,$B56+5),D$3&lt;INDEX(Properties!$U:$U,$B56+5)),INDEX(Properties!$P:$P,$B56+5),0))</f>
        <v>0</v>
      </c>
      <c r="E56" s="123" cm="1">
        <f t="array" ref="E56">INDEX(Properties!$D:$D,$B56+5)*(IF(AND(E$3&gt;=INDEX(Properties!$Q:$Q,$B56+5),E$3&lt;INDEX(Properties!$U:$U,$B56+5)),INDEX(Properties!$P:$P,$B56+5),0))</f>
        <v>0</v>
      </c>
      <c r="F56" s="123" cm="1">
        <f t="array" ref="F56">INDEX(Properties!$D:$D,$B56+5)*(IF(AND(F$3&gt;=INDEX(Properties!$Q:$Q,$B56+5),F$3&lt;INDEX(Properties!$U:$U,$B56+5)),INDEX(Properties!$P:$P,$B56+5),0))</f>
        <v>0</v>
      </c>
      <c r="G56" s="123" cm="1">
        <f t="array" ref="G56">INDEX(Properties!$D:$D,$B56+5)*(IF(AND(G$3&gt;=INDEX(Properties!$Q:$Q,$B56+5),G$3&lt;INDEX(Properties!$U:$U,$B56+5)),INDEX(Properties!$P:$P,$B56+5),0))</f>
        <v>0</v>
      </c>
      <c r="H56" s="123" cm="1">
        <f t="array" ref="H56">INDEX(Properties!$D:$D,$B56+5)*(IF(AND(H$3&gt;=INDEX(Properties!$Q:$Q,$B56+5),H$3&lt;INDEX(Properties!$U:$U,$B56+5)),INDEX(Properties!$P:$P,$B56+5),0))</f>
        <v>0</v>
      </c>
      <c r="I56" s="123" cm="1">
        <f t="array" ref="I56">INDEX(Properties!$D:$D,$B56+5)*(IF(AND(I$3&gt;=INDEX(Properties!$Q:$Q,$B56+5),I$3&lt;INDEX(Properties!$U:$U,$B56+5)),INDEX(Properties!$P:$P,$B56+5),0))</f>
        <v>0</v>
      </c>
      <c r="J56" s="123" cm="1">
        <f t="array" ref="J56">INDEX(Properties!$D:$D,$B56+5)*(IF(AND(J$3&gt;=INDEX(Properties!$Q:$Q,$B56+5),J$3&lt;INDEX(Properties!$U:$U,$B56+5)),INDEX(Properties!$P:$P,$B56+5),0))</f>
        <v>0</v>
      </c>
      <c r="K56" s="123" cm="1">
        <f t="array" ref="K56">INDEX(Properties!$D:$D,$B56+5)*(IF(AND(K$3&gt;=INDEX(Properties!$Q:$Q,$B56+5),K$3&lt;INDEX(Properties!$U:$U,$B56+5)),INDEX(Properties!$P:$P,$B56+5),0))</f>
        <v>0</v>
      </c>
      <c r="L56" s="123" cm="1">
        <f t="array" ref="L56">INDEX(Properties!$D:$D,$B56+5)*(IF(AND(L$3&gt;=INDEX(Properties!$Q:$Q,$B56+5),L$3&lt;INDEX(Properties!$U:$U,$B56+5)),INDEX(Properties!$P:$P,$B56+5),0))</f>
        <v>0</v>
      </c>
      <c r="M56" s="123" cm="1">
        <f t="array" ref="M56">INDEX(Properties!$D:$D,$B56+5)*(IF(AND(M$3&gt;=INDEX(Properties!$Q:$Q,$B56+5),M$3&lt;INDEX(Properties!$U:$U,$B56+5)),INDEX(Properties!$P:$P,$B56+5),0))</f>
        <v>0</v>
      </c>
      <c r="N56" s="123" cm="1">
        <f t="array" ref="N56">INDEX(Properties!$D:$D,$B56+5)*(IF(AND(N$3&gt;=INDEX(Properties!$Q:$Q,$B56+5),N$3&lt;INDEX(Properties!$U:$U,$B56+5)),INDEX(Properties!$P:$P,$B56+5),0))</f>
        <v>0</v>
      </c>
      <c r="O56" s="123" cm="1">
        <f t="array" ref="O56">INDEX(Properties!$D:$D,$B56+5)*(IF(AND(O$3&gt;=INDEX(Properties!$Q:$Q,$B56+5),O$3&lt;INDEX(Properties!$U:$U,$B56+5)),INDEX(Properties!$P:$P,$B56+5),0))</f>
        <v>0</v>
      </c>
      <c r="P56" s="123" cm="1">
        <f t="array" ref="P56">INDEX(Properties!$D:$D,$B56+5)*(IF(AND(P$3&gt;=INDEX(Properties!$Q:$Q,$B56+5),P$3&lt;INDEX(Properties!$U:$U,$B56+5)),INDEX(Properties!$P:$P,$B56+5),0))</f>
        <v>0</v>
      </c>
      <c r="Q56" s="123" cm="1">
        <f t="array" ref="Q56">INDEX(Properties!$D:$D,$B56+5)*(IF(AND(Q$3&gt;=INDEX(Properties!$Q:$Q,$B56+5),Q$3&lt;INDEX(Properties!$U:$U,$B56+5)),INDEX(Properties!$P:$P,$B56+5),0))</f>
        <v>0</v>
      </c>
      <c r="R56" s="123" cm="1">
        <f t="array" ref="R56">INDEX(Properties!$D:$D,$B56+5)*(IF(AND(R$3&gt;=INDEX(Properties!$Q:$Q,$B56+5),R$3&lt;INDEX(Properties!$U:$U,$B56+5)),INDEX(Properties!$P:$P,$B56+5),0))</f>
        <v>0</v>
      </c>
      <c r="S56" s="123" cm="1">
        <f t="array" ref="S56">INDEX(Properties!$D:$D,$B56+5)*(IF(AND(S$3&gt;=INDEX(Properties!$Q:$Q,$B56+5),S$3&lt;INDEX(Properties!$U:$U,$B56+5)),INDEX(Properties!$P:$P,$B56+5),0))</f>
        <v>0</v>
      </c>
      <c r="T56" s="123" cm="1">
        <f t="array" ref="T56">INDEX(Properties!$D:$D,$B56+5)*(IF(AND(T$3&gt;=INDEX(Properties!$Q:$Q,$B56+5),T$3&lt;INDEX(Properties!$U:$U,$B56+5)),INDEX(Properties!$P:$P,$B56+5),0))</f>
        <v>0</v>
      </c>
      <c r="U56" s="123" cm="1">
        <f t="array" ref="U56">INDEX(Properties!$D:$D,$B56+5)*(IF(AND(U$3&gt;=INDEX(Properties!$Q:$Q,$B56+5),U$3&lt;INDEX(Properties!$U:$U,$B56+5)),INDEX(Properties!$P:$P,$B56+5),0))</f>
        <v>0</v>
      </c>
      <c r="V56" s="123" cm="1">
        <f t="array" ref="V56">INDEX(Properties!$D:$D,$B56+5)*(IF(AND(V$3&gt;=INDEX(Properties!$Q:$Q,$B56+5),V$3&lt;INDEX(Properties!$U:$U,$B56+5)),INDEX(Properties!$P:$P,$B56+5),0))</f>
        <v>0</v>
      </c>
      <c r="W56" s="123" cm="1">
        <f t="array" ref="W56">INDEX(Properties!$D:$D,$B56+5)*(IF(AND(W$3&gt;=INDEX(Properties!$Q:$Q,$B56+5),W$3&lt;INDEX(Properties!$U:$U,$B56+5)),INDEX(Properties!$P:$P,$B56+5),0))</f>
        <v>0</v>
      </c>
      <c r="X56" s="123" cm="1">
        <f t="array" ref="X56">INDEX(Properties!$D:$D,$B56+5)*(IF(AND(X$3&gt;=INDEX(Properties!$Q:$Q,$B56+5),X$3&lt;INDEX(Properties!$U:$U,$B56+5)),INDEX(Properties!$P:$P,$B56+5),0))</f>
        <v>0</v>
      </c>
      <c r="Y56" s="123" cm="1">
        <f t="array" ref="Y56">INDEX(Properties!$D:$D,$B56+5)*(IF(AND(Y$3&gt;=INDEX(Properties!$Q:$Q,$B56+5),Y$3&lt;INDEX(Properties!$U:$U,$B56+5)),INDEX(Properties!$P:$P,$B56+5),0))</f>
        <v>0</v>
      </c>
      <c r="Z56" s="123" cm="1">
        <f t="array" ref="Z56">INDEX(Properties!$D:$D,$B56+5)*(IF(AND(Z$3&gt;=INDEX(Properties!$Q:$Q,$B56+5),Z$3&lt;INDEX(Properties!$U:$U,$B56+5)),INDEX(Properties!$P:$P,$B56+5),0))</f>
        <v>0</v>
      </c>
      <c r="AA56" s="123" cm="1">
        <f t="array" ref="AA56">INDEX(Properties!$D:$D,$B56+5)*(IF(AND(AA$3&gt;=INDEX(Properties!$Q:$Q,$B56+5),AA$3&lt;INDEX(Properties!$U:$U,$B56+5)),INDEX(Properties!$P:$P,$B56+5),0))</f>
        <v>0</v>
      </c>
      <c r="AB56" s="123" cm="1">
        <f t="array" ref="AB56">INDEX(Properties!$D:$D,$B56+5)*(IF(AND(AB$3&gt;=INDEX(Properties!$Q:$Q,$B56+5),AB$3&lt;INDEX(Properties!$U:$U,$B56+5)),INDEX(Properties!$P:$P,$B56+5),0))</f>
        <v>0</v>
      </c>
      <c r="AC56" s="123" cm="1">
        <f t="array" ref="AC56">INDEX(Properties!$D:$D,$B56+5)*(IF(AND(AC$3&gt;=INDEX(Properties!$Q:$Q,$B56+5),AC$3&lt;INDEX(Properties!$U:$U,$B56+5)),INDEX(Properties!$P:$P,$B56+5),0))</f>
        <v>0</v>
      </c>
      <c r="AD56" s="123" cm="1">
        <f t="array" ref="AD56">INDEX(Properties!$D:$D,$B56+5)*(IF(AND(AD$3&gt;=INDEX(Properties!$Q:$Q,$B56+5),AD$3&lt;INDEX(Properties!$U:$U,$B56+5)),INDEX(Properties!$P:$P,$B56+5),0))</f>
        <v>0</v>
      </c>
      <c r="AE56" s="123" cm="1">
        <f t="array" ref="AE56">INDEX(Properties!$D:$D,$B56+5)*(IF(AND(AE$3&gt;=INDEX(Properties!$Q:$Q,$B56+5),AE$3&lt;INDEX(Properties!$U:$U,$B56+5)),INDEX(Properties!$P:$P,$B56+5),0))</f>
        <v>0</v>
      </c>
      <c r="AF56" s="123" cm="1">
        <f t="array" ref="AF56">INDEX(Properties!$D:$D,$B56+5)*(IF(AND(AF$3&gt;=INDEX(Properties!$Q:$Q,$B56+5),AF$3&lt;INDEX(Properties!$U:$U,$B56+5)),INDEX(Properties!$P:$P,$B56+5),0))</f>
        <v>0</v>
      </c>
      <c r="AG56" s="123" cm="1">
        <f t="array" ref="AG56">INDEX(Properties!$D:$D,$B56+5)*(IF(AND(AG$3&gt;=INDEX(Properties!$Q:$Q,$B56+5),AG$3&lt;INDEX(Properties!$U:$U,$B56+5)),INDEX(Properties!$P:$P,$B56+5),0))</f>
        <v>0</v>
      </c>
      <c r="AH56" s="123" cm="1">
        <f t="array" ref="AH56">INDEX(Properties!$D:$D,$B56+5)*(IF(AND(AH$3&gt;=INDEX(Properties!$Q:$Q,$B56+5),AH$3&lt;INDEX(Properties!$U:$U,$B56+5)),INDEX(Properties!$P:$P,$B56+5),0))</f>
        <v>0</v>
      </c>
      <c r="AI56" s="123" cm="1">
        <f t="array" ref="AI56">INDEX(Properties!$D:$D,$B56+5)*(IF(AND(AI$3&gt;=INDEX(Properties!$Q:$Q,$B56+5),AI$3&lt;INDEX(Properties!$U:$U,$B56+5)),INDEX(Properties!$P:$P,$B56+5),0))</f>
        <v>0</v>
      </c>
      <c r="AJ56" s="123" cm="1">
        <f t="array" ref="AJ56">INDEX(Properties!$D:$D,$B56+5)*(IF(AND(AJ$3&gt;=INDEX(Properties!$Q:$Q,$B56+5),AJ$3&lt;INDEX(Properties!$U:$U,$B56+5)),INDEX(Properties!$P:$P,$B56+5),0))</f>
        <v>0</v>
      </c>
      <c r="AK56" s="123" cm="1">
        <f t="array" ref="AK56">INDEX(Properties!$D:$D,$B56+5)*(IF(AND(AK$3&gt;=INDEX(Properties!$Q:$Q,$B56+5),AK$3&lt;INDEX(Properties!$U:$U,$B56+5)),INDEX(Properties!$P:$P,$B56+5),0))</f>
        <v>0</v>
      </c>
      <c r="AL56" s="123" cm="1">
        <f t="array" ref="AL56">INDEX(Properties!$D:$D,$B56+5)*(IF(AND(AL$3&gt;=INDEX(Properties!$Q:$Q,$B56+5),AL$3&lt;INDEX(Properties!$U:$U,$B56+5)),INDEX(Properties!$P:$P,$B56+5),0))</f>
        <v>0</v>
      </c>
      <c r="AM56" s="123" cm="1">
        <f t="array" ref="AM56">INDEX(Properties!$D:$D,$B56+5)*(IF(AND(AM$3&gt;=INDEX(Properties!$Q:$Q,$B56+5),AM$3&lt;INDEX(Properties!$U:$U,$B56+5)),INDEX(Properties!$P:$P,$B56+5),0))</f>
        <v>0</v>
      </c>
      <c r="AN56" s="123" cm="1">
        <f t="array" ref="AN56">INDEX(Properties!$D:$D,$B56+5)*(IF(AND(AN$3&gt;=INDEX(Properties!$Q:$Q,$B56+5),AN$3&lt;INDEX(Properties!$U:$U,$B56+5)),INDEX(Properties!$P:$P,$B56+5),0))</f>
        <v>0</v>
      </c>
      <c r="AO56" s="123" cm="1">
        <f t="array" ref="AO56">INDEX(Properties!$D:$D,$B56+5)*(IF(AND(AO$3&gt;=INDEX(Properties!$Q:$Q,$B56+5),AO$3&lt;INDEX(Properties!$U:$U,$B56+5)),INDEX(Properties!$P:$P,$B56+5),0))</f>
        <v>0</v>
      </c>
      <c r="AP56" s="123" cm="1">
        <f t="array" ref="AP56">INDEX(Properties!$D:$D,$B56+5)*(IF(AND(AP$3&gt;=INDEX(Properties!$Q:$Q,$B56+5),AP$3&lt;INDEX(Properties!$U:$U,$B56+5)),INDEX(Properties!$P:$P,$B56+5),0))</f>
        <v>0</v>
      </c>
      <c r="AQ56" s="123" cm="1">
        <f t="array" ref="AQ56">INDEX(Properties!$D:$D,$B56+5)*(IF(AND(AQ$3&gt;=INDEX(Properties!$Q:$Q,$B56+5),AQ$3&lt;INDEX(Properties!$U:$U,$B56+5)),INDEX(Properties!$P:$P,$B56+5),0))</f>
        <v>0</v>
      </c>
      <c r="AR56" s="123" cm="1">
        <f t="array" ref="AR56">INDEX(Properties!$D:$D,$B56+5)*(IF(AND(AR$3&gt;=INDEX(Properties!$Q:$Q,$B56+5),AR$3&lt;INDEX(Properties!$U:$U,$B56+5)),INDEX(Properties!$P:$P,$B56+5),0))</f>
        <v>0</v>
      </c>
      <c r="AS56" s="123" cm="1">
        <f t="array" ref="AS56">INDEX(Properties!$D:$D,$B56+5)*(IF(AND(AS$3&gt;=INDEX(Properties!$Q:$Q,$B56+5),AS$3&lt;INDEX(Properties!$U:$U,$B56+5)),INDEX(Properties!$P:$P,$B56+5),0))</f>
        <v>0</v>
      </c>
      <c r="AT56" s="123" cm="1">
        <f t="array" ref="AT56">INDEX(Properties!$D:$D,$B56+5)*(IF(AND(AT$3&gt;=INDEX(Properties!$Q:$Q,$B56+5),AT$3&lt;INDEX(Properties!$U:$U,$B56+5)),INDEX(Properties!$P:$P,$B56+5),0))</f>
        <v>0</v>
      </c>
      <c r="AU56" s="123" cm="1">
        <f t="array" ref="AU56">INDEX(Properties!$D:$D,$B56+5)*(IF(AND(AU$3&gt;=INDEX(Properties!$Q:$Q,$B56+5),AU$3&lt;INDEX(Properties!$U:$U,$B56+5)),INDEX(Properties!$P:$P,$B56+5),0))</f>
        <v>0</v>
      </c>
      <c r="AV56" s="123" cm="1">
        <f t="array" ref="AV56">INDEX(Properties!$D:$D,$B56+5)*(IF(AND(AV$3&gt;=INDEX(Properties!$Q:$Q,$B56+5),AV$3&lt;INDEX(Properties!$U:$U,$B56+5)),INDEX(Properties!$P:$P,$B56+5),0))</f>
        <v>0</v>
      </c>
      <c r="AW56" s="123" cm="1">
        <f t="array" ref="AW56">INDEX(Properties!$D:$D,$B56+5)*(IF(AND(AW$3&gt;=INDEX(Properties!$Q:$Q,$B56+5),AW$3&lt;INDEX(Properties!$U:$U,$B56+5)),INDEX(Properties!$P:$P,$B56+5),0))</f>
        <v>0</v>
      </c>
      <c r="AX56" s="123" cm="1">
        <f t="array" ref="AX56">INDEX(Properties!$D:$D,$B56+5)*(IF(AND(AX$3&gt;=INDEX(Properties!$Q:$Q,$B56+5),AX$3&lt;INDEX(Properties!$U:$U,$B56+5)),INDEX(Properties!$P:$P,$B56+5),0))</f>
        <v>0</v>
      </c>
      <c r="AY56" s="123" cm="1">
        <f t="array" ref="AY56">INDEX(Properties!$D:$D,$B56+5)*(IF(AND(AY$3&gt;=INDEX(Properties!$Q:$Q,$B56+5),AY$3&lt;INDEX(Properties!$U:$U,$B56+5)),INDEX(Properties!$P:$P,$B56+5),0))</f>
        <v>0</v>
      </c>
      <c r="AZ56" s="123" cm="1">
        <f t="array" ref="AZ56">INDEX(Properties!$D:$D,$B56+5)*(IF(AND(AZ$3&gt;=INDEX(Properties!$Q:$Q,$B56+5),AZ$3&lt;INDEX(Properties!$U:$U,$B56+5)),INDEX(Properties!$P:$P,$B56+5),0))</f>
        <v>0</v>
      </c>
      <c r="BA56" s="123" cm="1">
        <f t="array" ref="BA56">INDEX(Properties!$D:$D,$B56+5)*(IF(AND(BA$3&gt;=INDEX(Properties!$Q:$Q,$B56+5),BA$3&lt;INDEX(Properties!$U:$U,$B56+5)),INDEX(Properties!$P:$P,$B56+5),0))</f>
        <v>0</v>
      </c>
      <c r="BB56" s="123" cm="1">
        <f t="array" ref="BB56">INDEX(Properties!$D:$D,$B56+5)*(IF(AND(BB$3&gt;=INDEX(Properties!$Q:$Q,$B56+5),BB$3&lt;INDEX(Properties!$U:$U,$B56+5)),INDEX(Properties!$P:$P,$B56+5),0))</f>
        <v>0</v>
      </c>
      <c r="BC56" s="123" cm="1">
        <f t="array" ref="BC56">INDEX(Properties!$D:$D,$B56+5)*(IF(AND(BC$3&gt;=INDEX(Properties!$Q:$Q,$B56+5),BC$3&lt;INDEX(Properties!$U:$U,$B56+5)),INDEX(Properties!$P:$P,$B56+5),0))</f>
        <v>0</v>
      </c>
      <c r="BD56" s="123" cm="1">
        <f t="array" ref="BD56">INDEX(Properties!$D:$D,$B56+5)*(IF(AND(BD$3&gt;=INDEX(Properties!$Q:$Q,$B56+5),BD$3&lt;INDEX(Properties!$U:$U,$B56+5)),INDEX(Properties!$P:$P,$B56+5),0))</f>
        <v>0</v>
      </c>
      <c r="BE56" s="123" cm="1">
        <f t="array" ref="BE56">INDEX(Properties!$D:$D,$B56+5)*(IF(AND(BE$3&gt;=INDEX(Properties!$Q:$Q,$B56+5),BE$3&lt;INDEX(Properties!$U:$U,$B56+5)),INDEX(Properties!$P:$P,$B56+5),0))</f>
        <v>0</v>
      </c>
      <c r="BF56" s="123" cm="1">
        <f t="array" ref="BF56">INDEX(Properties!$D:$D,$B56+5)*(IF(AND(BF$3&gt;=INDEX(Properties!$Q:$Q,$B56+5),BF$3&lt;INDEX(Properties!$U:$U,$B56+5)),INDEX(Properties!$P:$P,$B56+5),0))</f>
        <v>0</v>
      </c>
      <c r="BG56" s="123" cm="1">
        <f t="array" ref="BG56">INDEX(Properties!$D:$D,$B56+5)*(IF(AND(BG$3&gt;=INDEX(Properties!$Q:$Q,$B56+5),BG$3&lt;INDEX(Properties!$U:$U,$B56+5)),INDEX(Properties!$P:$P,$B56+5),0))</f>
        <v>0</v>
      </c>
      <c r="BH56" s="123" cm="1">
        <f t="array" ref="BH56">INDEX(Properties!$D:$D,$B56+5)*(IF(AND(BH$3&gt;=INDEX(Properties!$Q:$Q,$B56+5),BH$3&lt;INDEX(Properties!$U:$U,$B56+5)),INDEX(Properties!$P:$P,$B56+5),0))</f>
        <v>0</v>
      </c>
      <c r="BI56" s="123" cm="1">
        <f t="array" ref="BI56">INDEX(Properties!$D:$D,$B56+5)*(IF(AND(BI$3&gt;=INDEX(Properties!$Q:$Q,$B56+5),BI$3&lt;INDEX(Properties!$U:$U,$B56+5)),INDEX(Properties!$P:$P,$B56+5),0))</f>
        <v>0</v>
      </c>
      <c r="BJ56" s="123" cm="1">
        <f t="array" ref="BJ56">INDEX(Properties!$D:$D,$B56+5)*(IF(AND(BJ$3&gt;=INDEX(Properties!$Q:$Q,$B56+5),BJ$3&lt;INDEX(Properties!$U:$U,$B56+5)),INDEX(Properties!$P:$P,$B56+5),0))</f>
        <v>0</v>
      </c>
      <c r="BK56" s="123" cm="1">
        <f t="array" ref="BK56">INDEX(Properties!$D:$D,$B56+5)*(IF(AND(BK$3&gt;=INDEX(Properties!$Q:$Q,$B56+5),BK$3&lt;INDEX(Properties!$U:$U,$B56+5)),INDEX(Properties!$P:$P,$B56+5),0))</f>
        <v>0</v>
      </c>
      <c r="BL56" s="123" cm="1">
        <f t="array" ref="BL56">INDEX(Properties!$D:$D,$B56+5)*(IF(AND(BL$3&gt;=INDEX(Properties!$Q:$Q,$B56+5),BL$3&lt;INDEX(Properties!$U:$U,$B56+5)),INDEX(Properties!$P:$P,$B56+5),0))</f>
        <v>0</v>
      </c>
      <c r="BM56" s="123" cm="1">
        <f t="array" ref="BM56">INDEX(Properties!$D:$D,$B56+5)*(IF(AND(BM$3&gt;=INDEX(Properties!$Q:$Q,$B56+5),BM$3&lt;INDEX(Properties!$U:$U,$B56+5)),INDEX(Properties!$P:$P,$B56+5),0))</f>
        <v>0</v>
      </c>
      <c r="BN56" s="123" cm="1">
        <f t="array" ref="BN56">INDEX(Properties!$D:$D,$B56+5)*(IF(AND(BN$3&gt;=INDEX(Properties!$Q:$Q,$B56+5),BN$3&lt;INDEX(Properties!$U:$U,$B56+5)),INDEX(Properties!$P:$P,$B56+5),0))</f>
        <v>0</v>
      </c>
      <c r="BO56" s="123" cm="1">
        <f t="array" ref="BO56">INDEX(Properties!$D:$D,$B56+5)*(IF(AND(BO$3&gt;=INDEX(Properties!$Q:$Q,$B56+5),BO$3&lt;INDEX(Properties!$U:$U,$B56+5)),INDEX(Properties!$P:$P,$B56+5),0))</f>
        <v>0</v>
      </c>
      <c r="BP56" s="123" cm="1">
        <f t="array" ref="BP56">INDEX(Properties!$D:$D,$B56+5)*(IF(AND(BP$3&gt;=INDEX(Properties!$Q:$Q,$B56+5),BP$3&lt;INDEX(Properties!$U:$U,$B56+5)),INDEX(Properties!$P:$P,$B56+5),0))</f>
        <v>0</v>
      </c>
      <c r="BQ56" s="123" cm="1">
        <f t="array" ref="BQ56">INDEX(Properties!$D:$D,$B56+5)*(IF(AND(BQ$3&gt;=INDEX(Properties!$Q:$Q,$B56+5),BQ$3&lt;INDEX(Properties!$U:$U,$B56+5)),INDEX(Properties!$P:$P,$B56+5),0))</f>
        <v>0</v>
      </c>
      <c r="BR56" s="123" cm="1">
        <f t="array" ref="BR56">INDEX(Properties!$D:$D,$B56+5)*(IF(AND(BR$3&gt;=INDEX(Properties!$Q:$Q,$B56+5),BR$3&lt;INDEX(Properties!$U:$U,$B56+5)),INDEX(Properties!$P:$P,$B56+5),0))</f>
        <v>0</v>
      </c>
      <c r="BS56" s="123" cm="1">
        <f t="array" ref="BS56">INDEX(Properties!$D:$D,$B56+5)*(IF(AND(BS$3&gt;=INDEX(Properties!$Q:$Q,$B56+5),BS$3&lt;INDEX(Properties!$U:$U,$B56+5)),INDEX(Properties!$P:$P,$B56+5),0))</f>
        <v>0</v>
      </c>
      <c r="BT56" s="123" cm="1">
        <f t="array" ref="BT56">INDEX(Properties!$D:$D,$B56+5)*(IF(AND(BT$3&gt;=INDEX(Properties!$Q:$Q,$B56+5),BT$3&lt;INDEX(Properties!$U:$U,$B56+5)),INDEX(Properties!$P:$P,$B56+5),0))</f>
        <v>0</v>
      </c>
      <c r="BU56" s="123" cm="1">
        <f t="array" ref="BU56">INDEX(Properties!$D:$D,$B56+5)*(IF(AND(BU$3&gt;=INDEX(Properties!$Q:$Q,$B56+5),BU$3&lt;INDEX(Properties!$U:$U,$B56+5)),INDEX(Properties!$P:$P,$B56+5),0))</f>
        <v>0</v>
      </c>
      <c r="BV56" s="123" cm="1">
        <f t="array" ref="BV56">INDEX(Properties!$D:$D,$B56+5)*(IF(AND(BV$3&gt;=INDEX(Properties!$Q:$Q,$B56+5),BV$3&lt;INDEX(Properties!$U:$U,$B56+5)),INDEX(Properties!$P:$P,$B56+5),0))</f>
        <v>0</v>
      </c>
      <c r="BW56" s="123" cm="1">
        <f t="array" ref="BW56">INDEX(Properties!$D:$D,$B56+5)*(IF(AND(BW$3&gt;=INDEX(Properties!$Q:$Q,$B56+5),BW$3&lt;INDEX(Properties!$U:$U,$B56+5)),INDEX(Properties!$P:$P,$B56+5),0))</f>
        <v>0</v>
      </c>
      <c r="BX56" s="123" cm="1">
        <f t="array" ref="BX56">INDEX(Properties!$D:$D,$B56+5)*(IF(AND(BX$3&gt;=INDEX(Properties!$Q:$Q,$B56+5),BX$3&lt;INDEX(Properties!$U:$U,$B56+5)),INDEX(Properties!$P:$P,$B56+5),0))</f>
        <v>0</v>
      </c>
      <c r="BY56" s="123" cm="1">
        <f t="array" ref="BY56">INDEX(Properties!$D:$D,$B56+5)*(IF(AND(BY$3&gt;=INDEX(Properties!$Q:$Q,$B56+5),BY$3&lt;INDEX(Properties!$U:$U,$B56+5)),INDEX(Properties!$P:$P,$B56+5),0))</f>
        <v>0</v>
      </c>
      <c r="BZ56" s="123" cm="1">
        <f t="array" ref="BZ56">INDEX(Properties!$D:$D,$B56+5)*(IF(AND(BZ$3&gt;=INDEX(Properties!$Q:$Q,$B56+5),BZ$3&lt;INDEX(Properties!$U:$U,$B56+5)),INDEX(Properties!$P:$P,$B56+5),0))</f>
        <v>0</v>
      </c>
      <c r="CA56" s="123" cm="1">
        <f t="array" ref="CA56">INDEX(Properties!$D:$D,$B56+5)*(IF(AND(CA$3&gt;=INDEX(Properties!$Q:$Q,$B56+5),CA$3&lt;INDEX(Properties!$U:$U,$B56+5)),INDEX(Properties!$P:$P,$B56+5),0))</f>
        <v>0</v>
      </c>
      <c r="CB56" s="123" cm="1">
        <f t="array" ref="CB56">INDEX(Properties!$D:$D,$B56+5)*(IF(AND(CB$3&gt;=INDEX(Properties!$Q:$Q,$B56+5),CB$3&lt;INDEX(Properties!$U:$U,$B56+5)),INDEX(Properties!$P:$P,$B56+5),0))</f>
        <v>0</v>
      </c>
      <c r="CC56" s="123" cm="1">
        <f t="array" ref="CC56">INDEX(Properties!$D:$D,$B56+5)*(IF(AND(CC$3&gt;=INDEX(Properties!$Q:$Q,$B56+5),CC$3&lt;INDEX(Properties!$U:$U,$B56+5)),INDEX(Properties!$P:$P,$B56+5),0))</f>
        <v>0</v>
      </c>
      <c r="CD56" s="123" cm="1">
        <f t="array" ref="CD56">INDEX(Properties!$D:$D,$B56+5)*(IF(AND(CD$3&gt;=INDEX(Properties!$Q:$Q,$B56+5),CD$3&lt;INDEX(Properties!$U:$U,$B56+5)),INDEX(Properties!$P:$P,$B56+5),0))</f>
        <v>0</v>
      </c>
      <c r="CE56" s="123" cm="1">
        <f t="array" ref="CE56">INDEX(Properties!$D:$D,$B56+5)*(IF(AND(CE$3&gt;=INDEX(Properties!$Q:$Q,$B56+5),CE$3&lt;INDEX(Properties!$U:$U,$B56+5)),INDEX(Properties!$P:$P,$B56+5),0))</f>
        <v>0</v>
      </c>
      <c r="CF56" s="123" cm="1">
        <f t="array" ref="CF56">INDEX(Properties!$D:$D,$B56+5)*(IF(AND(CF$3&gt;=INDEX(Properties!$Q:$Q,$B56+5),CF$3&lt;INDEX(Properties!$U:$U,$B56+5)),INDEX(Properties!$P:$P,$B56+5),0))</f>
        <v>0</v>
      </c>
      <c r="CG56" s="123" cm="1">
        <f t="array" ref="CG56">INDEX(Properties!$D:$D,$B56+5)*(IF(AND(CG$3&gt;=INDEX(Properties!$Q:$Q,$B56+5),CG$3&lt;INDEX(Properties!$U:$U,$B56+5)),INDEX(Properties!$P:$P,$B56+5),0))</f>
        <v>0</v>
      </c>
      <c r="CH56" s="123" cm="1">
        <f t="array" ref="CH56">INDEX(Properties!$D:$D,$B56+5)*(IF(AND(CH$3&gt;=INDEX(Properties!$Q:$Q,$B56+5),CH$3&lt;INDEX(Properties!$U:$U,$B56+5)),INDEX(Properties!$P:$P,$B56+5),0))</f>
        <v>0</v>
      </c>
      <c r="CI56" s="123" cm="1">
        <f t="array" ref="CI56">INDEX(Properties!$D:$D,$B56+5)*(IF(AND(CI$3&gt;=INDEX(Properties!$Q:$Q,$B56+5),CI$3&lt;INDEX(Properties!$U:$U,$B56+5)),INDEX(Properties!$P:$P,$B56+5),0))</f>
        <v>0</v>
      </c>
      <c r="CJ56" s="123" cm="1">
        <f t="array" ref="CJ56">INDEX(Properties!$D:$D,$B56+5)*(IF(AND(CJ$3&gt;=INDEX(Properties!$Q:$Q,$B56+5),CJ$3&lt;INDEX(Properties!$U:$U,$B56+5)),INDEX(Properties!$P:$P,$B56+5),0))</f>
        <v>0</v>
      </c>
      <c r="CK56" s="123" cm="1">
        <f t="array" ref="CK56">INDEX(Properties!$D:$D,$B56+5)*(IF(AND(CK$3&gt;=INDEX(Properties!$Q:$Q,$B56+5),CK$3&lt;INDEX(Properties!$U:$U,$B56+5)),INDEX(Properties!$P:$P,$B56+5),0))</f>
        <v>0</v>
      </c>
      <c r="CL56" s="123" cm="1">
        <f t="array" ref="CL56">INDEX(Properties!$D:$D,$B56+5)*(IF(AND(CL$3&gt;=INDEX(Properties!$Q:$Q,$B56+5),CL$3&lt;INDEX(Properties!$U:$U,$B56+5)),INDEX(Properties!$P:$P,$B56+5),0))</f>
        <v>0</v>
      </c>
      <c r="CM56" s="123" cm="1">
        <f t="array" ref="CM56">INDEX(Properties!$D:$D,$B56+5)*(IF(AND(CM$3&gt;=INDEX(Properties!$Q:$Q,$B56+5),CM$3&lt;INDEX(Properties!$U:$U,$B56+5)),INDEX(Properties!$P:$P,$B56+5),0))</f>
        <v>0</v>
      </c>
      <c r="CN56" s="123" cm="1">
        <f t="array" ref="CN56">INDEX(Properties!$D:$D,$B56+5)*(IF(AND(CN$3&gt;=INDEX(Properties!$Q:$Q,$B56+5),CN$3&lt;INDEX(Properties!$U:$U,$B56+5)),INDEX(Properties!$P:$P,$B56+5),0))</f>
        <v>0</v>
      </c>
      <c r="CO56" s="123" cm="1">
        <f t="array" ref="CO56">INDEX(Properties!$D:$D,$B56+5)*(IF(AND(CO$3&gt;=INDEX(Properties!$Q:$Q,$B56+5),CO$3&lt;INDEX(Properties!$U:$U,$B56+5)),INDEX(Properties!$P:$P,$B56+5),0))</f>
        <v>0</v>
      </c>
      <c r="CP56" s="123" cm="1">
        <f t="array" ref="CP56">INDEX(Properties!$D:$D,$B56+5)*(IF(AND(CP$3&gt;=INDEX(Properties!$Q:$Q,$B56+5),CP$3&lt;INDEX(Properties!$U:$U,$B56+5)),INDEX(Properties!$P:$P,$B56+5),0))</f>
        <v>0</v>
      </c>
      <c r="CQ56" s="123" cm="1">
        <f t="array" ref="CQ56">INDEX(Properties!$D:$D,$B56+5)*(IF(AND(CQ$3&gt;=INDEX(Properties!$Q:$Q,$B56+5),CQ$3&lt;INDEX(Properties!$U:$U,$B56+5)),INDEX(Properties!$P:$P,$B56+5),0))</f>
        <v>0</v>
      </c>
      <c r="CR56" s="123" cm="1">
        <f t="array" ref="CR56">INDEX(Properties!$D:$D,$B56+5)*(IF(AND(CR$3&gt;=INDEX(Properties!$Q:$Q,$B56+5),CR$3&lt;INDEX(Properties!$U:$U,$B56+5)),INDEX(Properties!$P:$P,$B56+5),0))</f>
        <v>0</v>
      </c>
      <c r="CS56" s="123" cm="1">
        <f t="array" ref="CS56">INDEX(Properties!$D:$D,$B56+5)*(IF(AND(CS$3&gt;=INDEX(Properties!$Q:$Q,$B56+5),CS$3&lt;INDEX(Properties!$U:$U,$B56+5)),INDEX(Properties!$P:$P,$B56+5),0))</f>
        <v>0</v>
      </c>
      <c r="CT56" s="123" cm="1">
        <f t="array" ref="CT56">INDEX(Properties!$D:$D,$B56+5)*(IF(AND(CT$3&gt;=INDEX(Properties!$Q:$Q,$B56+5),CT$3&lt;INDEX(Properties!$U:$U,$B56+5)),INDEX(Properties!$P:$P,$B56+5),0))</f>
        <v>0</v>
      </c>
      <c r="CU56" s="123" cm="1">
        <f t="array" ref="CU56">INDEX(Properties!$D:$D,$B56+5)*(IF(AND(CU$3&gt;=INDEX(Properties!$Q:$Q,$B56+5),CU$3&lt;INDEX(Properties!$U:$U,$B56+5)),INDEX(Properties!$P:$P,$B56+5),0))</f>
        <v>0</v>
      </c>
      <c r="CV56" s="123" cm="1">
        <f t="array" ref="CV56">INDEX(Properties!$D:$D,$B56+5)*(IF(AND(CV$3&gt;=INDEX(Properties!$Q:$Q,$B56+5),CV$3&lt;INDEX(Properties!$U:$U,$B56+5)),INDEX(Properties!$P:$P,$B56+5),0))</f>
        <v>0</v>
      </c>
      <c r="CW56" s="123" cm="1">
        <f t="array" ref="CW56">INDEX(Properties!$D:$D,$B56+5)*(IF(AND(CW$3&gt;=INDEX(Properties!$Q:$Q,$B56+5),CW$3&lt;INDEX(Properties!$U:$U,$B56+5)),INDEX(Properties!$P:$P,$B56+5),0))</f>
        <v>0</v>
      </c>
      <c r="CX56" s="123" cm="1">
        <f t="array" ref="CX56">INDEX(Properties!$D:$D,$B56+5)*(IF(AND(CX$3&gt;=INDEX(Properties!$Q:$Q,$B56+5),CX$3&lt;INDEX(Properties!$U:$U,$B56+5)),INDEX(Properties!$P:$P,$B56+5),0))</f>
        <v>0</v>
      </c>
      <c r="CY56" s="123" cm="1">
        <f t="array" ref="CY56">INDEX(Properties!$D:$D,$B56+5)*(IF(AND(CY$3&gt;=INDEX(Properties!$Q:$Q,$B56+5),CY$3&lt;INDEX(Properties!$U:$U,$B56+5)),INDEX(Properties!$P:$P,$B56+5),0))</f>
        <v>0</v>
      </c>
      <c r="CZ56" s="123" cm="1">
        <f t="array" ref="CZ56">INDEX(Properties!$D:$D,$B56+5)*(IF(AND(CZ$3&gt;=INDEX(Properties!$Q:$Q,$B56+5),CZ$3&lt;INDEX(Properties!$U:$U,$B56+5)),INDEX(Properties!$P:$P,$B56+5),0))</f>
        <v>0</v>
      </c>
      <c r="DA56" s="123" cm="1">
        <f t="array" ref="DA56">INDEX(Properties!$D:$D,$B56+5)*(IF(AND(DA$3&gt;=INDEX(Properties!$Q:$Q,$B56+5),DA$3&lt;INDEX(Properties!$U:$U,$B56+5)),INDEX(Properties!$P:$P,$B56+5),0))</f>
        <v>0</v>
      </c>
      <c r="DB56" s="123" cm="1">
        <f t="array" ref="DB56">INDEX(Properties!$D:$D,$B56+5)*(IF(AND(DB$3&gt;=INDEX(Properties!$Q:$Q,$B56+5),DB$3&lt;INDEX(Properties!$U:$U,$B56+5)),INDEX(Properties!$P:$P,$B56+5),0))</f>
        <v>0</v>
      </c>
      <c r="DC56" s="123" cm="1">
        <f t="array" ref="DC56">INDEX(Properties!$D:$D,$B56+5)*(IF(AND(DC$3&gt;=INDEX(Properties!$Q:$Q,$B56+5),DC$3&lt;INDEX(Properties!$U:$U,$B56+5)),INDEX(Properties!$P:$P,$B56+5),0))</f>
        <v>0</v>
      </c>
      <c r="DD56" s="123" cm="1">
        <f t="array" ref="DD56">INDEX(Properties!$D:$D,$B56+5)*(IF(AND(DD$3&gt;=INDEX(Properties!$Q:$Q,$B56+5),DD$3&lt;INDEX(Properties!$U:$U,$B56+5)),INDEX(Properties!$P:$P,$B56+5),0))</f>
        <v>0</v>
      </c>
      <c r="DE56" s="123" cm="1">
        <f t="array" ref="DE56">INDEX(Properties!$D:$D,$B56+5)*(IF(AND(DE$3&gt;=INDEX(Properties!$Q:$Q,$B56+5),DE$3&lt;INDEX(Properties!$U:$U,$B56+5)),INDEX(Properties!$P:$P,$B56+5),0))</f>
        <v>0</v>
      </c>
      <c r="DF56" s="123" cm="1">
        <f t="array" ref="DF56">INDEX(Properties!$D:$D,$B56+5)*(IF(AND(DF$3&gt;=INDEX(Properties!$Q:$Q,$B56+5),DF$3&lt;INDEX(Properties!$U:$U,$B56+5)),INDEX(Properties!$P:$P,$B56+5),0))</f>
        <v>0</v>
      </c>
      <c r="DG56" s="123" cm="1">
        <f t="array" ref="DG56">INDEX(Properties!$D:$D,$B56+5)*(IF(AND(DG$3&gt;=INDEX(Properties!$Q:$Q,$B56+5),DG$3&lt;INDEX(Properties!$U:$U,$B56+5)),INDEX(Properties!$P:$P,$B56+5),0))</f>
        <v>0</v>
      </c>
      <c r="DH56" s="123" cm="1">
        <f t="array" ref="DH56">INDEX(Properties!$D:$D,$B56+5)*(IF(AND(DH$3&gt;=INDEX(Properties!$Q:$Q,$B56+5),DH$3&lt;INDEX(Properties!$U:$U,$B56+5)),INDEX(Properties!$P:$P,$B56+5),0))</f>
        <v>0</v>
      </c>
      <c r="DI56" s="123" cm="1">
        <f t="array" ref="DI56">INDEX(Properties!$D:$D,$B56+5)*(IF(AND(DI$3&gt;=INDEX(Properties!$Q:$Q,$B56+5),DI$3&lt;INDEX(Properties!$U:$U,$B56+5)),INDEX(Properties!$P:$P,$B56+5),0))</f>
        <v>0</v>
      </c>
      <c r="DJ56" s="123" cm="1">
        <f t="array" ref="DJ56">INDEX(Properties!$D:$D,$B56+5)*(IF(AND(DJ$3&gt;=INDEX(Properties!$Q:$Q,$B56+5),DJ$3&lt;INDEX(Properties!$U:$U,$B56+5)),INDEX(Properties!$P:$P,$B56+5),0))</f>
        <v>0</v>
      </c>
      <c r="DK56" s="123" cm="1">
        <f t="array" ref="DK56">INDEX(Properties!$D:$D,$B56+5)*(IF(AND(DK$3&gt;=INDEX(Properties!$Q:$Q,$B56+5),DK$3&lt;INDEX(Properties!$U:$U,$B56+5)),INDEX(Properties!$P:$P,$B56+5),0))</f>
        <v>0</v>
      </c>
      <c r="DL56" s="123" cm="1">
        <f t="array" ref="DL56">INDEX(Properties!$D:$D,$B56+5)*(IF(AND(DL$3&gt;=INDEX(Properties!$Q:$Q,$B56+5),DL$3&lt;INDEX(Properties!$U:$U,$B56+5)),INDEX(Properties!$P:$P,$B56+5),0))</f>
        <v>0</v>
      </c>
      <c r="DM56" s="123" cm="1">
        <f t="array" ref="DM56">INDEX(Properties!$D:$D,$B56+5)*(IF(AND(DM$3&gt;=INDEX(Properties!$Q:$Q,$B56+5),DM$3&lt;INDEX(Properties!$U:$U,$B56+5)),INDEX(Properties!$P:$P,$B56+5),0))</f>
        <v>0</v>
      </c>
      <c r="DN56" s="123" cm="1">
        <f t="array" ref="DN56">INDEX(Properties!$D:$D,$B56+5)*(IF(AND(DN$3&gt;=INDEX(Properties!$Q:$Q,$B56+5),DN$3&lt;INDEX(Properties!$U:$U,$B56+5)),INDEX(Properties!$P:$P,$B56+5),0))</f>
        <v>0</v>
      </c>
      <c r="DO56" s="123" cm="1">
        <f t="array" ref="DO56">INDEX(Properties!$D:$D,$B56+5)*(IF(AND(DO$3&gt;=INDEX(Properties!$Q:$Q,$B56+5),DO$3&lt;INDEX(Properties!$U:$U,$B56+5)),INDEX(Properties!$P:$P,$B56+5),0))</f>
        <v>0</v>
      </c>
      <c r="DP56" s="123" cm="1">
        <f t="array" ref="DP56">INDEX(Properties!$D:$D,$B56+5)*(IF(AND(DP$3&gt;=INDEX(Properties!$Q:$Q,$B56+5),DP$3&lt;INDEX(Properties!$U:$U,$B56+5)),INDEX(Properties!$P:$P,$B56+5),0))</f>
        <v>0</v>
      </c>
      <c r="DQ56" s="123" cm="1">
        <f t="array" ref="DQ56">INDEX(Properties!$D:$D,$B56+5)*(IF(AND(DQ$3&gt;=INDEX(Properties!$Q:$Q,$B56+5),DQ$3&lt;INDEX(Properties!$U:$U,$B56+5)),INDEX(Properties!$P:$P,$B56+5),0))</f>
        <v>0</v>
      </c>
      <c r="DR56" s="123" cm="1">
        <f t="array" ref="DR56">INDEX(Properties!$D:$D,$B56+5)*(IF(AND(DR$3&gt;=INDEX(Properties!$Q:$Q,$B56+5),DR$3&lt;INDEX(Properties!$U:$U,$B56+5)),INDEX(Properties!$P:$P,$B56+5),0))</f>
        <v>0</v>
      </c>
    </row>
    <row r="57" spans="1:122" ht="16.05" customHeight="1" x14ac:dyDescent="0.3">
      <c r="A57" s="5" t="s">
        <v>59</v>
      </c>
      <c r="B57" s="1"/>
      <c r="C57" s="243">
        <f t="shared" ref="C57:AH57" si="16">SUM(C47:C56)</f>
        <v>1290857.6051779937</v>
      </c>
      <c r="D57" s="243">
        <f t="shared" si="16"/>
        <v>2459627.8317152103</v>
      </c>
      <c r="E57" s="243">
        <f t="shared" si="16"/>
        <v>3206998.3818770228</v>
      </c>
      <c r="F57" s="243">
        <f t="shared" si="16"/>
        <v>3206998.3818770228</v>
      </c>
      <c r="G57" s="243">
        <f t="shared" si="16"/>
        <v>4857483.8187702261</v>
      </c>
      <c r="H57" s="243">
        <f t="shared" si="16"/>
        <v>4857483.8187702261</v>
      </c>
      <c r="I57" s="243">
        <f t="shared" si="16"/>
        <v>4857483.8187702261</v>
      </c>
      <c r="J57" s="243">
        <f t="shared" si="16"/>
        <v>6571966.0194174759</v>
      </c>
      <c r="K57" s="243">
        <f t="shared" si="16"/>
        <v>6571966.0194174759</v>
      </c>
      <c r="L57" s="243">
        <f t="shared" si="16"/>
        <v>6571966.0194174759</v>
      </c>
      <c r="M57" s="243">
        <f t="shared" si="16"/>
        <v>6571966.0194174759</v>
      </c>
      <c r="N57" s="243">
        <f t="shared" si="16"/>
        <v>6571966.0194174759</v>
      </c>
      <c r="O57" s="243">
        <f t="shared" si="16"/>
        <v>6571966.0194174759</v>
      </c>
      <c r="P57" s="243">
        <f t="shared" si="16"/>
        <v>6571966.0194174759</v>
      </c>
      <c r="Q57" s="243">
        <f t="shared" si="16"/>
        <v>6571966.0194174759</v>
      </c>
      <c r="R57" s="243">
        <f t="shared" si="16"/>
        <v>6571966.0194174759</v>
      </c>
      <c r="S57" s="243">
        <f t="shared" si="16"/>
        <v>6571966.0194174759</v>
      </c>
      <c r="T57" s="243">
        <f t="shared" si="16"/>
        <v>6571966.0194174759</v>
      </c>
      <c r="U57" s="243">
        <f t="shared" si="16"/>
        <v>6571966.0194174759</v>
      </c>
      <c r="V57" s="243">
        <f t="shared" si="16"/>
        <v>6571966.0194174759</v>
      </c>
      <c r="W57" s="243">
        <f t="shared" si="16"/>
        <v>6571966.0194174759</v>
      </c>
      <c r="X57" s="243">
        <f t="shared" si="16"/>
        <v>6571966.0194174759</v>
      </c>
      <c r="Y57" s="243">
        <f t="shared" si="16"/>
        <v>6571966.0194174759</v>
      </c>
      <c r="Z57" s="243">
        <f t="shared" si="16"/>
        <v>6571966.0194174759</v>
      </c>
      <c r="AA57" s="243">
        <f t="shared" si="16"/>
        <v>6571966.0194174759</v>
      </c>
      <c r="AB57" s="243">
        <f t="shared" si="16"/>
        <v>6571966.0194174759</v>
      </c>
      <c r="AC57" s="243">
        <f t="shared" si="16"/>
        <v>6571966.0194174759</v>
      </c>
      <c r="AD57" s="243">
        <f t="shared" si="16"/>
        <v>5824595.4692556635</v>
      </c>
      <c r="AE57" s="243">
        <f t="shared" si="16"/>
        <v>5824595.4692556635</v>
      </c>
      <c r="AF57" s="243">
        <f t="shared" si="16"/>
        <v>4655825.242718447</v>
      </c>
      <c r="AG57" s="243">
        <f t="shared" si="16"/>
        <v>3364967.6375404531</v>
      </c>
      <c r="AH57" s="243">
        <f t="shared" si="16"/>
        <v>3364967.6375404531</v>
      </c>
      <c r="AI57" s="243">
        <f t="shared" ref="AI57:BN57" si="17">SUM(AI47:AI56)</f>
        <v>3364967.6375404531</v>
      </c>
      <c r="AJ57" s="243">
        <f t="shared" si="17"/>
        <v>3364967.6375404531</v>
      </c>
      <c r="AK57" s="243">
        <f t="shared" si="17"/>
        <v>3364967.6375404531</v>
      </c>
      <c r="AL57" s="243">
        <f t="shared" si="17"/>
        <v>3364967.6375404531</v>
      </c>
      <c r="AM57" s="243">
        <f t="shared" si="17"/>
        <v>1714482.2006472494</v>
      </c>
      <c r="AN57" s="243">
        <f t="shared" si="17"/>
        <v>1714482.2006472494</v>
      </c>
      <c r="AO57" s="243">
        <f t="shared" si="17"/>
        <v>1714482.2006472494</v>
      </c>
      <c r="AP57" s="243">
        <f t="shared" si="17"/>
        <v>1714482.2006472494</v>
      </c>
      <c r="AQ57" s="243">
        <f t="shared" si="17"/>
        <v>1714482.2006472494</v>
      </c>
      <c r="AR57" s="243">
        <f t="shared" si="17"/>
        <v>1714482.2006472494</v>
      </c>
      <c r="AS57" s="243">
        <f t="shared" si="17"/>
        <v>0</v>
      </c>
      <c r="AT57" s="243">
        <f t="shared" si="17"/>
        <v>0</v>
      </c>
      <c r="AU57" s="243">
        <f t="shared" si="17"/>
        <v>0</v>
      </c>
      <c r="AV57" s="243">
        <f t="shared" si="17"/>
        <v>0</v>
      </c>
      <c r="AW57" s="243">
        <f t="shared" si="17"/>
        <v>0</v>
      </c>
      <c r="AX57" s="243">
        <f t="shared" si="17"/>
        <v>0</v>
      </c>
      <c r="AY57" s="243">
        <f t="shared" si="17"/>
        <v>0</v>
      </c>
      <c r="AZ57" s="243">
        <f t="shared" si="17"/>
        <v>0</v>
      </c>
      <c r="BA57" s="243">
        <f t="shared" si="17"/>
        <v>0</v>
      </c>
      <c r="BB57" s="243">
        <f t="shared" si="17"/>
        <v>0</v>
      </c>
      <c r="BC57" s="243">
        <f t="shared" si="17"/>
        <v>0</v>
      </c>
      <c r="BD57" s="243">
        <f t="shared" si="17"/>
        <v>0</v>
      </c>
      <c r="BE57" s="243">
        <f t="shared" si="17"/>
        <v>0</v>
      </c>
      <c r="BF57" s="243">
        <f t="shared" si="17"/>
        <v>0</v>
      </c>
      <c r="BG57" s="243">
        <f t="shared" si="17"/>
        <v>0</v>
      </c>
      <c r="BH57" s="243">
        <f t="shared" si="17"/>
        <v>0</v>
      </c>
      <c r="BI57" s="243">
        <f t="shared" si="17"/>
        <v>0</v>
      </c>
      <c r="BJ57" s="243">
        <f t="shared" si="17"/>
        <v>0</v>
      </c>
      <c r="BK57" s="243">
        <f t="shared" si="17"/>
        <v>0</v>
      </c>
      <c r="BL57" s="243">
        <f t="shared" si="17"/>
        <v>0</v>
      </c>
      <c r="BM57" s="243">
        <f t="shared" si="17"/>
        <v>0</v>
      </c>
      <c r="BN57" s="243">
        <f t="shared" si="17"/>
        <v>0</v>
      </c>
      <c r="BO57" s="243">
        <f t="shared" ref="BO57:CT57" si="18">SUM(BO47:BO56)</f>
        <v>0</v>
      </c>
      <c r="BP57" s="243">
        <f t="shared" si="18"/>
        <v>0</v>
      </c>
      <c r="BQ57" s="243">
        <f t="shared" si="18"/>
        <v>0</v>
      </c>
      <c r="BR57" s="243">
        <f t="shared" si="18"/>
        <v>0</v>
      </c>
      <c r="BS57" s="243">
        <f t="shared" si="18"/>
        <v>0</v>
      </c>
      <c r="BT57" s="243">
        <f t="shared" si="18"/>
        <v>0</v>
      </c>
      <c r="BU57" s="243">
        <f t="shared" si="18"/>
        <v>0</v>
      </c>
      <c r="BV57" s="243">
        <f t="shared" si="18"/>
        <v>0</v>
      </c>
      <c r="BW57" s="243">
        <f t="shared" si="18"/>
        <v>0</v>
      </c>
      <c r="BX57" s="243">
        <f t="shared" si="18"/>
        <v>0</v>
      </c>
      <c r="BY57" s="243">
        <f t="shared" si="18"/>
        <v>0</v>
      </c>
      <c r="BZ57" s="243">
        <f t="shared" si="18"/>
        <v>0</v>
      </c>
      <c r="CA57" s="243">
        <f t="shared" si="18"/>
        <v>0</v>
      </c>
      <c r="CB57" s="243">
        <f t="shared" si="18"/>
        <v>0</v>
      </c>
      <c r="CC57" s="243">
        <f t="shared" si="18"/>
        <v>0</v>
      </c>
      <c r="CD57" s="243">
        <f t="shared" si="18"/>
        <v>0</v>
      </c>
      <c r="CE57" s="243">
        <f t="shared" si="18"/>
        <v>0</v>
      </c>
      <c r="CF57" s="243">
        <f t="shared" si="18"/>
        <v>0</v>
      </c>
      <c r="CG57" s="243">
        <f t="shared" si="18"/>
        <v>0</v>
      </c>
      <c r="CH57" s="243">
        <f t="shared" si="18"/>
        <v>0</v>
      </c>
      <c r="CI57" s="243">
        <f t="shared" si="18"/>
        <v>0</v>
      </c>
      <c r="CJ57" s="243">
        <f t="shared" si="18"/>
        <v>0</v>
      </c>
      <c r="CK57" s="243">
        <f t="shared" si="18"/>
        <v>0</v>
      </c>
      <c r="CL57" s="243">
        <f t="shared" si="18"/>
        <v>0</v>
      </c>
      <c r="CM57" s="243">
        <f t="shared" si="18"/>
        <v>0</v>
      </c>
      <c r="CN57" s="243">
        <f t="shared" si="18"/>
        <v>0</v>
      </c>
      <c r="CO57" s="243">
        <f t="shared" si="18"/>
        <v>0</v>
      </c>
      <c r="CP57" s="243">
        <f t="shared" si="18"/>
        <v>0</v>
      </c>
      <c r="CQ57" s="243">
        <f t="shared" si="18"/>
        <v>0</v>
      </c>
      <c r="CR57" s="243">
        <f t="shared" si="18"/>
        <v>0</v>
      </c>
      <c r="CS57" s="243">
        <f t="shared" si="18"/>
        <v>0</v>
      </c>
      <c r="CT57" s="243">
        <f t="shared" si="18"/>
        <v>0</v>
      </c>
      <c r="CU57" s="243">
        <f t="shared" ref="CU57:DR57" si="19">SUM(CU47:CU56)</f>
        <v>0</v>
      </c>
      <c r="CV57" s="243">
        <f t="shared" si="19"/>
        <v>0</v>
      </c>
      <c r="CW57" s="243">
        <f t="shared" si="19"/>
        <v>0</v>
      </c>
      <c r="CX57" s="243">
        <f t="shared" si="19"/>
        <v>0</v>
      </c>
      <c r="CY57" s="243">
        <f t="shared" si="19"/>
        <v>0</v>
      </c>
      <c r="CZ57" s="243">
        <f t="shared" si="19"/>
        <v>0</v>
      </c>
      <c r="DA57" s="243">
        <f t="shared" si="19"/>
        <v>0</v>
      </c>
      <c r="DB57" s="243">
        <f t="shared" si="19"/>
        <v>0</v>
      </c>
      <c r="DC57" s="243">
        <f t="shared" si="19"/>
        <v>0</v>
      </c>
      <c r="DD57" s="243">
        <f t="shared" si="19"/>
        <v>0</v>
      </c>
      <c r="DE57" s="243">
        <f t="shared" si="19"/>
        <v>0</v>
      </c>
      <c r="DF57" s="243">
        <f t="shared" si="19"/>
        <v>0</v>
      </c>
      <c r="DG57" s="243">
        <f t="shared" si="19"/>
        <v>0</v>
      </c>
      <c r="DH57" s="243">
        <f t="shared" si="19"/>
        <v>0</v>
      </c>
      <c r="DI57" s="243">
        <f t="shared" si="19"/>
        <v>0</v>
      </c>
      <c r="DJ57" s="243">
        <f t="shared" si="19"/>
        <v>0</v>
      </c>
      <c r="DK57" s="243">
        <f t="shared" si="19"/>
        <v>0</v>
      </c>
      <c r="DL57" s="243">
        <f t="shared" si="19"/>
        <v>0</v>
      </c>
      <c r="DM57" s="243">
        <f t="shared" si="19"/>
        <v>0</v>
      </c>
      <c r="DN57" s="243">
        <f t="shared" si="19"/>
        <v>0</v>
      </c>
      <c r="DO57" s="243">
        <f t="shared" si="19"/>
        <v>0</v>
      </c>
      <c r="DP57" s="243">
        <f t="shared" si="19"/>
        <v>0</v>
      </c>
      <c r="DQ57" s="243">
        <f t="shared" si="19"/>
        <v>0</v>
      </c>
      <c r="DR57" s="243">
        <f t="shared" si="19"/>
        <v>0</v>
      </c>
    </row>
    <row r="58" spans="1:122" ht="16.05" customHeight="1" x14ac:dyDescent="0.3">
      <c r="A58" s="5" t="s">
        <v>60</v>
      </c>
      <c r="B58" s="1"/>
      <c r="C58" s="245" cm="1">
        <f t="array" ref="C58">SUMPRODUCT((C47:C56&gt;0)*1)</f>
        <v>1</v>
      </c>
      <c r="D58" s="245" cm="1">
        <f t="array" ref="D58">SUMPRODUCT((D47:D56&gt;0)*1)</f>
        <v>2</v>
      </c>
      <c r="E58" s="245" cm="1">
        <f t="array" ref="E58">SUMPRODUCT((E47:E56&gt;0)*1)</f>
        <v>3</v>
      </c>
      <c r="F58" s="245" cm="1">
        <f t="array" ref="F58">SUMPRODUCT((F47:F56&gt;0)*1)</f>
        <v>3</v>
      </c>
      <c r="G58" s="245" cm="1">
        <f t="array" ref="G58">SUMPRODUCT((G47:G56&gt;0)*1)</f>
        <v>4</v>
      </c>
      <c r="H58" s="245" cm="1">
        <f t="array" ref="H58">SUMPRODUCT((H47:H56&gt;0)*1)</f>
        <v>4</v>
      </c>
      <c r="I58" s="245" cm="1">
        <f t="array" ref="I58">SUMPRODUCT((I47:I56&gt;0)*1)</f>
        <v>4</v>
      </c>
      <c r="J58" s="245" cm="1">
        <f t="array" ref="J58">SUMPRODUCT((J47:J56&gt;0)*1)</f>
        <v>5</v>
      </c>
      <c r="K58" s="245" cm="1">
        <f t="array" ref="K58">SUMPRODUCT((K47:K56&gt;0)*1)</f>
        <v>5</v>
      </c>
      <c r="L58" s="245" cm="1">
        <f t="array" ref="L58">SUMPRODUCT((L47:L56&gt;0)*1)</f>
        <v>5</v>
      </c>
      <c r="M58" s="245" cm="1">
        <f t="array" ref="M58">SUMPRODUCT((M47:M56&gt;0)*1)</f>
        <v>5</v>
      </c>
      <c r="N58" s="245" cm="1">
        <f t="array" ref="N58">SUMPRODUCT((N47:N56&gt;0)*1)</f>
        <v>5</v>
      </c>
      <c r="O58" s="245" cm="1">
        <f t="array" ref="O58">SUMPRODUCT((O47:O56&gt;0)*1)</f>
        <v>5</v>
      </c>
      <c r="P58" s="245" cm="1">
        <f t="array" ref="P58">SUMPRODUCT((P47:P56&gt;0)*1)</f>
        <v>5</v>
      </c>
      <c r="Q58" s="245" cm="1">
        <f t="array" ref="Q58">SUMPRODUCT((Q47:Q56&gt;0)*1)</f>
        <v>5</v>
      </c>
      <c r="R58" s="245" cm="1">
        <f t="array" ref="R58">SUMPRODUCT((R47:R56&gt;0)*1)</f>
        <v>5</v>
      </c>
      <c r="S58" s="245" cm="1">
        <f t="array" ref="S58">SUMPRODUCT((S47:S56&gt;0)*1)</f>
        <v>5</v>
      </c>
      <c r="T58" s="245" cm="1">
        <f t="array" ref="T58">SUMPRODUCT((T47:T56&gt;0)*1)</f>
        <v>5</v>
      </c>
      <c r="U58" s="245" cm="1">
        <f t="array" ref="U58">SUMPRODUCT((U47:U56&gt;0)*1)</f>
        <v>5</v>
      </c>
      <c r="V58" s="245" cm="1">
        <f t="array" ref="V58">SUMPRODUCT((V47:V56&gt;0)*1)</f>
        <v>5</v>
      </c>
      <c r="W58" s="245" cm="1">
        <f t="array" ref="W58">SUMPRODUCT((W47:W56&gt;0)*1)</f>
        <v>5</v>
      </c>
      <c r="X58" s="245" cm="1">
        <f t="array" ref="X58">SUMPRODUCT((X47:X56&gt;0)*1)</f>
        <v>5</v>
      </c>
      <c r="Y58" s="245" cm="1">
        <f t="array" ref="Y58">SUMPRODUCT((Y47:Y56&gt;0)*1)</f>
        <v>5</v>
      </c>
      <c r="Z58" s="245" cm="1">
        <f t="array" ref="Z58">SUMPRODUCT((Z47:Z56&gt;0)*1)</f>
        <v>5</v>
      </c>
      <c r="AA58" s="245" cm="1">
        <f t="array" ref="AA58">SUMPRODUCT((AA47:AA56&gt;0)*1)</f>
        <v>5</v>
      </c>
      <c r="AB58" s="245" cm="1">
        <f t="array" ref="AB58">SUMPRODUCT((AB47:AB56&gt;0)*1)</f>
        <v>5</v>
      </c>
      <c r="AC58" s="245" cm="1">
        <f t="array" ref="AC58">SUMPRODUCT((AC47:AC56&gt;0)*1)</f>
        <v>5</v>
      </c>
      <c r="AD58" s="245" cm="1">
        <f t="array" ref="AD58">SUMPRODUCT((AD47:AD56&gt;0)*1)</f>
        <v>4</v>
      </c>
      <c r="AE58" s="245" cm="1">
        <f t="array" ref="AE58">SUMPRODUCT((AE47:AE56&gt;0)*1)</f>
        <v>4</v>
      </c>
      <c r="AF58" s="245" cm="1">
        <f t="array" ref="AF58">SUMPRODUCT((AF47:AF56&gt;0)*1)</f>
        <v>3</v>
      </c>
      <c r="AG58" s="245" cm="1">
        <f t="array" ref="AG58">SUMPRODUCT((AG47:AG56&gt;0)*1)</f>
        <v>2</v>
      </c>
      <c r="AH58" s="245" cm="1">
        <f t="array" ref="AH58">SUMPRODUCT((AH47:AH56&gt;0)*1)</f>
        <v>2</v>
      </c>
      <c r="AI58" s="245" cm="1">
        <f t="array" ref="AI58">SUMPRODUCT((AI47:AI56&gt;0)*1)</f>
        <v>2</v>
      </c>
      <c r="AJ58" s="245" cm="1">
        <f t="array" ref="AJ58">SUMPRODUCT((AJ47:AJ56&gt;0)*1)</f>
        <v>2</v>
      </c>
      <c r="AK58" s="245" cm="1">
        <f t="array" ref="AK58">SUMPRODUCT((AK47:AK56&gt;0)*1)</f>
        <v>2</v>
      </c>
      <c r="AL58" s="245" cm="1">
        <f t="array" ref="AL58">SUMPRODUCT((AL47:AL56&gt;0)*1)</f>
        <v>2</v>
      </c>
      <c r="AM58" s="245" cm="1">
        <f t="array" ref="AM58">SUMPRODUCT((AM47:AM56&gt;0)*1)</f>
        <v>1</v>
      </c>
      <c r="AN58" s="245" cm="1">
        <f t="array" ref="AN58">SUMPRODUCT((AN47:AN56&gt;0)*1)</f>
        <v>1</v>
      </c>
      <c r="AO58" s="245" cm="1">
        <f t="array" ref="AO58">SUMPRODUCT((AO47:AO56&gt;0)*1)</f>
        <v>1</v>
      </c>
      <c r="AP58" s="245" cm="1">
        <f t="array" ref="AP58">SUMPRODUCT((AP47:AP56&gt;0)*1)</f>
        <v>1</v>
      </c>
      <c r="AQ58" s="245" cm="1">
        <f t="array" ref="AQ58">SUMPRODUCT((AQ47:AQ56&gt;0)*1)</f>
        <v>1</v>
      </c>
      <c r="AR58" s="245" cm="1">
        <f t="array" ref="AR58">SUMPRODUCT((AR47:AR56&gt;0)*1)</f>
        <v>1</v>
      </c>
      <c r="AS58" s="245" cm="1">
        <f t="array" ref="AS58">SUMPRODUCT((AS47:AS56&gt;0)*1)</f>
        <v>0</v>
      </c>
      <c r="AT58" s="245" cm="1">
        <f t="array" ref="AT58">SUMPRODUCT((AT47:AT56&gt;0)*1)</f>
        <v>0</v>
      </c>
      <c r="AU58" s="245" cm="1">
        <f t="array" ref="AU58">SUMPRODUCT((AU47:AU56&gt;0)*1)</f>
        <v>0</v>
      </c>
      <c r="AV58" s="245" cm="1">
        <f t="array" ref="AV58">SUMPRODUCT((AV47:AV56&gt;0)*1)</f>
        <v>0</v>
      </c>
      <c r="AW58" s="245" cm="1">
        <f t="array" ref="AW58">SUMPRODUCT((AW47:AW56&gt;0)*1)</f>
        <v>0</v>
      </c>
      <c r="AX58" s="245" cm="1">
        <f t="array" ref="AX58">SUMPRODUCT((AX47:AX56&gt;0)*1)</f>
        <v>0</v>
      </c>
      <c r="AY58" s="245" cm="1">
        <f t="array" ref="AY58">SUMPRODUCT((AY47:AY56&gt;0)*1)</f>
        <v>0</v>
      </c>
      <c r="AZ58" s="245" cm="1">
        <f t="array" ref="AZ58">SUMPRODUCT((AZ47:AZ56&gt;0)*1)</f>
        <v>0</v>
      </c>
      <c r="BA58" s="245" cm="1">
        <f t="array" ref="BA58">SUMPRODUCT((BA47:BA56&gt;0)*1)</f>
        <v>0</v>
      </c>
      <c r="BB58" s="245" cm="1">
        <f t="array" ref="BB58">SUMPRODUCT((BB47:BB56&gt;0)*1)</f>
        <v>0</v>
      </c>
      <c r="BC58" s="245" cm="1">
        <f t="array" ref="BC58">SUMPRODUCT((BC47:BC56&gt;0)*1)</f>
        <v>0</v>
      </c>
      <c r="BD58" s="245" cm="1">
        <f t="array" ref="BD58">SUMPRODUCT((BD47:BD56&gt;0)*1)</f>
        <v>0</v>
      </c>
      <c r="BE58" s="245" cm="1">
        <f t="array" ref="BE58">SUMPRODUCT((BE47:BE56&gt;0)*1)</f>
        <v>0</v>
      </c>
      <c r="BF58" s="245" cm="1">
        <f t="array" ref="BF58">SUMPRODUCT((BF47:BF56&gt;0)*1)</f>
        <v>0</v>
      </c>
      <c r="BG58" s="245" cm="1">
        <f t="array" ref="BG58">SUMPRODUCT((BG47:BG56&gt;0)*1)</f>
        <v>0</v>
      </c>
      <c r="BH58" s="245" cm="1">
        <f t="array" ref="BH58">SUMPRODUCT((BH47:BH56&gt;0)*1)</f>
        <v>0</v>
      </c>
      <c r="BI58" s="245" cm="1">
        <f t="array" ref="BI58">SUMPRODUCT((BI47:BI56&gt;0)*1)</f>
        <v>0</v>
      </c>
      <c r="BJ58" s="245" cm="1">
        <f t="array" ref="BJ58">SUMPRODUCT((BJ47:BJ56&gt;0)*1)</f>
        <v>0</v>
      </c>
      <c r="BK58" s="245" cm="1">
        <f t="array" ref="BK58">SUMPRODUCT((BK47:BK56&gt;0)*1)</f>
        <v>0</v>
      </c>
      <c r="BL58" s="245" cm="1">
        <f t="array" ref="BL58">SUMPRODUCT((BL47:BL56&gt;0)*1)</f>
        <v>0</v>
      </c>
      <c r="BM58" s="245" cm="1">
        <f t="array" ref="BM58">SUMPRODUCT((BM47:BM56&gt;0)*1)</f>
        <v>0</v>
      </c>
      <c r="BN58" s="245" cm="1">
        <f t="array" ref="BN58">SUMPRODUCT((BN47:BN56&gt;0)*1)</f>
        <v>0</v>
      </c>
      <c r="BO58" s="245" cm="1">
        <f t="array" ref="BO58">SUMPRODUCT((BO47:BO56&gt;0)*1)</f>
        <v>0</v>
      </c>
      <c r="BP58" s="245" cm="1">
        <f t="array" ref="BP58">SUMPRODUCT((BP47:BP56&gt;0)*1)</f>
        <v>0</v>
      </c>
      <c r="BQ58" s="245" cm="1">
        <f t="array" ref="BQ58">SUMPRODUCT((BQ47:BQ56&gt;0)*1)</f>
        <v>0</v>
      </c>
      <c r="BR58" s="245" cm="1">
        <f t="array" ref="BR58">SUMPRODUCT((BR47:BR56&gt;0)*1)</f>
        <v>0</v>
      </c>
      <c r="BS58" s="245" cm="1">
        <f t="array" ref="BS58">SUMPRODUCT((BS47:BS56&gt;0)*1)</f>
        <v>0</v>
      </c>
      <c r="BT58" s="245" cm="1">
        <f t="array" ref="BT58">SUMPRODUCT((BT47:BT56&gt;0)*1)</f>
        <v>0</v>
      </c>
      <c r="BU58" s="245" cm="1">
        <f t="array" ref="BU58">SUMPRODUCT((BU47:BU56&gt;0)*1)</f>
        <v>0</v>
      </c>
      <c r="BV58" s="245" cm="1">
        <f t="array" ref="BV58">SUMPRODUCT((BV47:BV56&gt;0)*1)</f>
        <v>0</v>
      </c>
      <c r="BW58" s="245" cm="1">
        <f t="array" ref="BW58">SUMPRODUCT((BW47:BW56&gt;0)*1)</f>
        <v>0</v>
      </c>
      <c r="BX58" s="245" cm="1">
        <f t="array" ref="BX58">SUMPRODUCT((BX47:BX56&gt;0)*1)</f>
        <v>0</v>
      </c>
      <c r="BY58" s="245" cm="1">
        <f t="array" ref="BY58">SUMPRODUCT((BY47:BY56&gt;0)*1)</f>
        <v>0</v>
      </c>
      <c r="BZ58" s="245" cm="1">
        <f t="array" ref="BZ58">SUMPRODUCT((BZ47:BZ56&gt;0)*1)</f>
        <v>0</v>
      </c>
      <c r="CA58" s="245" cm="1">
        <f t="array" ref="CA58">SUMPRODUCT((CA47:CA56&gt;0)*1)</f>
        <v>0</v>
      </c>
      <c r="CB58" s="245" cm="1">
        <f t="array" ref="CB58">SUMPRODUCT((CB47:CB56&gt;0)*1)</f>
        <v>0</v>
      </c>
      <c r="CC58" s="245" cm="1">
        <f t="array" ref="CC58">SUMPRODUCT((CC47:CC56&gt;0)*1)</f>
        <v>0</v>
      </c>
      <c r="CD58" s="245" cm="1">
        <f t="array" ref="CD58">SUMPRODUCT((CD47:CD56&gt;0)*1)</f>
        <v>0</v>
      </c>
      <c r="CE58" s="245" cm="1">
        <f t="array" ref="CE58">SUMPRODUCT((CE47:CE56&gt;0)*1)</f>
        <v>0</v>
      </c>
      <c r="CF58" s="245" cm="1">
        <f t="array" ref="CF58">SUMPRODUCT((CF47:CF56&gt;0)*1)</f>
        <v>0</v>
      </c>
      <c r="CG58" s="245" cm="1">
        <f t="array" ref="CG58">SUMPRODUCT((CG47:CG56&gt;0)*1)</f>
        <v>0</v>
      </c>
      <c r="CH58" s="245" cm="1">
        <f t="array" ref="CH58">SUMPRODUCT((CH47:CH56&gt;0)*1)</f>
        <v>0</v>
      </c>
      <c r="CI58" s="245" cm="1">
        <f t="array" ref="CI58">SUMPRODUCT((CI47:CI56&gt;0)*1)</f>
        <v>0</v>
      </c>
      <c r="CJ58" s="245" cm="1">
        <f t="array" ref="CJ58">SUMPRODUCT((CJ47:CJ56&gt;0)*1)</f>
        <v>0</v>
      </c>
      <c r="CK58" s="245" cm="1">
        <f t="array" ref="CK58">SUMPRODUCT((CK47:CK56&gt;0)*1)</f>
        <v>0</v>
      </c>
      <c r="CL58" s="245" cm="1">
        <f t="array" ref="CL58">SUMPRODUCT((CL47:CL56&gt;0)*1)</f>
        <v>0</v>
      </c>
      <c r="CM58" s="245" cm="1">
        <f t="array" ref="CM58">SUMPRODUCT((CM47:CM56&gt;0)*1)</f>
        <v>0</v>
      </c>
      <c r="CN58" s="245" cm="1">
        <f t="array" ref="CN58">SUMPRODUCT((CN47:CN56&gt;0)*1)</f>
        <v>0</v>
      </c>
      <c r="CO58" s="245" cm="1">
        <f t="array" ref="CO58">SUMPRODUCT((CO47:CO56&gt;0)*1)</f>
        <v>0</v>
      </c>
      <c r="CP58" s="245" cm="1">
        <f t="array" ref="CP58">SUMPRODUCT((CP47:CP56&gt;0)*1)</f>
        <v>0</v>
      </c>
      <c r="CQ58" s="245" cm="1">
        <f t="array" ref="CQ58">SUMPRODUCT((CQ47:CQ56&gt;0)*1)</f>
        <v>0</v>
      </c>
      <c r="CR58" s="245" cm="1">
        <f t="array" ref="CR58">SUMPRODUCT((CR47:CR56&gt;0)*1)</f>
        <v>0</v>
      </c>
      <c r="CS58" s="245" cm="1">
        <f t="array" ref="CS58">SUMPRODUCT((CS47:CS56&gt;0)*1)</f>
        <v>0</v>
      </c>
      <c r="CT58" s="245" cm="1">
        <f t="array" ref="CT58">SUMPRODUCT((CT47:CT56&gt;0)*1)</f>
        <v>0</v>
      </c>
      <c r="CU58" s="245" cm="1">
        <f t="array" ref="CU58">SUMPRODUCT((CU47:CU56&gt;0)*1)</f>
        <v>0</v>
      </c>
      <c r="CV58" s="245" cm="1">
        <f t="array" ref="CV58">SUMPRODUCT((CV47:CV56&gt;0)*1)</f>
        <v>0</v>
      </c>
      <c r="CW58" s="245" cm="1">
        <f t="array" ref="CW58">SUMPRODUCT((CW47:CW56&gt;0)*1)</f>
        <v>0</v>
      </c>
      <c r="CX58" s="245" cm="1">
        <f t="array" ref="CX58">SUMPRODUCT((CX47:CX56&gt;0)*1)</f>
        <v>0</v>
      </c>
      <c r="CY58" s="245" cm="1">
        <f t="array" ref="CY58">SUMPRODUCT((CY47:CY56&gt;0)*1)</f>
        <v>0</v>
      </c>
      <c r="CZ58" s="245" cm="1">
        <f t="array" ref="CZ58">SUMPRODUCT((CZ47:CZ56&gt;0)*1)</f>
        <v>0</v>
      </c>
      <c r="DA58" s="245" cm="1">
        <f t="array" ref="DA58">SUMPRODUCT((DA47:DA56&gt;0)*1)</f>
        <v>0</v>
      </c>
      <c r="DB58" s="245" cm="1">
        <f t="array" ref="DB58">SUMPRODUCT((DB47:DB56&gt;0)*1)</f>
        <v>0</v>
      </c>
      <c r="DC58" s="245" cm="1">
        <f t="array" ref="DC58">SUMPRODUCT((DC47:DC56&gt;0)*1)</f>
        <v>0</v>
      </c>
      <c r="DD58" s="245" cm="1">
        <f t="array" ref="DD58">SUMPRODUCT((DD47:DD56&gt;0)*1)</f>
        <v>0</v>
      </c>
      <c r="DE58" s="245" cm="1">
        <f t="array" ref="DE58">SUMPRODUCT((DE47:DE56&gt;0)*1)</f>
        <v>0</v>
      </c>
      <c r="DF58" s="245" cm="1">
        <f t="array" ref="DF58">SUMPRODUCT((DF47:DF56&gt;0)*1)</f>
        <v>0</v>
      </c>
      <c r="DG58" s="245" cm="1">
        <f t="array" ref="DG58">SUMPRODUCT((DG47:DG56&gt;0)*1)</f>
        <v>0</v>
      </c>
      <c r="DH58" s="245" cm="1">
        <f t="array" ref="DH58">SUMPRODUCT((DH47:DH56&gt;0)*1)</f>
        <v>0</v>
      </c>
      <c r="DI58" s="245" cm="1">
        <f t="array" ref="DI58">SUMPRODUCT((DI47:DI56&gt;0)*1)</f>
        <v>0</v>
      </c>
      <c r="DJ58" s="245" cm="1">
        <f t="array" ref="DJ58">SUMPRODUCT((DJ47:DJ56&gt;0)*1)</f>
        <v>0</v>
      </c>
      <c r="DK58" s="245" cm="1">
        <f t="array" ref="DK58">SUMPRODUCT((DK47:DK56&gt;0)*1)</f>
        <v>0</v>
      </c>
      <c r="DL58" s="245" cm="1">
        <f t="array" ref="DL58">SUMPRODUCT((DL47:DL56&gt;0)*1)</f>
        <v>0</v>
      </c>
      <c r="DM58" s="245" cm="1">
        <f t="array" ref="DM58">SUMPRODUCT((DM47:DM56&gt;0)*1)</f>
        <v>0</v>
      </c>
      <c r="DN58" s="245" cm="1">
        <f t="array" ref="DN58">SUMPRODUCT((DN47:DN56&gt;0)*1)</f>
        <v>0</v>
      </c>
      <c r="DO58" s="245" cm="1">
        <f t="array" ref="DO58">SUMPRODUCT((DO47:DO56&gt;0)*1)</f>
        <v>0</v>
      </c>
      <c r="DP58" s="245" cm="1">
        <f t="array" ref="DP58">SUMPRODUCT((DP47:DP56&gt;0)*1)</f>
        <v>0</v>
      </c>
      <c r="DQ58" s="245" cm="1">
        <f t="array" ref="DQ58">SUMPRODUCT((DQ47:DQ56&gt;0)*1)</f>
        <v>0</v>
      </c>
      <c r="DR58" s="245" cm="1">
        <f t="array" ref="DR58">SUMPRODUCT((DR47:DR56&gt;0)*1)</f>
        <v>0</v>
      </c>
    </row>
    <row r="59" spans="1:122" ht="16.05" customHeight="1" x14ac:dyDescent="0.3">
      <c r="A59" s="1"/>
      <c r="B59" s="1"/>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c r="DF59" s="123"/>
      <c r="DG59" s="123"/>
      <c r="DH59" s="123"/>
      <c r="DI59" s="123"/>
      <c r="DJ59" s="123"/>
      <c r="DK59" s="123"/>
      <c r="DL59" s="123"/>
      <c r="DM59" s="123"/>
      <c r="DN59" s="123"/>
      <c r="DO59" s="123"/>
      <c r="DP59" s="123"/>
      <c r="DQ59" s="123"/>
      <c r="DR59" s="123"/>
    </row>
    <row r="60" spans="1:122" ht="19.95" customHeight="1" x14ac:dyDescent="0.3">
      <c r="A60" s="3" t="s">
        <v>61</v>
      </c>
      <c r="B60" s="3"/>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c r="CN60" s="244"/>
      <c r="CO60" s="244"/>
      <c r="CP60" s="244"/>
      <c r="CQ60" s="244"/>
      <c r="CR60" s="244"/>
      <c r="CS60" s="244"/>
      <c r="CT60" s="244"/>
      <c r="CU60" s="244"/>
      <c r="CV60" s="244"/>
      <c r="CW60" s="244"/>
      <c r="CX60" s="244"/>
      <c r="CY60" s="244"/>
      <c r="CZ60" s="244"/>
      <c r="DA60" s="244"/>
      <c r="DB60" s="244"/>
      <c r="DC60" s="244"/>
      <c r="DD60" s="244"/>
      <c r="DE60" s="244"/>
      <c r="DF60" s="244"/>
      <c r="DG60" s="244"/>
      <c r="DH60" s="244"/>
      <c r="DI60" s="244"/>
      <c r="DJ60" s="244"/>
      <c r="DK60" s="244"/>
      <c r="DL60" s="244"/>
      <c r="DM60" s="244"/>
      <c r="DN60" s="244"/>
      <c r="DO60" s="244"/>
      <c r="DP60" s="244"/>
      <c r="DQ60" s="244"/>
      <c r="DR60" s="244"/>
    </row>
    <row r="61" spans="1:122" ht="16.05" customHeight="1" x14ac:dyDescent="0.3">
      <c r="A61" s="148" t="str" cm="1">
        <f t="array" ref="A61">INDEX(Properties!$E:$E,$B61+5)</f>
        <v>Aires de Campestre Apto 801 (Penthouse)</v>
      </c>
      <c r="B61" s="1">
        <v>1</v>
      </c>
      <c r="C61" s="123" cm="1">
        <f t="array" ref="C61">INDEX(Properties!$D:$D,$B61+5)*(IF(C$3=INDEX(Properties!$U:$U,$B61+5),INDEX(Properties!$W:$W,$B61+5),0))</f>
        <v>0</v>
      </c>
      <c r="D61" s="123" cm="1">
        <f t="array" ref="D61">INDEX(Properties!$D:$D,$B61+5)*(IF(D$3=INDEX(Properties!$U:$U,$B61+5),INDEX(Properties!$W:$W,$B61+5),0))</f>
        <v>0</v>
      </c>
      <c r="E61" s="123" cm="1">
        <f t="array" ref="E61">INDEX(Properties!$D:$D,$B61+5)*(IF(E$3=INDEX(Properties!$U:$U,$B61+5),INDEX(Properties!$W:$W,$B61+5),0))</f>
        <v>0</v>
      </c>
      <c r="F61" s="123" cm="1">
        <f t="array" ref="F61">INDEX(Properties!$D:$D,$B61+5)*(IF(F$3=INDEX(Properties!$U:$U,$B61+5),INDEX(Properties!$W:$W,$B61+5),0))</f>
        <v>0</v>
      </c>
      <c r="G61" s="123" cm="1">
        <f t="array" ref="G61">INDEX(Properties!$D:$D,$B61+5)*(IF(G$3=INDEX(Properties!$U:$U,$B61+5),INDEX(Properties!$W:$W,$B61+5),0))</f>
        <v>0</v>
      </c>
      <c r="H61" s="123" cm="1">
        <f t="array" ref="H61">INDEX(Properties!$D:$D,$B61+5)*(IF(H$3=INDEX(Properties!$U:$U,$B61+5),INDEX(Properties!$W:$W,$B61+5),0))</f>
        <v>0</v>
      </c>
      <c r="I61" s="123" cm="1">
        <f t="array" ref="I61">INDEX(Properties!$D:$D,$B61+5)*(IF(I$3=INDEX(Properties!$U:$U,$B61+5),INDEX(Properties!$W:$W,$B61+5),0))</f>
        <v>0</v>
      </c>
      <c r="J61" s="123" cm="1">
        <f t="array" ref="J61">INDEX(Properties!$D:$D,$B61+5)*(IF(J$3=INDEX(Properties!$U:$U,$B61+5),INDEX(Properties!$W:$W,$B61+5),0))</f>
        <v>0</v>
      </c>
      <c r="K61" s="123" cm="1">
        <f t="array" ref="K61">INDEX(Properties!$D:$D,$B61+5)*(IF(K$3=INDEX(Properties!$U:$U,$B61+5),INDEX(Properties!$W:$W,$B61+5),0))</f>
        <v>0</v>
      </c>
      <c r="L61" s="123" cm="1">
        <f t="array" ref="L61">INDEX(Properties!$D:$D,$B61+5)*(IF(L$3=INDEX(Properties!$U:$U,$B61+5),INDEX(Properties!$W:$W,$B61+5),0))</f>
        <v>0</v>
      </c>
      <c r="M61" s="123" cm="1">
        <f t="array" ref="M61">INDEX(Properties!$D:$D,$B61+5)*(IF(M$3=INDEX(Properties!$U:$U,$B61+5),INDEX(Properties!$W:$W,$B61+5),0))</f>
        <v>0</v>
      </c>
      <c r="N61" s="123" cm="1">
        <f t="array" ref="N61">INDEX(Properties!$D:$D,$B61+5)*(IF(N$3=INDEX(Properties!$U:$U,$B61+5),INDEX(Properties!$W:$W,$B61+5),0))</f>
        <v>0</v>
      </c>
      <c r="O61" s="123" cm="1">
        <f t="array" ref="O61">INDEX(Properties!$D:$D,$B61+5)*(IF(O$3=INDEX(Properties!$U:$U,$B61+5),INDEX(Properties!$W:$W,$B61+5),0))</f>
        <v>0</v>
      </c>
      <c r="P61" s="123" cm="1">
        <f t="array" ref="P61">INDEX(Properties!$D:$D,$B61+5)*(IF(P$3=INDEX(Properties!$U:$U,$B61+5),INDEX(Properties!$W:$W,$B61+5),0))</f>
        <v>0</v>
      </c>
      <c r="Q61" s="123" cm="1">
        <f t="array" ref="Q61">INDEX(Properties!$D:$D,$B61+5)*(IF(Q$3=INDEX(Properties!$U:$U,$B61+5),INDEX(Properties!$W:$W,$B61+5),0))</f>
        <v>0</v>
      </c>
      <c r="R61" s="123" cm="1">
        <f t="array" ref="R61">INDEX(Properties!$D:$D,$B61+5)*(IF(R$3=INDEX(Properties!$U:$U,$B61+5),INDEX(Properties!$W:$W,$B61+5),0))</f>
        <v>0</v>
      </c>
      <c r="S61" s="123" cm="1">
        <f t="array" ref="S61">INDEX(Properties!$D:$D,$B61+5)*(IF(S$3=INDEX(Properties!$U:$U,$B61+5),INDEX(Properties!$W:$W,$B61+5),0))</f>
        <v>0</v>
      </c>
      <c r="T61" s="123" cm="1">
        <f t="array" ref="T61">INDEX(Properties!$D:$D,$B61+5)*(IF(T$3=INDEX(Properties!$U:$U,$B61+5),INDEX(Properties!$W:$W,$B61+5),0))</f>
        <v>0</v>
      </c>
      <c r="U61" s="123" cm="1">
        <f t="array" ref="U61">INDEX(Properties!$D:$D,$B61+5)*(IF(U$3=INDEX(Properties!$U:$U,$B61+5),INDEX(Properties!$W:$W,$B61+5),0))</f>
        <v>0</v>
      </c>
      <c r="V61" s="123" cm="1">
        <f t="array" ref="V61">INDEX(Properties!$D:$D,$B61+5)*(IF(V$3=INDEX(Properties!$U:$U,$B61+5),INDEX(Properties!$W:$W,$B61+5),0))</f>
        <v>0</v>
      </c>
      <c r="W61" s="123" cm="1">
        <f t="array" ref="W61">INDEX(Properties!$D:$D,$B61+5)*(IF(W$3=INDEX(Properties!$U:$U,$B61+5),INDEX(Properties!$W:$W,$B61+5),0))</f>
        <v>0</v>
      </c>
      <c r="X61" s="123" cm="1">
        <f t="array" ref="X61">INDEX(Properties!$D:$D,$B61+5)*(IF(X$3=INDEX(Properties!$U:$U,$B61+5),INDEX(Properties!$W:$W,$B61+5),0))</f>
        <v>0</v>
      </c>
      <c r="Y61" s="123" cm="1">
        <f t="array" ref="Y61">INDEX(Properties!$D:$D,$B61+5)*(IF(Y$3=INDEX(Properties!$U:$U,$B61+5),INDEX(Properties!$W:$W,$B61+5),0))</f>
        <v>0</v>
      </c>
      <c r="Z61" s="123" cm="1">
        <f t="array" ref="Z61">INDEX(Properties!$D:$D,$B61+5)*(IF(Z$3=INDEX(Properties!$U:$U,$B61+5),INDEX(Properties!$W:$W,$B61+5),0))</f>
        <v>0</v>
      </c>
      <c r="AA61" s="123" cm="1">
        <f t="array" ref="AA61">INDEX(Properties!$D:$D,$B61+5)*(IF(AA$3=INDEX(Properties!$U:$U,$B61+5),INDEX(Properties!$W:$W,$B61+5),0))</f>
        <v>0</v>
      </c>
      <c r="AB61" s="123" cm="1">
        <f t="array" ref="AB61">INDEX(Properties!$D:$D,$B61+5)*(IF(AB$3=INDEX(Properties!$U:$U,$B61+5),INDEX(Properties!$W:$W,$B61+5),0))</f>
        <v>0</v>
      </c>
      <c r="AC61" s="123" cm="1">
        <f t="array" ref="AC61">INDEX(Properties!$D:$D,$B61+5)*(IF(AC$3=INDEX(Properties!$U:$U,$B61+5),INDEX(Properties!$W:$W,$B61+5),0))</f>
        <v>0</v>
      </c>
      <c r="AD61" s="123" cm="1">
        <f t="array" ref="AD61">INDEX(Properties!$D:$D,$B61+5)*(IF(AD$3=INDEX(Properties!$U:$U,$B61+5),INDEX(Properties!$W:$W,$B61+5),0))</f>
        <v>0</v>
      </c>
      <c r="AE61" s="123" cm="1">
        <f t="array" ref="AE61">INDEX(Properties!$D:$D,$B61+5)*(IF(AE$3=INDEX(Properties!$U:$U,$B61+5),INDEX(Properties!$W:$W,$B61+5),0))</f>
        <v>0</v>
      </c>
      <c r="AF61" s="123" cm="1">
        <f t="array" ref="AF61">INDEX(Properties!$D:$D,$B61+5)*(IF(AF$3=INDEX(Properties!$U:$U,$B61+5),INDEX(Properties!$W:$W,$B61+5),0))</f>
        <v>2019763.3569386934</v>
      </c>
      <c r="AG61" s="123" cm="1">
        <f t="array" ref="AG61">INDEX(Properties!$D:$D,$B61+5)*(IF(AG$3=INDEX(Properties!$U:$U,$B61+5),INDEX(Properties!$W:$W,$B61+5),0))</f>
        <v>0</v>
      </c>
      <c r="AH61" s="123" cm="1">
        <f t="array" ref="AH61">INDEX(Properties!$D:$D,$B61+5)*(IF(AH$3=INDEX(Properties!$U:$U,$B61+5),INDEX(Properties!$W:$W,$B61+5),0))</f>
        <v>0</v>
      </c>
      <c r="AI61" s="123" cm="1">
        <f t="array" ref="AI61">INDEX(Properties!$D:$D,$B61+5)*(IF(AI$3=INDEX(Properties!$U:$U,$B61+5),INDEX(Properties!$W:$W,$B61+5),0))</f>
        <v>0</v>
      </c>
      <c r="AJ61" s="123" cm="1">
        <f t="array" ref="AJ61">INDEX(Properties!$D:$D,$B61+5)*(IF(AJ$3=INDEX(Properties!$U:$U,$B61+5),INDEX(Properties!$W:$W,$B61+5),0))</f>
        <v>0</v>
      </c>
      <c r="AK61" s="123" cm="1">
        <f t="array" ref="AK61">INDEX(Properties!$D:$D,$B61+5)*(IF(AK$3=INDEX(Properties!$U:$U,$B61+5),INDEX(Properties!$W:$W,$B61+5),0))</f>
        <v>0</v>
      </c>
      <c r="AL61" s="123" cm="1">
        <f t="array" ref="AL61">INDEX(Properties!$D:$D,$B61+5)*(IF(AL$3=INDEX(Properties!$U:$U,$B61+5),INDEX(Properties!$W:$W,$B61+5),0))</f>
        <v>0</v>
      </c>
      <c r="AM61" s="123" cm="1">
        <f t="array" ref="AM61">INDEX(Properties!$D:$D,$B61+5)*(IF(AM$3=INDEX(Properties!$U:$U,$B61+5),INDEX(Properties!$W:$W,$B61+5),0))</f>
        <v>0</v>
      </c>
      <c r="AN61" s="123" cm="1">
        <f t="array" ref="AN61">INDEX(Properties!$D:$D,$B61+5)*(IF(AN$3=INDEX(Properties!$U:$U,$B61+5),INDEX(Properties!$W:$W,$B61+5),0))</f>
        <v>0</v>
      </c>
      <c r="AO61" s="123" cm="1">
        <f t="array" ref="AO61">INDEX(Properties!$D:$D,$B61+5)*(IF(AO$3=INDEX(Properties!$U:$U,$B61+5),INDEX(Properties!$W:$W,$B61+5),0))</f>
        <v>0</v>
      </c>
      <c r="AP61" s="123" cm="1">
        <f t="array" ref="AP61">INDEX(Properties!$D:$D,$B61+5)*(IF(AP$3=INDEX(Properties!$U:$U,$B61+5),INDEX(Properties!$W:$W,$B61+5),0))</f>
        <v>0</v>
      </c>
      <c r="AQ61" s="123" cm="1">
        <f t="array" ref="AQ61">INDEX(Properties!$D:$D,$B61+5)*(IF(AQ$3=INDEX(Properties!$U:$U,$B61+5),INDEX(Properties!$W:$W,$B61+5),0))</f>
        <v>0</v>
      </c>
      <c r="AR61" s="123" cm="1">
        <f t="array" ref="AR61">INDEX(Properties!$D:$D,$B61+5)*(IF(AR$3=INDEX(Properties!$U:$U,$B61+5),INDEX(Properties!$W:$W,$B61+5),0))</f>
        <v>0</v>
      </c>
      <c r="AS61" s="123" cm="1">
        <f t="array" ref="AS61">INDEX(Properties!$D:$D,$B61+5)*(IF(AS$3=INDEX(Properties!$U:$U,$B61+5),INDEX(Properties!$W:$W,$B61+5),0))</f>
        <v>0</v>
      </c>
      <c r="AT61" s="123" cm="1">
        <f t="array" ref="AT61">INDEX(Properties!$D:$D,$B61+5)*(IF(AT$3=INDEX(Properties!$U:$U,$B61+5),INDEX(Properties!$W:$W,$B61+5),0))</f>
        <v>0</v>
      </c>
      <c r="AU61" s="123" cm="1">
        <f t="array" ref="AU61">INDEX(Properties!$D:$D,$B61+5)*(IF(AU$3=INDEX(Properties!$U:$U,$B61+5),INDEX(Properties!$W:$W,$B61+5),0))</f>
        <v>0</v>
      </c>
      <c r="AV61" s="123" cm="1">
        <f t="array" ref="AV61">INDEX(Properties!$D:$D,$B61+5)*(IF(AV$3=INDEX(Properties!$U:$U,$B61+5),INDEX(Properties!$W:$W,$B61+5),0))</f>
        <v>0</v>
      </c>
      <c r="AW61" s="123" cm="1">
        <f t="array" ref="AW61">INDEX(Properties!$D:$D,$B61+5)*(IF(AW$3=INDEX(Properties!$U:$U,$B61+5),INDEX(Properties!$W:$W,$B61+5),0))</f>
        <v>0</v>
      </c>
      <c r="AX61" s="123" cm="1">
        <f t="array" ref="AX61">INDEX(Properties!$D:$D,$B61+5)*(IF(AX$3=INDEX(Properties!$U:$U,$B61+5),INDEX(Properties!$W:$W,$B61+5),0))</f>
        <v>0</v>
      </c>
      <c r="AY61" s="123" cm="1">
        <f t="array" ref="AY61">INDEX(Properties!$D:$D,$B61+5)*(IF(AY$3=INDEX(Properties!$U:$U,$B61+5),INDEX(Properties!$W:$W,$B61+5),0))</f>
        <v>0</v>
      </c>
      <c r="AZ61" s="123" cm="1">
        <f t="array" ref="AZ61">INDEX(Properties!$D:$D,$B61+5)*(IF(AZ$3=INDEX(Properties!$U:$U,$B61+5),INDEX(Properties!$W:$W,$B61+5),0))</f>
        <v>0</v>
      </c>
      <c r="BA61" s="123" cm="1">
        <f t="array" ref="BA61">INDEX(Properties!$D:$D,$B61+5)*(IF(BA$3=INDEX(Properties!$U:$U,$B61+5),INDEX(Properties!$W:$W,$B61+5),0))</f>
        <v>0</v>
      </c>
      <c r="BB61" s="123" cm="1">
        <f t="array" ref="BB61">INDEX(Properties!$D:$D,$B61+5)*(IF(BB$3=INDEX(Properties!$U:$U,$B61+5),INDEX(Properties!$W:$W,$B61+5),0))</f>
        <v>0</v>
      </c>
      <c r="BC61" s="123" cm="1">
        <f t="array" ref="BC61">INDEX(Properties!$D:$D,$B61+5)*(IF(BC$3=INDEX(Properties!$U:$U,$B61+5),INDEX(Properties!$W:$W,$B61+5),0))</f>
        <v>0</v>
      </c>
      <c r="BD61" s="123" cm="1">
        <f t="array" ref="BD61">INDEX(Properties!$D:$D,$B61+5)*(IF(BD$3=INDEX(Properties!$U:$U,$B61+5),INDEX(Properties!$W:$W,$B61+5),0))</f>
        <v>0</v>
      </c>
      <c r="BE61" s="123" cm="1">
        <f t="array" ref="BE61">INDEX(Properties!$D:$D,$B61+5)*(IF(BE$3=INDEX(Properties!$U:$U,$B61+5),INDEX(Properties!$W:$W,$B61+5),0))</f>
        <v>0</v>
      </c>
      <c r="BF61" s="123" cm="1">
        <f t="array" ref="BF61">INDEX(Properties!$D:$D,$B61+5)*(IF(BF$3=INDEX(Properties!$U:$U,$B61+5),INDEX(Properties!$W:$W,$B61+5),0))</f>
        <v>0</v>
      </c>
      <c r="BG61" s="123" cm="1">
        <f t="array" ref="BG61">INDEX(Properties!$D:$D,$B61+5)*(IF(BG$3=INDEX(Properties!$U:$U,$B61+5),INDEX(Properties!$W:$W,$B61+5),0))</f>
        <v>0</v>
      </c>
      <c r="BH61" s="123" cm="1">
        <f t="array" ref="BH61">INDEX(Properties!$D:$D,$B61+5)*(IF(BH$3=INDEX(Properties!$U:$U,$B61+5),INDEX(Properties!$W:$W,$B61+5),0))</f>
        <v>0</v>
      </c>
      <c r="BI61" s="123" cm="1">
        <f t="array" ref="BI61">INDEX(Properties!$D:$D,$B61+5)*(IF(BI$3=INDEX(Properties!$U:$U,$B61+5),INDEX(Properties!$W:$W,$B61+5),0))</f>
        <v>0</v>
      </c>
      <c r="BJ61" s="123" cm="1">
        <f t="array" ref="BJ61">INDEX(Properties!$D:$D,$B61+5)*(IF(BJ$3=INDEX(Properties!$U:$U,$B61+5),INDEX(Properties!$W:$W,$B61+5),0))</f>
        <v>0</v>
      </c>
      <c r="BK61" s="123" cm="1">
        <f t="array" ref="BK61">INDEX(Properties!$D:$D,$B61+5)*(IF(BK$3=INDEX(Properties!$U:$U,$B61+5),INDEX(Properties!$W:$W,$B61+5),0))</f>
        <v>0</v>
      </c>
      <c r="BL61" s="123" cm="1">
        <f t="array" ref="BL61">INDEX(Properties!$D:$D,$B61+5)*(IF(BL$3=INDEX(Properties!$U:$U,$B61+5),INDEX(Properties!$W:$W,$B61+5),0))</f>
        <v>0</v>
      </c>
      <c r="BM61" s="123" cm="1">
        <f t="array" ref="BM61">INDEX(Properties!$D:$D,$B61+5)*(IF(BM$3=INDEX(Properties!$U:$U,$B61+5),INDEX(Properties!$W:$W,$B61+5),0))</f>
        <v>0</v>
      </c>
      <c r="BN61" s="123" cm="1">
        <f t="array" ref="BN61">INDEX(Properties!$D:$D,$B61+5)*(IF(BN$3=INDEX(Properties!$U:$U,$B61+5),INDEX(Properties!$W:$W,$B61+5),0))</f>
        <v>0</v>
      </c>
      <c r="BO61" s="123" cm="1">
        <f t="array" ref="BO61">INDEX(Properties!$D:$D,$B61+5)*(IF(BO$3=INDEX(Properties!$U:$U,$B61+5),INDEX(Properties!$W:$W,$B61+5),0))</f>
        <v>0</v>
      </c>
      <c r="BP61" s="123" cm="1">
        <f t="array" ref="BP61">INDEX(Properties!$D:$D,$B61+5)*(IF(BP$3=INDEX(Properties!$U:$U,$B61+5),INDEX(Properties!$W:$W,$B61+5),0))</f>
        <v>0</v>
      </c>
      <c r="BQ61" s="123" cm="1">
        <f t="array" ref="BQ61">INDEX(Properties!$D:$D,$B61+5)*(IF(BQ$3=INDEX(Properties!$U:$U,$B61+5),INDEX(Properties!$W:$W,$B61+5),0))</f>
        <v>0</v>
      </c>
      <c r="BR61" s="123" cm="1">
        <f t="array" ref="BR61">INDEX(Properties!$D:$D,$B61+5)*(IF(BR$3=INDEX(Properties!$U:$U,$B61+5),INDEX(Properties!$W:$W,$B61+5),0))</f>
        <v>0</v>
      </c>
      <c r="BS61" s="123" cm="1">
        <f t="array" ref="BS61">INDEX(Properties!$D:$D,$B61+5)*(IF(BS$3=INDEX(Properties!$U:$U,$B61+5),INDEX(Properties!$W:$W,$B61+5),0))</f>
        <v>0</v>
      </c>
      <c r="BT61" s="123" cm="1">
        <f t="array" ref="BT61">INDEX(Properties!$D:$D,$B61+5)*(IF(BT$3=INDEX(Properties!$U:$U,$B61+5),INDEX(Properties!$W:$W,$B61+5),0))</f>
        <v>0</v>
      </c>
      <c r="BU61" s="123" cm="1">
        <f t="array" ref="BU61">INDEX(Properties!$D:$D,$B61+5)*(IF(BU$3=INDEX(Properties!$U:$U,$B61+5),INDEX(Properties!$W:$W,$B61+5),0))</f>
        <v>0</v>
      </c>
      <c r="BV61" s="123" cm="1">
        <f t="array" ref="BV61">INDEX(Properties!$D:$D,$B61+5)*(IF(BV$3=INDEX(Properties!$U:$U,$B61+5),INDEX(Properties!$W:$W,$B61+5),0))</f>
        <v>0</v>
      </c>
      <c r="BW61" s="123" cm="1">
        <f t="array" ref="BW61">INDEX(Properties!$D:$D,$B61+5)*(IF(BW$3=INDEX(Properties!$U:$U,$B61+5),INDEX(Properties!$W:$W,$B61+5),0))</f>
        <v>0</v>
      </c>
      <c r="BX61" s="123" cm="1">
        <f t="array" ref="BX61">INDEX(Properties!$D:$D,$B61+5)*(IF(BX$3=INDEX(Properties!$U:$U,$B61+5),INDEX(Properties!$W:$W,$B61+5),0))</f>
        <v>0</v>
      </c>
      <c r="BY61" s="123" cm="1">
        <f t="array" ref="BY61">INDEX(Properties!$D:$D,$B61+5)*(IF(BY$3=INDEX(Properties!$U:$U,$B61+5),INDEX(Properties!$W:$W,$B61+5),0))</f>
        <v>0</v>
      </c>
      <c r="BZ61" s="123" cm="1">
        <f t="array" ref="BZ61">INDEX(Properties!$D:$D,$B61+5)*(IF(BZ$3=INDEX(Properties!$U:$U,$B61+5),INDEX(Properties!$W:$W,$B61+5),0))</f>
        <v>0</v>
      </c>
      <c r="CA61" s="123" cm="1">
        <f t="array" ref="CA61">INDEX(Properties!$D:$D,$B61+5)*(IF(CA$3=INDEX(Properties!$U:$U,$B61+5),INDEX(Properties!$W:$W,$B61+5),0))</f>
        <v>0</v>
      </c>
      <c r="CB61" s="123" cm="1">
        <f t="array" ref="CB61">INDEX(Properties!$D:$D,$B61+5)*(IF(CB$3=INDEX(Properties!$U:$U,$B61+5),INDEX(Properties!$W:$W,$B61+5),0))</f>
        <v>0</v>
      </c>
      <c r="CC61" s="123" cm="1">
        <f t="array" ref="CC61">INDEX(Properties!$D:$D,$B61+5)*(IF(CC$3=INDEX(Properties!$U:$U,$B61+5),INDEX(Properties!$W:$W,$B61+5),0))</f>
        <v>0</v>
      </c>
      <c r="CD61" s="123" cm="1">
        <f t="array" ref="CD61">INDEX(Properties!$D:$D,$B61+5)*(IF(CD$3=INDEX(Properties!$U:$U,$B61+5),INDEX(Properties!$W:$W,$B61+5),0))</f>
        <v>0</v>
      </c>
      <c r="CE61" s="123" cm="1">
        <f t="array" ref="CE61">INDEX(Properties!$D:$D,$B61+5)*(IF(CE$3=INDEX(Properties!$U:$U,$B61+5),INDEX(Properties!$W:$W,$B61+5),0))</f>
        <v>0</v>
      </c>
      <c r="CF61" s="123" cm="1">
        <f t="array" ref="CF61">INDEX(Properties!$D:$D,$B61+5)*(IF(CF$3=INDEX(Properties!$U:$U,$B61+5),INDEX(Properties!$W:$W,$B61+5),0))</f>
        <v>0</v>
      </c>
      <c r="CG61" s="123" cm="1">
        <f t="array" ref="CG61">INDEX(Properties!$D:$D,$B61+5)*(IF(CG$3=INDEX(Properties!$U:$U,$B61+5),INDEX(Properties!$W:$W,$B61+5),0))</f>
        <v>0</v>
      </c>
      <c r="CH61" s="123" cm="1">
        <f t="array" ref="CH61">INDEX(Properties!$D:$D,$B61+5)*(IF(CH$3=INDEX(Properties!$U:$U,$B61+5),INDEX(Properties!$W:$W,$B61+5),0))</f>
        <v>0</v>
      </c>
      <c r="CI61" s="123" cm="1">
        <f t="array" ref="CI61">INDEX(Properties!$D:$D,$B61+5)*(IF(CI$3=INDEX(Properties!$U:$U,$B61+5),INDEX(Properties!$W:$W,$B61+5),0))</f>
        <v>0</v>
      </c>
      <c r="CJ61" s="123" cm="1">
        <f t="array" ref="CJ61">INDEX(Properties!$D:$D,$B61+5)*(IF(CJ$3=INDEX(Properties!$U:$U,$B61+5),INDEX(Properties!$W:$W,$B61+5),0))</f>
        <v>0</v>
      </c>
      <c r="CK61" s="123" cm="1">
        <f t="array" ref="CK61">INDEX(Properties!$D:$D,$B61+5)*(IF(CK$3=INDEX(Properties!$U:$U,$B61+5),INDEX(Properties!$W:$W,$B61+5),0))</f>
        <v>0</v>
      </c>
      <c r="CL61" s="123" cm="1">
        <f t="array" ref="CL61">INDEX(Properties!$D:$D,$B61+5)*(IF(CL$3=INDEX(Properties!$U:$U,$B61+5),INDEX(Properties!$W:$W,$B61+5),0))</f>
        <v>0</v>
      </c>
      <c r="CM61" s="123" cm="1">
        <f t="array" ref="CM61">INDEX(Properties!$D:$D,$B61+5)*(IF(CM$3=INDEX(Properties!$U:$U,$B61+5),INDEX(Properties!$W:$W,$B61+5),0))</f>
        <v>0</v>
      </c>
      <c r="CN61" s="123" cm="1">
        <f t="array" ref="CN61">INDEX(Properties!$D:$D,$B61+5)*(IF(CN$3=INDEX(Properties!$U:$U,$B61+5),INDEX(Properties!$W:$W,$B61+5),0))</f>
        <v>0</v>
      </c>
      <c r="CO61" s="123" cm="1">
        <f t="array" ref="CO61">INDEX(Properties!$D:$D,$B61+5)*(IF(CO$3=INDEX(Properties!$U:$U,$B61+5),INDEX(Properties!$W:$W,$B61+5),0))</f>
        <v>0</v>
      </c>
      <c r="CP61" s="123" cm="1">
        <f t="array" ref="CP61">INDEX(Properties!$D:$D,$B61+5)*(IF(CP$3=INDEX(Properties!$U:$U,$B61+5),INDEX(Properties!$W:$W,$B61+5),0))</f>
        <v>0</v>
      </c>
      <c r="CQ61" s="123" cm="1">
        <f t="array" ref="CQ61">INDEX(Properties!$D:$D,$B61+5)*(IF(CQ$3=INDEX(Properties!$U:$U,$B61+5),INDEX(Properties!$W:$W,$B61+5),0))</f>
        <v>0</v>
      </c>
      <c r="CR61" s="123" cm="1">
        <f t="array" ref="CR61">INDEX(Properties!$D:$D,$B61+5)*(IF(CR$3=INDEX(Properties!$U:$U,$B61+5),INDEX(Properties!$W:$W,$B61+5),0))</f>
        <v>0</v>
      </c>
      <c r="CS61" s="123" cm="1">
        <f t="array" ref="CS61">INDEX(Properties!$D:$D,$B61+5)*(IF(CS$3=INDEX(Properties!$U:$U,$B61+5),INDEX(Properties!$W:$W,$B61+5),0))</f>
        <v>0</v>
      </c>
      <c r="CT61" s="123" cm="1">
        <f t="array" ref="CT61">INDEX(Properties!$D:$D,$B61+5)*(IF(CT$3=INDEX(Properties!$U:$U,$B61+5),INDEX(Properties!$W:$W,$B61+5),0))</f>
        <v>0</v>
      </c>
      <c r="CU61" s="123" cm="1">
        <f t="array" ref="CU61">INDEX(Properties!$D:$D,$B61+5)*(IF(CU$3=INDEX(Properties!$U:$U,$B61+5),INDEX(Properties!$W:$W,$B61+5),0))</f>
        <v>0</v>
      </c>
      <c r="CV61" s="123" cm="1">
        <f t="array" ref="CV61">INDEX(Properties!$D:$D,$B61+5)*(IF(CV$3=INDEX(Properties!$U:$U,$B61+5),INDEX(Properties!$W:$W,$B61+5),0))</f>
        <v>0</v>
      </c>
      <c r="CW61" s="123" cm="1">
        <f t="array" ref="CW61">INDEX(Properties!$D:$D,$B61+5)*(IF(CW$3=INDEX(Properties!$U:$U,$B61+5),INDEX(Properties!$W:$W,$B61+5),0))</f>
        <v>0</v>
      </c>
      <c r="CX61" s="123" cm="1">
        <f t="array" ref="CX61">INDEX(Properties!$D:$D,$B61+5)*(IF(CX$3=INDEX(Properties!$U:$U,$B61+5),INDEX(Properties!$W:$W,$B61+5),0))</f>
        <v>0</v>
      </c>
      <c r="CY61" s="123" cm="1">
        <f t="array" ref="CY61">INDEX(Properties!$D:$D,$B61+5)*(IF(CY$3=INDEX(Properties!$U:$U,$B61+5),INDEX(Properties!$W:$W,$B61+5),0))</f>
        <v>0</v>
      </c>
      <c r="CZ61" s="123" cm="1">
        <f t="array" ref="CZ61">INDEX(Properties!$D:$D,$B61+5)*(IF(CZ$3=INDEX(Properties!$U:$U,$B61+5),INDEX(Properties!$W:$W,$B61+5),0))</f>
        <v>0</v>
      </c>
      <c r="DA61" s="123" cm="1">
        <f t="array" ref="DA61">INDEX(Properties!$D:$D,$B61+5)*(IF(DA$3=INDEX(Properties!$U:$U,$B61+5),INDEX(Properties!$W:$W,$B61+5),0))</f>
        <v>0</v>
      </c>
      <c r="DB61" s="123" cm="1">
        <f t="array" ref="DB61">INDEX(Properties!$D:$D,$B61+5)*(IF(DB$3=INDEX(Properties!$U:$U,$B61+5),INDEX(Properties!$W:$W,$B61+5),0))</f>
        <v>0</v>
      </c>
      <c r="DC61" s="123" cm="1">
        <f t="array" ref="DC61">INDEX(Properties!$D:$D,$B61+5)*(IF(DC$3=INDEX(Properties!$U:$U,$B61+5),INDEX(Properties!$W:$W,$B61+5),0))</f>
        <v>0</v>
      </c>
      <c r="DD61" s="123" cm="1">
        <f t="array" ref="DD61">INDEX(Properties!$D:$D,$B61+5)*(IF(DD$3=INDEX(Properties!$U:$U,$B61+5),INDEX(Properties!$W:$W,$B61+5),0))</f>
        <v>0</v>
      </c>
      <c r="DE61" s="123" cm="1">
        <f t="array" ref="DE61">INDEX(Properties!$D:$D,$B61+5)*(IF(DE$3=INDEX(Properties!$U:$U,$B61+5),INDEX(Properties!$W:$W,$B61+5),0))</f>
        <v>0</v>
      </c>
      <c r="DF61" s="123" cm="1">
        <f t="array" ref="DF61">INDEX(Properties!$D:$D,$B61+5)*(IF(DF$3=INDEX(Properties!$U:$U,$B61+5),INDEX(Properties!$W:$W,$B61+5),0))</f>
        <v>0</v>
      </c>
      <c r="DG61" s="123" cm="1">
        <f t="array" ref="DG61">INDEX(Properties!$D:$D,$B61+5)*(IF(DG$3=INDEX(Properties!$U:$U,$B61+5),INDEX(Properties!$W:$W,$B61+5),0))</f>
        <v>0</v>
      </c>
      <c r="DH61" s="123" cm="1">
        <f t="array" ref="DH61">INDEX(Properties!$D:$D,$B61+5)*(IF(DH$3=INDEX(Properties!$U:$U,$B61+5),INDEX(Properties!$W:$W,$B61+5),0))</f>
        <v>0</v>
      </c>
      <c r="DI61" s="123" cm="1">
        <f t="array" ref="DI61">INDEX(Properties!$D:$D,$B61+5)*(IF(DI$3=INDEX(Properties!$U:$U,$B61+5),INDEX(Properties!$W:$W,$B61+5),0))</f>
        <v>0</v>
      </c>
      <c r="DJ61" s="123" cm="1">
        <f t="array" ref="DJ61">INDEX(Properties!$D:$D,$B61+5)*(IF(DJ$3=INDEX(Properties!$U:$U,$B61+5),INDEX(Properties!$W:$W,$B61+5),0))</f>
        <v>0</v>
      </c>
      <c r="DK61" s="123" cm="1">
        <f t="array" ref="DK61">INDEX(Properties!$D:$D,$B61+5)*(IF(DK$3=INDEX(Properties!$U:$U,$B61+5),INDEX(Properties!$W:$W,$B61+5),0))</f>
        <v>0</v>
      </c>
      <c r="DL61" s="123" cm="1">
        <f t="array" ref="DL61">INDEX(Properties!$D:$D,$B61+5)*(IF(DL$3=INDEX(Properties!$U:$U,$B61+5),INDEX(Properties!$W:$W,$B61+5),0))</f>
        <v>0</v>
      </c>
      <c r="DM61" s="123" cm="1">
        <f t="array" ref="DM61">INDEX(Properties!$D:$D,$B61+5)*(IF(DM$3=INDEX(Properties!$U:$U,$B61+5),INDEX(Properties!$W:$W,$B61+5),0))</f>
        <v>0</v>
      </c>
      <c r="DN61" s="123" cm="1">
        <f t="array" ref="DN61">INDEX(Properties!$D:$D,$B61+5)*(IF(DN$3=INDEX(Properties!$U:$U,$B61+5),INDEX(Properties!$W:$W,$B61+5),0))</f>
        <v>0</v>
      </c>
      <c r="DO61" s="123" cm="1">
        <f t="array" ref="DO61">INDEX(Properties!$D:$D,$B61+5)*(IF(DO$3=INDEX(Properties!$U:$U,$B61+5),INDEX(Properties!$W:$W,$B61+5),0))</f>
        <v>0</v>
      </c>
      <c r="DP61" s="123" cm="1">
        <f t="array" ref="DP61">INDEX(Properties!$D:$D,$B61+5)*(IF(DP$3=INDEX(Properties!$U:$U,$B61+5),INDEX(Properties!$W:$W,$B61+5),0))</f>
        <v>0</v>
      </c>
      <c r="DQ61" s="123" cm="1">
        <f t="array" ref="DQ61">INDEX(Properties!$D:$D,$B61+5)*(IF(DQ$3=INDEX(Properties!$U:$U,$B61+5),INDEX(Properties!$W:$W,$B61+5),0))</f>
        <v>0</v>
      </c>
      <c r="DR61" s="123" cm="1">
        <f t="array" ref="DR61">INDEX(Properties!$D:$D,$B61+5)*(IF(DR$3=INDEX(Properties!$U:$U,$B61+5),INDEX(Properties!$W:$W,$B61+5),0))</f>
        <v>0</v>
      </c>
    </row>
    <row r="62" spans="1:122" ht="16.05" customHeight="1" x14ac:dyDescent="0.3">
      <c r="A62" s="148" t="str" cm="1">
        <f t="array" ref="A62">INDEX(Properties!$E:$E,$B62+5)</f>
        <v>Fontanar Apto 201 (Penthouse)</v>
      </c>
      <c r="B62" s="1">
        <v>2</v>
      </c>
      <c r="C62" s="123" cm="1">
        <f t="array" ref="C62">INDEX(Properties!$D:$D,$B62+5)*(IF(C$3=INDEX(Properties!$U:$U,$B62+5),INDEX(Properties!$W:$W,$B62+5),0))</f>
        <v>0</v>
      </c>
      <c r="D62" s="123" cm="1">
        <f t="array" ref="D62">INDEX(Properties!$D:$D,$B62+5)*(IF(D$3=INDEX(Properties!$U:$U,$B62+5),INDEX(Properties!$W:$W,$B62+5),0))</f>
        <v>0</v>
      </c>
      <c r="E62" s="123" cm="1">
        <f t="array" ref="E62">INDEX(Properties!$D:$D,$B62+5)*(IF(E$3=INDEX(Properties!$U:$U,$B62+5),INDEX(Properties!$W:$W,$B62+5),0))</f>
        <v>0</v>
      </c>
      <c r="F62" s="123" cm="1">
        <f t="array" ref="F62">INDEX(Properties!$D:$D,$B62+5)*(IF(F$3=INDEX(Properties!$U:$U,$B62+5),INDEX(Properties!$W:$W,$B62+5),0))</f>
        <v>0</v>
      </c>
      <c r="G62" s="123" cm="1">
        <f t="array" ref="G62">INDEX(Properties!$D:$D,$B62+5)*(IF(G$3=INDEX(Properties!$U:$U,$B62+5),INDEX(Properties!$W:$W,$B62+5),0))</f>
        <v>0</v>
      </c>
      <c r="H62" s="123" cm="1">
        <f t="array" ref="H62">INDEX(Properties!$D:$D,$B62+5)*(IF(H$3=INDEX(Properties!$U:$U,$B62+5),INDEX(Properties!$W:$W,$B62+5),0))</f>
        <v>0</v>
      </c>
      <c r="I62" s="123" cm="1">
        <f t="array" ref="I62">INDEX(Properties!$D:$D,$B62+5)*(IF(I$3=INDEX(Properties!$U:$U,$B62+5),INDEX(Properties!$W:$W,$B62+5),0))</f>
        <v>0</v>
      </c>
      <c r="J62" s="123" cm="1">
        <f t="array" ref="J62">INDEX(Properties!$D:$D,$B62+5)*(IF(J$3=INDEX(Properties!$U:$U,$B62+5),INDEX(Properties!$W:$W,$B62+5),0))</f>
        <v>0</v>
      </c>
      <c r="K62" s="123" cm="1">
        <f t="array" ref="K62">INDEX(Properties!$D:$D,$B62+5)*(IF(K$3=INDEX(Properties!$U:$U,$B62+5),INDEX(Properties!$W:$W,$B62+5),0))</f>
        <v>0</v>
      </c>
      <c r="L62" s="123" cm="1">
        <f t="array" ref="L62">INDEX(Properties!$D:$D,$B62+5)*(IF(L$3=INDEX(Properties!$U:$U,$B62+5),INDEX(Properties!$W:$W,$B62+5),0))</f>
        <v>0</v>
      </c>
      <c r="M62" s="123" cm="1">
        <f t="array" ref="M62">INDEX(Properties!$D:$D,$B62+5)*(IF(M$3=INDEX(Properties!$U:$U,$B62+5),INDEX(Properties!$W:$W,$B62+5),0))</f>
        <v>0</v>
      </c>
      <c r="N62" s="123" cm="1">
        <f t="array" ref="N62">INDEX(Properties!$D:$D,$B62+5)*(IF(N$3=INDEX(Properties!$U:$U,$B62+5),INDEX(Properties!$W:$W,$B62+5),0))</f>
        <v>0</v>
      </c>
      <c r="O62" s="123" cm="1">
        <f t="array" ref="O62">INDEX(Properties!$D:$D,$B62+5)*(IF(O$3=INDEX(Properties!$U:$U,$B62+5),INDEX(Properties!$W:$W,$B62+5),0))</f>
        <v>0</v>
      </c>
      <c r="P62" s="123" cm="1">
        <f t="array" ref="P62">INDEX(Properties!$D:$D,$B62+5)*(IF(P$3=INDEX(Properties!$U:$U,$B62+5),INDEX(Properties!$W:$W,$B62+5),0))</f>
        <v>0</v>
      </c>
      <c r="Q62" s="123" cm="1">
        <f t="array" ref="Q62">INDEX(Properties!$D:$D,$B62+5)*(IF(Q$3=INDEX(Properties!$U:$U,$B62+5),INDEX(Properties!$W:$W,$B62+5),0))</f>
        <v>0</v>
      </c>
      <c r="R62" s="123" cm="1">
        <f t="array" ref="R62">INDEX(Properties!$D:$D,$B62+5)*(IF(R$3=INDEX(Properties!$U:$U,$B62+5),INDEX(Properties!$W:$W,$B62+5),0))</f>
        <v>0</v>
      </c>
      <c r="S62" s="123" cm="1">
        <f t="array" ref="S62">INDEX(Properties!$D:$D,$B62+5)*(IF(S$3=INDEX(Properties!$U:$U,$B62+5),INDEX(Properties!$W:$W,$B62+5),0))</f>
        <v>0</v>
      </c>
      <c r="T62" s="123" cm="1">
        <f t="array" ref="T62">INDEX(Properties!$D:$D,$B62+5)*(IF(T$3=INDEX(Properties!$U:$U,$B62+5),INDEX(Properties!$W:$W,$B62+5),0))</f>
        <v>0</v>
      </c>
      <c r="U62" s="123" cm="1">
        <f t="array" ref="U62">INDEX(Properties!$D:$D,$B62+5)*(IF(U$3=INDEX(Properties!$U:$U,$B62+5),INDEX(Properties!$W:$W,$B62+5),0))</f>
        <v>0</v>
      </c>
      <c r="V62" s="123" cm="1">
        <f t="array" ref="V62">INDEX(Properties!$D:$D,$B62+5)*(IF(V$3=INDEX(Properties!$U:$U,$B62+5),INDEX(Properties!$W:$W,$B62+5),0))</f>
        <v>0</v>
      </c>
      <c r="W62" s="123" cm="1">
        <f t="array" ref="W62">INDEX(Properties!$D:$D,$B62+5)*(IF(W$3=INDEX(Properties!$U:$U,$B62+5),INDEX(Properties!$W:$W,$B62+5),0))</f>
        <v>0</v>
      </c>
      <c r="X62" s="123" cm="1">
        <f t="array" ref="X62">INDEX(Properties!$D:$D,$B62+5)*(IF(X$3=INDEX(Properties!$U:$U,$B62+5),INDEX(Properties!$W:$W,$B62+5),0))</f>
        <v>0</v>
      </c>
      <c r="Y62" s="123" cm="1">
        <f t="array" ref="Y62">INDEX(Properties!$D:$D,$B62+5)*(IF(Y$3=INDEX(Properties!$U:$U,$B62+5),INDEX(Properties!$W:$W,$B62+5),0))</f>
        <v>0</v>
      </c>
      <c r="Z62" s="123" cm="1">
        <f t="array" ref="Z62">INDEX(Properties!$D:$D,$B62+5)*(IF(Z$3=INDEX(Properties!$U:$U,$B62+5),INDEX(Properties!$W:$W,$B62+5),0))</f>
        <v>0</v>
      </c>
      <c r="AA62" s="123" cm="1">
        <f t="array" ref="AA62">INDEX(Properties!$D:$D,$B62+5)*(IF(AA$3=INDEX(Properties!$U:$U,$B62+5),INDEX(Properties!$W:$W,$B62+5),0))</f>
        <v>0</v>
      </c>
      <c r="AB62" s="123" cm="1">
        <f t="array" ref="AB62">INDEX(Properties!$D:$D,$B62+5)*(IF(AB$3=INDEX(Properties!$U:$U,$B62+5),INDEX(Properties!$W:$W,$B62+5),0))</f>
        <v>0</v>
      </c>
      <c r="AC62" s="123" cm="1">
        <f t="array" ref="AC62">INDEX(Properties!$D:$D,$B62+5)*(IF(AC$3=INDEX(Properties!$U:$U,$B62+5),INDEX(Properties!$W:$W,$B62+5),0))</f>
        <v>0</v>
      </c>
      <c r="AD62" s="123" cm="1">
        <f t="array" ref="AD62">INDEX(Properties!$D:$D,$B62+5)*(IF(AD$3=INDEX(Properties!$U:$U,$B62+5),INDEX(Properties!$W:$W,$B62+5),0))</f>
        <v>0</v>
      </c>
      <c r="AE62" s="123" cm="1">
        <f t="array" ref="AE62">INDEX(Properties!$D:$D,$B62+5)*(IF(AE$3=INDEX(Properties!$U:$U,$B62+5),INDEX(Properties!$W:$W,$B62+5),0))</f>
        <v>0</v>
      </c>
      <c r="AF62" s="123" cm="1">
        <f t="array" ref="AF62">INDEX(Properties!$D:$D,$B62+5)*(IF(AF$3=INDEX(Properties!$U:$U,$B62+5),INDEX(Properties!$W:$W,$B62+5),0))</f>
        <v>0</v>
      </c>
      <c r="AG62" s="123" cm="1">
        <f t="array" ref="AG62">INDEX(Properties!$D:$D,$B62+5)*(IF(AG$3=INDEX(Properties!$U:$U,$B62+5),INDEX(Properties!$W:$W,$B62+5),0))</f>
        <v>2261281.5704204938</v>
      </c>
      <c r="AH62" s="123" cm="1">
        <f t="array" ref="AH62">INDEX(Properties!$D:$D,$B62+5)*(IF(AH$3=INDEX(Properties!$U:$U,$B62+5),INDEX(Properties!$W:$W,$B62+5),0))</f>
        <v>0</v>
      </c>
      <c r="AI62" s="123" cm="1">
        <f t="array" ref="AI62">INDEX(Properties!$D:$D,$B62+5)*(IF(AI$3=INDEX(Properties!$U:$U,$B62+5),INDEX(Properties!$W:$W,$B62+5),0))</f>
        <v>0</v>
      </c>
      <c r="AJ62" s="123" cm="1">
        <f t="array" ref="AJ62">INDEX(Properties!$D:$D,$B62+5)*(IF(AJ$3=INDEX(Properties!$U:$U,$B62+5),INDEX(Properties!$W:$W,$B62+5),0))</f>
        <v>0</v>
      </c>
      <c r="AK62" s="123" cm="1">
        <f t="array" ref="AK62">INDEX(Properties!$D:$D,$B62+5)*(IF(AK$3=INDEX(Properties!$U:$U,$B62+5),INDEX(Properties!$W:$W,$B62+5),0))</f>
        <v>0</v>
      </c>
      <c r="AL62" s="123" cm="1">
        <f t="array" ref="AL62">INDEX(Properties!$D:$D,$B62+5)*(IF(AL$3=INDEX(Properties!$U:$U,$B62+5),INDEX(Properties!$W:$W,$B62+5),0))</f>
        <v>0</v>
      </c>
      <c r="AM62" s="123" cm="1">
        <f t="array" ref="AM62">INDEX(Properties!$D:$D,$B62+5)*(IF(AM$3=INDEX(Properties!$U:$U,$B62+5),INDEX(Properties!$W:$W,$B62+5),0))</f>
        <v>0</v>
      </c>
      <c r="AN62" s="123" cm="1">
        <f t="array" ref="AN62">INDEX(Properties!$D:$D,$B62+5)*(IF(AN$3=INDEX(Properties!$U:$U,$B62+5),INDEX(Properties!$W:$W,$B62+5),0))</f>
        <v>0</v>
      </c>
      <c r="AO62" s="123" cm="1">
        <f t="array" ref="AO62">INDEX(Properties!$D:$D,$B62+5)*(IF(AO$3=INDEX(Properties!$U:$U,$B62+5),INDEX(Properties!$W:$W,$B62+5),0))</f>
        <v>0</v>
      </c>
      <c r="AP62" s="123" cm="1">
        <f t="array" ref="AP62">INDEX(Properties!$D:$D,$B62+5)*(IF(AP$3=INDEX(Properties!$U:$U,$B62+5),INDEX(Properties!$W:$W,$B62+5),0))</f>
        <v>0</v>
      </c>
      <c r="AQ62" s="123" cm="1">
        <f t="array" ref="AQ62">INDEX(Properties!$D:$D,$B62+5)*(IF(AQ$3=INDEX(Properties!$U:$U,$B62+5),INDEX(Properties!$W:$W,$B62+5),0))</f>
        <v>0</v>
      </c>
      <c r="AR62" s="123" cm="1">
        <f t="array" ref="AR62">INDEX(Properties!$D:$D,$B62+5)*(IF(AR$3=INDEX(Properties!$U:$U,$B62+5),INDEX(Properties!$W:$W,$B62+5),0))</f>
        <v>0</v>
      </c>
      <c r="AS62" s="123" cm="1">
        <f t="array" ref="AS62">INDEX(Properties!$D:$D,$B62+5)*(IF(AS$3=INDEX(Properties!$U:$U,$B62+5),INDEX(Properties!$W:$W,$B62+5),0))</f>
        <v>0</v>
      </c>
      <c r="AT62" s="123" cm="1">
        <f t="array" ref="AT62">INDEX(Properties!$D:$D,$B62+5)*(IF(AT$3=INDEX(Properties!$U:$U,$B62+5),INDEX(Properties!$W:$W,$B62+5),0))</f>
        <v>0</v>
      </c>
      <c r="AU62" s="123" cm="1">
        <f t="array" ref="AU62">INDEX(Properties!$D:$D,$B62+5)*(IF(AU$3=INDEX(Properties!$U:$U,$B62+5),INDEX(Properties!$W:$W,$B62+5),0))</f>
        <v>0</v>
      </c>
      <c r="AV62" s="123" cm="1">
        <f t="array" ref="AV62">INDEX(Properties!$D:$D,$B62+5)*(IF(AV$3=INDEX(Properties!$U:$U,$B62+5),INDEX(Properties!$W:$W,$B62+5),0))</f>
        <v>0</v>
      </c>
      <c r="AW62" s="123" cm="1">
        <f t="array" ref="AW62">INDEX(Properties!$D:$D,$B62+5)*(IF(AW$3=INDEX(Properties!$U:$U,$B62+5),INDEX(Properties!$W:$W,$B62+5),0))</f>
        <v>0</v>
      </c>
      <c r="AX62" s="123" cm="1">
        <f t="array" ref="AX62">INDEX(Properties!$D:$D,$B62+5)*(IF(AX$3=INDEX(Properties!$U:$U,$B62+5),INDEX(Properties!$W:$W,$B62+5),0))</f>
        <v>0</v>
      </c>
      <c r="AY62" s="123" cm="1">
        <f t="array" ref="AY62">INDEX(Properties!$D:$D,$B62+5)*(IF(AY$3=INDEX(Properties!$U:$U,$B62+5),INDEX(Properties!$W:$W,$B62+5),0))</f>
        <v>0</v>
      </c>
      <c r="AZ62" s="123" cm="1">
        <f t="array" ref="AZ62">INDEX(Properties!$D:$D,$B62+5)*(IF(AZ$3=INDEX(Properties!$U:$U,$B62+5),INDEX(Properties!$W:$W,$B62+5),0))</f>
        <v>0</v>
      </c>
      <c r="BA62" s="123" cm="1">
        <f t="array" ref="BA62">INDEX(Properties!$D:$D,$B62+5)*(IF(BA$3=INDEX(Properties!$U:$U,$B62+5),INDEX(Properties!$W:$W,$B62+5),0))</f>
        <v>0</v>
      </c>
      <c r="BB62" s="123" cm="1">
        <f t="array" ref="BB62">INDEX(Properties!$D:$D,$B62+5)*(IF(BB$3=INDEX(Properties!$U:$U,$B62+5),INDEX(Properties!$W:$W,$B62+5),0))</f>
        <v>0</v>
      </c>
      <c r="BC62" s="123" cm="1">
        <f t="array" ref="BC62">INDEX(Properties!$D:$D,$B62+5)*(IF(BC$3=INDEX(Properties!$U:$U,$B62+5),INDEX(Properties!$W:$W,$B62+5),0))</f>
        <v>0</v>
      </c>
      <c r="BD62" s="123" cm="1">
        <f t="array" ref="BD62">INDEX(Properties!$D:$D,$B62+5)*(IF(BD$3=INDEX(Properties!$U:$U,$B62+5),INDEX(Properties!$W:$W,$B62+5),0))</f>
        <v>0</v>
      </c>
      <c r="BE62" s="123" cm="1">
        <f t="array" ref="BE62">INDEX(Properties!$D:$D,$B62+5)*(IF(BE$3=INDEX(Properties!$U:$U,$B62+5),INDEX(Properties!$W:$W,$B62+5),0))</f>
        <v>0</v>
      </c>
      <c r="BF62" s="123" cm="1">
        <f t="array" ref="BF62">INDEX(Properties!$D:$D,$B62+5)*(IF(BF$3=INDEX(Properties!$U:$U,$B62+5),INDEX(Properties!$W:$W,$B62+5),0))</f>
        <v>0</v>
      </c>
      <c r="BG62" s="123" cm="1">
        <f t="array" ref="BG62">INDEX(Properties!$D:$D,$B62+5)*(IF(BG$3=INDEX(Properties!$U:$U,$B62+5),INDEX(Properties!$W:$W,$B62+5),0))</f>
        <v>0</v>
      </c>
      <c r="BH62" s="123" cm="1">
        <f t="array" ref="BH62">INDEX(Properties!$D:$D,$B62+5)*(IF(BH$3=INDEX(Properties!$U:$U,$B62+5),INDEX(Properties!$W:$W,$B62+5),0))</f>
        <v>0</v>
      </c>
      <c r="BI62" s="123" cm="1">
        <f t="array" ref="BI62">INDEX(Properties!$D:$D,$B62+5)*(IF(BI$3=INDEX(Properties!$U:$U,$B62+5),INDEX(Properties!$W:$W,$B62+5),0))</f>
        <v>0</v>
      </c>
      <c r="BJ62" s="123" cm="1">
        <f t="array" ref="BJ62">INDEX(Properties!$D:$D,$B62+5)*(IF(BJ$3=INDEX(Properties!$U:$U,$B62+5),INDEX(Properties!$W:$W,$B62+5),0))</f>
        <v>0</v>
      </c>
      <c r="BK62" s="123" cm="1">
        <f t="array" ref="BK62">INDEX(Properties!$D:$D,$B62+5)*(IF(BK$3=INDEX(Properties!$U:$U,$B62+5),INDEX(Properties!$W:$W,$B62+5),0))</f>
        <v>0</v>
      </c>
      <c r="BL62" s="123" cm="1">
        <f t="array" ref="BL62">INDEX(Properties!$D:$D,$B62+5)*(IF(BL$3=INDEX(Properties!$U:$U,$B62+5),INDEX(Properties!$W:$W,$B62+5),0))</f>
        <v>0</v>
      </c>
      <c r="BM62" s="123" cm="1">
        <f t="array" ref="BM62">INDEX(Properties!$D:$D,$B62+5)*(IF(BM$3=INDEX(Properties!$U:$U,$B62+5),INDEX(Properties!$W:$W,$B62+5),0))</f>
        <v>0</v>
      </c>
      <c r="BN62" s="123" cm="1">
        <f t="array" ref="BN62">INDEX(Properties!$D:$D,$B62+5)*(IF(BN$3=INDEX(Properties!$U:$U,$B62+5),INDEX(Properties!$W:$W,$B62+5),0))</f>
        <v>0</v>
      </c>
      <c r="BO62" s="123" cm="1">
        <f t="array" ref="BO62">INDEX(Properties!$D:$D,$B62+5)*(IF(BO$3=INDEX(Properties!$U:$U,$B62+5),INDEX(Properties!$W:$W,$B62+5),0))</f>
        <v>0</v>
      </c>
      <c r="BP62" s="123" cm="1">
        <f t="array" ref="BP62">INDEX(Properties!$D:$D,$B62+5)*(IF(BP$3=INDEX(Properties!$U:$U,$B62+5),INDEX(Properties!$W:$W,$B62+5),0))</f>
        <v>0</v>
      </c>
      <c r="BQ62" s="123" cm="1">
        <f t="array" ref="BQ62">INDEX(Properties!$D:$D,$B62+5)*(IF(BQ$3=INDEX(Properties!$U:$U,$B62+5),INDEX(Properties!$W:$W,$B62+5),0))</f>
        <v>0</v>
      </c>
      <c r="BR62" s="123" cm="1">
        <f t="array" ref="BR62">INDEX(Properties!$D:$D,$B62+5)*(IF(BR$3=INDEX(Properties!$U:$U,$B62+5),INDEX(Properties!$W:$W,$B62+5),0))</f>
        <v>0</v>
      </c>
      <c r="BS62" s="123" cm="1">
        <f t="array" ref="BS62">INDEX(Properties!$D:$D,$B62+5)*(IF(BS$3=INDEX(Properties!$U:$U,$B62+5),INDEX(Properties!$W:$W,$B62+5),0))</f>
        <v>0</v>
      </c>
      <c r="BT62" s="123" cm="1">
        <f t="array" ref="BT62">INDEX(Properties!$D:$D,$B62+5)*(IF(BT$3=INDEX(Properties!$U:$U,$B62+5),INDEX(Properties!$W:$W,$B62+5),0))</f>
        <v>0</v>
      </c>
      <c r="BU62" s="123" cm="1">
        <f t="array" ref="BU62">INDEX(Properties!$D:$D,$B62+5)*(IF(BU$3=INDEX(Properties!$U:$U,$B62+5),INDEX(Properties!$W:$W,$B62+5),0))</f>
        <v>0</v>
      </c>
      <c r="BV62" s="123" cm="1">
        <f t="array" ref="BV62">INDEX(Properties!$D:$D,$B62+5)*(IF(BV$3=INDEX(Properties!$U:$U,$B62+5),INDEX(Properties!$W:$W,$B62+5),0))</f>
        <v>0</v>
      </c>
      <c r="BW62" s="123" cm="1">
        <f t="array" ref="BW62">INDEX(Properties!$D:$D,$B62+5)*(IF(BW$3=INDEX(Properties!$U:$U,$B62+5),INDEX(Properties!$W:$W,$B62+5),0))</f>
        <v>0</v>
      </c>
      <c r="BX62" s="123" cm="1">
        <f t="array" ref="BX62">INDEX(Properties!$D:$D,$B62+5)*(IF(BX$3=INDEX(Properties!$U:$U,$B62+5),INDEX(Properties!$W:$W,$B62+5),0))</f>
        <v>0</v>
      </c>
      <c r="BY62" s="123" cm="1">
        <f t="array" ref="BY62">INDEX(Properties!$D:$D,$B62+5)*(IF(BY$3=INDEX(Properties!$U:$U,$B62+5),INDEX(Properties!$W:$W,$B62+5),0))</f>
        <v>0</v>
      </c>
      <c r="BZ62" s="123" cm="1">
        <f t="array" ref="BZ62">INDEX(Properties!$D:$D,$B62+5)*(IF(BZ$3=INDEX(Properties!$U:$U,$B62+5),INDEX(Properties!$W:$W,$B62+5),0))</f>
        <v>0</v>
      </c>
      <c r="CA62" s="123" cm="1">
        <f t="array" ref="CA62">INDEX(Properties!$D:$D,$B62+5)*(IF(CA$3=INDEX(Properties!$U:$U,$B62+5),INDEX(Properties!$W:$W,$B62+5),0))</f>
        <v>0</v>
      </c>
      <c r="CB62" s="123" cm="1">
        <f t="array" ref="CB62">INDEX(Properties!$D:$D,$B62+5)*(IF(CB$3=INDEX(Properties!$U:$U,$B62+5),INDEX(Properties!$W:$W,$B62+5),0))</f>
        <v>0</v>
      </c>
      <c r="CC62" s="123" cm="1">
        <f t="array" ref="CC62">INDEX(Properties!$D:$D,$B62+5)*(IF(CC$3=INDEX(Properties!$U:$U,$B62+5),INDEX(Properties!$W:$W,$B62+5),0))</f>
        <v>0</v>
      </c>
      <c r="CD62" s="123" cm="1">
        <f t="array" ref="CD62">INDEX(Properties!$D:$D,$B62+5)*(IF(CD$3=INDEX(Properties!$U:$U,$B62+5),INDEX(Properties!$W:$W,$B62+5),0))</f>
        <v>0</v>
      </c>
      <c r="CE62" s="123" cm="1">
        <f t="array" ref="CE62">INDEX(Properties!$D:$D,$B62+5)*(IF(CE$3=INDEX(Properties!$U:$U,$B62+5),INDEX(Properties!$W:$W,$B62+5),0))</f>
        <v>0</v>
      </c>
      <c r="CF62" s="123" cm="1">
        <f t="array" ref="CF62">INDEX(Properties!$D:$D,$B62+5)*(IF(CF$3=INDEX(Properties!$U:$U,$B62+5),INDEX(Properties!$W:$W,$B62+5),0))</f>
        <v>0</v>
      </c>
      <c r="CG62" s="123" cm="1">
        <f t="array" ref="CG62">INDEX(Properties!$D:$D,$B62+5)*(IF(CG$3=INDEX(Properties!$U:$U,$B62+5),INDEX(Properties!$W:$W,$B62+5),0))</f>
        <v>0</v>
      </c>
      <c r="CH62" s="123" cm="1">
        <f t="array" ref="CH62">INDEX(Properties!$D:$D,$B62+5)*(IF(CH$3=INDEX(Properties!$U:$U,$B62+5),INDEX(Properties!$W:$W,$B62+5),0))</f>
        <v>0</v>
      </c>
      <c r="CI62" s="123" cm="1">
        <f t="array" ref="CI62">INDEX(Properties!$D:$D,$B62+5)*(IF(CI$3=INDEX(Properties!$U:$U,$B62+5),INDEX(Properties!$W:$W,$B62+5),0))</f>
        <v>0</v>
      </c>
      <c r="CJ62" s="123" cm="1">
        <f t="array" ref="CJ62">INDEX(Properties!$D:$D,$B62+5)*(IF(CJ$3=INDEX(Properties!$U:$U,$B62+5),INDEX(Properties!$W:$W,$B62+5),0))</f>
        <v>0</v>
      </c>
      <c r="CK62" s="123" cm="1">
        <f t="array" ref="CK62">INDEX(Properties!$D:$D,$B62+5)*(IF(CK$3=INDEX(Properties!$U:$U,$B62+5),INDEX(Properties!$W:$W,$B62+5),0))</f>
        <v>0</v>
      </c>
      <c r="CL62" s="123" cm="1">
        <f t="array" ref="CL62">INDEX(Properties!$D:$D,$B62+5)*(IF(CL$3=INDEX(Properties!$U:$U,$B62+5),INDEX(Properties!$W:$W,$B62+5),0))</f>
        <v>0</v>
      </c>
      <c r="CM62" s="123" cm="1">
        <f t="array" ref="CM62">INDEX(Properties!$D:$D,$B62+5)*(IF(CM$3=INDEX(Properties!$U:$U,$B62+5),INDEX(Properties!$W:$W,$B62+5),0))</f>
        <v>0</v>
      </c>
      <c r="CN62" s="123" cm="1">
        <f t="array" ref="CN62">INDEX(Properties!$D:$D,$B62+5)*(IF(CN$3=INDEX(Properties!$U:$U,$B62+5),INDEX(Properties!$W:$W,$B62+5),0))</f>
        <v>0</v>
      </c>
      <c r="CO62" s="123" cm="1">
        <f t="array" ref="CO62">INDEX(Properties!$D:$D,$B62+5)*(IF(CO$3=INDEX(Properties!$U:$U,$B62+5),INDEX(Properties!$W:$W,$B62+5),0))</f>
        <v>0</v>
      </c>
      <c r="CP62" s="123" cm="1">
        <f t="array" ref="CP62">INDEX(Properties!$D:$D,$B62+5)*(IF(CP$3=INDEX(Properties!$U:$U,$B62+5),INDEX(Properties!$W:$W,$B62+5),0))</f>
        <v>0</v>
      </c>
      <c r="CQ62" s="123" cm="1">
        <f t="array" ref="CQ62">INDEX(Properties!$D:$D,$B62+5)*(IF(CQ$3=INDEX(Properties!$U:$U,$B62+5),INDEX(Properties!$W:$W,$B62+5),0))</f>
        <v>0</v>
      </c>
      <c r="CR62" s="123" cm="1">
        <f t="array" ref="CR62">INDEX(Properties!$D:$D,$B62+5)*(IF(CR$3=INDEX(Properties!$U:$U,$B62+5),INDEX(Properties!$W:$W,$B62+5),0))</f>
        <v>0</v>
      </c>
      <c r="CS62" s="123" cm="1">
        <f t="array" ref="CS62">INDEX(Properties!$D:$D,$B62+5)*(IF(CS$3=INDEX(Properties!$U:$U,$B62+5),INDEX(Properties!$W:$W,$B62+5),0))</f>
        <v>0</v>
      </c>
      <c r="CT62" s="123" cm="1">
        <f t="array" ref="CT62">INDEX(Properties!$D:$D,$B62+5)*(IF(CT$3=INDEX(Properties!$U:$U,$B62+5),INDEX(Properties!$W:$W,$B62+5),0))</f>
        <v>0</v>
      </c>
      <c r="CU62" s="123" cm="1">
        <f t="array" ref="CU62">INDEX(Properties!$D:$D,$B62+5)*(IF(CU$3=INDEX(Properties!$U:$U,$B62+5),INDEX(Properties!$W:$W,$B62+5),0))</f>
        <v>0</v>
      </c>
      <c r="CV62" s="123" cm="1">
        <f t="array" ref="CV62">INDEX(Properties!$D:$D,$B62+5)*(IF(CV$3=INDEX(Properties!$U:$U,$B62+5),INDEX(Properties!$W:$W,$B62+5),0))</f>
        <v>0</v>
      </c>
      <c r="CW62" s="123" cm="1">
        <f t="array" ref="CW62">INDEX(Properties!$D:$D,$B62+5)*(IF(CW$3=INDEX(Properties!$U:$U,$B62+5),INDEX(Properties!$W:$W,$B62+5),0))</f>
        <v>0</v>
      </c>
      <c r="CX62" s="123" cm="1">
        <f t="array" ref="CX62">INDEX(Properties!$D:$D,$B62+5)*(IF(CX$3=INDEX(Properties!$U:$U,$B62+5),INDEX(Properties!$W:$W,$B62+5),0))</f>
        <v>0</v>
      </c>
      <c r="CY62" s="123" cm="1">
        <f t="array" ref="CY62">INDEX(Properties!$D:$D,$B62+5)*(IF(CY$3=INDEX(Properties!$U:$U,$B62+5),INDEX(Properties!$W:$W,$B62+5),0))</f>
        <v>0</v>
      </c>
      <c r="CZ62" s="123" cm="1">
        <f t="array" ref="CZ62">INDEX(Properties!$D:$D,$B62+5)*(IF(CZ$3=INDEX(Properties!$U:$U,$B62+5),INDEX(Properties!$W:$W,$B62+5),0))</f>
        <v>0</v>
      </c>
      <c r="DA62" s="123" cm="1">
        <f t="array" ref="DA62">INDEX(Properties!$D:$D,$B62+5)*(IF(DA$3=INDEX(Properties!$U:$U,$B62+5),INDEX(Properties!$W:$W,$B62+5),0))</f>
        <v>0</v>
      </c>
      <c r="DB62" s="123" cm="1">
        <f t="array" ref="DB62">INDEX(Properties!$D:$D,$B62+5)*(IF(DB$3=INDEX(Properties!$U:$U,$B62+5),INDEX(Properties!$W:$W,$B62+5),0))</f>
        <v>0</v>
      </c>
      <c r="DC62" s="123" cm="1">
        <f t="array" ref="DC62">INDEX(Properties!$D:$D,$B62+5)*(IF(DC$3=INDEX(Properties!$U:$U,$B62+5),INDEX(Properties!$W:$W,$B62+5),0))</f>
        <v>0</v>
      </c>
      <c r="DD62" s="123" cm="1">
        <f t="array" ref="DD62">INDEX(Properties!$D:$D,$B62+5)*(IF(DD$3=INDEX(Properties!$U:$U,$B62+5),INDEX(Properties!$W:$W,$B62+5),0))</f>
        <v>0</v>
      </c>
      <c r="DE62" s="123" cm="1">
        <f t="array" ref="DE62">INDEX(Properties!$D:$D,$B62+5)*(IF(DE$3=INDEX(Properties!$U:$U,$B62+5),INDEX(Properties!$W:$W,$B62+5),0))</f>
        <v>0</v>
      </c>
      <c r="DF62" s="123" cm="1">
        <f t="array" ref="DF62">INDEX(Properties!$D:$D,$B62+5)*(IF(DF$3=INDEX(Properties!$U:$U,$B62+5),INDEX(Properties!$W:$W,$B62+5),0))</f>
        <v>0</v>
      </c>
      <c r="DG62" s="123" cm="1">
        <f t="array" ref="DG62">INDEX(Properties!$D:$D,$B62+5)*(IF(DG$3=INDEX(Properties!$U:$U,$B62+5),INDEX(Properties!$W:$W,$B62+5),0))</f>
        <v>0</v>
      </c>
      <c r="DH62" s="123" cm="1">
        <f t="array" ref="DH62">INDEX(Properties!$D:$D,$B62+5)*(IF(DH$3=INDEX(Properties!$U:$U,$B62+5),INDEX(Properties!$W:$W,$B62+5),0))</f>
        <v>0</v>
      </c>
      <c r="DI62" s="123" cm="1">
        <f t="array" ref="DI62">INDEX(Properties!$D:$D,$B62+5)*(IF(DI$3=INDEX(Properties!$U:$U,$B62+5),INDEX(Properties!$W:$W,$B62+5),0))</f>
        <v>0</v>
      </c>
      <c r="DJ62" s="123" cm="1">
        <f t="array" ref="DJ62">INDEX(Properties!$D:$D,$B62+5)*(IF(DJ$3=INDEX(Properties!$U:$U,$B62+5),INDEX(Properties!$W:$W,$B62+5),0))</f>
        <v>0</v>
      </c>
      <c r="DK62" s="123" cm="1">
        <f t="array" ref="DK62">INDEX(Properties!$D:$D,$B62+5)*(IF(DK$3=INDEX(Properties!$U:$U,$B62+5),INDEX(Properties!$W:$W,$B62+5),0))</f>
        <v>0</v>
      </c>
      <c r="DL62" s="123" cm="1">
        <f t="array" ref="DL62">INDEX(Properties!$D:$D,$B62+5)*(IF(DL$3=INDEX(Properties!$U:$U,$B62+5),INDEX(Properties!$W:$W,$B62+5),0))</f>
        <v>0</v>
      </c>
      <c r="DM62" s="123" cm="1">
        <f t="array" ref="DM62">INDEX(Properties!$D:$D,$B62+5)*(IF(DM$3=INDEX(Properties!$U:$U,$B62+5),INDEX(Properties!$W:$W,$B62+5),0))</f>
        <v>0</v>
      </c>
      <c r="DN62" s="123" cm="1">
        <f t="array" ref="DN62">INDEX(Properties!$D:$D,$B62+5)*(IF(DN$3=INDEX(Properties!$U:$U,$B62+5),INDEX(Properties!$W:$W,$B62+5),0))</f>
        <v>0</v>
      </c>
      <c r="DO62" s="123" cm="1">
        <f t="array" ref="DO62">INDEX(Properties!$D:$D,$B62+5)*(IF(DO$3=INDEX(Properties!$U:$U,$B62+5),INDEX(Properties!$W:$W,$B62+5),0))</f>
        <v>0</v>
      </c>
      <c r="DP62" s="123" cm="1">
        <f t="array" ref="DP62">INDEX(Properties!$D:$D,$B62+5)*(IF(DP$3=INDEX(Properties!$U:$U,$B62+5),INDEX(Properties!$W:$W,$B62+5),0))</f>
        <v>0</v>
      </c>
      <c r="DQ62" s="123" cm="1">
        <f t="array" ref="DQ62">INDEX(Properties!$D:$D,$B62+5)*(IF(DQ$3=INDEX(Properties!$U:$U,$B62+5),INDEX(Properties!$W:$W,$B62+5),0))</f>
        <v>0</v>
      </c>
      <c r="DR62" s="123" cm="1">
        <f t="array" ref="DR62">INDEX(Properties!$D:$D,$B62+5)*(IF(DR$3=INDEX(Properties!$U:$U,$B62+5),INDEX(Properties!$W:$W,$B62+5),0))</f>
        <v>0</v>
      </c>
    </row>
    <row r="63" spans="1:122" ht="16.05" customHeight="1" x14ac:dyDescent="0.3">
      <c r="A63" s="148" t="str" cm="1">
        <f t="array" ref="A63">INDEX(Properties!$E:$E,$B63+5)</f>
        <v>San Lucas Apto 101</v>
      </c>
      <c r="B63" s="1">
        <v>3</v>
      </c>
      <c r="C63" s="123" cm="1">
        <f t="array" ref="C63">INDEX(Properties!$D:$D,$B63+5)*(IF(C$3=INDEX(Properties!$U:$U,$B63+5),INDEX(Properties!$W:$W,$B63+5),0))</f>
        <v>0</v>
      </c>
      <c r="D63" s="123" cm="1">
        <f t="array" ref="D63">INDEX(Properties!$D:$D,$B63+5)*(IF(D$3=INDEX(Properties!$U:$U,$B63+5),INDEX(Properties!$W:$W,$B63+5),0))</f>
        <v>0</v>
      </c>
      <c r="E63" s="123" cm="1">
        <f t="array" ref="E63">INDEX(Properties!$D:$D,$B63+5)*(IF(E$3=INDEX(Properties!$U:$U,$B63+5),INDEX(Properties!$W:$W,$B63+5),0))</f>
        <v>0</v>
      </c>
      <c r="F63" s="123" cm="1">
        <f t="array" ref="F63">INDEX(Properties!$D:$D,$B63+5)*(IF(F$3=INDEX(Properties!$U:$U,$B63+5),INDEX(Properties!$W:$W,$B63+5),0))</f>
        <v>0</v>
      </c>
      <c r="G63" s="123" cm="1">
        <f t="array" ref="G63">INDEX(Properties!$D:$D,$B63+5)*(IF(G$3=INDEX(Properties!$U:$U,$B63+5),INDEX(Properties!$W:$W,$B63+5),0))</f>
        <v>0</v>
      </c>
      <c r="H63" s="123" cm="1">
        <f t="array" ref="H63">INDEX(Properties!$D:$D,$B63+5)*(IF(H$3=INDEX(Properties!$U:$U,$B63+5),INDEX(Properties!$W:$W,$B63+5),0))</f>
        <v>0</v>
      </c>
      <c r="I63" s="123" cm="1">
        <f t="array" ref="I63">INDEX(Properties!$D:$D,$B63+5)*(IF(I$3=INDEX(Properties!$U:$U,$B63+5),INDEX(Properties!$W:$W,$B63+5),0))</f>
        <v>0</v>
      </c>
      <c r="J63" s="123" cm="1">
        <f t="array" ref="J63">INDEX(Properties!$D:$D,$B63+5)*(IF(J$3=INDEX(Properties!$U:$U,$B63+5),INDEX(Properties!$W:$W,$B63+5),0))</f>
        <v>0</v>
      </c>
      <c r="K63" s="123" cm="1">
        <f t="array" ref="K63">INDEX(Properties!$D:$D,$B63+5)*(IF(K$3=INDEX(Properties!$U:$U,$B63+5),INDEX(Properties!$W:$W,$B63+5),0))</f>
        <v>0</v>
      </c>
      <c r="L63" s="123" cm="1">
        <f t="array" ref="L63">INDEX(Properties!$D:$D,$B63+5)*(IF(L$3=INDEX(Properties!$U:$U,$B63+5),INDEX(Properties!$W:$W,$B63+5),0))</f>
        <v>0</v>
      </c>
      <c r="M63" s="123" cm="1">
        <f t="array" ref="M63">INDEX(Properties!$D:$D,$B63+5)*(IF(M$3=INDEX(Properties!$U:$U,$B63+5),INDEX(Properties!$W:$W,$B63+5),0))</f>
        <v>0</v>
      </c>
      <c r="N63" s="123" cm="1">
        <f t="array" ref="N63">INDEX(Properties!$D:$D,$B63+5)*(IF(N$3=INDEX(Properties!$U:$U,$B63+5),INDEX(Properties!$W:$W,$B63+5),0))</f>
        <v>0</v>
      </c>
      <c r="O63" s="123" cm="1">
        <f t="array" ref="O63">INDEX(Properties!$D:$D,$B63+5)*(IF(O$3=INDEX(Properties!$U:$U,$B63+5),INDEX(Properties!$W:$W,$B63+5),0))</f>
        <v>0</v>
      </c>
      <c r="P63" s="123" cm="1">
        <f t="array" ref="P63">INDEX(Properties!$D:$D,$B63+5)*(IF(P$3=INDEX(Properties!$U:$U,$B63+5),INDEX(Properties!$W:$W,$B63+5),0))</f>
        <v>0</v>
      </c>
      <c r="Q63" s="123" cm="1">
        <f t="array" ref="Q63">INDEX(Properties!$D:$D,$B63+5)*(IF(Q$3=INDEX(Properties!$U:$U,$B63+5),INDEX(Properties!$W:$W,$B63+5),0))</f>
        <v>0</v>
      </c>
      <c r="R63" s="123" cm="1">
        <f t="array" ref="R63">INDEX(Properties!$D:$D,$B63+5)*(IF(R$3=INDEX(Properties!$U:$U,$B63+5),INDEX(Properties!$W:$W,$B63+5),0))</f>
        <v>0</v>
      </c>
      <c r="S63" s="123" cm="1">
        <f t="array" ref="S63">INDEX(Properties!$D:$D,$B63+5)*(IF(S$3=INDEX(Properties!$U:$U,$B63+5),INDEX(Properties!$W:$W,$B63+5),0))</f>
        <v>0</v>
      </c>
      <c r="T63" s="123" cm="1">
        <f t="array" ref="T63">INDEX(Properties!$D:$D,$B63+5)*(IF(T$3=INDEX(Properties!$U:$U,$B63+5),INDEX(Properties!$W:$W,$B63+5),0))</f>
        <v>0</v>
      </c>
      <c r="U63" s="123" cm="1">
        <f t="array" ref="U63">INDEX(Properties!$D:$D,$B63+5)*(IF(U$3=INDEX(Properties!$U:$U,$B63+5),INDEX(Properties!$W:$W,$B63+5),0))</f>
        <v>0</v>
      </c>
      <c r="V63" s="123" cm="1">
        <f t="array" ref="V63">INDEX(Properties!$D:$D,$B63+5)*(IF(V$3=INDEX(Properties!$U:$U,$B63+5),INDEX(Properties!$W:$W,$B63+5),0))</f>
        <v>0</v>
      </c>
      <c r="W63" s="123" cm="1">
        <f t="array" ref="W63">INDEX(Properties!$D:$D,$B63+5)*(IF(W$3=INDEX(Properties!$U:$U,$B63+5),INDEX(Properties!$W:$W,$B63+5),0))</f>
        <v>0</v>
      </c>
      <c r="X63" s="123" cm="1">
        <f t="array" ref="X63">INDEX(Properties!$D:$D,$B63+5)*(IF(X$3=INDEX(Properties!$U:$U,$B63+5),INDEX(Properties!$W:$W,$B63+5),0))</f>
        <v>0</v>
      </c>
      <c r="Y63" s="123" cm="1">
        <f t="array" ref="Y63">INDEX(Properties!$D:$D,$B63+5)*(IF(Y$3=INDEX(Properties!$U:$U,$B63+5),INDEX(Properties!$W:$W,$B63+5),0))</f>
        <v>0</v>
      </c>
      <c r="Z63" s="123" cm="1">
        <f t="array" ref="Z63">INDEX(Properties!$D:$D,$B63+5)*(IF(Z$3=INDEX(Properties!$U:$U,$B63+5),INDEX(Properties!$W:$W,$B63+5),0))</f>
        <v>0</v>
      </c>
      <c r="AA63" s="123" cm="1">
        <f t="array" ref="AA63">INDEX(Properties!$D:$D,$B63+5)*(IF(AA$3=INDEX(Properties!$U:$U,$B63+5),INDEX(Properties!$W:$W,$B63+5),0))</f>
        <v>0</v>
      </c>
      <c r="AB63" s="123" cm="1">
        <f t="array" ref="AB63">INDEX(Properties!$D:$D,$B63+5)*(IF(AB$3=INDEX(Properties!$U:$U,$B63+5),INDEX(Properties!$W:$W,$B63+5),0))</f>
        <v>0</v>
      </c>
      <c r="AC63" s="123" cm="1">
        <f t="array" ref="AC63">INDEX(Properties!$D:$D,$B63+5)*(IF(AC$3=INDEX(Properties!$U:$U,$B63+5),INDEX(Properties!$W:$W,$B63+5),0))</f>
        <v>0</v>
      </c>
      <c r="AD63" s="123" cm="1">
        <f t="array" ref="AD63">INDEX(Properties!$D:$D,$B63+5)*(IF(AD$3=INDEX(Properties!$U:$U,$B63+5),INDEX(Properties!$W:$W,$B63+5),0))</f>
        <v>1265464.2924150538</v>
      </c>
      <c r="AE63" s="123" cm="1">
        <f t="array" ref="AE63">INDEX(Properties!$D:$D,$B63+5)*(IF(AE$3=INDEX(Properties!$U:$U,$B63+5),INDEX(Properties!$W:$W,$B63+5),0))</f>
        <v>0</v>
      </c>
      <c r="AF63" s="123" cm="1">
        <f t="array" ref="AF63">INDEX(Properties!$D:$D,$B63+5)*(IF(AF$3=INDEX(Properties!$U:$U,$B63+5),INDEX(Properties!$W:$W,$B63+5),0))</f>
        <v>0</v>
      </c>
      <c r="AG63" s="123" cm="1">
        <f t="array" ref="AG63">INDEX(Properties!$D:$D,$B63+5)*(IF(AG$3=INDEX(Properties!$U:$U,$B63+5),INDEX(Properties!$W:$W,$B63+5),0))</f>
        <v>0</v>
      </c>
      <c r="AH63" s="123" cm="1">
        <f t="array" ref="AH63">INDEX(Properties!$D:$D,$B63+5)*(IF(AH$3=INDEX(Properties!$U:$U,$B63+5),INDEX(Properties!$W:$W,$B63+5),0))</f>
        <v>0</v>
      </c>
      <c r="AI63" s="123" cm="1">
        <f t="array" ref="AI63">INDEX(Properties!$D:$D,$B63+5)*(IF(AI$3=INDEX(Properties!$U:$U,$B63+5),INDEX(Properties!$W:$W,$B63+5),0))</f>
        <v>0</v>
      </c>
      <c r="AJ63" s="123" cm="1">
        <f t="array" ref="AJ63">INDEX(Properties!$D:$D,$B63+5)*(IF(AJ$3=INDEX(Properties!$U:$U,$B63+5),INDEX(Properties!$W:$W,$B63+5),0))</f>
        <v>0</v>
      </c>
      <c r="AK63" s="123" cm="1">
        <f t="array" ref="AK63">INDEX(Properties!$D:$D,$B63+5)*(IF(AK$3=INDEX(Properties!$U:$U,$B63+5),INDEX(Properties!$W:$W,$B63+5),0))</f>
        <v>0</v>
      </c>
      <c r="AL63" s="123" cm="1">
        <f t="array" ref="AL63">INDEX(Properties!$D:$D,$B63+5)*(IF(AL$3=INDEX(Properties!$U:$U,$B63+5),INDEX(Properties!$W:$W,$B63+5),0))</f>
        <v>0</v>
      </c>
      <c r="AM63" s="123" cm="1">
        <f t="array" ref="AM63">INDEX(Properties!$D:$D,$B63+5)*(IF(AM$3=INDEX(Properties!$U:$U,$B63+5),INDEX(Properties!$W:$W,$B63+5),0))</f>
        <v>0</v>
      </c>
      <c r="AN63" s="123" cm="1">
        <f t="array" ref="AN63">INDEX(Properties!$D:$D,$B63+5)*(IF(AN$3=INDEX(Properties!$U:$U,$B63+5),INDEX(Properties!$W:$W,$B63+5),0))</f>
        <v>0</v>
      </c>
      <c r="AO63" s="123" cm="1">
        <f t="array" ref="AO63">INDEX(Properties!$D:$D,$B63+5)*(IF(AO$3=INDEX(Properties!$U:$U,$B63+5),INDEX(Properties!$W:$W,$B63+5),0))</f>
        <v>0</v>
      </c>
      <c r="AP63" s="123" cm="1">
        <f t="array" ref="AP63">INDEX(Properties!$D:$D,$B63+5)*(IF(AP$3=INDEX(Properties!$U:$U,$B63+5),INDEX(Properties!$W:$W,$B63+5),0))</f>
        <v>0</v>
      </c>
      <c r="AQ63" s="123" cm="1">
        <f t="array" ref="AQ63">INDEX(Properties!$D:$D,$B63+5)*(IF(AQ$3=INDEX(Properties!$U:$U,$B63+5),INDEX(Properties!$W:$W,$B63+5),0))</f>
        <v>0</v>
      </c>
      <c r="AR63" s="123" cm="1">
        <f t="array" ref="AR63">INDEX(Properties!$D:$D,$B63+5)*(IF(AR$3=INDEX(Properties!$U:$U,$B63+5),INDEX(Properties!$W:$W,$B63+5),0))</f>
        <v>0</v>
      </c>
      <c r="AS63" s="123" cm="1">
        <f t="array" ref="AS63">INDEX(Properties!$D:$D,$B63+5)*(IF(AS$3=INDEX(Properties!$U:$U,$B63+5),INDEX(Properties!$W:$W,$B63+5),0))</f>
        <v>0</v>
      </c>
      <c r="AT63" s="123" cm="1">
        <f t="array" ref="AT63">INDEX(Properties!$D:$D,$B63+5)*(IF(AT$3=INDEX(Properties!$U:$U,$B63+5),INDEX(Properties!$W:$W,$B63+5),0))</f>
        <v>0</v>
      </c>
      <c r="AU63" s="123" cm="1">
        <f t="array" ref="AU63">INDEX(Properties!$D:$D,$B63+5)*(IF(AU$3=INDEX(Properties!$U:$U,$B63+5),INDEX(Properties!$W:$W,$B63+5),0))</f>
        <v>0</v>
      </c>
      <c r="AV63" s="123" cm="1">
        <f t="array" ref="AV63">INDEX(Properties!$D:$D,$B63+5)*(IF(AV$3=INDEX(Properties!$U:$U,$B63+5),INDEX(Properties!$W:$W,$B63+5),0))</f>
        <v>0</v>
      </c>
      <c r="AW63" s="123" cm="1">
        <f t="array" ref="AW63">INDEX(Properties!$D:$D,$B63+5)*(IF(AW$3=INDEX(Properties!$U:$U,$B63+5),INDEX(Properties!$W:$W,$B63+5),0))</f>
        <v>0</v>
      </c>
      <c r="AX63" s="123" cm="1">
        <f t="array" ref="AX63">INDEX(Properties!$D:$D,$B63+5)*(IF(AX$3=INDEX(Properties!$U:$U,$B63+5),INDEX(Properties!$W:$W,$B63+5),0))</f>
        <v>0</v>
      </c>
      <c r="AY63" s="123" cm="1">
        <f t="array" ref="AY63">INDEX(Properties!$D:$D,$B63+5)*(IF(AY$3=INDEX(Properties!$U:$U,$B63+5),INDEX(Properties!$W:$W,$B63+5),0))</f>
        <v>0</v>
      </c>
      <c r="AZ63" s="123" cm="1">
        <f t="array" ref="AZ63">INDEX(Properties!$D:$D,$B63+5)*(IF(AZ$3=INDEX(Properties!$U:$U,$B63+5),INDEX(Properties!$W:$W,$B63+5),0))</f>
        <v>0</v>
      </c>
      <c r="BA63" s="123" cm="1">
        <f t="array" ref="BA63">INDEX(Properties!$D:$D,$B63+5)*(IF(BA$3=INDEX(Properties!$U:$U,$B63+5),INDEX(Properties!$W:$W,$B63+5),0))</f>
        <v>0</v>
      </c>
      <c r="BB63" s="123" cm="1">
        <f t="array" ref="BB63">INDEX(Properties!$D:$D,$B63+5)*(IF(BB$3=INDEX(Properties!$U:$U,$B63+5),INDEX(Properties!$W:$W,$B63+5),0))</f>
        <v>0</v>
      </c>
      <c r="BC63" s="123" cm="1">
        <f t="array" ref="BC63">INDEX(Properties!$D:$D,$B63+5)*(IF(BC$3=INDEX(Properties!$U:$U,$B63+5),INDEX(Properties!$W:$W,$B63+5),0))</f>
        <v>0</v>
      </c>
      <c r="BD63" s="123" cm="1">
        <f t="array" ref="BD63">INDEX(Properties!$D:$D,$B63+5)*(IF(BD$3=INDEX(Properties!$U:$U,$B63+5),INDEX(Properties!$W:$W,$B63+5),0))</f>
        <v>0</v>
      </c>
      <c r="BE63" s="123" cm="1">
        <f t="array" ref="BE63">INDEX(Properties!$D:$D,$B63+5)*(IF(BE$3=INDEX(Properties!$U:$U,$B63+5),INDEX(Properties!$W:$W,$B63+5),0))</f>
        <v>0</v>
      </c>
      <c r="BF63" s="123" cm="1">
        <f t="array" ref="BF63">INDEX(Properties!$D:$D,$B63+5)*(IF(BF$3=INDEX(Properties!$U:$U,$B63+5),INDEX(Properties!$W:$W,$B63+5),0))</f>
        <v>0</v>
      </c>
      <c r="BG63" s="123" cm="1">
        <f t="array" ref="BG63">INDEX(Properties!$D:$D,$B63+5)*(IF(BG$3=INDEX(Properties!$U:$U,$B63+5),INDEX(Properties!$W:$W,$B63+5),0))</f>
        <v>0</v>
      </c>
      <c r="BH63" s="123" cm="1">
        <f t="array" ref="BH63">INDEX(Properties!$D:$D,$B63+5)*(IF(BH$3=INDEX(Properties!$U:$U,$B63+5),INDEX(Properties!$W:$W,$B63+5),0))</f>
        <v>0</v>
      </c>
      <c r="BI63" s="123" cm="1">
        <f t="array" ref="BI63">INDEX(Properties!$D:$D,$B63+5)*(IF(BI$3=INDEX(Properties!$U:$U,$B63+5),INDEX(Properties!$W:$W,$B63+5),0))</f>
        <v>0</v>
      </c>
      <c r="BJ63" s="123" cm="1">
        <f t="array" ref="BJ63">INDEX(Properties!$D:$D,$B63+5)*(IF(BJ$3=INDEX(Properties!$U:$U,$B63+5),INDEX(Properties!$W:$W,$B63+5),0))</f>
        <v>0</v>
      </c>
      <c r="BK63" s="123" cm="1">
        <f t="array" ref="BK63">INDEX(Properties!$D:$D,$B63+5)*(IF(BK$3=INDEX(Properties!$U:$U,$B63+5),INDEX(Properties!$W:$W,$B63+5),0))</f>
        <v>0</v>
      </c>
      <c r="BL63" s="123" cm="1">
        <f t="array" ref="BL63">INDEX(Properties!$D:$D,$B63+5)*(IF(BL$3=INDEX(Properties!$U:$U,$B63+5),INDEX(Properties!$W:$W,$B63+5),0))</f>
        <v>0</v>
      </c>
      <c r="BM63" s="123" cm="1">
        <f t="array" ref="BM63">INDEX(Properties!$D:$D,$B63+5)*(IF(BM$3=INDEX(Properties!$U:$U,$B63+5),INDEX(Properties!$W:$W,$B63+5),0))</f>
        <v>0</v>
      </c>
      <c r="BN63" s="123" cm="1">
        <f t="array" ref="BN63">INDEX(Properties!$D:$D,$B63+5)*(IF(BN$3=INDEX(Properties!$U:$U,$B63+5),INDEX(Properties!$W:$W,$B63+5),0))</f>
        <v>0</v>
      </c>
      <c r="BO63" s="123" cm="1">
        <f t="array" ref="BO63">INDEX(Properties!$D:$D,$B63+5)*(IF(BO$3=INDEX(Properties!$U:$U,$B63+5),INDEX(Properties!$W:$W,$B63+5),0))</f>
        <v>0</v>
      </c>
      <c r="BP63" s="123" cm="1">
        <f t="array" ref="BP63">INDEX(Properties!$D:$D,$B63+5)*(IF(BP$3=INDEX(Properties!$U:$U,$B63+5),INDEX(Properties!$W:$W,$B63+5),0))</f>
        <v>0</v>
      </c>
      <c r="BQ63" s="123" cm="1">
        <f t="array" ref="BQ63">INDEX(Properties!$D:$D,$B63+5)*(IF(BQ$3=INDEX(Properties!$U:$U,$B63+5),INDEX(Properties!$W:$W,$B63+5),0))</f>
        <v>0</v>
      </c>
      <c r="BR63" s="123" cm="1">
        <f t="array" ref="BR63">INDEX(Properties!$D:$D,$B63+5)*(IF(BR$3=INDEX(Properties!$U:$U,$B63+5),INDEX(Properties!$W:$W,$B63+5),0))</f>
        <v>0</v>
      </c>
      <c r="BS63" s="123" cm="1">
        <f t="array" ref="BS63">INDEX(Properties!$D:$D,$B63+5)*(IF(BS$3=INDEX(Properties!$U:$U,$B63+5),INDEX(Properties!$W:$W,$B63+5),0))</f>
        <v>0</v>
      </c>
      <c r="BT63" s="123" cm="1">
        <f t="array" ref="BT63">INDEX(Properties!$D:$D,$B63+5)*(IF(BT$3=INDEX(Properties!$U:$U,$B63+5),INDEX(Properties!$W:$W,$B63+5),0))</f>
        <v>0</v>
      </c>
      <c r="BU63" s="123" cm="1">
        <f t="array" ref="BU63">INDEX(Properties!$D:$D,$B63+5)*(IF(BU$3=INDEX(Properties!$U:$U,$B63+5),INDEX(Properties!$W:$W,$B63+5),0))</f>
        <v>0</v>
      </c>
      <c r="BV63" s="123" cm="1">
        <f t="array" ref="BV63">INDEX(Properties!$D:$D,$B63+5)*(IF(BV$3=INDEX(Properties!$U:$U,$B63+5),INDEX(Properties!$W:$W,$B63+5),0))</f>
        <v>0</v>
      </c>
      <c r="BW63" s="123" cm="1">
        <f t="array" ref="BW63">INDEX(Properties!$D:$D,$B63+5)*(IF(BW$3=INDEX(Properties!$U:$U,$B63+5),INDEX(Properties!$W:$W,$B63+5),0))</f>
        <v>0</v>
      </c>
      <c r="BX63" s="123" cm="1">
        <f t="array" ref="BX63">INDEX(Properties!$D:$D,$B63+5)*(IF(BX$3=INDEX(Properties!$U:$U,$B63+5),INDEX(Properties!$W:$W,$B63+5),0))</f>
        <v>0</v>
      </c>
      <c r="BY63" s="123" cm="1">
        <f t="array" ref="BY63">INDEX(Properties!$D:$D,$B63+5)*(IF(BY$3=INDEX(Properties!$U:$U,$B63+5),INDEX(Properties!$W:$W,$B63+5),0))</f>
        <v>0</v>
      </c>
      <c r="BZ63" s="123" cm="1">
        <f t="array" ref="BZ63">INDEX(Properties!$D:$D,$B63+5)*(IF(BZ$3=INDEX(Properties!$U:$U,$B63+5),INDEX(Properties!$W:$W,$B63+5),0))</f>
        <v>0</v>
      </c>
      <c r="CA63" s="123" cm="1">
        <f t="array" ref="CA63">INDEX(Properties!$D:$D,$B63+5)*(IF(CA$3=INDEX(Properties!$U:$U,$B63+5),INDEX(Properties!$W:$W,$B63+5),0))</f>
        <v>0</v>
      </c>
      <c r="CB63" s="123" cm="1">
        <f t="array" ref="CB63">INDEX(Properties!$D:$D,$B63+5)*(IF(CB$3=INDEX(Properties!$U:$U,$B63+5),INDEX(Properties!$W:$W,$B63+5),0))</f>
        <v>0</v>
      </c>
      <c r="CC63" s="123" cm="1">
        <f t="array" ref="CC63">INDEX(Properties!$D:$D,$B63+5)*(IF(CC$3=INDEX(Properties!$U:$U,$B63+5),INDEX(Properties!$W:$W,$B63+5),0))</f>
        <v>0</v>
      </c>
      <c r="CD63" s="123" cm="1">
        <f t="array" ref="CD63">INDEX(Properties!$D:$D,$B63+5)*(IF(CD$3=INDEX(Properties!$U:$U,$B63+5),INDEX(Properties!$W:$W,$B63+5),0))</f>
        <v>0</v>
      </c>
      <c r="CE63" s="123" cm="1">
        <f t="array" ref="CE63">INDEX(Properties!$D:$D,$B63+5)*(IF(CE$3=INDEX(Properties!$U:$U,$B63+5),INDEX(Properties!$W:$W,$B63+5),0))</f>
        <v>0</v>
      </c>
      <c r="CF63" s="123" cm="1">
        <f t="array" ref="CF63">INDEX(Properties!$D:$D,$B63+5)*(IF(CF$3=INDEX(Properties!$U:$U,$B63+5),INDEX(Properties!$W:$W,$B63+5),0))</f>
        <v>0</v>
      </c>
      <c r="CG63" s="123" cm="1">
        <f t="array" ref="CG63">INDEX(Properties!$D:$D,$B63+5)*(IF(CG$3=INDEX(Properties!$U:$U,$B63+5),INDEX(Properties!$W:$W,$B63+5),0))</f>
        <v>0</v>
      </c>
      <c r="CH63" s="123" cm="1">
        <f t="array" ref="CH63">INDEX(Properties!$D:$D,$B63+5)*(IF(CH$3=INDEX(Properties!$U:$U,$B63+5),INDEX(Properties!$W:$W,$B63+5),0))</f>
        <v>0</v>
      </c>
      <c r="CI63" s="123" cm="1">
        <f t="array" ref="CI63">INDEX(Properties!$D:$D,$B63+5)*(IF(CI$3=INDEX(Properties!$U:$U,$B63+5),INDEX(Properties!$W:$W,$B63+5),0))</f>
        <v>0</v>
      </c>
      <c r="CJ63" s="123" cm="1">
        <f t="array" ref="CJ63">INDEX(Properties!$D:$D,$B63+5)*(IF(CJ$3=INDEX(Properties!$U:$U,$B63+5),INDEX(Properties!$W:$W,$B63+5),0))</f>
        <v>0</v>
      </c>
      <c r="CK63" s="123" cm="1">
        <f t="array" ref="CK63">INDEX(Properties!$D:$D,$B63+5)*(IF(CK$3=INDEX(Properties!$U:$U,$B63+5),INDEX(Properties!$W:$W,$B63+5),0))</f>
        <v>0</v>
      </c>
      <c r="CL63" s="123" cm="1">
        <f t="array" ref="CL63">INDEX(Properties!$D:$D,$B63+5)*(IF(CL$3=INDEX(Properties!$U:$U,$B63+5),INDEX(Properties!$W:$W,$B63+5),0))</f>
        <v>0</v>
      </c>
      <c r="CM63" s="123" cm="1">
        <f t="array" ref="CM63">INDEX(Properties!$D:$D,$B63+5)*(IF(CM$3=INDEX(Properties!$U:$U,$B63+5),INDEX(Properties!$W:$W,$B63+5),0))</f>
        <v>0</v>
      </c>
      <c r="CN63" s="123" cm="1">
        <f t="array" ref="CN63">INDEX(Properties!$D:$D,$B63+5)*(IF(CN$3=INDEX(Properties!$U:$U,$B63+5),INDEX(Properties!$W:$W,$B63+5),0))</f>
        <v>0</v>
      </c>
      <c r="CO63" s="123" cm="1">
        <f t="array" ref="CO63">INDEX(Properties!$D:$D,$B63+5)*(IF(CO$3=INDEX(Properties!$U:$U,$B63+5),INDEX(Properties!$W:$W,$B63+5),0))</f>
        <v>0</v>
      </c>
      <c r="CP63" s="123" cm="1">
        <f t="array" ref="CP63">INDEX(Properties!$D:$D,$B63+5)*(IF(CP$3=INDEX(Properties!$U:$U,$B63+5),INDEX(Properties!$W:$W,$B63+5),0))</f>
        <v>0</v>
      </c>
      <c r="CQ63" s="123" cm="1">
        <f t="array" ref="CQ63">INDEX(Properties!$D:$D,$B63+5)*(IF(CQ$3=INDEX(Properties!$U:$U,$B63+5),INDEX(Properties!$W:$W,$B63+5),0))</f>
        <v>0</v>
      </c>
      <c r="CR63" s="123" cm="1">
        <f t="array" ref="CR63">INDEX(Properties!$D:$D,$B63+5)*(IF(CR$3=INDEX(Properties!$U:$U,$B63+5),INDEX(Properties!$W:$W,$B63+5),0))</f>
        <v>0</v>
      </c>
      <c r="CS63" s="123" cm="1">
        <f t="array" ref="CS63">INDEX(Properties!$D:$D,$B63+5)*(IF(CS$3=INDEX(Properties!$U:$U,$B63+5),INDEX(Properties!$W:$W,$B63+5),0))</f>
        <v>0</v>
      </c>
      <c r="CT63" s="123" cm="1">
        <f t="array" ref="CT63">INDEX(Properties!$D:$D,$B63+5)*(IF(CT$3=INDEX(Properties!$U:$U,$B63+5),INDEX(Properties!$W:$W,$B63+5),0))</f>
        <v>0</v>
      </c>
      <c r="CU63" s="123" cm="1">
        <f t="array" ref="CU63">INDEX(Properties!$D:$D,$B63+5)*(IF(CU$3=INDEX(Properties!$U:$U,$B63+5),INDEX(Properties!$W:$W,$B63+5),0))</f>
        <v>0</v>
      </c>
      <c r="CV63" s="123" cm="1">
        <f t="array" ref="CV63">INDEX(Properties!$D:$D,$B63+5)*(IF(CV$3=INDEX(Properties!$U:$U,$B63+5),INDEX(Properties!$W:$W,$B63+5),0))</f>
        <v>0</v>
      </c>
      <c r="CW63" s="123" cm="1">
        <f t="array" ref="CW63">INDEX(Properties!$D:$D,$B63+5)*(IF(CW$3=INDEX(Properties!$U:$U,$B63+5),INDEX(Properties!$W:$W,$B63+5),0))</f>
        <v>0</v>
      </c>
      <c r="CX63" s="123" cm="1">
        <f t="array" ref="CX63">INDEX(Properties!$D:$D,$B63+5)*(IF(CX$3=INDEX(Properties!$U:$U,$B63+5),INDEX(Properties!$W:$W,$B63+5),0))</f>
        <v>0</v>
      </c>
      <c r="CY63" s="123" cm="1">
        <f t="array" ref="CY63">INDEX(Properties!$D:$D,$B63+5)*(IF(CY$3=INDEX(Properties!$U:$U,$B63+5),INDEX(Properties!$W:$W,$B63+5),0))</f>
        <v>0</v>
      </c>
      <c r="CZ63" s="123" cm="1">
        <f t="array" ref="CZ63">INDEX(Properties!$D:$D,$B63+5)*(IF(CZ$3=INDEX(Properties!$U:$U,$B63+5),INDEX(Properties!$W:$W,$B63+5),0))</f>
        <v>0</v>
      </c>
      <c r="DA63" s="123" cm="1">
        <f t="array" ref="DA63">INDEX(Properties!$D:$D,$B63+5)*(IF(DA$3=INDEX(Properties!$U:$U,$B63+5),INDEX(Properties!$W:$W,$B63+5),0))</f>
        <v>0</v>
      </c>
      <c r="DB63" s="123" cm="1">
        <f t="array" ref="DB63">INDEX(Properties!$D:$D,$B63+5)*(IF(DB$3=INDEX(Properties!$U:$U,$B63+5),INDEX(Properties!$W:$W,$B63+5),0))</f>
        <v>0</v>
      </c>
      <c r="DC63" s="123" cm="1">
        <f t="array" ref="DC63">INDEX(Properties!$D:$D,$B63+5)*(IF(DC$3=INDEX(Properties!$U:$U,$B63+5),INDEX(Properties!$W:$W,$B63+5),0))</f>
        <v>0</v>
      </c>
      <c r="DD63" s="123" cm="1">
        <f t="array" ref="DD63">INDEX(Properties!$D:$D,$B63+5)*(IF(DD$3=INDEX(Properties!$U:$U,$B63+5),INDEX(Properties!$W:$W,$B63+5),0))</f>
        <v>0</v>
      </c>
      <c r="DE63" s="123" cm="1">
        <f t="array" ref="DE63">INDEX(Properties!$D:$D,$B63+5)*(IF(DE$3=INDEX(Properties!$U:$U,$B63+5),INDEX(Properties!$W:$W,$B63+5),0))</f>
        <v>0</v>
      </c>
      <c r="DF63" s="123" cm="1">
        <f t="array" ref="DF63">INDEX(Properties!$D:$D,$B63+5)*(IF(DF$3=INDEX(Properties!$U:$U,$B63+5),INDEX(Properties!$W:$W,$B63+5),0))</f>
        <v>0</v>
      </c>
      <c r="DG63" s="123" cm="1">
        <f t="array" ref="DG63">INDEX(Properties!$D:$D,$B63+5)*(IF(DG$3=INDEX(Properties!$U:$U,$B63+5),INDEX(Properties!$W:$W,$B63+5),0))</f>
        <v>0</v>
      </c>
      <c r="DH63" s="123" cm="1">
        <f t="array" ref="DH63">INDEX(Properties!$D:$D,$B63+5)*(IF(DH$3=INDEX(Properties!$U:$U,$B63+5),INDEX(Properties!$W:$W,$B63+5),0))</f>
        <v>0</v>
      </c>
      <c r="DI63" s="123" cm="1">
        <f t="array" ref="DI63">INDEX(Properties!$D:$D,$B63+5)*(IF(DI$3=INDEX(Properties!$U:$U,$B63+5),INDEX(Properties!$W:$W,$B63+5),0))</f>
        <v>0</v>
      </c>
      <c r="DJ63" s="123" cm="1">
        <f t="array" ref="DJ63">INDEX(Properties!$D:$D,$B63+5)*(IF(DJ$3=INDEX(Properties!$U:$U,$B63+5),INDEX(Properties!$W:$W,$B63+5),0))</f>
        <v>0</v>
      </c>
      <c r="DK63" s="123" cm="1">
        <f t="array" ref="DK63">INDEX(Properties!$D:$D,$B63+5)*(IF(DK$3=INDEX(Properties!$U:$U,$B63+5),INDEX(Properties!$W:$W,$B63+5),0))</f>
        <v>0</v>
      </c>
      <c r="DL63" s="123" cm="1">
        <f t="array" ref="DL63">INDEX(Properties!$D:$D,$B63+5)*(IF(DL$3=INDEX(Properties!$U:$U,$B63+5),INDEX(Properties!$W:$W,$B63+5),0))</f>
        <v>0</v>
      </c>
      <c r="DM63" s="123" cm="1">
        <f t="array" ref="DM63">INDEX(Properties!$D:$D,$B63+5)*(IF(DM$3=INDEX(Properties!$U:$U,$B63+5),INDEX(Properties!$W:$W,$B63+5),0))</f>
        <v>0</v>
      </c>
      <c r="DN63" s="123" cm="1">
        <f t="array" ref="DN63">INDEX(Properties!$D:$D,$B63+5)*(IF(DN$3=INDEX(Properties!$U:$U,$B63+5),INDEX(Properties!$W:$W,$B63+5),0))</f>
        <v>0</v>
      </c>
      <c r="DO63" s="123" cm="1">
        <f t="array" ref="DO63">INDEX(Properties!$D:$D,$B63+5)*(IF(DO$3=INDEX(Properties!$U:$U,$B63+5),INDEX(Properties!$W:$W,$B63+5),0))</f>
        <v>0</v>
      </c>
      <c r="DP63" s="123" cm="1">
        <f t="array" ref="DP63">INDEX(Properties!$D:$D,$B63+5)*(IF(DP$3=INDEX(Properties!$U:$U,$B63+5),INDEX(Properties!$W:$W,$B63+5),0))</f>
        <v>0</v>
      </c>
      <c r="DQ63" s="123" cm="1">
        <f t="array" ref="DQ63">INDEX(Properties!$D:$D,$B63+5)*(IF(DQ$3=INDEX(Properties!$U:$U,$B63+5),INDEX(Properties!$W:$W,$B63+5),0))</f>
        <v>0</v>
      </c>
      <c r="DR63" s="123" cm="1">
        <f t="array" ref="DR63">INDEX(Properties!$D:$D,$B63+5)*(IF(DR$3=INDEX(Properties!$U:$U,$B63+5),INDEX(Properties!$W:$W,$B63+5),0))</f>
        <v>0</v>
      </c>
    </row>
    <row r="64" spans="1:122" ht="16.05" customHeight="1" x14ac:dyDescent="0.3">
      <c r="A64" s="148" t="str" cm="1">
        <f t="array" ref="A64">INDEX(Properties!$E:$E,$B64+5)</f>
        <v>Casa Montana Lote 2 (Samuel Gaviria House)</v>
      </c>
      <c r="B64" s="1">
        <v>4</v>
      </c>
      <c r="C64" s="123" cm="1">
        <f t="array" ref="C64">INDEX(Properties!$D:$D,$B64+5)*(IF(C$3=INDEX(Properties!$U:$U,$B64+5),INDEX(Properties!$W:$W,$B64+5),0))</f>
        <v>0</v>
      </c>
      <c r="D64" s="123" cm="1">
        <f t="array" ref="D64">INDEX(Properties!$D:$D,$B64+5)*(IF(D$3=INDEX(Properties!$U:$U,$B64+5),INDEX(Properties!$W:$W,$B64+5),0))</f>
        <v>0</v>
      </c>
      <c r="E64" s="123" cm="1">
        <f t="array" ref="E64">INDEX(Properties!$D:$D,$B64+5)*(IF(E$3=INDEX(Properties!$U:$U,$B64+5),INDEX(Properties!$W:$W,$B64+5),0))</f>
        <v>0</v>
      </c>
      <c r="F64" s="123" cm="1">
        <f t="array" ref="F64">INDEX(Properties!$D:$D,$B64+5)*(IF(F$3=INDEX(Properties!$U:$U,$B64+5),INDEX(Properties!$W:$W,$B64+5),0))</f>
        <v>0</v>
      </c>
      <c r="G64" s="123" cm="1">
        <f t="array" ref="G64">INDEX(Properties!$D:$D,$B64+5)*(IF(G$3=INDEX(Properties!$U:$U,$B64+5),INDEX(Properties!$W:$W,$B64+5),0))</f>
        <v>0</v>
      </c>
      <c r="H64" s="123" cm="1">
        <f t="array" ref="H64">INDEX(Properties!$D:$D,$B64+5)*(IF(H$3=INDEX(Properties!$U:$U,$B64+5),INDEX(Properties!$W:$W,$B64+5),0))</f>
        <v>0</v>
      </c>
      <c r="I64" s="123" cm="1">
        <f t="array" ref="I64">INDEX(Properties!$D:$D,$B64+5)*(IF(I$3=INDEX(Properties!$U:$U,$B64+5),INDEX(Properties!$W:$W,$B64+5),0))</f>
        <v>0</v>
      </c>
      <c r="J64" s="123" cm="1">
        <f t="array" ref="J64">INDEX(Properties!$D:$D,$B64+5)*(IF(J$3=INDEX(Properties!$U:$U,$B64+5),INDEX(Properties!$W:$W,$B64+5),0))</f>
        <v>0</v>
      </c>
      <c r="K64" s="123" cm="1">
        <f t="array" ref="K64">INDEX(Properties!$D:$D,$B64+5)*(IF(K$3=INDEX(Properties!$U:$U,$B64+5),INDEX(Properties!$W:$W,$B64+5),0))</f>
        <v>0</v>
      </c>
      <c r="L64" s="123" cm="1">
        <f t="array" ref="L64">INDEX(Properties!$D:$D,$B64+5)*(IF(L$3=INDEX(Properties!$U:$U,$B64+5),INDEX(Properties!$W:$W,$B64+5),0))</f>
        <v>0</v>
      </c>
      <c r="M64" s="123" cm="1">
        <f t="array" ref="M64">INDEX(Properties!$D:$D,$B64+5)*(IF(M$3=INDEX(Properties!$U:$U,$B64+5),INDEX(Properties!$W:$W,$B64+5),0))</f>
        <v>0</v>
      </c>
      <c r="N64" s="123" cm="1">
        <f t="array" ref="N64">INDEX(Properties!$D:$D,$B64+5)*(IF(N$3=INDEX(Properties!$U:$U,$B64+5),INDEX(Properties!$W:$W,$B64+5),0))</f>
        <v>0</v>
      </c>
      <c r="O64" s="123" cm="1">
        <f t="array" ref="O64">INDEX(Properties!$D:$D,$B64+5)*(IF(O$3=INDEX(Properties!$U:$U,$B64+5),INDEX(Properties!$W:$W,$B64+5),0))</f>
        <v>0</v>
      </c>
      <c r="P64" s="123" cm="1">
        <f t="array" ref="P64">INDEX(Properties!$D:$D,$B64+5)*(IF(P$3=INDEX(Properties!$U:$U,$B64+5),INDEX(Properties!$W:$W,$B64+5),0))</f>
        <v>0</v>
      </c>
      <c r="Q64" s="123" cm="1">
        <f t="array" ref="Q64">INDEX(Properties!$D:$D,$B64+5)*(IF(Q$3=INDEX(Properties!$U:$U,$B64+5),INDEX(Properties!$W:$W,$B64+5),0))</f>
        <v>0</v>
      </c>
      <c r="R64" s="123" cm="1">
        <f t="array" ref="R64">INDEX(Properties!$D:$D,$B64+5)*(IF(R$3=INDEX(Properties!$U:$U,$B64+5),INDEX(Properties!$W:$W,$B64+5),0))</f>
        <v>0</v>
      </c>
      <c r="S64" s="123" cm="1">
        <f t="array" ref="S64">INDEX(Properties!$D:$D,$B64+5)*(IF(S$3=INDEX(Properties!$U:$U,$B64+5),INDEX(Properties!$W:$W,$B64+5),0))</f>
        <v>0</v>
      </c>
      <c r="T64" s="123" cm="1">
        <f t="array" ref="T64">INDEX(Properties!$D:$D,$B64+5)*(IF(T$3=INDEX(Properties!$U:$U,$B64+5),INDEX(Properties!$W:$W,$B64+5),0))</f>
        <v>0</v>
      </c>
      <c r="U64" s="123" cm="1">
        <f t="array" ref="U64">INDEX(Properties!$D:$D,$B64+5)*(IF(U$3=INDEX(Properties!$U:$U,$B64+5),INDEX(Properties!$W:$W,$B64+5),0))</f>
        <v>0</v>
      </c>
      <c r="V64" s="123" cm="1">
        <f t="array" ref="V64">INDEX(Properties!$D:$D,$B64+5)*(IF(V$3=INDEX(Properties!$U:$U,$B64+5),INDEX(Properties!$W:$W,$B64+5),0))</f>
        <v>0</v>
      </c>
      <c r="W64" s="123" cm="1">
        <f t="array" ref="W64">INDEX(Properties!$D:$D,$B64+5)*(IF(W$3=INDEX(Properties!$U:$U,$B64+5),INDEX(Properties!$W:$W,$B64+5),0))</f>
        <v>0</v>
      </c>
      <c r="X64" s="123" cm="1">
        <f t="array" ref="X64">INDEX(Properties!$D:$D,$B64+5)*(IF(X$3=INDEX(Properties!$U:$U,$B64+5),INDEX(Properties!$W:$W,$B64+5),0))</f>
        <v>0</v>
      </c>
      <c r="Y64" s="123" cm="1">
        <f t="array" ref="Y64">INDEX(Properties!$D:$D,$B64+5)*(IF(Y$3=INDEX(Properties!$U:$U,$B64+5),INDEX(Properties!$W:$W,$B64+5),0))</f>
        <v>0</v>
      </c>
      <c r="Z64" s="123" cm="1">
        <f t="array" ref="Z64">INDEX(Properties!$D:$D,$B64+5)*(IF(Z$3=INDEX(Properties!$U:$U,$B64+5),INDEX(Properties!$W:$W,$B64+5),0))</f>
        <v>0</v>
      </c>
      <c r="AA64" s="123" cm="1">
        <f t="array" ref="AA64">INDEX(Properties!$D:$D,$B64+5)*(IF(AA$3=INDEX(Properties!$U:$U,$B64+5),INDEX(Properties!$W:$W,$B64+5),0))</f>
        <v>0</v>
      </c>
      <c r="AB64" s="123" cm="1">
        <f t="array" ref="AB64">INDEX(Properties!$D:$D,$B64+5)*(IF(AB$3=INDEX(Properties!$U:$U,$B64+5),INDEX(Properties!$W:$W,$B64+5),0))</f>
        <v>0</v>
      </c>
      <c r="AC64" s="123" cm="1">
        <f t="array" ref="AC64">INDEX(Properties!$D:$D,$B64+5)*(IF(AC$3=INDEX(Properties!$U:$U,$B64+5),INDEX(Properties!$W:$W,$B64+5),0))</f>
        <v>0</v>
      </c>
      <c r="AD64" s="123" cm="1">
        <f t="array" ref="AD64">INDEX(Properties!$D:$D,$B64+5)*(IF(AD$3=INDEX(Properties!$U:$U,$B64+5),INDEX(Properties!$W:$W,$B64+5),0))</f>
        <v>0</v>
      </c>
      <c r="AE64" s="123" cm="1">
        <f t="array" ref="AE64">INDEX(Properties!$D:$D,$B64+5)*(IF(AE$3=INDEX(Properties!$U:$U,$B64+5),INDEX(Properties!$W:$W,$B64+5),0))</f>
        <v>0</v>
      </c>
      <c r="AF64" s="123" cm="1">
        <f t="array" ref="AF64">INDEX(Properties!$D:$D,$B64+5)*(IF(AF$3=INDEX(Properties!$U:$U,$B64+5),INDEX(Properties!$W:$W,$B64+5),0))</f>
        <v>0</v>
      </c>
      <c r="AG64" s="123" cm="1">
        <f t="array" ref="AG64">INDEX(Properties!$D:$D,$B64+5)*(IF(AG$3=INDEX(Properties!$U:$U,$B64+5),INDEX(Properties!$W:$W,$B64+5),0))</f>
        <v>0</v>
      </c>
      <c r="AH64" s="123" cm="1">
        <f t="array" ref="AH64">INDEX(Properties!$D:$D,$B64+5)*(IF(AH$3=INDEX(Properties!$U:$U,$B64+5),INDEX(Properties!$W:$W,$B64+5),0))</f>
        <v>0</v>
      </c>
      <c r="AI64" s="123" cm="1">
        <f t="array" ref="AI64">INDEX(Properties!$D:$D,$B64+5)*(IF(AI$3=INDEX(Properties!$U:$U,$B64+5),INDEX(Properties!$W:$W,$B64+5),0))</f>
        <v>0</v>
      </c>
      <c r="AJ64" s="123" cm="1">
        <f t="array" ref="AJ64">INDEX(Properties!$D:$D,$B64+5)*(IF(AJ$3=INDEX(Properties!$U:$U,$B64+5),INDEX(Properties!$W:$W,$B64+5),0))</f>
        <v>0</v>
      </c>
      <c r="AK64" s="123" cm="1">
        <f t="array" ref="AK64">INDEX(Properties!$D:$D,$B64+5)*(IF(AK$3=INDEX(Properties!$U:$U,$B64+5),INDEX(Properties!$W:$W,$B64+5),0))</f>
        <v>0</v>
      </c>
      <c r="AL64" s="123" cm="1">
        <f t="array" ref="AL64">INDEX(Properties!$D:$D,$B64+5)*(IF(AL$3=INDEX(Properties!$U:$U,$B64+5),INDEX(Properties!$W:$W,$B64+5),0))</f>
        <v>0</v>
      </c>
      <c r="AM64" s="123" cm="1">
        <f t="array" ref="AM64">INDEX(Properties!$D:$D,$B64+5)*(IF(AM$3=INDEX(Properties!$U:$U,$B64+5),INDEX(Properties!$W:$W,$B64+5),0))</f>
        <v>0</v>
      </c>
      <c r="AN64" s="123" cm="1">
        <f t="array" ref="AN64">INDEX(Properties!$D:$D,$B64+5)*(IF(AN$3=INDEX(Properties!$U:$U,$B64+5),INDEX(Properties!$W:$W,$B64+5),0))</f>
        <v>0</v>
      </c>
      <c r="AO64" s="123" cm="1">
        <f t="array" ref="AO64">INDEX(Properties!$D:$D,$B64+5)*(IF(AO$3=INDEX(Properties!$U:$U,$B64+5),INDEX(Properties!$W:$W,$B64+5),0))</f>
        <v>0</v>
      </c>
      <c r="AP64" s="123" cm="1">
        <f t="array" ref="AP64">INDEX(Properties!$D:$D,$B64+5)*(IF(AP$3=INDEX(Properties!$U:$U,$B64+5),INDEX(Properties!$W:$W,$B64+5),0))</f>
        <v>0</v>
      </c>
      <c r="AQ64" s="123" cm="1">
        <f t="array" ref="AQ64">INDEX(Properties!$D:$D,$B64+5)*(IF(AQ$3=INDEX(Properties!$U:$U,$B64+5),INDEX(Properties!$W:$W,$B64+5),0))</f>
        <v>0</v>
      </c>
      <c r="AR64" s="123" cm="1">
        <f t="array" ref="AR64">INDEX(Properties!$D:$D,$B64+5)*(IF(AR$3=INDEX(Properties!$U:$U,$B64+5),INDEX(Properties!$W:$W,$B64+5),0))</f>
        <v>0</v>
      </c>
      <c r="AS64" s="123" cm="1">
        <f t="array" ref="AS64">INDEX(Properties!$D:$D,$B64+5)*(IF(AS$3=INDEX(Properties!$U:$U,$B64+5),INDEX(Properties!$W:$W,$B64+5),0))</f>
        <v>2995795.1883356264</v>
      </c>
      <c r="AT64" s="123" cm="1">
        <f t="array" ref="AT64">INDEX(Properties!$D:$D,$B64+5)*(IF(AT$3=INDEX(Properties!$U:$U,$B64+5),INDEX(Properties!$W:$W,$B64+5),0))</f>
        <v>0</v>
      </c>
      <c r="AU64" s="123" cm="1">
        <f t="array" ref="AU64">INDEX(Properties!$D:$D,$B64+5)*(IF(AU$3=INDEX(Properties!$U:$U,$B64+5),INDEX(Properties!$W:$W,$B64+5),0))</f>
        <v>0</v>
      </c>
      <c r="AV64" s="123" cm="1">
        <f t="array" ref="AV64">INDEX(Properties!$D:$D,$B64+5)*(IF(AV$3=INDEX(Properties!$U:$U,$B64+5),INDEX(Properties!$W:$W,$B64+5),0))</f>
        <v>0</v>
      </c>
      <c r="AW64" s="123" cm="1">
        <f t="array" ref="AW64">INDEX(Properties!$D:$D,$B64+5)*(IF(AW$3=INDEX(Properties!$U:$U,$B64+5),INDEX(Properties!$W:$W,$B64+5),0))</f>
        <v>0</v>
      </c>
      <c r="AX64" s="123" cm="1">
        <f t="array" ref="AX64">INDEX(Properties!$D:$D,$B64+5)*(IF(AX$3=INDEX(Properties!$U:$U,$B64+5),INDEX(Properties!$W:$W,$B64+5),0))</f>
        <v>0</v>
      </c>
      <c r="AY64" s="123" cm="1">
        <f t="array" ref="AY64">INDEX(Properties!$D:$D,$B64+5)*(IF(AY$3=INDEX(Properties!$U:$U,$B64+5),INDEX(Properties!$W:$W,$B64+5),0))</f>
        <v>0</v>
      </c>
      <c r="AZ64" s="123" cm="1">
        <f t="array" ref="AZ64">INDEX(Properties!$D:$D,$B64+5)*(IF(AZ$3=INDEX(Properties!$U:$U,$B64+5),INDEX(Properties!$W:$W,$B64+5),0))</f>
        <v>0</v>
      </c>
      <c r="BA64" s="123" cm="1">
        <f t="array" ref="BA64">INDEX(Properties!$D:$D,$B64+5)*(IF(BA$3=INDEX(Properties!$U:$U,$B64+5),INDEX(Properties!$W:$W,$B64+5),0))</f>
        <v>0</v>
      </c>
      <c r="BB64" s="123" cm="1">
        <f t="array" ref="BB64">INDEX(Properties!$D:$D,$B64+5)*(IF(BB$3=INDEX(Properties!$U:$U,$B64+5),INDEX(Properties!$W:$W,$B64+5),0))</f>
        <v>0</v>
      </c>
      <c r="BC64" s="123" cm="1">
        <f t="array" ref="BC64">INDEX(Properties!$D:$D,$B64+5)*(IF(BC$3=INDEX(Properties!$U:$U,$B64+5),INDEX(Properties!$W:$W,$B64+5),0))</f>
        <v>0</v>
      </c>
      <c r="BD64" s="123" cm="1">
        <f t="array" ref="BD64">INDEX(Properties!$D:$D,$B64+5)*(IF(BD$3=INDEX(Properties!$U:$U,$B64+5),INDEX(Properties!$W:$W,$B64+5),0))</f>
        <v>0</v>
      </c>
      <c r="BE64" s="123" cm="1">
        <f t="array" ref="BE64">INDEX(Properties!$D:$D,$B64+5)*(IF(BE$3=INDEX(Properties!$U:$U,$B64+5),INDEX(Properties!$W:$W,$B64+5),0))</f>
        <v>0</v>
      </c>
      <c r="BF64" s="123" cm="1">
        <f t="array" ref="BF64">INDEX(Properties!$D:$D,$B64+5)*(IF(BF$3=INDEX(Properties!$U:$U,$B64+5),INDEX(Properties!$W:$W,$B64+5),0))</f>
        <v>0</v>
      </c>
      <c r="BG64" s="123" cm="1">
        <f t="array" ref="BG64">INDEX(Properties!$D:$D,$B64+5)*(IF(BG$3=INDEX(Properties!$U:$U,$B64+5),INDEX(Properties!$W:$W,$B64+5),0))</f>
        <v>0</v>
      </c>
      <c r="BH64" s="123" cm="1">
        <f t="array" ref="BH64">INDEX(Properties!$D:$D,$B64+5)*(IF(BH$3=INDEX(Properties!$U:$U,$B64+5),INDEX(Properties!$W:$W,$B64+5),0))</f>
        <v>0</v>
      </c>
      <c r="BI64" s="123" cm="1">
        <f t="array" ref="BI64">INDEX(Properties!$D:$D,$B64+5)*(IF(BI$3=INDEX(Properties!$U:$U,$B64+5),INDEX(Properties!$W:$W,$B64+5),0))</f>
        <v>0</v>
      </c>
      <c r="BJ64" s="123" cm="1">
        <f t="array" ref="BJ64">INDEX(Properties!$D:$D,$B64+5)*(IF(BJ$3=INDEX(Properties!$U:$U,$B64+5),INDEX(Properties!$W:$W,$B64+5),0))</f>
        <v>0</v>
      </c>
      <c r="BK64" s="123" cm="1">
        <f t="array" ref="BK64">INDEX(Properties!$D:$D,$B64+5)*(IF(BK$3=INDEX(Properties!$U:$U,$B64+5),INDEX(Properties!$W:$W,$B64+5),0))</f>
        <v>0</v>
      </c>
      <c r="BL64" s="123" cm="1">
        <f t="array" ref="BL64">INDEX(Properties!$D:$D,$B64+5)*(IF(BL$3=INDEX(Properties!$U:$U,$B64+5),INDEX(Properties!$W:$W,$B64+5),0))</f>
        <v>0</v>
      </c>
      <c r="BM64" s="123" cm="1">
        <f t="array" ref="BM64">INDEX(Properties!$D:$D,$B64+5)*(IF(BM$3=INDEX(Properties!$U:$U,$B64+5),INDEX(Properties!$W:$W,$B64+5),0))</f>
        <v>0</v>
      </c>
      <c r="BN64" s="123" cm="1">
        <f t="array" ref="BN64">INDEX(Properties!$D:$D,$B64+5)*(IF(BN$3=INDEX(Properties!$U:$U,$B64+5),INDEX(Properties!$W:$W,$B64+5),0))</f>
        <v>0</v>
      </c>
      <c r="BO64" s="123" cm="1">
        <f t="array" ref="BO64">INDEX(Properties!$D:$D,$B64+5)*(IF(BO$3=INDEX(Properties!$U:$U,$B64+5),INDEX(Properties!$W:$W,$B64+5),0))</f>
        <v>0</v>
      </c>
      <c r="BP64" s="123" cm="1">
        <f t="array" ref="BP64">INDEX(Properties!$D:$D,$B64+5)*(IF(BP$3=INDEX(Properties!$U:$U,$B64+5),INDEX(Properties!$W:$W,$B64+5),0))</f>
        <v>0</v>
      </c>
      <c r="BQ64" s="123" cm="1">
        <f t="array" ref="BQ64">INDEX(Properties!$D:$D,$B64+5)*(IF(BQ$3=INDEX(Properties!$U:$U,$B64+5),INDEX(Properties!$W:$W,$B64+5),0))</f>
        <v>0</v>
      </c>
      <c r="BR64" s="123" cm="1">
        <f t="array" ref="BR64">INDEX(Properties!$D:$D,$B64+5)*(IF(BR$3=INDEX(Properties!$U:$U,$B64+5),INDEX(Properties!$W:$W,$B64+5),0))</f>
        <v>0</v>
      </c>
      <c r="BS64" s="123" cm="1">
        <f t="array" ref="BS64">INDEX(Properties!$D:$D,$B64+5)*(IF(BS$3=INDEX(Properties!$U:$U,$B64+5),INDEX(Properties!$W:$W,$B64+5),0))</f>
        <v>0</v>
      </c>
      <c r="BT64" s="123" cm="1">
        <f t="array" ref="BT64">INDEX(Properties!$D:$D,$B64+5)*(IF(BT$3=INDEX(Properties!$U:$U,$B64+5),INDEX(Properties!$W:$W,$B64+5),0))</f>
        <v>0</v>
      </c>
      <c r="BU64" s="123" cm="1">
        <f t="array" ref="BU64">INDEX(Properties!$D:$D,$B64+5)*(IF(BU$3=INDEX(Properties!$U:$U,$B64+5),INDEX(Properties!$W:$W,$B64+5),0))</f>
        <v>0</v>
      </c>
      <c r="BV64" s="123" cm="1">
        <f t="array" ref="BV64">INDEX(Properties!$D:$D,$B64+5)*(IF(BV$3=INDEX(Properties!$U:$U,$B64+5),INDEX(Properties!$W:$W,$B64+5),0))</f>
        <v>0</v>
      </c>
      <c r="BW64" s="123" cm="1">
        <f t="array" ref="BW64">INDEX(Properties!$D:$D,$B64+5)*(IF(BW$3=INDEX(Properties!$U:$U,$B64+5),INDEX(Properties!$W:$W,$B64+5),0))</f>
        <v>0</v>
      </c>
      <c r="BX64" s="123" cm="1">
        <f t="array" ref="BX64">INDEX(Properties!$D:$D,$B64+5)*(IF(BX$3=INDEX(Properties!$U:$U,$B64+5),INDEX(Properties!$W:$W,$B64+5),0))</f>
        <v>0</v>
      </c>
      <c r="BY64" s="123" cm="1">
        <f t="array" ref="BY64">INDEX(Properties!$D:$D,$B64+5)*(IF(BY$3=INDEX(Properties!$U:$U,$B64+5),INDEX(Properties!$W:$W,$B64+5),0))</f>
        <v>0</v>
      </c>
      <c r="BZ64" s="123" cm="1">
        <f t="array" ref="BZ64">INDEX(Properties!$D:$D,$B64+5)*(IF(BZ$3=INDEX(Properties!$U:$U,$B64+5),INDEX(Properties!$W:$W,$B64+5),0))</f>
        <v>0</v>
      </c>
      <c r="CA64" s="123" cm="1">
        <f t="array" ref="CA64">INDEX(Properties!$D:$D,$B64+5)*(IF(CA$3=INDEX(Properties!$U:$U,$B64+5),INDEX(Properties!$W:$W,$B64+5),0))</f>
        <v>0</v>
      </c>
      <c r="CB64" s="123" cm="1">
        <f t="array" ref="CB64">INDEX(Properties!$D:$D,$B64+5)*(IF(CB$3=INDEX(Properties!$U:$U,$B64+5),INDEX(Properties!$W:$W,$B64+5),0))</f>
        <v>0</v>
      </c>
      <c r="CC64" s="123" cm="1">
        <f t="array" ref="CC64">INDEX(Properties!$D:$D,$B64+5)*(IF(CC$3=INDEX(Properties!$U:$U,$B64+5),INDEX(Properties!$W:$W,$B64+5),0))</f>
        <v>0</v>
      </c>
      <c r="CD64" s="123" cm="1">
        <f t="array" ref="CD64">INDEX(Properties!$D:$D,$B64+5)*(IF(CD$3=INDEX(Properties!$U:$U,$B64+5),INDEX(Properties!$W:$W,$B64+5),0))</f>
        <v>0</v>
      </c>
      <c r="CE64" s="123" cm="1">
        <f t="array" ref="CE64">INDEX(Properties!$D:$D,$B64+5)*(IF(CE$3=INDEX(Properties!$U:$U,$B64+5),INDEX(Properties!$W:$W,$B64+5),0))</f>
        <v>0</v>
      </c>
      <c r="CF64" s="123" cm="1">
        <f t="array" ref="CF64">INDEX(Properties!$D:$D,$B64+5)*(IF(CF$3=INDEX(Properties!$U:$U,$B64+5),INDEX(Properties!$W:$W,$B64+5),0))</f>
        <v>0</v>
      </c>
      <c r="CG64" s="123" cm="1">
        <f t="array" ref="CG64">INDEX(Properties!$D:$D,$B64+5)*(IF(CG$3=INDEX(Properties!$U:$U,$B64+5),INDEX(Properties!$W:$W,$B64+5),0))</f>
        <v>0</v>
      </c>
      <c r="CH64" s="123" cm="1">
        <f t="array" ref="CH64">INDEX(Properties!$D:$D,$B64+5)*(IF(CH$3=INDEX(Properties!$U:$U,$B64+5),INDEX(Properties!$W:$W,$B64+5),0))</f>
        <v>0</v>
      </c>
      <c r="CI64" s="123" cm="1">
        <f t="array" ref="CI64">INDEX(Properties!$D:$D,$B64+5)*(IF(CI$3=INDEX(Properties!$U:$U,$B64+5),INDEX(Properties!$W:$W,$B64+5),0))</f>
        <v>0</v>
      </c>
      <c r="CJ64" s="123" cm="1">
        <f t="array" ref="CJ64">INDEX(Properties!$D:$D,$B64+5)*(IF(CJ$3=INDEX(Properties!$U:$U,$B64+5),INDEX(Properties!$W:$W,$B64+5),0))</f>
        <v>0</v>
      </c>
      <c r="CK64" s="123" cm="1">
        <f t="array" ref="CK64">INDEX(Properties!$D:$D,$B64+5)*(IF(CK$3=INDEX(Properties!$U:$U,$B64+5),INDEX(Properties!$W:$W,$B64+5),0))</f>
        <v>0</v>
      </c>
      <c r="CL64" s="123" cm="1">
        <f t="array" ref="CL64">INDEX(Properties!$D:$D,$B64+5)*(IF(CL$3=INDEX(Properties!$U:$U,$B64+5),INDEX(Properties!$W:$W,$B64+5),0))</f>
        <v>0</v>
      </c>
      <c r="CM64" s="123" cm="1">
        <f t="array" ref="CM64">INDEX(Properties!$D:$D,$B64+5)*(IF(CM$3=INDEX(Properties!$U:$U,$B64+5),INDEX(Properties!$W:$W,$B64+5),0))</f>
        <v>0</v>
      </c>
      <c r="CN64" s="123" cm="1">
        <f t="array" ref="CN64">INDEX(Properties!$D:$D,$B64+5)*(IF(CN$3=INDEX(Properties!$U:$U,$B64+5),INDEX(Properties!$W:$W,$B64+5),0))</f>
        <v>0</v>
      </c>
      <c r="CO64" s="123" cm="1">
        <f t="array" ref="CO64">INDEX(Properties!$D:$D,$B64+5)*(IF(CO$3=INDEX(Properties!$U:$U,$B64+5),INDEX(Properties!$W:$W,$B64+5),0))</f>
        <v>0</v>
      </c>
      <c r="CP64" s="123" cm="1">
        <f t="array" ref="CP64">INDEX(Properties!$D:$D,$B64+5)*(IF(CP$3=INDEX(Properties!$U:$U,$B64+5),INDEX(Properties!$W:$W,$B64+5),0))</f>
        <v>0</v>
      </c>
      <c r="CQ64" s="123" cm="1">
        <f t="array" ref="CQ64">INDEX(Properties!$D:$D,$B64+5)*(IF(CQ$3=INDEX(Properties!$U:$U,$B64+5),INDEX(Properties!$W:$W,$B64+5),0))</f>
        <v>0</v>
      </c>
      <c r="CR64" s="123" cm="1">
        <f t="array" ref="CR64">INDEX(Properties!$D:$D,$B64+5)*(IF(CR$3=INDEX(Properties!$U:$U,$B64+5),INDEX(Properties!$W:$W,$B64+5),0))</f>
        <v>0</v>
      </c>
      <c r="CS64" s="123" cm="1">
        <f t="array" ref="CS64">INDEX(Properties!$D:$D,$B64+5)*(IF(CS$3=INDEX(Properties!$U:$U,$B64+5),INDEX(Properties!$W:$W,$B64+5),0))</f>
        <v>0</v>
      </c>
      <c r="CT64" s="123" cm="1">
        <f t="array" ref="CT64">INDEX(Properties!$D:$D,$B64+5)*(IF(CT$3=INDEX(Properties!$U:$U,$B64+5),INDEX(Properties!$W:$W,$B64+5),0))</f>
        <v>0</v>
      </c>
      <c r="CU64" s="123" cm="1">
        <f t="array" ref="CU64">INDEX(Properties!$D:$D,$B64+5)*(IF(CU$3=INDEX(Properties!$U:$U,$B64+5),INDEX(Properties!$W:$W,$B64+5),0))</f>
        <v>0</v>
      </c>
      <c r="CV64" s="123" cm="1">
        <f t="array" ref="CV64">INDEX(Properties!$D:$D,$B64+5)*(IF(CV$3=INDEX(Properties!$U:$U,$B64+5),INDEX(Properties!$W:$W,$B64+5),0))</f>
        <v>0</v>
      </c>
      <c r="CW64" s="123" cm="1">
        <f t="array" ref="CW64">INDEX(Properties!$D:$D,$B64+5)*(IF(CW$3=INDEX(Properties!$U:$U,$B64+5),INDEX(Properties!$W:$W,$B64+5),0))</f>
        <v>0</v>
      </c>
      <c r="CX64" s="123" cm="1">
        <f t="array" ref="CX64">INDEX(Properties!$D:$D,$B64+5)*(IF(CX$3=INDEX(Properties!$U:$U,$B64+5),INDEX(Properties!$W:$W,$B64+5),0))</f>
        <v>0</v>
      </c>
      <c r="CY64" s="123" cm="1">
        <f t="array" ref="CY64">INDEX(Properties!$D:$D,$B64+5)*(IF(CY$3=INDEX(Properties!$U:$U,$B64+5),INDEX(Properties!$W:$W,$B64+5),0))</f>
        <v>0</v>
      </c>
      <c r="CZ64" s="123" cm="1">
        <f t="array" ref="CZ64">INDEX(Properties!$D:$D,$B64+5)*(IF(CZ$3=INDEX(Properties!$U:$U,$B64+5),INDEX(Properties!$W:$W,$B64+5),0))</f>
        <v>0</v>
      </c>
      <c r="DA64" s="123" cm="1">
        <f t="array" ref="DA64">INDEX(Properties!$D:$D,$B64+5)*(IF(DA$3=INDEX(Properties!$U:$U,$B64+5),INDEX(Properties!$W:$W,$B64+5),0))</f>
        <v>0</v>
      </c>
      <c r="DB64" s="123" cm="1">
        <f t="array" ref="DB64">INDEX(Properties!$D:$D,$B64+5)*(IF(DB$3=INDEX(Properties!$U:$U,$B64+5),INDEX(Properties!$W:$W,$B64+5),0))</f>
        <v>0</v>
      </c>
      <c r="DC64" s="123" cm="1">
        <f t="array" ref="DC64">INDEX(Properties!$D:$D,$B64+5)*(IF(DC$3=INDEX(Properties!$U:$U,$B64+5),INDEX(Properties!$W:$W,$B64+5),0))</f>
        <v>0</v>
      </c>
      <c r="DD64" s="123" cm="1">
        <f t="array" ref="DD64">INDEX(Properties!$D:$D,$B64+5)*(IF(DD$3=INDEX(Properties!$U:$U,$B64+5),INDEX(Properties!$W:$W,$B64+5),0))</f>
        <v>0</v>
      </c>
      <c r="DE64" s="123" cm="1">
        <f t="array" ref="DE64">INDEX(Properties!$D:$D,$B64+5)*(IF(DE$3=INDEX(Properties!$U:$U,$B64+5),INDEX(Properties!$W:$W,$B64+5),0))</f>
        <v>0</v>
      </c>
      <c r="DF64" s="123" cm="1">
        <f t="array" ref="DF64">INDEX(Properties!$D:$D,$B64+5)*(IF(DF$3=INDEX(Properties!$U:$U,$B64+5),INDEX(Properties!$W:$W,$B64+5),0))</f>
        <v>0</v>
      </c>
      <c r="DG64" s="123" cm="1">
        <f t="array" ref="DG64">INDEX(Properties!$D:$D,$B64+5)*(IF(DG$3=INDEX(Properties!$U:$U,$B64+5),INDEX(Properties!$W:$W,$B64+5),0))</f>
        <v>0</v>
      </c>
      <c r="DH64" s="123" cm="1">
        <f t="array" ref="DH64">INDEX(Properties!$D:$D,$B64+5)*(IF(DH$3=INDEX(Properties!$U:$U,$B64+5),INDEX(Properties!$W:$W,$B64+5),0))</f>
        <v>0</v>
      </c>
      <c r="DI64" s="123" cm="1">
        <f t="array" ref="DI64">INDEX(Properties!$D:$D,$B64+5)*(IF(DI$3=INDEX(Properties!$U:$U,$B64+5),INDEX(Properties!$W:$W,$B64+5),0))</f>
        <v>0</v>
      </c>
      <c r="DJ64" s="123" cm="1">
        <f t="array" ref="DJ64">INDEX(Properties!$D:$D,$B64+5)*(IF(DJ$3=INDEX(Properties!$U:$U,$B64+5),INDEX(Properties!$W:$W,$B64+5),0))</f>
        <v>0</v>
      </c>
      <c r="DK64" s="123" cm="1">
        <f t="array" ref="DK64">INDEX(Properties!$D:$D,$B64+5)*(IF(DK$3=INDEX(Properties!$U:$U,$B64+5),INDEX(Properties!$W:$W,$B64+5),0))</f>
        <v>0</v>
      </c>
      <c r="DL64" s="123" cm="1">
        <f t="array" ref="DL64">INDEX(Properties!$D:$D,$B64+5)*(IF(DL$3=INDEX(Properties!$U:$U,$B64+5),INDEX(Properties!$W:$W,$B64+5),0))</f>
        <v>0</v>
      </c>
      <c r="DM64" s="123" cm="1">
        <f t="array" ref="DM64">INDEX(Properties!$D:$D,$B64+5)*(IF(DM$3=INDEX(Properties!$U:$U,$B64+5),INDEX(Properties!$W:$W,$B64+5),0))</f>
        <v>0</v>
      </c>
      <c r="DN64" s="123" cm="1">
        <f t="array" ref="DN64">INDEX(Properties!$D:$D,$B64+5)*(IF(DN$3=INDEX(Properties!$U:$U,$B64+5),INDEX(Properties!$W:$W,$B64+5),0))</f>
        <v>0</v>
      </c>
      <c r="DO64" s="123" cm="1">
        <f t="array" ref="DO64">INDEX(Properties!$D:$D,$B64+5)*(IF(DO$3=INDEX(Properties!$U:$U,$B64+5),INDEX(Properties!$W:$W,$B64+5),0))</f>
        <v>0</v>
      </c>
      <c r="DP64" s="123" cm="1">
        <f t="array" ref="DP64">INDEX(Properties!$D:$D,$B64+5)*(IF(DP$3=INDEX(Properties!$U:$U,$B64+5),INDEX(Properties!$W:$W,$B64+5),0))</f>
        <v>0</v>
      </c>
      <c r="DQ64" s="123" cm="1">
        <f t="array" ref="DQ64">INDEX(Properties!$D:$D,$B64+5)*(IF(DQ$3=INDEX(Properties!$U:$U,$B64+5),INDEX(Properties!$W:$W,$B64+5),0))</f>
        <v>0</v>
      </c>
      <c r="DR64" s="123" cm="1">
        <f t="array" ref="DR64">INDEX(Properties!$D:$D,$B64+5)*(IF(DR$3=INDEX(Properties!$U:$U,$B64+5),INDEX(Properties!$W:$W,$B64+5),0))</f>
        <v>0</v>
      </c>
    </row>
    <row r="65" spans="1:122" ht="16.05" customHeight="1" x14ac:dyDescent="0.3">
      <c r="A65" s="148" t="str" cm="1">
        <f t="array" ref="A65">INDEX(Properties!$E:$E,$B65+5)</f>
        <v>Casa Monte Sereno</v>
      </c>
      <c r="B65" s="1">
        <v>5</v>
      </c>
      <c r="C65" s="123" cm="1">
        <f t="array" ref="C65">INDEX(Properties!$D:$D,$B65+5)*(IF(C$3=INDEX(Properties!$U:$U,$B65+5),INDEX(Properties!$W:$W,$B65+5),0))</f>
        <v>0</v>
      </c>
      <c r="D65" s="123" cm="1">
        <f t="array" ref="D65">INDEX(Properties!$D:$D,$B65+5)*(IF(D$3=INDEX(Properties!$U:$U,$B65+5),INDEX(Properties!$W:$W,$B65+5),0))</f>
        <v>0</v>
      </c>
      <c r="E65" s="123" cm="1">
        <f t="array" ref="E65">INDEX(Properties!$D:$D,$B65+5)*(IF(E$3=INDEX(Properties!$U:$U,$B65+5),INDEX(Properties!$W:$W,$B65+5),0))</f>
        <v>0</v>
      </c>
      <c r="F65" s="123" cm="1">
        <f t="array" ref="F65">INDEX(Properties!$D:$D,$B65+5)*(IF(F$3=INDEX(Properties!$U:$U,$B65+5),INDEX(Properties!$W:$W,$B65+5),0))</f>
        <v>0</v>
      </c>
      <c r="G65" s="123" cm="1">
        <f t="array" ref="G65">INDEX(Properties!$D:$D,$B65+5)*(IF(G$3=INDEX(Properties!$U:$U,$B65+5),INDEX(Properties!$W:$W,$B65+5),0))</f>
        <v>0</v>
      </c>
      <c r="H65" s="123" cm="1">
        <f t="array" ref="H65">INDEX(Properties!$D:$D,$B65+5)*(IF(H$3=INDEX(Properties!$U:$U,$B65+5),INDEX(Properties!$W:$W,$B65+5),0))</f>
        <v>0</v>
      </c>
      <c r="I65" s="123" cm="1">
        <f t="array" ref="I65">INDEX(Properties!$D:$D,$B65+5)*(IF(I$3=INDEX(Properties!$U:$U,$B65+5),INDEX(Properties!$W:$W,$B65+5),0))</f>
        <v>0</v>
      </c>
      <c r="J65" s="123" cm="1">
        <f t="array" ref="J65">INDEX(Properties!$D:$D,$B65+5)*(IF(J$3=INDEX(Properties!$U:$U,$B65+5),INDEX(Properties!$W:$W,$B65+5),0))</f>
        <v>0</v>
      </c>
      <c r="K65" s="123" cm="1">
        <f t="array" ref="K65">INDEX(Properties!$D:$D,$B65+5)*(IF(K$3=INDEX(Properties!$U:$U,$B65+5),INDEX(Properties!$W:$W,$B65+5),0))</f>
        <v>0</v>
      </c>
      <c r="L65" s="123" cm="1">
        <f t="array" ref="L65">INDEX(Properties!$D:$D,$B65+5)*(IF(L$3=INDEX(Properties!$U:$U,$B65+5),INDEX(Properties!$W:$W,$B65+5),0))</f>
        <v>0</v>
      </c>
      <c r="M65" s="123" cm="1">
        <f t="array" ref="M65">INDEX(Properties!$D:$D,$B65+5)*(IF(M$3=INDEX(Properties!$U:$U,$B65+5),INDEX(Properties!$W:$W,$B65+5),0))</f>
        <v>0</v>
      </c>
      <c r="N65" s="123" cm="1">
        <f t="array" ref="N65">INDEX(Properties!$D:$D,$B65+5)*(IF(N$3=INDEX(Properties!$U:$U,$B65+5),INDEX(Properties!$W:$W,$B65+5),0))</f>
        <v>0</v>
      </c>
      <c r="O65" s="123" cm="1">
        <f t="array" ref="O65">INDEX(Properties!$D:$D,$B65+5)*(IF(O$3=INDEX(Properties!$U:$U,$B65+5),INDEX(Properties!$W:$W,$B65+5),0))</f>
        <v>0</v>
      </c>
      <c r="P65" s="123" cm="1">
        <f t="array" ref="P65">INDEX(Properties!$D:$D,$B65+5)*(IF(P$3=INDEX(Properties!$U:$U,$B65+5),INDEX(Properties!$W:$W,$B65+5),0))</f>
        <v>0</v>
      </c>
      <c r="Q65" s="123" cm="1">
        <f t="array" ref="Q65">INDEX(Properties!$D:$D,$B65+5)*(IF(Q$3=INDEX(Properties!$U:$U,$B65+5),INDEX(Properties!$W:$W,$B65+5),0))</f>
        <v>0</v>
      </c>
      <c r="R65" s="123" cm="1">
        <f t="array" ref="R65">INDEX(Properties!$D:$D,$B65+5)*(IF(R$3=INDEX(Properties!$U:$U,$B65+5),INDEX(Properties!$W:$W,$B65+5),0))</f>
        <v>0</v>
      </c>
      <c r="S65" s="123" cm="1">
        <f t="array" ref="S65">INDEX(Properties!$D:$D,$B65+5)*(IF(S$3=INDEX(Properties!$U:$U,$B65+5),INDEX(Properties!$W:$W,$B65+5),0))</f>
        <v>0</v>
      </c>
      <c r="T65" s="123" cm="1">
        <f t="array" ref="T65">INDEX(Properties!$D:$D,$B65+5)*(IF(T$3=INDEX(Properties!$U:$U,$B65+5),INDEX(Properties!$W:$W,$B65+5),0))</f>
        <v>0</v>
      </c>
      <c r="U65" s="123" cm="1">
        <f t="array" ref="U65">INDEX(Properties!$D:$D,$B65+5)*(IF(U$3=INDEX(Properties!$U:$U,$B65+5),INDEX(Properties!$W:$W,$B65+5),0))</f>
        <v>0</v>
      </c>
      <c r="V65" s="123" cm="1">
        <f t="array" ref="V65">INDEX(Properties!$D:$D,$B65+5)*(IF(V$3=INDEX(Properties!$U:$U,$B65+5),INDEX(Properties!$W:$W,$B65+5),0))</f>
        <v>0</v>
      </c>
      <c r="W65" s="123" cm="1">
        <f t="array" ref="W65">INDEX(Properties!$D:$D,$B65+5)*(IF(W$3=INDEX(Properties!$U:$U,$B65+5),INDEX(Properties!$W:$W,$B65+5),0))</f>
        <v>0</v>
      </c>
      <c r="X65" s="123" cm="1">
        <f t="array" ref="X65">INDEX(Properties!$D:$D,$B65+5)*(IF(X$3=INDEX(Properties!$U:$U,$B65+5),INDEX(Properties!$W:$W,$B65+5),0))</f>
        <v>0</v>
      </c>
      <c r="Y65" s="123" cm="1">
        <f t="array" ref="Y65">INDEX(Properties!$D:$D,$B65+5)*(IF(Y$3=INDEX(Properties!$U:$U,$B65+5),INDEX(Properties!$W:$W,$B65+5),0))</f>
        <v>0</v>
      </c>
      <c r="Z65" s="123" cm="1">
        <f t="array" ref="Z65">INDEX(Properties!$D:$D,$B65+5)*(IF(Z$3=INDEX(Properties!$U:$U,$B65+5),INDEX(Properties!$W:$W,$B65+5),0))</f>
        <v>0</v>
      </c>
      <c r="AA65" s="123" cm="1">
        <f t="array" ref="AA65">INDEX(Properties!$D:$D,$B65+5)*(IF(AA$3=INDEX(Properties!$U:$U,$B65+5),INDEX(Properties!$W:$W,$B65+5),0))</f>
        <v>0</v>
      </c>
      <c r="AB65" s="123" cm="1">
        <f t="array" ref="AB65">INDEX(Properties!$D:$D,$B65+5)*(IF(AB$3=INDEX(Properties!$U:$U,$B65+5),INDEX(Properties!$W:$W,$B65+5),0))</f>
        <v>0</v>
      </c>
      <c r="AC65" s="123" cm="1">
        <f t="array" ref="AC65">INDEX(Properties!$D:$D,$B65+5)*(IF(AC$3=INDEX(Properties!$U:$U,$B65+5),INDEX(Properties!$W:$W,$B65+5),0))</f>
        <v>0</v>
      </c>
      <c r="AD65" s="123" cm="1">
        <f t="array" ref="AD65">INDEX(Properties!$D:$D,$B65+5)*(IF(AD$3=INDEX(Properties!$U:$U,$B65+5),INDEX(Properties!$W:$W,$B65+5),0))</f>
        <v>0</v>
      </c>
      <c r="AE65" s="123" cm="1">
        <f t="array" ref="AE65">INDEX(Properties!$D:$D,$B65+5)*(IF(AE$3=INDEX(Properties!$U:$U,$B65+5),INDEX(Properties!$W:$W,$B65+5),0))</f>
        <v>0</v>
      </c>
      <c r="AF65" s="123" cm="1">
        <f t="array" ref="AF65">INDEX(Properties!$D:$D,$B65+5)*(IF(AF$3=INDEX(Properties!$U:$U,$B65+5),INDEX(Properties!$W:$W,$B65+5),0))</f>
        <v>0</v>
      </c>
      <c r="AG65" s="123" cm="1">
        <f t="array" ref="AG65">INDEX(Properties!$D:$D,$B65+5)*(IF(AG$3=INDEX(Properties!$U:$U,$B65+5),INDEX(Properties!$W:$W,$B65+5),0))</f>
        <v>0</v>
      </c>
      <c r="AH65" s="123" cm="1">
        <f t="array" ref="AH65">INDEX(Properties!$D:$D,$B65+5)*(IF(AH$3=INDEX(Properties!$U:$U,$B65+5),INDEX(Properties!$W:$W,$B65+5),0))</f>
        <v>0</v>
      </c>
      <c r="AI65" s="123" cm="1">
        <f t="array" ref="AI65">INDEX(Properties!$D:$D,$B65+5)*(IF(AI$3=INDEX(Properties!$U:$U,$B65+5),INDEX(Properties!$W:$W,$B65+5),0))</f>
        <v>0</v>
      </c>
      <c r="AJ65" s="123" cm="1">
        <f t="array" ref="AJ65">INDEX(Properties!$D:$D,$B65+5)*(IF(AJ$3=INDEX(Properties!$U:$U,$B65+5),INDEX(Properties!$W:$W,$B65+5),0))</f>
        <v>0</v>
      </c>
      <c r="AK65" s="123" cm="1">
        <f t="array" ref="AK65">INDEX(Properties!$D:$D,$B65+5)*(IF(AK$3=INDEX(Properties!$U:$U,$B65+5),INDEX(Properties!$W:$W,$B65+5),0))</f>
        <v>0</v>
      </c>
      <c r="AL65" s="123" cm="1">
        <f t="array" ref="AL65">INDEX(Properties!$D:$D,$B65+5)*(IF(AL$3=INDEX(Properties!$U:$U,$B65+5),INDEX(Properties!$W:$W,$B65+5),0))</f>
        <v>0</v>
      </c>
      <c r="AM65" s="123" cm="1">
        <f t="array" ref="AM65">INDEX(Properties!$D:$D,$B65+5)*(IF(AM$3=INDEX(Properties!$U:$U,$B65+5),INDEX(Properties!$W:$W,$B65+5),0))</f>
        <v>2834606.5805107774</v>
      </c>
      <c r="AN65" s="123" cm="1">
        <f t="array" ref="AN65">INDEX(Properties!$D:$D,$B65+5)*(IF(AN$3=INDEX(Properties!$U:$U,$B65+5),INDEX(Properties!$W:$W,$B65+5),0))</f>
        <v>0</v>
      </c>
      <c r="AO65" s="123" cm="1">
        <f t="array" ref="AO65">INDEX(Properties!$D:$D,$B65+5)*(IF(AO$3=INDEX(Properties!$U:$U,$B65+5),INDEX(Properties!$W:$W,$B65+5),0))</f>
        <v>0</v>
      </c>
      <c r="AP65" s="123" cm="1">
        <f t="array" ref="AP65">INDEX(Properties!$D:$D,$B65+5)*(IF(AP$3=INDEX(Properties!$U:$U,$B65+5),INDEX(Properties!$W:$W,$B65+5),0))</f>
        <v>0</v>
      </c>
      <c r="AQ65" s="123" cm="1">
        <f t="array" ref="AQ65">INDEX(Properties!$D:$D,$B65+5)*(IF(AQ$3=INDEX(Properties!$U:$U,$B65+5),INDEX(Properties!$W:$W,$B65+5),0))</f>
        <v>0</v>
      </c>
      <c r="AR65" s="123" cm="1">
        <f t="array" ref="AR65">INDEX(Properties!$D:$D,$B65+5)*(IF(AR$3=INDEX(Properties!$U:$U,$B65+5),INDEX(Properties!$W:$W,$B65+5),0))</f>
        <v>0</v>
      </c>
      <c r="AS65" s="123" cm="1">
        <f t="array" ref="AS65">INDEX(Properties!$D:$D,$B65+5)*(IF(AS$3=INDEX(Properties!$U:$U,$B65+5),INDEX(Properties!$W:$W,$B65+5),0))</f>
        <v>0</v>
      </c>
      <c r="AT65" s="123" cm="1">
        <f t="array" ref="AT65">INDEX(Properties!$D:$D,$B65+5)*(IF(AT$3=INDEX(Properties!$U:$U,$B65+5),INDEX(Properties!$W:$W,$B65+5),0))</f>
        <v>0</v>
      </c>
      <c r="AU65" s="123" cm="1">
        <f t="array" ref="AU65">INDEX(Properties!$D:$D,$B65+5)*(IF(AU$3=INDEX(Properties!$U:$U,$B65+5),INDEX(Properties!$W:$W,$B65+5),0))</f>
        <v>0</v>
      </c>
      <c r="AV65" s="123" cm="1">
        <f t="array" ref="AV65">INDEX(Properties!$D:$D,$B65+5)*(IF(AV$3=INDEX(Properties!$U:$U,$B65+5),INDEX(Properties!$W:$W,$B65+5),0))</f>
        <v>0</v>
      </c>
      <c r="AW65" s="123" cm="1">
        <f t="array" ref="AW65">INDEX(Properties!$D:$D,$B65+5)*(IF(AW$3=INDEX(Properties!$U:$U,$B65+5),INDEX(Properties!$W:$W,$B65+5),0))</f>
        <v>0</v>
      </c>
      <c r="AX65" s="123" cm="1">
        <f t="array" ref="AX65">INDEX(Properties!$D:$D,$B65+5)*(IF(AX$3=INDEX(Properties!$U:$U,$B65+5),INDEX(Properties!$W:$W,$B65+5),0))</f>
        <v>0</v>
      </c>
      <c r="AY65" s="123" cm="1">
        <f t="array" ref="AY65">INDEX(Properties!$D:$D,$B65+5)*(IF(AY$3=INDEX(Properties!$U:$U,$B65+5),INDEX(Properties!$W:$W,$B65+5),0))</f>
        <v>0</v>
      </c>
      <c r="AZ65" s="123" cm="1">
        <f t="array" ref="AZ65">INDEX(Properties!$D:$D,$B65+5)*(IF(AZ$3=INDEX(Properties!$U:$U,$B65+5),INDEX(Properties!$W:$W,$B65+5),0))</f>
        <v>0</v>
      </c>
      <c r="BA65" s="123" cm="1">
        <f t="array" ref="BA65">INDEX(Properties!$D:$D,$B65+5)*(IF(BA$3=INDEX(Properties!$U:$U,$B65+5),INDEX(Properties!$W:$W,$B65+5),0))</f>
        <v>0</v>
      </c>
      <c r="BB65" s="123" cm="1">
        <f t="array" ref="BB65">INDEX(Properties!$D:$D,$B65+5)*(IF(BB$3=INDEX(Properties!$U:$U,$B65+5),INDEX(Properties!$W:$W,$B65+5),0))</f>
        <v>0</v>
      </c>
      <c r="BC65" s="123" cm="1">
        <f t="array" ref="BC65">INDEX(Properties!$D:$D,$B65+5)*(IF(BC$3=INDEX(Properties!$U:$U,$B65+5),INDEX(Properties!$W:$W,$B65+5),0))</f>
        <v>0</v>
      </c>
      <c r="BD65" s="123" cm="1">
        <f t="array" ref="BD65">INDEX(Properties!$D:$D,$B65+5)*(IF(BD$3=INDEX(Properties!$U:$U,$B65+5),INDEX(Properties!$W:$W,$B65+5),0))</f>
        <v>0</v>
      </c>
      <c r="BE65" s="123" cm="1">
        <f t="array" ref="BE65">INDEX(Properties!$D:$D,$B65+5)*(IF(BE$3=INDEX(Properties!$U:$U,$B65+5),INDEX(Properties!$W:$W,$B65+5),0))</f>
        <v>0</v>
      </c>
      <c r="BF65" s="123" cm="1">
        <f t="array" ref="BF65">INDEX(Properties!$D:$D,$B65+5)*(IF(BF$3=INDEX(Properties!$U:$U,$B65+5),INDEX(Properties!$W:$W,$B65+5),0))</f>
        <v>0</v>
      </c>
      <c r="BG65" s="123" cm="1">
        <f t="array" ref="BG65">INDEX(Properties!$D:$D,$B65+5)*(IF(BG$3=INDEX(Properties!$U:$U,$B65+5),INDEX(Properties!$W:$W,$B65+5),0))</f>
        <v>0</v>
      </c>
      <c r="BH65" s="123" cm="1">
        <f t="array" ref="BH65">INDEX(Properties!$D:$D,$B65+5)*(IF(BH$3=INDEX(Properties!$U:$U,$B65+5),INDEX(Properties!$W:$W,$B65+5),0))</f>
        <v>0</v>
      </c>
      <c r="BI65" s="123" cm="1">
        <f t="array" ref="BI65">INDEX(Properties!$D:$D,$B65+5)*(IF(BI$3=INDEX(Properties!$U:$U,$B65+5),INDEX(Properties!$W:$W,$B65+5),0))</f>
        <v>0</v>
      </c>
      <c r="BJ65" s="123" cm="1">
        <f t="array" ref="BJ65">INDEX(Properties!$D:$D,$B65+5)*(IF(BJ$3=INDEX(Properties!$U:$U,$B65+5),INDEX(Properties!$W:$W,$B65+5),0))</f>
        <v>0</v>
      </c>
      <c r="BK65" s="123" cm="1">
        <f t="array" ref="BK65">INDEX(Properties!$D:$D,$B65+5)*(IF(BK$3=INDEX(Properties!$U:$U,$B65+5),INDEX(Properties!$W:$W,$B65+5),0))</f>
        <v>0</v>
      </c>
      <c r="BL65" s="123" cm="1">
        <f t="array" ref="BL65">INDEX(Properties!$D:$D,$B65+5)*(IF(BL$3=INDEX(Properties!$U:$U,$B65+5),INDEX(Properties!$W:$W,$B65+5),0))</f>
        <v>0</v>
      </c>
      <c r="BM65" s="123" cm="1">
        <f t="array" ref="BM65">INDEX(Properties!$D:$D,$B65+5)*(IF(BM$3=INDEX(Properties!$U:$U,$B65+5),INDEX(Properties!$W:$W,$B65+5),0))</f>
        <v>0</v>
      </c>
      <c r="BN65" s="123" cm="1">
        <f t="array" ref="BN65">INDEX(Properties!$D:$D,$B65+5)*(IF(BN$3=INDEX(Properties!$U:$U,$B65+5),INDEX(Properties!$W:$W,$B65+5),0))</f>
        <v>0</v>
      </c>
      <c r="BO65" s="123" cm="1">
        <f t="array" ref="BO65">INDEX(Properties!$D:$D,$B65+5)*(IF(BO$3=INDEX(Properties!$U:$U,$B65+5),INDEX(Properties!$W:$W,$B65+5),0))</f>
        <v>0</v>
      </c>
      <c r="BP65" s="123" cm="1">
        <f t="array" ref="BP65">INDEX(Properties!$D:$D,$B65+5)*(IF(BP$3=INDEX(Properties!$U:$U,$B65+5),INDEX(Properties!$W:$W,$B65+5),0))</f>
        <v>0</v>
      </c>
      <c r="BQ65" s="123" cm="1">
        <f t="array" ref="BQ65">INDEX(Properties!$D:$D,$B65+5)*(IF(BQ$3=INDEX(Properties!$U:$U,$B65+5),INDEX(Properties!$W:$W,$B65+5),0))</f>
        <v>0</v>
      </c>
      <c r="BR65" s="123" cm="1">
        <f t="array" ref="BR65">INDEX(Properties!$D:$D,$B65+5)*(IF(BR$3=INDEX(Properties!$U:$U,$B65+5),INDEX(Properties!$W:$W,$B65+5),0))</f>
        <v>0</v>
      </c>
      <c r="BS65" s="123" cm="1">
        <f t="array" ref="BS65">INDEX(Properties!$D:$D,$B65+5)*(IF(BS$3=INDEX(Properties!$U:$U,$B65+5),INDEX(Properties!$W:$W,$B65+5),0))</f>
        <v>0</v>
      </c>
      <c r="BT65" s="123" cm="1">
        <f t="array" ref="BT65">INDEX(Properties!$D:$D,$B65+5)*(IF(BT$3=INDEX(Properties!$U:$U,$B65+5),INDEX(Properties!$W:$W,$B65+5),0))</f>
        <v>0</v>
      </c>
      <c r="BU65" s="123" cm="1">
        <f t="array" ref="BU65">INDEX(Properties!$D:$D,$B65+5)*(IF(BU$3=INDEX(Properties!$U:$U,$B65+5),INDEX(Properties!$W:$W,$B65+5),0))</f>
        <v>0</v>
      </c>
      <c r="BV65" s="123" cm="1">
        <f t="array" ref="BV65">INDEX(Properties!$D:$D,$B65+5)*(IF(BV$3=INDEX(Properties!$U:$U,$B65+5),INDEX(Properties!$W:$W,$B65+5),0))</f>
        <v>0</v>
      </c>
      <c r="BW65" s="123" cm="1">
        <f t="array" ref="BW65">INDEX(Properties!$D:$D,$B65+5)*(IF(BW$3=INDEX(Properties!$U:$U,$B65+5),INDEX(Properties!$W:$W,$B65+5),0))</f>
        <v>0</v>
      </c>
      <c r="BX65" s="123" cm="1">
        <f t="array" ref="BX65">INDEX(Properties!$D:$D,$B65+5)*(IF(BX$3=INDEX(Properties!$U:$U,$B65+5),INDEX(Properties!$W:$W,$B65+5),0))</f>
        <v>0</v>
      </c>
      <c r="BY65" s="123" cm="1">
        <f t="array" ref="BY65">INDEX(Properties!$D:$D,$B65+5)*(IF(BY$3=INDEX(Properties!$U:$U,$B65+5),INDEX(Properties!$W:$W,$B65+5),0))</f>
        <v>0</v>
      </c>
      <c r="BZ65" s="123" cm="1">
        <f t="array" ref="BZ65">INDEX(Properties!$D:$D,$B65+5)*(IF(BZ$3=INDEX(Properties!$U:$U,$B65+5),INDEX(Properties!$W:$W,$B65+5),0))</f>
        <v>0</v>
      </c>
      <c r="CA65" s="123" cm="1">
        <f t="array" ref="CA65">INDEX(Properties!$D:$D,$B65+5)*(IF(CA$3=INDEX(Properties!$U:$U,$B65+5),INDEX(Properties!$W:$W,$B65+5),0))</f>
        <v>0</v>
      </c>
      <c r="CB65" s="123" cm="1">
        <f t="array" ref="CB65">INDEX(Properties!$D:$D,$B65+5)*(IF(CB$3=INDEX(Properties!$U:$U,$B65+5),INDEX(Properties!$W:$W,$B65+5),0))</f>
        <v>0</v>
      </c>
      <c r="CC65" s="123" cm="1">
        <f t="array" ref="CC65">INDEX(Properties!$D:$D,$B65+5)*(IF(CC$3=INDEX(Properties!$U:$U,$B65+5),INDEX(Properties!$W:$W,$B65+5),0))</f>
        <v>0</v>
      </c>
      <c r="CD65" s="123" cm="1">
        <f t="array" ref="CD65">INDEX(Properties!$D:$D,$B65+5)*(IF(CD$3=INDEX(Properties!$U:$U,$B65+5),INDEX(Properties!$W:$W,$B65+5),0))</f>
        <v>0</v>
      </c>
      <c r="CE65" s="123" cm="1">
        <f t="array" ref="CE65">INDEX(Properties!$D:$D,$B65+5)*(IF(CE$3=INDEX(Properties!$U:$U,$B65+5),INDEX(Properties!$W:$W,$B65+5),0))</f>
        <v>0</v>
      </c>
      <c r="CF65" s="123" cm="1">
        <f t="array" ref="CF65">INDEX(Properties!$D:$D,$B65+5)*(IF(CF$3=INDEX(Properties!$U:$U,$B65+5),INDEX(Properties!$W:$W,$B65+5),0))</f>
        <v>0</v>
      </c>
      <c r="CG65" s="123" cm="1">
        <f t="array" ref="CG65">INDEX(Properties!$D:$D,$B65+5)*(IF(CG$3=INDEX(Properties!$U:$U,$B65+5),INDEX(Properties!$W:$W,$B65+5),0))</f>
        <v>0</v>
      </c>
      <c r="CH65" s="123" cm="1">
        <f t="array" ref="CH65">INDEX(Properties!$D:$D,$B65+5)*(IF(CH$3=INDEX(Properties!$U:$U,$B65+5),INDEX(Properties!$W:$W,$B65+5),0))</f>
        <v>0</v>
      </c>
      <c r="CI65" s="123" cm="1">
        <f t="array" ref="CI65">INDEX(Properties!$D:$D,$B65+5)*(IF(CI$3=INDEX(Properties!$U:$U,$B65+5),INDEX(Properties!$W:$W,$B65+5),0))</f>
        <v>0</v>
      </c>
      <c r="CJ65" s="123" cm="1">
        <f t="array" ref="CJ65">INDEX(Properties!$D:$D,$B65+5)*(IF(CJ$3=INDEX(Properties!$U:$U,$B65+5),INDEX(Properties!$W:$W,$B65+5),0))</f>
        <v>0</v>
      </c>
      <c r="CK65" s="123" cm="1">
        <f t="array" ref="CK65">INDEX(Properties!$D:$D,$B65+5)*(IF(CK$3=INDEX(Properties!$U:$U,$B65+5),INDEX(Properties!$W:$W,$B65+5),0))</f>
        <v>0</v>
      </c>
      <c r="CL65" s="123" cm="1">
        <f t="array" ref="CL65">INDEX(Properties!$D:$D,$B65+5)*(IF(CL$3=INDEX(Properties!$U:$U,$B65+5),INDEX(Properties!$W:$W,$B65+5),0))</f>
        <v>0</v>
      </c>
      <c r="CM65" s="123" cm="1">
        <f t="array" ref="CM65">INDEX(Properties!$D:$D,$B65+5)*(IF(CM$3=INDEX(Properties!$U:$U,$B65+5),INDEX(Properties!$W:$W,$B65+5),0))</f>
        <v>0</v>
      </c>
      <c r="CN65" s="123" cm="1">
        <f t="array" ref="CN65">INDEX(Properties!$D:$D,$B65+5)*(IF(CN$3=INDEX(Properties!$U:$U,$B65+5),INDEX(Properties!$W:$W,$B65+5),0))</f>
        <v>0</v>
      </c>
      <c r="CO65" s="123" cm="1">
        <f t="array" ref="CO65">INDEX(Properties!$D:$D,$B65+5)*(IF(CO$3=INDEX(Properties!$U:$U,$B65+5),INDEX(Properties!$W:$W,$B65+5),0))</f>
        <v>0</v>
      </c>
      <c r="CP65" s="123" cm="1">
        <f t="array" ref="CP65">INDEX(Properties!$D:$D,$B65+5)*(IF(CP$3=INDEX(Properties!$U:$U,$B65+5),INDEX(Properties!$W:$W,$B65+5),0))</f>
        <v>0</v>
      </c>
      <c r="CQ65" s="123" cm="1">
        <f t="array" ref="CQ65">INDEX(Properties!$D:$D,$B65+5)*(IF(CQ$3=INDEX(Properties!$U:$U,$B65+5),INDEX(Properties!$W:$W,$B65+5),0))</f>
        <v>0</v>
      </c>
      <c r="CR65" s="123" cm="1">
        <f t="array" ref="CR65">INDEX(Properties!$D:$D,$B65+5)*(IF(CR$3=INDEX(Properties!$U:$U,$B65+5),INDEX(Properties!$W:$W,$B65+5),0))</f>
        <v>0</v>
      </c>
      <c r="CS65" s="123" cm="1">
        <f t="array" ref="CS65">INDEX(Properties!$D:$D,$B65+5)*(IF(CS$3=INDEX(Properties!$U:$U,$B65+5),INDEX(Properties!$W:$W,$B65+5),0))</f>
        <v>0</v>
      </c>
      <c r="CT65" s="123" cm="1">
        <f t="array" ref="CT65">INDEX(Properties!$D:$D,$B65+5)*(IF(CT$3=INDEX(Properties!$U:$U,$B65+5),INDEX(Properties!$W:$W,$B65+5),0))</f>
        <v>0</v>
      </c>
      <c r="CU65" s="123" cm="1">
        <f t="array" ref="CU65">INDEX(Properties!$D:$D,$B65+5)*(IF(CU$3=INDEX(Properties!$U:$U,$B65+5),INDEX(Properties!$W:$W,$B65+5),0))</f>
        <v>0</v>
      </c>
      <c r="CV65" s="123" cm="1">
        <f t="array" ref="CV65">INDEX(Properties!$D:$D,$B65+5)*(IF(CV$3=INDEX(Properties!$U:$U,$B65+5),INDEX(Properties!$W:$W,$B65+5),0))</f>
        <v>0</v>
      </c>
      <c r="CW65" s="123" cm="1">
        <f t="array" ref="CW65">INDEX(Properties!$D:$D,$B65+5)*(IF(CW$3=INDEX(Properties!$U:$U,$B65+5),INDEX(Properties!$W:$W,$B65+5),0))</f>
        <v>0</v>
      </c>
      <c r="CX65" s="123" cm="1">
        <f t="array" ref="CX65">INDEX(Properties!$D:$D,$B65+5)*(IF(CX$3=INDEX(Properties!$U:$U,$B65+5),INDEX(Properties!$W:$W,$B65+5),0))</f>
        <v>0</v>
      </c>
      <c r="CY65" s="123" cm="1">
        <f t="array" ref="CY65">INDEX(Properties!$D:$D,$B65+5)*(IF(CY$3=INDEX(Properties!$U:$U,$B65+5),INDEX(Properties!$W:$W,$B65+5),0))</f>
        <v>0</v>
      </c>
      <c r="CZ65" s="123" cm="1">
        <f t="array" ref="CZ65">INDEX(Properties!$D:$D,$B65+5)*(IF(CZ$3=INDEX(Properties!$U:$U,$B65+5),INDEX(Properties!$W:$W,$B65+5),0))</f>
        <v>0</v>
      </c>
      <c r="DA65" s="123" cm="1">
        <f t="array" ref="DA65">INDEX(Properties!$D:$D,$B65+5)*(IF(DA$3=INDEX(Properties!$U:$U,$B65+5),INDEX(Properties!$W:$W,$B65+5),0))</f>
        <v>0</v>
      </c>
      <c r="DB65" s="123" cm="1">
        <f t="array" ref="DB65">INDEX(Properties!$D:$D,$B65+5)*(IF(DB$3=INDEX(Properties!$U:$U,$B65+5),INDEX(Properties!$W:$W,$B65+5),0))</f>
        <v>0</v>
      </c>
      <c r="DC65" s="123" cm="1">
        <f t="array" ref="DC65">INDEX(Properties!$D:$D,$B65+5)*(IF(DC$3=INDEX(Properties!$U:$U,$B65+5),INDEX(Properties!$W:$W,$B65+5),0))</f>
        <v>0</v>
      </c>
      <c r="DD65" s="123" cm="1">
        <f t="array" ref="DD65">INDEX(Properties!$D:$D,$B65+5)*(IF(DD$3=INDEX(Properties!$U:$U,$B65+5),INDEX(Properties!$W:$W,$B65+5),0))</f>
        <v>0</v>
      </c>
      <c r="DE65" s="123" cm="1">
        <f t="array" ref="DE65">INDEX(Properties!$D:$D,$B65+5)*(IF(DE$3=INDEX(Properties!$U:$U,$B65+5),INDEX(Properties!$W:$W,$B65+5),0))</f>
        <v>0</v>
      </c>
      <c r="DF65" s="123" cm="1">
        <f t="array" ref="DF65">INDEX(Properties!$D:$D,$B65+5)*(IF(DF$3=INDEX(Properties!$U:$U,$B65+5),INDEX(Properties!$W:$W,$B65+5),0))</f>
        <v>0</v>
      </c>
      <c r="DG65" s="123" cm="1">
        <f t="array" ref="DG65">INDEX(Properties!$D:$D,$B65+5)*(IF(DG$3=INDEX(Properties!$U:$U,$B65+5),INDEX(Properties!$W:$W,$B65+5),0))</f>
        <v>0</v>
      </c>
      <c r="DH65" s="123" cm="1">
        <f t="array" ref="DH65">INDEX(Properties!$D:$D,$B65+5)*(IF(DH$3=INDEX(Properties!$U:$U,$B65+5),INDEX(Properties!$W:$W,$B65+5),0))</f>
        <v>0</v>
      </c>
      <c r="DI65" s="123" cm="1">
        <f t="array" ref="DI65">INDEX(Properties!$D:$D,$B65+5)*(IF(DI$3=INDEX(Properties!$U:$U,$B65+5),INDEX(Properties!$W:$W,$B65+5),0))</f>
        <v>0</v>
      </c>
      <c r="DJ65" s="123" cm="1">
        <f t="array" ref="DJ65">INDEX(Properties!$D:$D,$B65+5)*(IF(DJ$3=INDEX(Properties!$U:$U,$B65+5),INDEX(Properties!$W:$W,$B65+5),0))</f>
        <v>0</v>
      </c>
      <c r="DK65" s="123" cm="1">
        <f t="array" ref="DK65">INDEX(Properties!$D:$D,$B65+5)*(IF(DK$3=INDEX(Properties!$U:$U,$B65+5),INDEX(Properties!$W:$W,$B65+5),0))</f>
        <v>0</v>
      </c>
      <c r="DL65" s="123" cm="1">
        <f t="array" ref="DL65">INDEX(Properties!$D:$D,$B65+5)*(IF(DL$3=INDEX(Properties!$U:$U,$B65+5),INDEX(Properties!$W:$W,$B65+5),0))</f>
        <v>0</v>
      </c>
      <c r="DM65" s="123" cm="1">
        <f t="array" ref="DM65">INDEX(Properties!$D:$D,$B65+5)*(IF(DM$3=INDEX(Properties!$U:$U,$B65+5),INDEX(Properties!$W:$W,$B65+5),0))</f>
        <v>0</v>
      </c>
      <c r="DN65" s="123" cm="1">
        <f t="array" ref="DN65">INDEX(Properties!$D:$D,$B65+5)*(IF(DN$3=INDEX(Properties!$U:$U,$B65+5),INDEX(Properties!$W:$W,$B65+5),0))</f>
        <v>0</v>
      </c>
      <c r="DO65" s="123" cm="1">
        <f t="array" ref="DO65">INDEX(Properties!$D:$D,$B65+5)*(IF(DO$3=INDEX(Properties!$U:$U,$B65+5),INDEX(Properties!$W:$W,$B65+5),0))</f>
        <v>0</v>
      </c>
      <c r="DP65" s="123" cm="1">
        <f t="array" ref="DP65">INDEX(Properties!$D:$D,$B65+5)*(IF(DP$3=INDEX(Properties!$U:$U,$B65+5),INDEX(Properties!$W:$W,$B65+5),0))</f>
        <v>0</v>
      </c>
      <c r="DQ65" s="123" cm="1">
        <f t="array" ref="DQ65">INDEX(Properties!$D:$D,$B65+5)*(IF(DQ$3=INDEX(Properties!$U:$U,$B65+5),INDEX(Properties!$W:$W,$B65+5),0))</f>
        <v>0</v>
      </c>
      <c r="DR65" s="123" cm="1">
        <f t="array" ref="DR65">INDEX(Properties!$D:$D,$B65+5)*(IF(DR$3=INDEX(Properties!$U:$U,$B65+5),INDEX(Properties!$W:$W,$B65+5),0))</f>
        <v>0</v>
      </c>
    </row>
    <row r="66" spans="1:122" ht="16.05" customHeight="1" x14ac:dyDescent="0.3">
      <c r="A66" s="148" cm="1">
        <f t="array" ref="A66">INDEX(Properties!$E:$E,$B66+5)</f>
        <v>0</v>
      </c>
      <c r="B66" s="1">
        <v>6</v>
      </c>
      <c r="C66" s="123" cm="1">
        <f t="array" ref="C66">INDEX(Properties!$D:$D,$B66+5)*(IF(C$3=INDEX(Properties!$U:$U,$B66+5),INDEX(Properties!$W:$W,$B66+5),0))</f>
        <v>0</v>
      </c>
      <c r="D66" s="123" cm="1">
        <f t="array" ref="D66">INDEX(Properties!$D:$D,$B66+5)*(IF(D$3=INDEX(Properties!$U:$U,$B66+5),INDEX(Properties!$W:$W,$B66+5),0))</f>
        <v>0</v>
      </c>
      <c r="E66" s="123" cm="1">
        <f t="array" ref="E66">INDEX(Properties!$D:$D,$B66+5)*(IF(E$3=INDEX(Properties!$U:$U,$B66+5),INDEX(Properties!$W:$W,$B66+5),0))</f>
        <v>0</v>
      </c>
      <c r="F66" s="123" cm="1">
        <f t="array" ref="F66">INDEX(Properties!$D:$D,$B66+5)*(IF(F$3=INDEX(Properties!$U:$U,$B66+5),INDEX(Properties!$W:$W,$B66+5),0))</f>
        <v>0</v>
      </c>
      <c r="G66" s="123" cm="1">
        <f t="array" ref="G66">INDEX(Properties!$D:$D,$B66+5)*(IF(G$3=INDEX(Properties!$U:$U,$B66+5),INDEX(Properties!$W:$W,$B66+5),0))</f>
        <v>0</v>
      </c>
      <c r="H66" s="123" cm="1">
        <f t="array" ref="H66">INDEX(Properties!$D:$D,$B66+5)*(IF(H$3=INDEX(Properties!$U:$U,$B66+5),INDEX(Properties!$W:$W,$B66+5),0))</f>
        <v>0</v>
      </c>
      <c r="I66" s="123" cm="1">
        <f t="array" ref="I66">INDEX(Properties!$D:$D,$B66+5)*(IF(I$3=INDEX(Properties!$U:$U,$B66+5),INDEX(Properties!$W:$W,$B66+5),0))</f>
        <v>0</v>
      </c>
      <c r="J66" s="123" cm="1">
        <f t="array" ref="J66">INDEX(Properties!$D:$D,$B66+5)*(IF(J$3=INDEX(Properties!$U:$U,$B66+5),INDEX(Properties!$W:$W,$B66+5),0))</f>
        <v>0</v>
      </c>
      <c r="K66" s="123" cm="1">
        <f t="array" ref="K66">INDEX(Properties!$D:$D,$B66+5)*(IF(K$3=INDEX(Properties!$U:$U,$B66+5),INDEX(Properties!$W:$W,$B66+5),0))</f>
        <v>0</v>
      </c>
      <c r="L66" s="123" cm="1">
        <f t="array" ref="L66">INDEX(Properties!$D:$D,$B66+5)*(IF(L$3=INDEX(Properties!$U:$U,$B66+5),INDEX(Properties!$W:$W,$B66+5),0))</f>
        <v>0</v>
      </c>
      <c r="M66" s="123" cm="1">
        <f t="array" ref="M66">INDEX(Properties!$D:$D,$B66+5)*(IF(M$3=INDEX(Properties!$U:$U,$B66+5),INDEX(Properties!$W:$W,$B66+5),0))</f>
        <v>0</v>
      </c>
      <c r="N66" s="123" cm="1">
        <f t="array" ref="N66">INDEX(Properties!$D:$D,$B66+5)*(IF(N$3=INDEX(Properties!$U:$U,$B66+5),INDEX(Properties!$W:$W,$B66+5),0))</f>
        <v>0</v>
      </c>
      <c r="O66" s="123" cm="1">
        <f t="array" ref="O66">INDEX(Properties!$D:$D,$B66+5)*(IF(O$3=INDEX(Properties!$U:$U,$B66+5),INDEX(Properties!$W:$W,$B66+5),0))</f>
        <v>0</v>
      </c>
      <c r="P66" s="123" cm="1">
        <f t="array" ref="P66">INDEX(Properties!$D:$D,$B66+5)*(IF(P$3=INDEX(Properties!$U:$U,$B66+5),INDEX(Properties!$W:$W,$B66+5),0))</f>
        <v>0</v>
      </c>
      <c r="Q66" s="123" cm="1">
        <f t="array" ref="Q66">INDEX(Properties!$D:$D,$B66+5)*(IF(Q$3=INDEX(Properties!$U:$U,$B66+5),INDEX(Properties!$W:$W,$B66+5),0))</f>
        <v>0</v>
      </c>
      <c r="R66" s="123" cm="1">
        <f t="array" ref="R66">INDEX(Properties!$D:$D,$B66+5)*(IF(R$3=INDEX(Properties!$U:$U,$B66+5),INDEX(Properties!$W:$W,$B66+5),0))</f>
        <v>0</v>
      </c>
      <c r="S66" s="123" cm="1">
        <f t="array" ref="S66">INDEX(Properties!$D:$D,$B66+5)*(IF(S$3=INDEX(Properties!$U:$U,$B66+5),INDEX(Properties!$W:$W,$B66+5),0))</f>
        <v>0</v>
      </c>
      <c r="T66" s="123" cm="1">
        <f t="array" ref="T66">INDEX(Properties!$D:$D,$B66+5)*(IF(T$3=INDEX(Properties!$U:$U,$B66+5),INDEX(Properties!$W:$W,$B66+5),0))</f>
        <v>0</v>
      </c>
      <c r="U66" s="123" cm="1">
        <f t="array" ref="U66">INDEX(Properties!$D:$D,$B66+5)*(IF(U$3=INDEX(Properties!$U:$U,$B66+5),INDEX(Properties!$W:$W,$B66+5),0))</f>
        <v>0</v>
      </c>
      <c r="V66" s="123" cm="1">
        <f t="array" ref="V66">INDEX(Properties!$D:$D,$B66+5)*(IF(V$3=INDEX(Properties!$U:$U,$B66+5),INDEX(Properties!$W:$W,$B66+5),0))</f>
        <v>0</v>
      </c>
      <c r="W66" s="123" cm="1">
        <f t="array" ref="W66">INDEX(Properties!$D:$D,$B66+5)*(IF(W$3=INDEX(Properties!$U:$U,$B66+5),INDEX(Properties!$W:$W,$B66+5),0))</f>
        <v>0</v>
      </c>
      <c r="X66" s="123" cm="1">
        <f t="array" ref="X66">INDEX(Properties!$D:$D,$B66+5)*(IF(X$3=INDEX(Properties!$U:$U,$B66+5),INDEX(Properties!$W:$W,$B66+5),0))</f>
        <v>0</v>
      </c>
      <c r="Y66" s="123" cm="1">
        <f t="array" ref="Y66">INDEX(Properties!$D:$D,$B66+5)*(IF(Y$3=INDEX(Properties!$U:$U,$B66+5),INDEX(Properties!$W:$W,$B66+5),0))</f>
        <v>0</v>
      </c>
      <c r="Z66" s="123" cm="1">
        <f t="array" ref="Z66">INDEX(Properties!$D:$D,$B66+5)*(IF(Z$3=INDEX(Properties!$U:$U,$B66+5),INDEX(Properties!$W:$W,$B66+5),0))</f>
        <v>0</v>
      </c>
      <c r="AA66" s="123" cm="1">
        <f t="array" ref="AA66">INDEX(Properties!$D:$D,$B66+5)*(IF(AA$3=INDEX(Properties!$U:$U,$B66+5),INDEX(Properties!$W:$W,$B66+5),0))</f>
        <v>0</v>
      </c>
      <c r="AB66" s="123" cm="1">
        <f t="array" ref="AB66">INDEX(Properties!$D:$D,$B66+5)*(IF(AB$3=INDEX(Properties!$U:$U,$B66+5),INDEX(Properties!$W:$W,$B66+5),0))</f>
        <v>0</v>
      </c>
      <c r="AC66" s="123" cm="1">
        <f t="array" ref="AC66">INDEX(Properties!$D:$D,$B66+5)*(IF(AC$3=INDEX(Properties!$U:$U,$B66+5),INDEX(Properties!$W:$W,$B66+5),0))</f>
        <v>0</v>
      </c>
      <c r="AD66" s="123" cm="1">
        <f t="array" ref="AD66">INDEX(Properties!$D:$D,$B66+5)*(IF(AD$3=INDEX(Properties!$U:$U,$B66+5),INDEX(Properties!$W:$W,$B66+5),0))</f>
        <v>0</v>
      </c>
      <c r="AE66" s="123" cm="1">
        <f t="array" ref="AE66">INDEX(Properties!$D:$D,$B66+5)*(IF(AE$3=INDEX(Properties!$U:$U,$B66+5),INDEX(Properties!$W:$W,$B66+5),0))</f>
        <v>0</v>
      </c>
      <c r="AF66" s="123" cm="1">
        <f t="array" ref="AF66">INDEX(Properties!$D:$D,$B66+5)*(IF(AF$3=INDEX(Properties!$U:$U,$B66+5),INDEX(Properties!$W:$W,$B66+5),0))</f>
        <v>0</v>
      </c>
      <c r="AG66" s="123" cm="1">
        <f t="array" ref="AG66">INDEX(Properties!$D:$D,$B66+5)*(IF(AG$3=INDEX(Properties!$U:$U,$B66+5),INDEX(Properties!$W:$W,$B66+5),0))</f>
        <v>0</v>
      </c>
      <c r="AH66" s="123" cm="1">
        <f t="array" ref="AH66">INDEX(Properties!$D:$D,$B66+5)*(IF(AH$3=INDEX(Properties!$U:$U,$B66+5),INDEX(Properties!$W:$W,$B66+5),0))</f>
        <v>0</v>
      </c>
      <c r="AI66" s="123" cm="1">
        <f t="array" ref="AI66">INDEX(Properties!$D:$D,$B66+5)*(IF(AI$3=INDEX(Properties!$U:$U,$B66+5),INDEX(Properties!$W:$W,$B66+5),0))</f>
        <v>0</v>
      </c>
      <c r="AJ66" s="123" cm="1">
        <f t="array" ref="AJ66">INDEX(Properties!$D:$D,$B66+5)*(IF(AJ$3=INDEX(Properties!$U:$U,$B66+5),INDEX(Properties!$W:$W,$B66+5),0))</f>
        <v>0</v>
      </c>
      <c r="AK66" s="123" cm="1">
        <f t="array" ref="AK66">INDEX(Properties!$D:$D,$B66+5)*(IF(AK$3=INDEX(Properties!$U:$U,$B66+5),INDEX(Properties!$W:$W,$B66+5),0))</f>
        <v>0</v>
      </c>
      <c r="AL66" s="123" cm="1">
        <f t="array" ref="AL66">INDEX(Properties!$D:$D,$B66+5)*(IF(AL$3=INDEX(Properties!$U:$U,$B66+5),INDEX(Properties!$W:$W,$B66+5),0))</f>
        <v>0</v>
      </c>
      <c r="AM66" s="123" cm="1">
        <f t="array" ref="AM66">INDEX(Properties!$D:$D,$B66+5)*(IF(AM$3=INDEX(Properties!$U:$U,$B66+5),INDEX(Properties!$W:$W,$B66+5),0))</f>
        <v>0</v>
      </c>
      <c r="AN66" s="123" cm="1">
        <f t="array" ref="AN66">INDEX(Properties!$D:$D,$B66+5)*(IF(AN$3=INDEX(Properties!$U:$U,$B66+5),INDEX(Properties!$W:$W,$B66+5),0))</f>
        <v>0</v>
      </c>
      <c r="AO66" s="123" cm="1">
        <f t="array" ref="AO66">INDEX(Properties!$D:$D,$B66+5)*(IF(AO$3=INDEX(Properties!$U:$U,$B66+5),INDEX(Properties!$W:$W,$B66+5),0))</f>
        <v>0</v>
      </c>
      <c r="AP66" s="123" cm="1">
        <f t="array" ref="AP66">INDEX(Properties!$D:$D,$B66+5)*(IF(AP$3=INDEX(Properties!$U:$U,$B66+5),INDEX(Properties!$W:$W,$B66+5),0))</f>
        <v>0</v>
      </c>
      <c r="AQ66" s="123" cm="1">
        <f t="array" ref="AQ66">INDEX(Properties!$D:$D,$B66+5)*(IF(AQ$3=INDEX(Properties!$U:$U,$B66+5),INDEX(Properties!$W:$W,$B66+5),0))</f>
        <v>0</v>
      </c>
      <c r="AR66" s="123" cm="1">
        <f t="array" ref="AR66">INDEX(Properties!$D:$D,$B66+5)*(IF(AR$3=INDEX(Properties!$U:$U,$B66+5),INDEX(Properties!$W:$W,$B66+5),0))</f>
        <v>0</v>
      </c>
      <c r="AS66" s="123" cm="1">
        <f t="array" ref="AS66">INDEX(Properties!$D:$D,$B66+5)*(IF(AS$3=INDEX(Properties!$U:$U,$B66+5),INDEX(Properties!$W:$W,$B66+5),0))</f>
        <v>0</v>
      </c>
      <c r="AT66" s="123" cm="1">
        <f t="array" ref="AT66">INDEX(Properties!$D:$D,$B66+5)*(IF(AT$3=INDEX(Properties!$U:$U,$B66+5),INDEX(Properties!$W:$W,$B66+5),0))</f>
        <v>0</v>
      </c>
      <c r="AU66" s="123" cm="1">
        <f t="array" ref="AU66">INDEX(Properties!$D:$D,$B66+5)*(IF(AU$3=INDEX(Properties!$U:$U,$B66+5),INDEX(Properties!$W:$W,$B66+5),0))</f>
        <v>0</v>
      </c>
      <c r="AV66" s="123" cm="1">
        <f t="array" ref="AV66">INDEX(Properties!$D:$D,$B66+5)*(IF(AV$3=INDEX(Properties!$U:$U,$B66+5),INDEX(Properties!$W:$W,$B66+5),0))</f>
        <v>0</v>
      </c>
      <c r="AW66" s="123" cm="1">
        <f t="array" ref="AW66">INDEX(Properties!$D:$D,$B66+5)*(IF(AW$3=INDEX(Properties!$U:$U,$B66+5),INDEX(Properties!$W:$W,$B66+5),0))</f>
        <v>0</v>
      </c>
      <c r="AX66" s="123" cm="1">
        <f t="array" ref="AX66">INDEX(Properties!$D:$D,$B66+5)*(IF(AX$3=INDEX(Properties!$U:$U,$B66+5),INDEX(Properties!$W:$W,$B66+5),0))</f>
        <v>0</v>
      </c>
      <c r="AY66" s="123" cm="1">
        <f t="array" ref="AY66">INDEX(Properties!$D:$D,$B66+5)*(IF(AY$3=INDEX(Properties!$U:$U,$B66+5),INDEX(Properties!$W:$W,$B66+5),0))</f>
        <v>0</v>
      </c>
      <c r="AZ66" s="123" cm="1">
        <f t="array" ref="AZ66">INDEX(Properties!$D:$D,$B66+5)*(IF(AZ$3=INDEX(Properties!$U:$U,$B66+5),INDEX(Properties!$W:$W,$B66+5),0))</f>
        <v>0</v>
      </c>
      <c r="BA66" s="123" cm="1">
        <f t="array" ref="BA66">INDEX(Properties!$D:$D,$B66+5)*(IF(BA$3=INDEX(Properties!$U:$U,$B66+5),INDEX(Properties!$W:$W,$B66+5),0))</f>
        <v>0</v>
      </c>
      <c r="BB66" s="123" cm="1">
        <f t="array" ref="BB66">INDEX(Properties!$D:$D,$B66+5)*(IF(BB$3=INDEX(Properties!$U:$U,$B66+5),INDEX(Properties!$W:$W,$B66+5),0))</f>
        <v>0</v>
      </c>
      <c r="BC66" s="123" cm="1">
        <f t="array" ref="BC66">INDEX(Properties!$D:$D,$B66+5)*(IF(BC$3=INDEX(Properties!$U:$U,$B66+5),INDEX(Properties!$W:$W,$B66+5),0))</f>
        <v>0</v>
      </c>
      <c r="BD66" s="123" cm="1">
        <f t="array" ref="BD66">INDEX(Properties!$D:$D,$B66+5)*(IF(BD$3=INDEX(Properties!$U:$U,$B66+5),INDEX(Properties!$W:$W,$B66+5),0))</f>
        <v>0</v>
      </c>
      <c r="BE66" s="123" cm="1">
        <f t="array" ref="BE66">INDEX(Properties!$D:$D,$B66+5)*(IF(BE$3=INDEX(Properties!$U:$U,$B66+5),INDEX(Properties!$W:$W,$B66+5),0))</f>
        <v>0</v>
      </c>
      <c r="BF66" s="123" cm="1">
        <f t="array" ref="BF66">INDEX(Properties!$D:$D,$B66+5)*(IF(BF$3=INDEX(Properties!$U:$U,$B66+5),INDEX(Properties!$W:$W,$B66+5),0))</f>
        <v>0</v>
      </c>
      <c r="BG66" s="123" cm="1">
        <f t="array" ref="BG66">INDEX(Properties!$D:$D,$B66+5)*(IF(BG$3=INDEX(Properties!$U:$U,$B66+5),INDEX(Properties!$W:$W,$B66+5),0))</f>
        <v>0</v>
      </c>
      <c r="BH66" s="123" cm="1">
        <f t="array" ref="BH66">INDEX(Properties!$D:$D,$B66+5)*(IF(BH$3=INDEX(Properties!$U:$U,$B66+5),INDEX(Properties!$W:$W,$B66+5),0))</f>
        <v>0</v>
      </c>
      <c r="BI66" s="123" cm="1">
        <f t="array" ref="BI66">INDEX(Properties!$D:$D,$B66+5)*(IF(BI$3=INDEX(Properties!$U:$U,$B66+5),INDEX(Properties!$W:$W,$B66+5),0))</f>
        <v>0</v>
      </c>
      <c r="BJ66" s="123" cm="1">
        <f t="array" ref="BJ66">INDEX(Properties!$D:$D,$B66+5)*(IF(BJ$3=INDEX(Properties!$U:$U,$B66+5),INDEX(Properties!$W:$W,$B66+5),0))</f>
        <v>0</v>
      </c>
      <c r="BK66" s="123" cm="1">
        <f t="array" ref="BK66">INDEX(Properties!$D:$D,$B66+5)*(IF(BK$3=INDEX(Properties!$U:$U,$B66+5),INDEX(Properties!$W:$W,$B66+5),0))</f>
        <v>0</v>
      </c>
      <c r="BL66" s="123" cm="1">
        <f t="array" ref="BL66">INDEX(Properties!$D:$D,$B66+5)*(IF(BL$3=INDEX(Properties!$U:$U,$B66+5),INDEX(Properties!$W:$W,$B66+5),0))</f>
        <v>0</v>
      </c>
      <c r="BM66" s="123" cm="1">
        <f t="array" ref="BM66">INDEX(Properties!$D:$D,$B66+5)*(IF(BM$3=INDEX(Properties!$U:$U,$B66+5),INDEX(Properties!$W:$W,$B66+5),0))</f>
        <v>0</v>
      </c>
      <c r="BN66" s="123" cm="1">
        <f t="array" ref="BN66">INDEX(Properties!$D:$D,$B66+5)*(IF(BN$3=INDEX(Properties!$U:$U,$B66+5),INDEX(Properties!$W:$W,$B66+5),0))</f>
        <v>0</v>
      </c>
      <c r="BO66" s="123" cm="1">
        <f t="array" ref="BO66">INDEX(Properties!$D:$D,$B66+5)*(IF(BO$3=INDEX(Properties!$U:$U,$B66+5),INDEX(Properties!$W:$W,$B66+5),0))</f>
        <v>0</v>
      </c>
      <c r="BP66" s="123" cm="1">
        <f t="array" ref="BP66">INDEX(Properties!$D:$D,$B66+5)*(IF(BP$3=INDEX(Properties!$U:$U,$B66+5),INDEX(Properties!$W:$W,$B66+5),0))</f>
        <v>0</v>
      </c>
      <c r="BQ66" s="123" cm="1">
        <f t="array" ref="BQ66">INDEX(Properties!$D:$D,$B66+5)*(IF(BQ$3=INDEX(Properties!$U:$U,$B66+5),INDEX(Properties!$W:$W,$B66+5),0))</f>
        <v>0</v>
      </c>
      <c r="BR66" s="123" cm="1">
        <f t="array" ref="BR66">INDEX(Properties!$D:$D,$B66+5)*(IF(BR$3=INDEX(Properties!$U:$U,$B66+5),INDEX(Properties!$W:$W,$B66+5),0))</f>
        <v>0</v>
      </c>
      <c r="BS66" s="123" cm="1">
        <f t="array" ref="BS66">INDEX(Properties!$D:$D,$B66+5)*(IF(BS$3=INDEX(Properties!$U:$U,$B66+5),INDEX(Properties!$W:$W,$B66+5),0))</f>
        <v>0</v>
      </c>
      <c r="BT66" s="123" cm="1">
        <f t="array" ref="BT66">INDEX(Properties!$D:$D,$B66+5)*(IF(BT$3=INDEX(Properties!$U:$U,$B66+5),INDEX(Properties!$W:$W,$B66+5),0))</f>
        <v>0</v>
      </c>
      <c r="BU66" s="123" cm="1">
        <f t="array" ref="BU66">INDEX(Properties!$D:$D,$B66+5)*(IF(BU$3=INDEX(Properties!$U:$U,$B66+5),INDEX(Properties!$W:$W,$B66+5),0))</f>
        <v>0</v>
      </c>
      <c r="BV66" s="123" cm="1">
        <f t="array" ref="BV66">INDEX(Properties!$D:$D,$B66+5)*(IF(BV$3=INDEX(Properties!$U:$U,$B66+5),INDEX(Properties!$W:$W,$B66+5),0))</f>
        <v>0</v>
      </c>
      <c r="BW66" s="123" cm="1">
        <f t="array" ref="BW66">INDEX(Properties!$D:$D,$B66+5)*(IF(BW$3=INDEX(Properties!$U:$U,$B66+5),INDEX(Properties!$W:$W,$B66+5),0))</f>
        <v>0</v>
      </c>
      <c r="BX66" s="123" cm="1">
        <f t="array" ref="BX66">INDEX(Properties!$D:$D,$B66+5)*(IF(BX$3=INDEX(Properties!$U:$U,$B66+5),INDEX(Properties!$W:$W,$B66+5),0))</f>
        <v>0</v>
      </c>
      <c r="BY66" s="123" cm="1">
        <f t="array" ref="BY66">INDEX(Properties!$D:$D,$B66+5)*(IF(BY$3=INDEX(Properties!$U:$U,$B66+5),INDEX(Properties!$W:$W,$B66+5),0))</f>
        <v>0</v>
      </c>
      <c r="BZ66" s="123" cm="1">
        <f t="array" ref="BZ66">INDEX(Properties!$D:$D,$B66+5)*(IF(BZ$3=INDEX(Properties!$U:$U,$B66+5),INDEX(Properties!$W:$W,$B66+5),0))</f>
        <v>0</v>
      </c>
      <c r="CA66" s="123" cm="1">
        <f t="array" ref="CA66">INDEX(Properties!$D:$D,$B66+5)*(IF(CA$3=INDEX(Properties!$U:$U,$B66+5),INDEX(Properties!$W:$W,$B66+5),0))</f>
        <v>0</v>
      </c>
      <c r="CB66" s="123" cm="1">
        <f t="array" ref="CB66">INDEX(Properties!$D:$D,$B66+5)*(IF(CB$3=INDEX(Properties!$U:$U,$B66+5),INDEX(Properties!$W:$W,$B66+5),0))</f>
        <v>0</v>
      </c>
      <c r="CC66" s="123" cm="1">
        <f t="array" ref="CC66">INDEX(Properties!$D:$D,$B66+5)*(IF(CC$3=INDEX(Properties!$U:$U,$B66+5),INDEX(Properties!$W:$W,$B66+5),0))</f>
        <v>0</v>
      </c>
      <c r="CD66" s="123" cm="1">
        <f t="array" ref="CD66">INDEX(Properties!$D:$D,$B66+5)*(IF(CD$3=INDEX(Properties!$U:$U,$B66+5),INDEX(Properties!$W:$W,$B66+5),0))</f>
        <v>0</v>
      </c>
      <c r="CE66" s="123" cm="1">
        <f t="array" ref="CE66">INDEX(Properties!$D:$D,$B66+5)*(IF(CE$3=INDEX(Properties!$U:$U,$B66+5),INDEX(Properties!$W:$W,$B66+5),0))</f>
        <v>0</v>
      </c>
      <c r="CF66" s="123" cm="1">
        <f t="array" ref="CF66">INDEX(Properties!$D:$D,$B66+5)*(IF(CF$3=INDEX(Properties!$U:$U,$B66+5),INDEX(Properties!$W:$W,$B66+5),0))</f>
        <v>0</v>
      </c>
      <c r="CG66" s="123" cm="1">
        <f t="array" ref="CG66">INDEX(Properties!$D:$D,$B66+5)*(IF(CG$3=INDEX(Properties!$U:$U,$B66+5),INDEX(Properties!$W:$W,$B66+5),0))</f>
        <v>0</v>
      </c>
      <c r="CH66" s="123" cm="1">
        <f t="array" ref="CH66">INDEX(Properties!$D:$D,$B66+5)*(IF(CH$3=INDEX(Properties!$U:$U,$B66+5),INDEX(Properties!$W:$W,$B66+5),0))</f>
        <v>0</v>
      </c>
      <c r="CI66" s="123" cm="1">
        <f t="array" ref="CI66">INDEX(Properties!$D:$D,$B66+5)*(IF(CI$3=INDEX(Properties!$U:$U,$B66+5),INDEX(Properties!$W:$W,$B66+5),0))</f>
        <v>0</v>
      </c>
      <c r="CJ66" s="123" cm="1">
        <f t="array" ref="CJ66">INDEX(Properties!$D:$D,$B66+5)*(IF(CJ$3=INDEX(Properties!$U:$U,$B66+5),INDEX(Properties!$W:$W,$B66+5),0))</f>
        <v>0</v>
      </c>
      <c r="CK66" s="123" cm="1">
        <f t="array" ref="CK66">INDEX(Properties!$D:$D,$B66+5)*(IF(CK$3=INDEX(Properties!$U:$U,$B66+5),INDEX(Properties!$W:$W,$B66+5),0))</f>
        <v>0</v>
      </c>
      <c r="CL66" s="123" cm="1">
        <f t="array" ref="CL66">INDEX(Properties!$D:$D,$B66+5)*(IF(CL$3=INDEX(Properties!$U:$U,$B66+5),INDEX(Properties!$W:$W,$B66+5),0))</f>
        <v>0</v>
      </c>
      <c r="CM66" s="123" cm="1">
        <f t="array" ref="CM66">INDEX(Properties!$D:$D,$B66+5)*(IF(CM$3=INDEX(Properties!$U:$U,$B66+5),INDEX(Properties!$W:$W,$B66+5),0))</f>
        <v>0</v>
      </c>
      <c r="CN66" s="123" cm="1">
        <f t="array" ref="CN66">INDEX(Properties!$D:$D,$B66+5)*(IF(CN$3=INDEX(Properties!$U:$U,$B66+5),INDEX(Properties!$W:$W,$B66+5),0))</f>
        <v>0</v>
      </c>
      <c r="CO66" s="123" cm="1">
        <f t="array" ref="CO66">INDEX(Properties!$D:$D,$B66+5)*(IF(CO$3=INDEX(Properties!$U:$U,$B66+5),INDEX(Properties!$W:$W,$B66+5),0))</f>
        <v>0</v>
      </c>
      <c r="CP66" s="123" cm="1">
        <f t="array" ref="CP66">INDEX(Properties!$D:$D,$B66+5)*(IF(CP$3=INDEX(Properties!$U:$U,$B66+5),INDEX(Properties!$W:$W,$B66+5),0))</f>
        <v>0</v>
      </c>
      <c r="CQ66" s="123" cm="1">
        <f t="array" ref="CQ66">INDEX(Properties!$D:$D,$B66+5)*(IF(CQ$3=INDEX(Properties!$U:$U,$B66+5),INDEX(Properties!$W:$W,$B66+5),0))</f>
        <v>0</v>
      </c>
      <c r="CR66" s="123" cm="1">
        <f t="array" ref="CR66">INDEX(Properties!$D:$D,$B66+5)*(IF(CR$3=INDEX(Properties!$U:$U,$B66+5),INDEX(Properties!$W:$W,$B66+5),0))</f>
        <v>0</v>
      </c>
      <c r="CS66" s="123" cm="1">
        <f t="array" ref="CS66">INDEX(Properties!$D:$D,$B66+5)*(IF(CS$3=INDEX(Properties!$U:$U,$B66+5),INDEX(Properties!$W:$W,$B66+5),0))</f>
        <v>0</v>
      </c>
      <c r="CT66" s="123" cm="1">
        <f t="array" ref="CT66">INDEX(Properties!$D:$D,$B66+5)*(IF(CT$3=INDEX(Properties!$U:$U,$B66+5),INDEX(Properties!$W:$W,$B66+5),0))</f>
        <v>0</v>
      </c>
      <c r="CU66" s="123" cm="1">
        <f t="array" ref="CU66">INDEX(Properties!$D:$D,$B66+5)*(IF(CU$3=INDEX(Properties!$U:$U,$B66+5),INDEX(Properties!$W:$W,$B66+5),0))</f>
        <v>0</v>
      </c>
      <c r="CV66" s="123" cm="1">
        <f t="array" ref="CV66">INDEX(Properties!$D:$D,$B66+5)*(IF(CV$3=INDEX(Properties!$U:$U,$B66+5),INDEX(Properties!$W:$W,$B66+5),0))</f>
        <v>0</v>
      </c>
      <c r="CW66" s="123" cm="1">
        <f t="array" ref="CW66">INDEX(Properties!$D:$D,$B66+5)*(IF(CW$3=INDEX(Properties!$U:$U,$B66+5),INDEX(Properties!$W:$W,$B66+5),0))</f>
        <v>0</v>
      </c>
      <c r="CX66" s="123" cm="1">
        <f t="array" ref="CX66">INDEX(Properties!$D:$D,$B66+5)*(IF(CX$3=INDEX(Properties!$U:$U,$B66+5),INDEX(Properties!$W:$W,$B66+5),0))</f>
        <v>0</v>
      </c>
      <c r="CY66" s="123" cm="1">
        <f t="array" ref="CY66">INDEX(Properties!$D:$D,$B66+5)*(IF(CY$3=INDEX(Properties!$U:$U,$B66+5),INDEX(Properties!$W:$W,$B66+5),0))</f>
        <v>0</v>
      </c>
      <c r="CZ66" s="123" cm="1">
        <f t="array" ref="CZ66">INDEX(Properties!$D:$D,$B66+5)*(IF(CZ$3=INDEX(Properties!$U:$U,$B66+5),INDEX(Properties!$W:$W,$B66+5),0))</f>
        <v>0</v>
      </c>
      <c r="DA66" s="123" cm="1">
        <f t="array" ref="DA66">INDEX(Properties!$D:$D,$B66+5)*(IF(DA$3=INDEX(Properties!$U:$U,$B66+5),INDEX(Properties!$W:$W,$B66+5),0))</f>
        <v>0</v>
      </c>
      <c r="DB66" s="123" cm="1">
        <f t="array" ref="DB66">INDEX(Properties!$D:$D,$B66+5)*(IF(DB$3=INDEX(Properties!$U:$U,$B66+5),INDEX(Properties!$W:$W,$B66+5),0))</f>
        <v>0</v>
      </c>
      <c r="DC66" s="123" cm="1">
        <f t="array" ref="DC66">INDEX(Properties!$D:$D,$B66+5)*(IF(DC$3=INDEX(Properties!$U:$U,$B66+5),INDEX(Properties!$W:$W,$B66+5),0))</f>
        <v>0</v>
      </c>
      <c r="DD66" s="123" cm="1">
        <f t="array" ref="DD66">INDEX(Properties!$D:$D,$B66+5)*(IF(DD$3=INDEX(Properties!$U:$U,$B66+5),INDEX(Properties!$W:$W,$B66+5),0))</f>
        <v>0</v>
      </c>
      <c r="DE66" s="123" cm="1">
        <f t="array" ref="DE66">INDEX(Properties!$D:$D,$B66+5)*(IF(DE$3=INDEX(Properties!$U:$U,$B66+5),INDEX(Properties!$W:$W,$B66+5),0))</f>
        <v>0</v>
      </c>
      <c r="DF66" s="123" cm="1">
        <f t="array" ref="DF66">INDEX(Properties!$D:$D,$B66+5)*(IF(DF$3=INDEX(Properties!$U:$U,$B66+5),INDEX(Properties!$W:$W,$B66+5),0))</f>
        <v>0</v>
      </c>
      <c r="DG66" s="123" cm="1">
        <f t="array" ref="DG66">INDEX(Properties!$D:$D,$B66+5)*(IF(DG$3=INDEX(Properties!$U:$U,$B66+5),INDEX(Properties!$W:$W,$B66+5),0))</f>
        <v>0</v>
      </c>
      <c r="DH66" s="123" cm="1">
        <f t="array" ref="DH66">INDEX(Properties!$D:$D,$B66+5)*(IF(DH$3=INDEX(Properties!$U:$U,$B66+5),INDEX(Properties!$W:$W,$B66+5),0))</f>
        <v>0</v>
      </c>
      <c r="DI66" s="123" cm="1">
        <f t="array" ref="DI66">INDEX(Properties!$D:$D,$B66+5)*(IF(DI$3=INDEX(Properties!$U:$U,$B66+5),INDEX(Properties!$W:$W,$B66+5),0))</f>
        <v>0</v>
      </c>
      <c r="DJ66" s="123" cm="1">
        <f t="array" ref="DJ66">INDEX(Properties!$D:$D,$B66+5)*(IF(DJ$3=INDEX(Properties!$U:$U,$B66+5),INDEX(Properties!$W:$W,$B66+5),0))</f>
        <v>0</v>
      </c>
      <c r="DK66" s="123" cm="1">
        <f t="array" ref="DK66">INDEX(Properties!$D:$D,$B66+5)*(IF(DK$3=INDEX(Properties!$U:$U,$B66+5),INDEX(Properties!$W:$W,$B66+5),0))</f>
        <v>0</v>
      </c>
      <c r="DL66" s="123" cm="1">
        <f t="array" ref="DL66">INDEX(Properties!$D:$D,$B66+5)*(IF(DL$3=INDEX(Properties!$U:$U,$B66+5),INDEX(Properties!$W:$W,$B66+5),0))</f>
        <v>0</v>
      </c>
      <c r="DM66" s="123" cm="1">
        <f t="array" ref="DM66">INDEX(Properties!$D:$D,$B66+5)*(IF(DM$3=INDEX(Properties!$U:$U,$B66+5),INDEX(Properties!$W:$W,$B66+5),0))</f>
        <v>0</v>
      </c>
      <c r="DN66" s="123" cm="1">
        <f t="array" ref="DN66">INDEX(Properties!$D:$D,$B66+5)*(IF(DN$3=INDEX(Properties!$U:$U,$B66+5),INDEX(Properties!$W:$W,$B66+5),0))</f>
        <v>0</v>
      </c>
      <c r="DO66" s="123" cm="1">
        <f t="array" ref="DO66">INDEX(Properties!$D:$D,$B66+5)*(IF(DO$3=INDEX(Properties!$U:$U,$B66+5),INDEX(Properties!$W:$W,$B66+5),0))</f>
        <v>0</v>
      </c>
      <c r="DP66" s="123" cm="1">
        <f t="array" ref="DP66">INDEX(Properties!$D:$D,$B66+5)*(IF(DP$3=INDEX(Properties!$U:$U,$B66+5),INDEX(Properties!$W:$W,$B66+5),0))</f>
        <v>0</v>
      </c>
      <c r="DQ66" s="123" cm="1">
        <f t="array" ref="DQ66">INDEX(Properties!$D:$D,$B66+5)*(IF(DQ$3=INDEX(Properties!$U:$U,$B66+5),INDEX(Properties!$W:$W,$B66+5),0))</f>
        <v>0</v>
      </c>
      <c r="DR66" s="123" cm="1">
        <f t="array" ref="DR66">INDEX(Properties!$D:$D,$B66+5)*(IF(DR$3=INDEX(Properties!$U:$U,$B66+5),INDEX(Properties!$W:$W,$B66+5),0))</f>
        <v>0</v>
      </c>
    </row>
    <row r="67" spans="1:122" ht="16.05" customHeight="1" x14ac:dyDescent="0.3">
      <c r="A67" s="148" cm="1">
        <f t="array" ref="A67">INDEX(Properties!$E:$E,$B67+5)</f>
        <v>0</v>
      </c>
      <c r="B67" s="1">
        <v>7</v>
      </c>
      <c r="C67" s="123" cm="1">
        <f t="array" ref="C67">INDEX(Properties!$D:$D,$B67+5)*(IF(C$3=INDEX(Properties!$U:$U,$B67+5),INDEX(Properties!$W:$W,$B67+5),0))</f>
        <v>0</v>
      </c>
      <c r="D67" s="123" cm="1">
        <f t="array" ref="D67">INDEX(Properties!$D:$D,$B67+5)*(IF(D$3=INDEX(Properties!$U:$U,$B67+5),INDEX(Properties!$W:$W,$B67+5),0))</f>
        <v>0</v>
      </c>
      <c r="E67" s="123" cm="1">
        <f t="array" ref="E67">INDEX(Properties!$D:$D,$B67+5)*(IF(E$3=INDEX(Properties!$U:$U,$B67+5),INDEX(Properties!$W:$W,$B67+5),0))</f>
        <v>0</v>
      </c>
      <c r="F67" s="123" cm="1">
        <f t="array" ref="F67">INDEX(Properties!$D:$D,$B67+5)*(IF(F$3=INDEX(Properties!$U:$U,$B67+5),INDEX(Properties!$W:$W,$B67+5),0))</f>
        <v>0</v>
      </c>
      <c r="G67" s="123" cm="1">
        <f t="array" ref="G67">INDEX(Properties!$D:$D,$B67+5)*(IF(G$3=INDEX(Properties!$U:$U,$B67+5),INDEX(Properties!$W:$W,$B67+5),0))</f>
        <v>0</v>
      </c>
      <c r="H67" s="123" cm="1">
        <f t="array" ref="H67">INDEX(Properties!$D:$D,$B67+5)*(IF(H$3=INDEX(Properties!$U:$U,$B67+5),INDEX(Properties!$W:$W,$B67+5),0))</f>
        <v>0</v>
      </c>
      <c r="I67" s="123" cm="1">
        <f t="array" ref="I67">INDEX(Properties!$D:$D,$B67+5)*(IF(I$3=INDEX(Properties!$U:$U,$B67+5),INDEX(Properties!$W:$W,$B67+5),0))</f>
        <v>0</v>
      </c>
      <c r="J67" s="123" cm="1">
        <f t="array" ref="J67">INDEX(Properties!$D:$D,$B67+5)*(IF(J$3=INDEX(Properties!$U:$U,$B67+5),INDEX(Properties!$W:$W,$B67+5),0))</f>
        <v>0</v>
      </c>
      <c r="K67" s="123" cm="1">
        <f t="array" ref="K67">INDEX(Properties!$D:$D,$B67+5)*(IF(K$3=INDEX(Properties!$U:$U,$B67+5),INDEX(Properties!$W:$W,$B67+5),0))</f>
        <v>0</v>
      </c>
      <c r="L67" s="123" cm="1">
        <f t="array" ref="L67">INDEX(Properties!$D:$D,$B67+5)*(IF(L$3=INDEX(Properties!$U:$U,$B67+5),INDEX(Properties!$W:$W,$B67+5),0))</f>
        <v>0</v>
      </c>
      <c r="M67" s="123" cm="1">
        <f t="array" ref="M67">INDEX(Properties!$D:$D,$B67+5)*(IF(M$3=INDEX(Properties!$U:$U,$B67+5),INDEX(Properties!$W:$W,$B67+5),0))</f>
        <v>0</v>
      </c>
      <c r="N67" s="123" cm="1">
        <f t="array" ref="N67">INDEX(Properties!$D:$D,$B67+5)*(IF(N$3=INDEX(Properties!$U:$U,$B67+5),INDEX(Properties!$W:$W,$B67+5),0))</f>
        <v>0</v>
      </c>
      <c r="O67" s="123" cm="1">
        <f t="array" ref="O67">INDEX(Properties!$D:$D,$B67+5)*(IF(O$3=INDEX(Properties!$U:$U,$B67+5),INDEX(Properties!$W:$W,$B67+5),0))</f>
        <v>0</v>
      </c>
      <c r="P67" s="123" cm="1">
        <f t="array" ref="P67">INDEX(Properties!$D:$D,$B67+5)*(IF(P$3=INDEX(Properties!$U:$U,$B67+5),INDEX(Properties!$W:$W,$B67+5),0))</f>
        <v>0</v>
      </c>
      <c r="Q67" s="123" cm="1">
        <f t="array" ref="Q67">INDEX(Properties!$D:$D,$B67+5)*(IF(Q$3=INDEX(Properties!$U:$U,$B67+5),INDEX(Properties!$W:$W,$B67+5),0))</f>
        <v>0</v>
      </c>
      <c r="R67" s="123" cm="1">
        <f t="array" ref="R67">INDEX(Properties!$D:$D,$B67+5)*(IF(R$3=INDEX(Properties!$U:$U,$B67+5),INDEX(Properties!$W:$W,$B67+5),0))</f>
        <v>0</v>
      </c>
      <c r="S67" s="123" cm="1">
        <f t="array" ref="S67">INDEX(Properties!$D:$D,$B67+5)*(IF(S$3=INDEX(Properties!$U:$U,$B67+5),INDEX(Properties!$W:$W,$B67+5),0))</f>
        <v>0</v>
      </c>
      <c r="T67" s="123" cm="1">
        <f t="array" ref="T67">INDEX(Properties!$D:$D,$B67+5)*(IF(T$3=INDEX(Properties!$U:$U,$B67+5),INDEX(Properties!$W:$W,$B67+5),0))</f>
        <v>0</v>
      </c>
      <c r="U67" s="123" cm="1">
        <f t="array" ref="U67">INDEX(Properties!$D:$D,$B67+5)*(IF(U$3=INDEX(Properties!$U:$U,$B67+5),INDEX(Properties!$W:$W,$B67+5),0))</f>
        <v>0</v>
      </c>
      <c r="V67" s="123" cm="1">
        <f t="array" ref="V67">INDEX(Properties!$D:$D,$B67+5)*(IF(V$3=INDEX(Properties!$U:$U,$B67+5),INDEX(Properties!$W:$W,$B67+5),0))</f>
        <v>0</v>
      </c>
      <c r="W67" s="123" cm="1">
        <f t="array" ref="W67">INDEX(Properties!$D:$D,$B67+5)*(IF(W$3=INDEX(Properties!$U:$U,$B67+5),INDEX(Properties!$W:$W,$B67+5),0))</f>
        <v>0</v>
      </c>
      <c r="X67" s="123" cm="1">
        <f t="array" ref="X67">INDEX(Properties!$D:$D,$B67+5)*(IF(X$3=INDEX(Properties!$U:$U,$B67+5),INDEX(Properties!$W:$W,$B67+5),0))</f>
        <v>0</v>
      </c>
      <c r="Y67" s="123" cm="1">
        <f t="array" ref="Y67">INDEX(Properties!$D:$D,$B67+5)*(IF(Y$3=INDEX(Properties!$U:$U,$B67+5),INDEX(Properties!$W:$W,$B67+5),0))</f>
        <v>0</v>
      </c>
      <c r="Z67" s="123" cm="1">
        <f t="array" ref="Z67">INDEX(Properties!$D:$D,$B67+5)*(IF(Z$3=INDEX(Properties!$U:$U,$B67+5),INDEX(Properties!$W:$W,$B67+5),0))</f>
        <v>0</v>
      </c>
      <c r="AA67" s="123" cm="1">
        <f t="array" ref="AA67">INDEX(Properties!$D:$D,$B67+5)*(IF(AA$3=INDEX(Properties!$U:$U,$B67+5),INDEX(Properties!$W:$W,$B67+5),0))</f>
        <v>0</v>
      </c>
      <c r="AB67" s="123" cm="1">
        <f t="array" ref="AB67">INDEX(Properties!$D:$D,$B67+5)*(IF(AB$3=INDEX(Properties!$U:$U,$B67+5),INDEX(Properties!$W:$W,$B67+5),0))</f>
        <v>0</v>
      </c>
      <c r="AC67" s="123" cm="1">
        <f t="array" ref="AC67">INDEX(Properties!$D:$D,$B67+5)*(IF(AC$3=INDEX(Properties!$U:$U,$B67+5),INDEX(Properties!$W:$W,$B67+5),0))</f>
        <v>0</v>
      </c>
      <c r="AD67" s="123" cm="1">
        <f t="array" ref="AD67">INDEX(Properties!$D:$D,$B67+5)*(IF(AD$3=INDEX(Properties!$U:$U,$B67+5),INDEX(Properties!$W:$W,$B67+5),0))</f>
        <v>0</v>
      </c>
      <c r="AE67" s="123" cm="1">
        <f t="array" ref="AE67">INDEX(Properties!$D:$D,$B67+5)*(IF(AE$3=INDEX(Properties!$U:$U,$B67+5),INDEX(Properties!$W:$W,$B67+5),0))</f>
        <v>0</v>
      </c>
      <c r="AF67" s="123" cm="1">
        <f t="array" ref="AF67">INDEX(Properties!$D:$D,$B67+5)*(IF(AF$3=INDEX(Properties!$U:$U,$B67+5),INDEX(Properties!$W:$W,$B67+5),0))</f>
        <v>0</v>
      </c>
      <c r="AG67" s="123" cm="1">
        <f t="array" ref="AG67">INDEX(Properties!$D:$D,$B67+5)*(IF(AG$3=INDEX(Properties!$U:$U,$B67+5),INDEX(Properties!$W:$W,$B67+5),0))</f>
        <v>0</v>
      </c>
      <c r="AH67" s="123" cm="1">
        <f t="array" ref="AH67">INDEX(Properties!$D:$D,$B67+5)*(IF(AH$3=INDEX(Properties!$U:$U,$B67+5),INDEX(Properties!$W:$W,$B67+5),0))</f>
        <v>0</v>
      </c>
      <c r="AI67" s="123" cm="1">
        <f t="array" ref="AI67">INDEX(Properties!$D:$D,$B67+5)*(IF(AI$3=INDEX(Properties!$U:$U,$B67+5),INDEX(Properties!$W:$W,$B67+5),0))</f>
        <v>0</v>
      </c>
      <c r="AJ67" s="123" cm="1">
        <f t="array" ref="AJ67">INDEX(Properties!$D:$D,$B67+5)*(IF(AJ$3=INDEX(Properties!$U:$U,$B67+5),INDEX(Properties!$W:$W,$B67+5),0))</f>
        <v>0</v>
      </c>
      <c r="AK67" s="123" cm="1">
        <f t="array" ref="AK67">INDEX(Properties!$D:$D,$B67+5)*(IF(AK$3=INDEX(Properties!$U:$U,$B67+5),INDEX(Properties!$W:$W,$B67+5),0))</f>
        <v>0</v>
      </c>
      <c r="AL67" s="123" cm="1">
        <f t="array" ref="AL67">INDEX(Properties!$D:$D,$B67+5)*(IF(AL$3=INDEX(Properties!$U:$U,$B67+5),INDEX(Properties!$W:$W,$B67+5),0))</f>
        <v>0</v>
      </c>
      <c r="AM67" s="123" cm="1">
        <f t="array" ref="AM67">INDEX(Properties!$D:$D,$B67+5)*(IF(AM$3=INDEX(Properties!$U:$U,$B67+5),INDEX(Properties!$W:$W,$B67+5),0))</f>
        <v>0</v>
      </c>
      <c r="AN67" s="123" cm="1">
        <f t="array" ref="AN67">INDEX(Properties!$D:$D,$B67+5)*(IF(AN$3=INDEX(Properties!$U:$U,$B67+5),INDEX(Properties!$W:$W,$B67+5),0))</f>
        <v>0</v>
      </c>
      <c r="AO67" s="123" cm="1">
        <f t="array" ref="AO67">INDEX(Properties!$D:$D,$B67+5)*(IF(AO$3=INDEX(Properties!$U:$U,$B67+5),INDEX(Properties!$W:$W,$B67+5),0))</f>
        <v>0</v>
      </c>
      <c r="AP67" s="123" cm="1">
        <f t="array" ref="AP67">INDEX(Properties!$D:$D,$B67+5)*(IF(AP$3=INDEX(Properties!$U:$U,$B67+5),INDEX(Properties!$W:$W,$B67+5),0))</f>
        <v>0</v>
      </c>
      <c r="AQ67" s="123" cm="1">
        <f t="array" ref="AQ67">INDEX(Properties!$D:$D,$B67+5)*(IF(AQ$3=INDEX(Properties!$U:$U,$B67+5),INDEX(Properties!$W:$W,$B67+5),0))</f>
        <v>0</v>
      </c>
      <c r="AR67" s="123" cm="1">
        <f t="array" ref="AR67">INDEX(Properties!$D:$D,$B67+5)*(IF(AR$3=INDEX(Properties!$U:$U,$B67+5),INDEX(Properties!$W:$W,$B67+5),0))</f>
        <v>0</v>
      </c>
      <c r="AS67" s="123" cm="1">
        <f t="array" ref="AS67">INDEX(Properties!$D:$D,$B67+5)*(IF(AS$3=INDEX(Properties!$U:$U,$B67+5),INDEX(Properties!$W:$W,$B67+5),0))</f>
        <v>0</v>
      </c>
      <c r="AT67" s="123" cm="1">
        <f t="array" ref="AT67">INDEX(Properties!$D:$D,$B67+5)*(IF(AT$3=INDEX(Properties!$U:$U,$B67+5),INDEX(Properties!$W:$W,$B67+5),0))</f>
        <v>0</v>
      </c>
      <c r="AU67" s="123" cm="1">
        <f t="array" ref="AU67">INDEX(Properties!$D:$D,$B67+5)*(IF(AU$3=INDEX(Properties!$U:$U,$B67+5),INDEX(Properties!$W:$W,$B67+5),0))</f>
        <v>0</v>
      </c>
      <c r="AV67" s="123" cm="1">
        <f t="array" ref="AV67">INDEX(Properties!$D:$D,$B67+5)*(IF(AV$3=INDEX(Properties!$U:$U,$B67+5),INDEX(Properties!$W:$W,$B67+5),0))</f>
        <v>0</v>
      </c>
      <c r="AW67" s="123" cm="1">
        <f t="array" ref="AW67">INDEX(Properties!$D:$D,$B67+5)*(IF(AW$3=INDEX(Properties!$U:$U,$B67+5),INDEX(Properties!$W:$W,$B67+5),0))</f>
        <v>0</v>
      </c>
      <c r="AX67" s="123" cm="1">
        <f t="array" ref="AX67">INDEX(Properties!$D:$D,$B67+5)*(IF(AX$3=INDEX(Properties!$U:$U,$B67+5),INDEX(Properties!$W:$W,$B67+5),0))</f>
        <v>0</v>
      </c>
      <c r="AY67" s="123" cm="1">
        <f t="array" ref="AY67">INDEX(Properties!$D:$D,$B67+5)*(IF(AY$3=INDEX(Properties!$U:$U,$B67+5),INDEX(Properties!$W:$W,$B67+5),0))</f>
        <v>0</v>
      </c>
      <c r="AZ67" s="123" cm="1">
        <f t="array" ref="AZ67">INDEX(Properties!$D:$D,$B67+5)*(IF(AZ$3=INDEX(Properties!$U:$U,$B67+5),INDEX(Properties!$W:$W,$B67+5),0))</f>
        <v>0</v>
      </c>
      <c r="BA67" s="123" cm="1">
        <f t="array" ref="BA67">INDEX(Properties!$D:$D,$B67+5)*(IF(BA$3=INDEX(Properties!$U:$U,$B67+5),INDEX(Properties!$W:$W,$B67+5),0))</f>
        <v>0</v>
      </c>
      <c r="BB67" s="123" cm="1">
        <f t="array" ref="BB67">INDEX(Properties!$D:$D,$B67+5)*(IF(BB$3=INDEX(Properties!$U:$U,$B67+5),INDEX(Properties!$W:$W,$B67+5),0))</f>
        <v>0</v>
      </c>
      <c r="BC67" s="123" cm="1">
        <f t="array" ref="BC67">INDEX(Properties!$D:$D,$B67+5)*(IF(BC$3=INDEX(Properties!$U:$U,$B67+5),INDEX(Properties!$W:$W,$B67+5),0))</f>
        <v>0</v>
      </c>
      <c r="BD67" s="123" cm="1">
        <f t="array" ref="BD67">INDEX(Properties!$D:$D,$B67+5)*(IF(BD$3=INDEX(Properties!$U:$U,$B67+5),INDEX(Properties!$W:$W,$B67+5),0))</f>
        <v>0</v>
      </c>
      <c r="BE67" s="123" cm="1">
        <f t="array" ref="BE67">INDEX(Properties!$D:$D,$B67+5)*(IF(BE$3=INDEX(Properties!$U:$U,$B67+5),INDEX(Properties!$W:$W,$B67+5),0))</f>
        <v>0</v>
      </c>
      <c r="BF67" s="123" cm="1">
        <f t="array" ref="BF67">INDEX(Properties!$D:$D,$B67+5)*(IF(BF$3=INDEX(Properties!$U:$U,$B67+5),INDEX(Properties!$W:$W,$B67+5),0))</f>
        <v>0</v>
      </c>
      <c r="BG67" s="123" cm="1">
        <f t="array" ref="BG67">INDEX(Properties!$D:$D,$B67+5)*(IF(BG$3=INDEX(Properties!$U:$U,$B67+5),INDEX(Properties!$W:$W,$B67+5),0))</f>
        <v>0</v>
      </c>
      <c r="BH67" s="123" cm="1">
        <f t="array" ref="BH67">INDEX(Properties!$D:$D,$B67+5)*(IF(BH$3=INDEX(Properties!$U:$U,$B67+5),INDEX(Properties!$W:$W,$B67+5),0))</f>
        <v>0</v>
      </c>
      <c r="BI67" s="123" cm="1">
        <f t="array" ref="BI67">INDEX(Properties!$D:$D,$B67+5)*(IF(BI$3=INDEX(Properties!$U:$U,$B67+5),INDEX(Properties!$W:$W,$B67+5),0))</f>
        <v>0</v>
      </c>
      <c r="BJ67" s="123" cm="1">
        <f t="array" ref="BJ67">INDEX(Properties!$D:$D,$B67+5)*(IF(BJ$3=INDEX(Properties!$U:$U,$B67+5),INDEX(Properties!$W:$W,$B67+5),0))</f>
        <v>0</v>
      </c>
      <c r="BK67" s="123" cm="1">
        <f t="array" ref="BK67">INDEX(Properties!$D:$D,$B67+5)*(IF(BK$3=INDEX(Properties!$U:$U,$B67+5),INDEX(Properties!$W:$W,$B67+5),0))</f>
        <v>0</v>
      </c>
      <c r="BL67" s="123" cm="1">
        <f t="array" ref="BL67">INDEX(Properties!$D:$D,$B67+5)*(IF(BL$3=INDEX(Properties!$U:$U,$B67+5),INDEX(Properties!$W:$W,$B67+5),0))</f>
        <v>0</v>
      </c>
      <c r="BM67" s="123" cm="1">
        <f t="array" ref="BM67">INDEX(Properties!$D:$D,$B67+5)*(IF(BM$3=INDEX(Properties!$U:$U,$B67+5),INDEX(Properties!$W:$W,$B67+5),0))</f>
        <v>0</v>
      </c>
      <c r="BN67" s="123" cm="1">
        <f t="array" ref="BN67">INDEX(Properties!$D:$D,$B67+5)*(IF(BN$3=INDEX(Properties!$U:$U,$B67+5),INDEX(Properties!$W:$W,$B67+5),0))</f>
        <v>0</v>
      </c>
      <c r="BO67" s="123" cm="1">
        <f t="array" ref="BO67">INDEX(Properties!$D:$D,$B67+5)*(IF(BO$3=INDEX(Properties!$U:$U,$B67+5),INDEX(Properties!$W:$W,$B67+5),0))</f>
        <v>0</v>
      </c>
      <c r="BP67" s="123" cm="1">
        <f t="array" ref="BP67">INDEX(Properties!$D:$D,$B67+5)*(IF(BP$3=INDEX(Properties!$U:$U,$B67+5),INDEX(Properties!$W:$W,$B67+5),0))</f>
        <v>0</v>
      </c>
      <c r="BQ67" s="123" cm="1">
        <f t="array" ref="BQ67">INDEX(Properties!$D:$D,$B67+5)*(IF(BQ$3=INDEX(Properties!$U:$U,$B67+5),INDEX(Properties!$W:$W,$B67+5),0))</f>
        <v>0</v>
      </c>
      <c r="BR67" s="123" cm="1">
        <f t="array" ref="BR67">INDEX(Properties!$D:$D,$B67+5)*(IF(BR$3=INDEX(Properties!$U:$U,$B67+5),INDEX(Properties!$W:$W,$B67+5),0))</f>
        <v>0</v>
      </c>
      <c r="BS67" s="123" cm="1">
        <f t="array" ref="BS67">INDEX(Properties!$D:$D,$B67+5)*(IF(BS$3=INDEX(Properties!$U:$U,$B67+5),INDEX(Properties!$W:$W,$B67+5),0))</f>
        <v>0</v>
      </c>
      <c r="BT67" s="123" cm="1">
        <f t="array" ref="BT67">INDEX(Properties!$D:$D,$B67+5)*(IF(BT$3=INDEX(Properties!$U:$U,$B67+5),INDEX(Properties!$W:$W,$B67+5),0))</f>
        <v>0</v>
      </c>
      <c r="BU67" s="123" cm="1">
        <f t="array" ref="BU67">INDEX(Properties!$D:$D,$B67+5)*(IF(BU$3=INDEX(Properties!$U:$U,$B67+5),INDEX(Properties!$W:$W,$B67+5),0))</f>
        <v>0</v>
      </c>
      <c r="BV67" s="123" cm="1">
        <f t="array" ref="BV67">INDEX(Properties!$D:$D,$B67+5)*(IF(BV$3=INDEX(Properties!$U:$U,$B67+5),INDEX(Properties!$W:$W,$B67+5),0))</f>
        <v>0</v>
      </c>
      <c r="BW67" s="123" cm="1">
        <f t="array" ref="BW67">INDEX(Properties!$D:$D,$B67+5)*(IF(BW$3=INDEX(Properties!$U:$U,$B67+5),INDEX(Properties!$W:$W,$B67+5),0))</f>
        <v>0</v>
      </c>
      <c r="BX67" s="123" cm="1">
        <f t="array" ref="BX67">INDEX(Properties!$D:$D,$B67+5)*(IF(BX$3=INDEX(Properties!$U:$U,$B67+5),INDEX(Properties!$W:$W,$B67+5),0))</f>
        <v>0</v>
      </c>
      <c r="BY67" s="123" cm="1">
        <f t="array" ref="BY67">INDEX(Properties!$D:$D,$B67+5)*(IF(BY$3=INDEX(Properties!$U:$U,$B67+5),INDEX(Properties!$W:$W,$B67+5),0))</f>
        <v>0</v>
      </c>
      <c r="BZ67" s="123" cm="1">
        <f t="array" ref="BZ67">INDEX(Properties!$D:$D,$B67+5)*(IF(BZ$3=INDEX(Properties!$U:$U,$B67+5),INDEX(Properties!$W:$W,$B67+5),0))</f>
        <v>0</v>
      </c>
      <c r="CA67" s="123" cm="1">
        <f t="array" ref="CA67">INDEX(Properties!$D:$D,$B67+5)*(IF(CA$3=INDEX(Properties!$U:$U,$B67+5),INDEX(Properties!$W:$W,$B67+5),0))</f>
        <v>0</v>
      </c>
      <c r="CB67" s="123" cm="1">
        <f t="array" ref="CB67">INDEX(Properties!$D:$D,$B67+5)*(IF(CB$3=INDEX(Properties!$U:$U,$B67+5),INDEX(Properties!$W:$W,$B67+5),0))</f>
        <v>0</v>
      </c>
      <c r="CC67" s="123" cm="1">
        <f t="array" ref="CC67">INDEX(Properties!$D:$D,$B67+5)*(IF(CC$3=INDEX(Properties!$U:$U,$B67+5),INDEX(Properties!$W:$W,$B67+5),0))</f>
        <v>0</v>
      </c>
      <c r="CD67" s="123" cm="1">
        <f t="array" ref="CD67">INDEX(Properties!$D:$D,$B67+5)*(IF(CD$3=INDEX(Properties!$U:$U,$B67+5),INDEX(Properties!$W:$W,$B67+5),0))</f>
        <v>0</v>
      </c>
      <c r="CE67" s="123" cm="1">
        <f t="array" ref="CE67">INDEX(Properties!$D:$D,$B67+5)*(IF(CE$3=INDEX(Properties!$U:$U,$B67+5),INDEX(Properties!$W:$W,$B67+5),0))</f>
        <v>0</v>
      </c>
      <c r="CF67" s="123" cm="1">
        <f t="array" ref="CF67">INDEX(Properties!$D:$D,$B67+5)*(IF(CF$3=INDEX(Properties!$U:$U,$B67+5),INDEX(Properties!$W:$W,$B67+5),0))</f>
        <v>0</v>
      </c>
      <c r="CG67" s="123" cm="1">
        <f t="array" ref="CG67">INDEX(Properties!$D:$D,$B67+5)*(IF(CG$3=INDEX(Properties!$U:$U,$B67+5),INDEX(Properties!$W:$W,$B67+5),0))</f>
        <v>0</v>
      </c>
      <c r="CH67" s="123" cm="1">
        <f t="array" ref="CH67">INDEX(Properties!$D:$D,$B67+5)*(IF(CH$3=INDEX(Properties!$U:$U,$B67+5),INDEX(Properties!$W:$W,$B67+5),0))</f>
        <v>0</v>
      </c>
      <c r="CI67" s="123" cm="1">
        <f t="array" ref="CI67">INDEX(Properties!$D:$D,$B67+5)*(IF(CI$3=INDEX(Properties!$U:$U,$B67+5),INDEX(Properties!$W:$W,$B67+5),0))</f>
        <v>0</v>
      </c>
      <c r="CJ67" s="123" cm="1">
        <f t="array" ref="CJ67">INDEX(Properties!$D:$D,$B67+5)*(IF(CJ$3=INDEX(Properties!$U:$U,$B67+5),INDEX(Properties!$W:$W,$B67+5),0))</f>
        <v>0</v>
      </c>
      <c r="CK67" s="123" cm="1">
        <f t="array" ref="CK67">INDEX(Properties!$D:$D,$B67+5)*(IF(CK$3=INDEX(Properties!$U:$U,$B67+5),INDEX(Properties!$W:$W,$B67+5),0))</f>
        <v>0</v>
      </c>
      <c r="CL67" s="123" cm="1">
        <f t="array" ref="CL67">INDEX(Properties!$D:$D,$B67+5)*(IF(CL$3=INDEX(Properties!$U:$U,$B67+5),INDEX(Properties!$W:$W,$B67+5),0))</f>
        <v>0</v>
      </c>
      <c r="CM67" s="123" cm="1">
        <f t="array" ref="CM67">INDEX(Properties!$D:$D,$B67+5)*(IF(CM$3=INDEX(Properties!$U:$U,$B67+5),INDEX(Properties!$W:$W,$B67+5),0))</f>
        <v>0</v>
      </c>
      <c r="CN67" s="123" cm="1">
        <f t="array" ref="CN67">INDEX(Properties!$D:$D,$B67+5)*(IF(CN$3=INDEX(Properties!$U:$U,$B67+5),INDEX(Properties!$W:$W,$B67+5),0))</f>
        <v>0</v>
      </c>
      <c r="CO67" s="123" cm="1">
        <f t="array" ref="CO67">INDEX(Properties!$D:$D,$B67+5)*(IF(CO$3=INDEX(Properties!$U:$U,$B67+5),INDEX(Properties!$W:$W,$B67+5),0))</f>
        <v>0</v>
      </c>
      <c r="CP67" s="123" cm="1">
        <f t="array" ref="CP67">INDEX(Properties!$D:$D,$B67+5)*(IF(CP$3=INDEX(Properties!$U:$U,$B67+5),INDEX(Properties!$W:$W,$B67+5),0))</f>
        <v>0</v>
      </c>
      <c r="CQ67" s="123" cm="1">
        <f t="array" ref="CQ67">INDEX(Properties!$D:$D,$B67+5)*(IF(CQ$3=INDEX(Properties!$U:$U,$B67+5),INDEX(Properties!$W:$W,$B67+5),0))</f>
        <v>0</v>
      </c>
      <c r="CR67" s="123" cm="1">
        <f t="array" ref="CR67">INDEX(Properties!$D:$D,$B67+5)*(IF(CR$3=INDEX(Properties!$U:$U,$B67+5),INDEX(Properties!$W:$W,$B67+5),0))</f>
        <v>0</v>
      </c>
      <c r="CS67" s="123" cm="1">
        <f t="array" ref="CS67">INDEX(Properties!$D:$D,$B67+5)*(IF(CS$3=INDEX(Properties!$U:$U,$B67+5),INDEX(Properties!$W:$W,$B67+5),0))</f>
        <v>0</v>
      </c>
      <c r="CT67" s="123" cm="1">
        <f t="array" ref="CT67">INDEX(Properties!$D:$D,$B67+5)*(IF(CT$3=INDEX(Properties!$U:$U,$B67+5),INDEX(Properties!$W:$W,$B67+5),0))</f>
        <v>0</v>
      </c>
      <c r="CU67" s="123" cm="1">
        <f t="array" ref="CU67">INDEX(Properties!$D:$D,$B67+5)*(IF(CU$3=INDEX(Properties!$U:$U,$B67+5),INDEX(Properties!$W:$W,$B67+5),0))</f>
        <v>0</v>
      </c>
      <c r="CV67" s="123" cm="1">
        <f t="array" ref="CV67">INDEX(Properties!$D:$D,$B67+5)*(IF(CV$3=INDEX(Properties!$U:$U,$B67+5),INDEX(Properties!$W:$W,$B67+5),0))</f>
        <v>0</v>
      </c>
      <c r="CW67" s="123" cm="1">
        <f t="array" ref="CW67">INDEX(Properties!$D:$D,$B67+5)*(IF(CW$3=INDEX(Properties!$U:$U,$B67+5),INDEX(Properties!$W:$W,$B67+5),0))</f>
        <v>0</v>
      </c>
      <c r="CX67" s="123" cm="1">
        <f t="array" ref="CX67">INDEX(Properties!$D:$D,$B67+5)*(IF(CX$3=INDEX(Properties!$U:$U,$B67+5),INDEX(Properties!$W:$W,$B67+5),0))</f>
        <v>0</v>
      </c>
      <c r="CY67" s="123" cm="1">
        <f t="array" ref="CY67">INDEX(Properties!$D:$D,$B67+5)*(IF(CY$3=INDEX(Properties!$U:$U,$B67+5),INDEX(Properties!$W:$W,$B67+5),0))</f>
        <v>0</v>
      </c>
      <c r="CZ67" s="123" cm="1">
        <f t="array" ref="CZ67">INDEX(Properties!$D:$D,$B67+5)*(IF(CZ$3=INDEX(Properties!$U:$U,$B67+5),INDEX(Properties!$W:$W,$B67+5),0))</f>
        <v>0</v>
      </c>
      <c r="DA67" s="123" cm="1">
        <f t="array" ref="DA67">INDEX(Properties!$D:$D,$B67+5)*(IF(DA$3=INDEX(Properties!$U:$U,$B67+5),INDEX(Properties!$W:$W,$B67+5),0))</f>
        <v>0</v>
      </c>
      <c r="DB67" s="123" cm="1">
        <f t="array" ref="DB67">INDEX(Properties!$D:$D,$B67+5)*(IF(DB$3=INDEX(Properties!$U:$U,$B67+5),INDEX(Properties!$W:$W,$B67+5),0))</f>
        <v>0</v>
      </c>
      <c r="DC67" s="123" cm="1">
        <f t="array" ref="DC67">INDEX(Properties!$D:$D,$B67+5)*(IF(DC$3=INDEX(Properties!$U:$U,$B67+5),INDEX(Properties!$W:$W,$B67+5),0))</f>
        <v>0</v>
      </c>
      <c r="DD67" s="123" cm="1">
        <f t="array" ref="DD67">INDEX(Properties!$D:$D,$B67+5)*(IF(DD$3=INDEX(Properties!$U:$U,$B67+5),INDEX(Properties!$W:$W,$B67+5),0))</f>
        <v>0</v>
      </c>
      <c r="DE67" s="123" cm="1">
        <f t="array" ref="DE67">INDEX(Properties!$D:$D,$B67+5)*(IF(DE$3=INDEX(Properties!$U:$U,$B67+5),INDEX(Properties!$W:$W,$B67+5),0))</f>
        <v>0</v>
      </c>
      <c r="DF67" s="123" cm="1">
        <f t="array" ref="DF67">INDEX(Properties!$D:$D,$B67+5)*(IF(DF$3=INDEX(Properties!$U:$U,$B67+5),INDEX(Properties!$W:$W,$B67+5),0))</f>
        <v>0</v>
      </c>
      <c r="DG67" s="123" cm="1">
        <f t="array" ref="DG67">INDEX(Properties!$D:$D,$B67+5)*(IF(DG$3=INDEX(Properties!$U:$U,$B67+5),INDEX(Properties!$W:$W,$B67+5),0))</f>
        <v>0</v>
      </c>
      <c r="DH67" s="123" cm="1">
        <f t="array" ref="DH67">INDEX(Properties!$D:$D,$B67+5)*(IF(DH$3=INDEX(Properties!$U:$U,$B67+5),INDEX(Properties!$W:$W,$B67+5),0))</f>
        <v>0</v>
      </c>
      <c r="DI67" s="123" cm="1">
        <f t="array" ref="DI67">INDEX(Properties!$D:$D,$B67+5)*(IF(DI$3=INDEX(Properties!$U:$U,$B67+5),INDEX(Properties!$W:$W,$B67+5),0))</f>
        <v>0</v>
      </c>
      <c r="DJ67" s="123" cm="1">
        <f t="array" ref="DJ67">INDEX(Properties!$D:$D,$B67+5)*(IF(DJ$3=INDEX(Properties!$U:$U,$B67+5),INDEX(Properties!$W:$W,$B67+5),0))</f>
        <v>0</v>
      </c>
      <c r="DK67" s="123" cm="1">
        <f t="array" ref="DK67">INDEX(Properties!$D:$D,$B67+5)*(IF(DK$3=INDEX(Properties!$U:$U,$B67+5),INDEX(Properties!$W:$W,$B67+5),0))</f>
        <v>0</v>
      </c>
      <c r="DL67" s="123" cm="1">
        <f t="array" ref="DL67">INDEX(Properties!$D:$D,$B67+5)*(IF(DL$3=INDEX(Properties!$U:$U,$B67+5),INDEX(Properties!$W:$W,$B67+5),0))</f>
        <v>0</v>
      </c>
      <c r="DM67" s="123" cm="1">
        <f t="array" ref="DM67">INDEX(Properties!$D:$D,$B67+5)*(IF(DM$3=INDEX(Properties!$U:$U,$B67+5),INDEX(Properties!$W:$W,$B67+5),0))</f>
        <v>0</v>
      </c>
      <c r="DN67" s="123" cm="1">
        <f t="array" ref="DN67">INDEX(Properties!$D:$D,$B67+5)*(IF(DN$3=INDEX(Properties!$U:$U,$B67+5),INDEX(Properties!$W:$W,$B67+5),0))</f>
        <v>0</v>
      </c>
      <c r="DO67" s="123" cm="1">
        <f t="array" ref="DO67">INDEX(Properties!$D:$D,$B67+5)*(IF(DO$3=INDEX(Properties!$U:$U,$B67+5),INDEX(Properties!$W:$W,$B67+5),0))</f>
        <v>0</v>
      </c>
      <c r="DP67" s="123" cm="1">
        <f t="array" ref="DP67">INDEX(Properties!$D:$D,$B67+5)*(IF(DP$3=INDEX(Properties!$U:$U,$B67+5),INDEX(Properties!$W:$W,$B67+5),0))</f>
        <v>0</v>
      </c>
      <c r="DQ67" s="123" cm="1">
        <f t="array" ref="DQ67">INDEX(Properties!$D:$D,$B67+5)*(IF(DQ$3=INDEX(Properties!$U:$U,$B67+5),INDEX(Properties!$W:$W,$B67+5),0))</f>
        <v>0</v>
      </c>
      <c r="DR67" s="123" cm="1">
        <f t="array" ref="DR67">INDEX(Properties!$D:$D,$B67+5)*(IF(DR$3=INDEX(Properties!$U:$U,$B67+5),INDEX(Properties!$W:$W,$B67+5),0))</f>
        <v>0</v>
      </c>
    </row>
    <row r="68" spans="1:122" ht="16.05" customHeight="1" x14ac:dyDescent="0.3">
      <c r="A68" s="148" cm="1">
        <f t="array" ref="A68">INDEX(Properties!$E:$E,$B68+5)</f>
        <v>0</v>
      </c>
      <c r="B68" s="1">
        <v>9</v>
      </c>
      <c r="C68" s="123" cm="1">
        <f t="array" ref="C68">INDEX(Properties!$D:$D,$B68+5)*(IF(C$3=INDEX(Properties!$U:$U,$B68+5),INDEX(Properties!$W:$W,$B68+5),0))</f>
        <v>0</v>
      </c>
      <c r="D68" s="123" cm="1">
        <f t="array" ref="D68">INDEX(Properties!$D:$D,$B68+5)*(IF(D$3=INDEX(Properties!$U:$U,$B68+5),INDEX(Properties!$W:$W,$B68+5),0))</f>
        <v>0</v>
      </c>
      <c r="E68" s="123" cm="1">
        <f t="array" ref="E68">INDEX(Properties!$D:$D,$B68+5)*(IF(E$3=INDEX(Properties!$U:$U,$B68+5),INDEX(Properties!$W:$W,$B68+5),0))</f>
        <v>0</v>
      </c>
      <c r="F68" s="123" cm="1">
        <f t="array" ref="F68">INDEX(Properties!$D:$D,$B68+5)*(IF(F$3=INDEX(Properties!$U:$U,$B68+5),INDEX(Properties!$W:$W,$B68+5),0))</f>
        <v>0</v>
      </c>
      <c r="G68" s="123" cm="1">
        <f t="array" ref="G68">INDEX(Properties!$D:$D,$B68+5)*(IF(G$3=INDEX(Properties!$U:$U,$B68+5),INDEX(Properties!$W:$W,$B68+5),0))</f>
        <v>0</v>
      </c>
      <c r="H68" s="123" cm="1">
        <f t="array" ref="H68">INDEX(Properties!$D:$D,$B68+5)*(IF(H$3=INDEX(Properties!$U:$U,$B68+5),INDEX(Properties!$W:$W,$B68+5),0))</f>
        <v>0</v>
      </c>
      <c r="I68" s="123" cm="1">
        <f t="array" ref="I68">INDEX(Properties!$D:$D,$B68+5)*(IF(I$3=INDEX(Properties!$U:$U,$B68+5),INDEX(Properties!$W:$W,$B68+5),0))</f>
        <v>0</v>
      </c>
      <c r="J68" s="123" cm="1">
        <f t="array" ref="J68">INDEX(Properties!$D:$D,$B68+5)*(IF(J$3=INDEX(Properties!$U:$U,$B68+5),INDEX(Properties!$W:$W,$B68+5),0))</f>
        <v>0</v>
      </c>
      <c r="K68" s="123" cm="1">
        <f t="array" ref="K68">INDEX(Properties!$D:$D,$B68+5)*(IF(K$3=INDEX(Properties!$U:$U,$B68+5),INDEX(Properties!$W:$W,$B68+5),0))</f>
        <v>0</v>
      </c>
      <c r="L68" s="123" cm="1">
        <f t="array" ref="L68">INDEX(Properties!$D:$D,$B68+5)*(IF(L$3=INDEX(Properties!$U:$U,$B68+5),INDEX(Properties!$W:$W,$B68+5),0))</f>
        <v>0</v>
      </c>
      <c r="M68" s="123" cm="1">
        <f t="array" ref="M68">INDEX(Properties!$D:$D,$B68+5)*(IF(M$3=INDEX(Properties!$U:$U,$B68+5),INDEX(Properties!$W:$W,$B68+5),0))</f>
        <v>0</v>
      </c>
      <c r="N68" s="123" cm="1">
        <f t="array" ref="N68">INDEX(Properties!$D:$D,$B68+5)*(IF(N$3=INDEX(Properties!$U:$U,$B68+5),INDEX(Properties!$W:$W,$B68+5),0))</f>
        <v>0</v>
      </c>
      <c r="O68" s="123" cm="1">
        <f t="array" ref="O68">INDEX(Properties!$D:$D,$B68+5)*(IF(O$3=INDEX(Properties!$U:$U,$B68+5),INDEX(Properties!$W:$W,$B68+5),0))</f>
        <v>0</v>
      </c>
      <c r="P68" s="123" cm="1">
        <f t="array" ref="P68">INDEX(Properties!$D:$D,$B68+5)*(IF(P$3=INDEX(Properties!$U:$U,$B68+5),INDEX(Properties!$W:$W,$B68+5),0))</f>
        <v>0</v>
      </c>
      <c r="Q68" s="123" cm="1">
        <f t="array" ref="Q68">INDEX(Properties!$D:$D,$B68+5)*(IF(Q$3=INDEX(Properties!$U:$U,$B68+5),INDEX(Properties!$W:$W,$B68+5),0))</f>
        <v>0</v>
      </c>
      <c r="R68" s="123" cm="1">
        <f t="array" ref="R68">INDEX(Properties!$D:$D,$B68+5)*(IF(R$3=INDEX(Properties!$U:$U,$B68+5),INDEX(Properties!$W:$W,$B68+5),0))</f>
        <v>0</v>
      </c>
      <c r="S68" s="123" cm="1">
        <f t="array" ref="S68">INDEX(Properties!$D:$D,$B68+5)*(IF(S$3=INDEX(Properties!$U:$U,$B68+5),INDEX(Properties!$W:$W,$B68+5),0))</f>
        <v>0</v>
      </c>
      <c r="T68" s="123" cm="1">
        <f t="array" ref="T68">INDEX(Properties!$D:$D,$B68+5)*(IF(T$3=INDEX(Properties!$U:$U,$B68+5),INDEX(Properties!$W:$W,$B68+5),0))</f>
        <v>0</v>
      </c>
      <c r="U68" s="123" cm="1">
        <f t="array" ref="U68">INDEX(Properties!$D:$D,$B68+5)*(IF(U$3=INDEX(Properties!$U:$U,$B68+5),INDEX(Properties!$W:$W,$B68+5),0))</f>
        <v>0</v>
      </c>
      <c r="V68" s="123" cm="1">
        <f t="array" ref="V68">INDEX(Properties!$D:$D,$B68+5)*(IF(V$3=INDEX(Properties!$U:$U,$B68+5),INDEX(Properties!$W:$W,$B68+5),0))</f>
        <v>0</v>
      </c>
      <c r="W68" s="123" cm="1">
        <f t="array" ref="W68">INDEX(Properties!$D:$D,$B68+5)*(IF(W$3=INDEX(Properties!$U:$U,$B68+5),INDEX(Properties!$W:$W,$B68+5),0))</f>
        <v>0</v>
      </c>
      <c r="X68" s="123" cm="1">
        <f t="array" ref="X68">INDEX(Properties!$D:$D,$B68+5)*(IF(X$3=INDEX(Properties!$U:$U,$B68+5),INDEX(Properties!$W:$W,$B68+5),0))</f>
        <v>0</v>
      </c>
      <c r="Y68" s="123" cm="1">
        <f t="array" ref="Y68">INDEX(Properties!$D:$D,$B68+5)*(IF(Y$3=INDEX(Properties!$U:$U,$B68+5),INDEX(Properties!$W:$W,$B68+5),0))</f>
        <v>0</v>
      </c>
      <c r="Z68" s="123" cm="1">
        <f t="array" ref="Z68">INDEX(Properties!$D:$D,$B68+5)*(IF(Z$3=INDEX(Properties!$U:$U,$B68+5),INDEX(Properties!$W:$W,$B68+5),0))</f>
        <v>0</v>
      </c>
      <c r="AA68" s="123" cm="1">
        <f t="array" ref="AA68">INDEX(Properties!$D:$D,$B68+5)*(IF(AA$3=INDEX(Properties!$U:$U,$B68+5),INDEX(Properties!$W:$W,$B68+5),0))</f>
        <v>0</v>
      </c>
      <c r="AB68" s="123" cm="1">
        <f t="array" ref="AB68">INDEX(Properties!$D:$D,$B68+5)*(IF(AB$3=INDEX(Properties!$U:$U,$B68+5),INDEX(Properties!$W:$W,$B68+5),0))</f>
        <v>0</v>
      </c>
      <c r="AC68" s="123" cm="1">
        <f t="array" ref="AC68">INDEX(Properties!$D:$D,$B68+5)*(IF(AC$3=INDEX(Properties!$U:$U,$B68+5),INDEX(Properties!$W:$W,$B68+5),0))</f>
        <v>0</v>
      </c>
      <c r="AD68" s="123" cm="1">
        <f t="array" ref="AD68">INDEX(Properties!$D:$D,$B68+5)*(IF(AD$3=INDEX(Properties!$U:$U,$B68+5),INDEX(Properties!$W:$W,$B68+5),0))</f>
        <v>0</v>
      </c>
      <c r="AE68" s="123" cm="1">
        <f t="array" ref="AE68">INDEX(Properties!$D:$D,$B68+5)*(IF(AE$3=INDEX(Properties!$U:$U,$B68+5),INDEX(Properties!$W:$W,$B68+5),0))</f>
        <v>0</v>
      </c>
      <c r="AF68" s="123" cm="1">
        <f t="array" ref="AF68">INDEX(Properties!$D:$D,$B68+5)*(IF(AF$3=INDEX(Properties!$U:$U,$B68+5),INDEX(Properties!$W:$W,$B68+5),0))</f>
        <v>0</v>
      </c>
      <c r="AG68" s="123" cm="1">
        <f t="array" ref="AG68">INDEX(Properties!$D:$D,$B68+5)*(IF(AG$3=INDEX(Properties!$U:$U,$B68+5),INDEX(Properties!$W:$W,$B68+5),0))</f>
        <v>0</v>
      </c>
      <c r="AH68" s="123" cm="1">
        <f t="array" ref="AH68">INDEX(Properties!$D:$D,$B68+5)*(IF(AH$3=INDEX(Properties!$U:$U,$B68+5),INDEX(Properties!$W:$W,$B68+5),0))</f>
        <v>0</v>
      </c>
      <c r="AI68" s="123" cm="1">
        <f t="array" ref="AI68">INDEX(Properties!$D:$D,$B68+5)*(IF(AI$3=INDEX(Properties!$U:$U,$B68+5),INDEX(Properties!$W:$W,$B68+5),0))</f>
        <v>0</v>
      </c>
      <c r="AJ68" s="123" cm="1">
        <f t="array" ref="AJ68">INDEX(Properties!$D:$D,$B68+5)*(IF(AJ$3=INDEX(Properties!$U:$U,$B68+5),INDEX(Properties!$W:$W,$B68+5),0))</f>
        <v>0</v>
      </c>
      <c r="AK68" s="123" cm="1">
        <f t="array" ref="AK68">INDEX(Properties!$D:$D,$B68+5)*(IF(AK$3=INDEX(Properties!$U:$U,$B68+5),INDEX(Properties!$W:$W,$B68+5),0))</f>
        <v>0</v>
      </c>
      <c r="AL68" s="123" cm="1">
        <f t="array" ref="AL68">INDEX(Properties!$D:$D,$B68+5)*(IF(AL$3=INDEX(Properties!$U:$U,$B68+5),INDEX(Properties!$W:$W,$B68+5),0))</f>
        <v>0</v>
      </c>
      <c r="AM68" s="123" cm="1">
        <f t="array" ref="AM68">INDEX(Properties!$D:$D,$B68+5)*(IF(AM$3=INDEX(Properties!$U:$U,$B68+5),INDEX(Properties!$W:$W,$B68+5),0))</f>
        <v>0</v>
      </c>
      <c r="AN68" s="123" cm="1">
        <f t="array" ref="AN68">INDEX(Properties!$D:$D,$B68+5)*(IF(AN$3=INDEX(Properties!$U:$U,$B68+5),INDEX(Properties!$W:$W,$B68+5),0))</f>
        <v>0</v>
      </c>
      <c r="AO68" s="123" cm="1">
        <f t="array" ref="AO68">INDEX(Properties!$D:$D,$B68+5)*(IF(AO$3=INDEX(Properties!$U:$U,$B68+5),INDEX(Properties!$W:$W,$B68+5),0))</f>
        <v>0</v>
      </c>
      <c r="AP68" s="123" cm="1">
        <f t="array" ref="AP68">INDEX(Properties!$D:$D,$B68+5)*(IF(AP$3=INDEX(Properties!$U:$U,$B68+5),INDEX(Properties!$W:$W,$B68+5),0))</f>
        <v>0</v>
      </c>
      <c r="AQ68" s="123" cm="1">
        <f t="array" ref="AQ68">INDEX(Properties!$D:$D,$B68+5)*(IF(AQ$3=INDEX(Properties!$U:$U,$B68+5),INDEX(Properties!$W:$W,$B68+5),0))</f>
        <v>0</v>
      </c>
      <c r="AR68" s="123" cm="1">
        <f t="array" ref="AR68">INDEX(Properties!$D:$D,$B68+5)*(IF(AR$3=INDEX(Properties!$U:$U,$B68+5),INDEX(Properties!$W:$W,$B68+5),0))</f>
        <v>0</v>
      </c>
      <c r="AS68" s="123" cm="1">
        <f t="array" ref="AS68">INDEX(Properties!$D:$D,$B68+5)*(IF(AS$3=INDEX(Properties!$U:$U,$B68+5),INDEX(Properties!$W:$W,$B68+5),0))</f>
        <v>0</v>
      </c>
      <c r="AT68" s="123" cm="1">
        <f t="array" ref="AT68">INDEX(Properties!$D:$D,$B68+5)*(IF(AT$3=INDEX(Properties!$U:$U,$B68+5),INDEX(Properties!$W:$W,$B68+5),0))</f>
        <v>0</v>
      </c>
      <c r="AU68" s="123" cm="1">
        <f t="array" ref="AU68">INDEX(Properties!$D:$D,$B68+5)*(IF(AU$3=INDEX(Properties!$U:$U,$B68+5),INDEX(Properties!$W:$W,$B68+5),0))</f>
        <v>0</v>
      </c>
      <c r="AV68" s="123" cm="1">
        <f t="array" ref="AV68">INDEX(Properties!$D:$D,$B68+5)*(IF(AV$3=INDEX(Properties!$U:$U,$B68+5),INDEX(Properties!$W:$W,$B68+5),0))</f>
        <v>0</v>
      </c>
      <c r="AW68" s="123" cm="1">
        <f t="array" ref="AW68">INDEX(Properties!$D:$D,$B68+5)*(IF(AW$3=INDEX(Properties!$U:$U,$B68+5),INDEX(Properties!$W:$W,$B68+5),0))</f>
        <v>0</v>
      </c>
      <c r="AX68" s="123" cm="1">
        <f t="array" ref="AX68">INDEX(Properties!$D:$D,$B68+5)*(IF(AX$3=INDEX(Properties!$U:$U,$B68+5),INDEX(Properties!$W:$W,$B68+5),0))</f>
        <v>0</v>
      </c>
      <c r="AY68" s="123" cm="1">
        <f t="array" ref="AY68">INDEX(Properties!$D:$D,$B68+5)*(IF(AY$3=INDEX(Properties!$U:$U,$B68+5),INDEX(Properties!$W:$W,$B68+5),0))</f>
        <v>0</v>
      </c>
      <c r="AZ68" s="123" cm="1">
        <f t="array" ref="AZ68">INDEX(Properties!$D:$D,$B68+5)*(IF(AZ$3=INDEX(Properties!$U:$U,$B68+5),INDEX(Properties!$W:$W,$B68+5),0))</f>
        <v>0</v>
      </c>
      <c r="BA68" s="123" cm="1">
        <f t="array" ref="BA68">INDEX(Properties!$D:$D,$B68+5)*(IF(BA$3=INDEX(Properties!$U:$U,$B68+5),INDEX(Properties!$W:$W,$B68+5),0))</f>
        <v>0</v>
      </c>
      <c r="BB68" s="123" cm="1">
        <f t="array" ref="BB68">INDEX(Properties!$D:$D,$B68+5)*(IF(BB$3=INDEX(Properties!$U:$U,$B68+5),INDEX(Properties!$W:$W,$B68+5),0))</f>
        <v>0</v>
      </c>
      <c r="BC68" s="123" cm="1">
        <f t="array" ref="BC68">INDEX(Properties!$D:$D,$B68+5)*(IF(BC$3=INDEX(Properties!$U:$U,$B68+5),INDEX(Properties!$W:$W,$B68+5),0))</f>
        <v>0</v>
      </c>
      <c r="BD68" s="123" cm="1">
        <f t="array" ref="BD68">INDEX(Properties!$D:$D,$B68+5)*(IF(BD$3=INDEX(Properties!$U:$U,$B68+5),INDEX(Properties!$W:$W,$B68+5),0))</f>
        <v>0</v>
      </c>
      <c r="BE68" s="123" cm="1">
        <f t="array" ref="BE68">INDEX(Properties!$D:$D,$B68+5)*(IF(BE$3=INDEX(Properties!$U:$U,$B68+5),INDEX(Properties!$W:$W,$B68+5),0))</f>
        <v>0</v>
      </c>
      <c r="BF68" s="123" cm="1">
        <f t="array" ref="BF68">INDEX(Properties!$D:$D,$B68+5)*(IF(BF$3=INDEX(Properties!$U:$U,$B68+5),INDEX(Properties!$W:$W,$B68+5),0))</f>
        <v>0</v>
      </c>
      <c r="BG68" s="123" cm="1">
        <f t="array" ref="BG68">INDEX(Properties!$D:$D,$B68+5)*(IF(BG$3=INDEX(Properties!$U:$U,$B68+5),INDEX(Properties!$W:$W,$B68+5),0))</f>
        <v>0</v>
      </c>
      <c r="BH68" s="123" cm="1">
        <f t="array" ref="BH68">INDEX(Properties!$D:$D,$B68+5)*(IF(BH$3=INDEX(Properties!$U:$U,$B68+5),INDEX(Properties!$W:$W,$B68+5),0))</f>
        <v>0</v>
      </c>
      <c r="BI68" s="123" cm="1">
        <f t="array" ref="BI68">INDEX(Properties!$D:$D,$B68+5)*(IF(BI$3=INDEX(Properties!$U:$U,$B68+5),INDEX(Properties!$W:$W,$B68+5),0))</f>
        <v>0</v>
      </c>
      <c r="BJ68" s="123" cm="1">
        <f t="array" ref="BJ68">INDEX(Properties!$D:$D,$B68+5)*(IF(BJ$3=INDEX(Properties!$U:$U,$B68+5),INDEX(Properties!$W:$W,$B68+5),0))</f>
        <v>0</v>
      </c>
      <c r="BK68" s="123" cm="1">
        <f t="array" ref="BK68">INDEX(Properties!$D:$D,$B68+5)*(IF(BK$3=INDEX(Properties!$U:$U,$B68+5),INDEX(Properties!$W:$W,$B68+5),0))</f>
        <v>0</v>
      </c>
      <c r="BL68" s="123" cm="1">
        <f t="array" ref="BL68">INDEX(Properties!$D:$D,$B68+5)*(IF(BL$3=INDEX(Properties!$U:$U,$B68+5),INDEX(Properties!$W:$W,$B68+5),0))</f>
        <v>0</v>
      </c>
      <c r="BM68" s="123" cm="1">
        <f t="array" ref="BM68">INDEX(Properties!$D:$D,$B68+5)*(IF(BM$3=INDEX(Properties!$U:$U,$B68+5),INDEX(Properties!$W:$W,$B68+5),0))</f>
        <v>0</v>
      </c>
      <c r="BN68" s="123" cm="1">
        <f t="array" ref="BN68">INDEX(Properties!$D:$D,$B68+5)*(IF(BN$3=INDEX(Properties!$U:$U,$B68+5),INDEX(Properties!$W:$W,$B68+5),0))</f>
        <v>0</v>
      </c>
      <c r="BO68" s="123" cm="1">
        <f t="array" ref="BO68">INDEX(Properties!$D:$D,$B68+5)*(IF(BO$3=INDEX(Properties!$U:$U,$B68+5),INDEX(Properties!$W:$W,$B68+5),0))</f>
        <v>0</v>
      </c>
      <c r="BP68" s="123" cm="1">
        <f t="array" ref="BP68">INDEX(Properties!$D:$D,$B68+5)*(IF(BP$3=INDEX(Properties!$U:$U,$B68+5),INDEX(Properties!$W:$W,$B68+5),0))</f>
        <v>0</v>
      </c>
      <c r="BQ68" s="123" cm="1">
        <f t="array" ref="BQ68">INDEX(Properties!$D:$D,$B68+5)*(IF(BQ$3=INDEX(Properties!$U:$U,$B68+5),INDEX(Properties!$W:$W,$B68+5),0))</f>
        <v>0</v>
      </c>
      <c r="BR68" s="123" cm="1">
        <f t="array" ref="BR68">INDEX(Properties!$D:$D,$B68+5)*(IF(BR$3=INDEX(Properties!$U:$U,$B68+5),INDEX(Properties!$W:$W,$B68+5),0))</f>
        <v>0</v>
      </c>
      <c r="BS68" s="123" cm="1">
        <f t="array" ref="BS68">INDEX(Properties!$D:$D,$B68+5)*(IF(BS$3=INDEX(Properties!$U:$U,$B68+5),INDEX(Properties!$W:$W,$B68+5),0))</f>
        <v>0</v>
      </c>
      <c r="BT68" s="123" cm="1">
        <f t="array" ref="BT68">INDEX(Properties!$D:$D,$B68+5)*(IF(BT$3=INDEX(Properties!$U:$U,$B68+5),INDEX(Properties!$W:$W,$B68+5),0))</f>
        <v>0</v>
      </c>
      <c r="BU68" s="123" cm="1">
        <f t="array" ref="BU68">INDEX(Properties!$D:$D,$B68+5)*(IF(BU$3=INDEX(Properties!$U:$U,$B68+5),INDEX(Properties!$W:$W,$B68+5),0))</f>
        <v>0</v>
      </c>
      <c r="BV68" s="123" cm="1">
        <f t="array" ref="BV68">INDEX(Properties!$D:$D,$B68+5)*(IF(BV$3=INDEX(Properties!$U:$U,$B68+5),INDEX(Properties!$W:$W,$B68+5),0))</f>
        <v>0</v>
      </c>
      <c r="BW68" s="123" cm="1">
        <f t="array" ref="BW68">INDEX(Properties!$D:$D,$B68+5)*(IF(BW$3=INDEX(Properties!$U:$U,$B68+5),INDEX(Properties!$W:$W,$B68+5),0))</f>
        <v>0</v>
      </c>
      <c r="BX68" s="123" cm="1">
        <f t="array" ref="BX68">INDEX(Properties!$D:$D,$B68+5)*(IF(BX$3=INDEX(Properties!$U:$U,$B68+5),INDEX(Properties!$W:$W,$B68+5),0))</f>
        <v>0</v>
      </c>
      <c r="BY68" s="123" cm="1">
        <f t="array" ref="BY68">INDEX(Properties!$D:$D,$B68+5)*(IF(BY$3=INDEX(Properties!$U:$U,$B68+5),INDEX(Properties!$W:$W,$B68+5),0))</f>
        <v>0</v>
      </c>
      <c r="BZ68" s="123" cm="1">
        <f t="array" ref="BZ68">INDEX(Properties!$D:$D,$B68+5)*(IF(BZ$3=INDEX(Properties!$U:$U,$B68+5),INDEX(Properties!$W:$W,$B68+5),0))</f>
        <v>0</v>
      </c>
      <c r="CA68" s="123" cm="1">
        <f t="array" ref="CA68">INDEX(Properties!$D:$D,$B68+5)*(IF(CA$3=INDEX(Properties!$U:$U,$B68+5),INDEX(Properties!$W:$W,$B68+5),0))</f>
        <v>0</v>
      </c>
      <c r="CB68" s="123" cm="1">
        <f t="array" ref="CB68">INDEX(Properties!$D:$D,$B68+5)*(IF(CB$3=INDEX(Properties!$U:$U,$B68+5),INDEX(Properties!$W:$W,$B68+5),0))</f>
        <v>0</v>
      </c>
      <c r="CC68" s="123" cm="1">
        <f t="array" ref="CC68">INDEX(Properties!$D:$D,$B68+5)*(IF(CC$3=INDEX(Properties!$U:$U,$B68+5),INDEX(Properties!$W:$W,$B68+5),0))</f>
        <v>0</v>
      </c>
      <c r="CD68" s="123" cm="1">
        <f t="array" ref="CD68">INDEX(Properties!$D:$D,$B68+5)*(IF(CD$3=INDEX(Properties!$U:$U,$B68+5),INDEX(Properties!$W:$W,$B68+5),0))</f>
        <v>0</v>
      </c>
      <c r="CE68" s="123" cm="1">
        <f t="array" ref="CE68">INDEX(Properties!$D:$D,$B68+5)*(IF(CE$3=INDEX(Properties!$U:$U,$B68+5),INDEX(Properties!$W:$W,$B68+5),0))</f>
        <v>0</v>
      </c>
      <c r="CF68" s="123" cm="1">
        <f t="array" ref="CF68">INDEX(Properties!$D:$D,$B68+5)*(IF(CF$3=INDEX(Properties!$U:$U,$B68+5),INDEX(Properties!$W:$W,$B68+5),0))</f>
        <v>0</v>
      </c>
      <c r="CG68" s="123" cm="1">
        <f t="array" ref="CG68">INDEX(Properties!$D:$D,$B68+5)*(IF(CG$3=INDEX(Properties!$U:$U,$B68+5),INDEX(Properties!$W:$W,$B68+5),0))</f>
        <v>0</v>
      </c>
      <c r="CH68" s="123" cm="1">
        <f t="array" ref="CH68">INDEX(Properties!$D:$D,$B68+5)*(IF(CH$3=INDEX(Properties!$U:$U,$B68+5),INDEX(Properties!$W:$W,$B68+5),0))</f>
        <v>0</v>
      </c>
      <c r="CI68" s="123" cm="1">
        <f t="array" ref="CI68">INDEX(Properties!$D:$D,$B68+5)*(IF(CI$3=INDEX(Properties!$U:$U,$B68+5),INDEX(Properties!$W:$W,$B68+5),0))</f>
        <v>0</v>
      </c>
      <c r="CJ68" s="123" cm="1">
        <f t="array" ref="CJ68">INDEX(Properties!$D:$D,$B68+5)*(IF(CJ$3=INDEX(Properties!$U:$U,$B68+5),INDEX(Properties!$W:$W,$B68+5),0))</f>
        <v>0</v>
      </c>
      <c r="CK68" s="123" cm="1">
        <f t="array" ref="CK68">INDEX(Properties!$D:$D,$B68+5)*(IF(CK$3=INDEX(Properties!$U:$U,$B68+5),INDEX(Properties!$W:$W,$B68+5),0))</f>
        <v>0</v>
      </c>
      <c r="CL68" s="123" cm="1">
        <f t="array" ref="CL68">INDEX(Properties!$D:$D,$B68+5)*(IF(CL$3=INDEX(Properties!$U:$U,$B68+5),INDEX(Properties!$W:$W,$B68+5),0))</f>
        <v>0</v>
      </c>
      <c r="CM68" s="123" cm="1">
        <f t="array" ref="CM68">INDEX(Properties!$D:$D,$B68+5)*(IF(CM$3=INDEX(Properties!$U:$U,$B68+5),INDEX(Properties!$W:$W,$B68+5),0))</f>
        <v>0</v>
      </c>
      <c r="CN68" s="123" cm="1">
        <f t="array" ref="CN68">INDEX(Properties!$D:$D,$B68+5)*(IF(CN$3=INDEX(Properties!$U:$U,$B68+5),INDEX(Properties!$W:$W,$B68+5),0))</f>
        <v>0</v>
      </c>
      <c r="CO68" s="123" cm="1">
        <f t="array" ref="CO68">INDEX(Properties!$D:$D,$B68+5)*(IF(CO$3=INDEX(Properties!$U:$U,$B68+5),INDEX(Properties!$W:$W,$B68+5),0))</f>
        <v>0</v>
      </c>
      <c r="CP68" s="123" cm="1">
        <f t="array" ref="CP68">INDEX(Properties!$D:$D,$B68+5)*(IF(CP$3=INDEX(Properties!$U:$U,$B68+5),INDEX(Properties!$W:$W,$B68+5),0))</f>
        <v>0</v>
      </c>
      <c r="CQ68" s="123" cm="1">
        <f t="array" ref="CQ68">INDEX(Properties!$D:$D,$B68+5)*(IF(CQ$3=INDEX(Properties!$U:$U,$B68+5),INDEX(Properties!$W:$W,$B68+5),0))</f>
        <v>0</v>
      </c>
      <c r="CR68" s="123" cm="1">
        <f t="array" ref="CR68">INDEX(Properties!$D:$D,$B68+5)*(IF(CR$3=INDEX(Properties!$U:$U,$B68+5),INDEX(Properties!$W:$W,$B68+5),0))</f>
        <v>0</v>
      </c>
      <c r="CS68" s="123" cm="1">
        <f t="array" ref="CS68">INDEX(Properties!$D:$D,$B68+5)*(IF(CS$3=INDEX(Properties!$U:$U,$B68+5),INDEX(Properties!$W:$W,$B68+5),0))</f>
        <v>0</v>
      </c>
      <c r="CT68" s="123" cm="1">
        <f t="array" ref="CT68">INDEX(Properties!$D:$D,$B68+5)*(IF(CT$3=INDEX(Properties!$U:$U,$B68+5),INDEX(Properties!$W:$W,$B68+5),0))</f>
        <v>0</v>
      </c>
      <c r="CU68" s="123" cm="1">
        <f t="array" ref="CU68">INDEX(Properties!$D:$D,$B68+5)*(IF(CU$3=INDEX(Properties!$U:$U,$B68+5),INDEX(Properties!$W:$W,$B68+5),0))</f>
        <v>0</v>
      </c>
      <c r="CV68" s="123" cm="1">
        <f t="array" ref="CV68">INDEX(Properties!$D:$D,$B68+5)*(IF(CV$3=INDEX(Properties!$U:$U,$B68+5),INDEX(Properties!$W:$W,$B68+5),0))</f>
        <v>0</v>
      </c>
      <c r="CW68" s="123" cm="1">
        <f t="array" ref="CW68">INDEX(Properties!$D:$D,$B68+5)*(IF(CW$3=INDEX(Properties!$U:$U,$B68+5),INDEX(Properties!$W:$W,$B68+5),0))</f>
        <v>0</v>
      </c>
      <c r="CX68" s="123" cm="1">
        <f t="array" ref="CX68">INDEX(Properties!$D:$D,$B68+5)*(IF(CX$3=INDEX(Properties!$U:$U,$B68+5),INDEX(Properties!$W:$W,$B68+5),0))</f>
        <v>0</v>
      </c>
      <c r="CY68" s="123" cm="1">
        <f t="array" ref="CY68">INDEX(Properties!$D:$D,$B68+5)*(IF(CY$3=INDEX(Properties!$U:$U,$B68+5),INDEX(Properties!$W:$W,$B68+5),0))</f>
        <v>0</v>
      </c>
      <c r="CZ68" s="123" cm="1">
        <f t="array" ref="CZ68">INDEX(Properties!$D:$D,$B68+5)*(IF(CZ$3=INDEX(Properties!$U:$U,$B68+5),INDEX(Properties!$W:$W,$B68+5),0))</f>
        <v>0</v>
      </c>
      <c r="DA68" s="123" cm="1">
        <f t="array" ref="DA68">INDEX(Properties!$D:$D,$B68+5)*(IF(DA$3=INDEX(Properties!$U:$U,$B68+5),INDEX(Properties!$W:$W,$B68+5),0))</f>
        <v>0</v>
      </c>
      <c r="DB68" s="123" cm="1">
        <f t="array" ref="DB68">INDEX(Properties!$D:$D,$B68+5)*(IF(DB$3=INDEX(Properties!$U:$U,$B68+5),INDEX(Properties!$W:$W,$B68+5),0))</f>
        <v>0</v>
      </c>
      <c r="DC68" s="123" cm="1">
        <f t="array" ref="DC68">INDEX(Properties!$D:$D,$B68+5)*(IF(DC$3=INDEX(Properties!$U:$U,$B68+5),INDEX(Properties!$W:$W,$B68+5),0))</f>
        <v>0</v>
      </c>
      <c r="DD68" s="123" cm="1">
        <f t="array" ref="DD68">INDEX(Properties!$D:$D,$B68+5)*(IF(DD$3=INDEX(Properties!$U:$U,$B68+5),INDEX(Properties!$W:$W,$B68+5),0))</f>
        <v>0</v>
      </c>
      <c r="DE68" s="123" cm="1">
        <f t="array" ref="DE68">INDEX(Properties!$D:$D,$B68+5)*(IF(DE$3=INDEX(Properties!$U:$U,$B68+5),INDEX(Properties!$W:$W,$B68+5),0))</f>
        <v>0</v>
      </c>
      <c r="DF68" s="123" cm="1">
        <f t="array" ref="DF68">INDEX(Properties!$D:$D,$B68+5)*(IF(DF$3=INDEX(Properties!$U:$U,$B68+5),INDEX(Properties!$W:$W,$B68+5),0))</f>
        <v>0</v>
      </c>
      <c r="DG68" s="123" cm="1">
        <f t="array" ref="DG68">INDEX(Properties!$D:$D,$B68+5)*(IF(DG$3=INDEX(Properties!$U:$U,$B68+5),INDEX(Properties!$W:$W,$B68+5),0))</f>
        <v>0</v>
      </c>
      <c r="DH68" s="123" cm="1">
        <f t="array" ref="DH68">INDEX(Properties!$D:$D,$B68+5)*(IF(DH$3=INDEX(Properties!$U:$U,$B68+5),INDEX(Properties!$W:$W,$B68+5),0))</f>
        <v>0</v>
      </c>
      <c r="DI68" s="123" cm="1">
        <f t="array" ref="DI68">INDEX(Properties!$D:$D,$B68+5)*(IF(DI$3=INDEX(Properties!$U:$U,$B68+5),INDEX(Properties!$W:$W,$B68+5),0))</f>
        <v>0</v>
      </c>
      <c r="DJ68" s="123" cm="1">
        <f t="array" ref="DJ68">INDEX(Properties!$D:$D,$B68+5)*(IF(DJ$3=INDEX(Properties!$U:$U,$B68+5),INDEX(Properties!$W:$W,$B68+5),0))</f>
        <v>0</v>
      </c>
      <c r="DK68" s="123" cm="1">
        <f t="array" ref="DK68">INDEX(Properties!$D:$D,$B68+5)*(IF(DK$3=INDEX(Properties!$U:$U,$B68+5),INDEX(Properties!$W:$W,$B68+5),0))</f>
        <v>0</v>
      </c>
      <c r="DL68" s="123" cm="1">
        <f t="array" ref="DL68">INDEX(Properties!$D:$D,$B68+5)*(IF(DL$3=INDEX(Properties!$U:$U,$B68+5),INDEX(Properties!$W:$W,$B68+5),0))</f>
        <v>0</v>
      </c>
      <c r="DM68" s="123" cm="1">
        <f t="array" ref="DM68">INDEX(Properties!$D:$D,$B68+5)*(IF(DM$3=INDEX(Properties!$U:$U,$B68+5),INDEX(Properties!$W:$W,$B68+5),0))</f>
        <v>0</v>
      </c>
      <c r="DN68" s="123" cm="1">
        <f t="array" ref="DN68">INDEX(Properties!$D:$D,$B68+5)*(IF(DN$3=INDEX(Properties!$U:$U,$B68+5),INDEX(Properties!$W:$W,$B68+5),0))</f>
        <v>0</v>
      </c>
      <c r="DO68" s="123" cm="1">
        <f t="array" ref="DO68">INDEX(Properties!$D:$D,$B68+5)*(IF(DO$3=INDEX(Properties!$U:$U,$B68+5),INDEX(Properties!$W:$W,$B68+5),0))</f>
        <v>0</v>
      </c>
      <c r="DP68" s="123" cm="1">
        <f t="array" ref="DP68">INDEX(Properties!$D:$D,$B68+5)*(IF(DP$3=INDEX(Properties!$U:$U,$B68+5),INDEX(Properties!$W:$W,$B68+5),0))</f>
        <v>0</v>
      </c>
      <c r="DQ68" s="123" cm="1">
        <f t="array" ref="DQ68">INDEX(Properties!$D:$D,$B68+5)*(IF(DQ$3=INDEX(Properties!$U:$U,$B68+5),INDEX(Properties!$W:$W,$B68+5),0))</f>
        <v>0</v>
      </c>
      <c r="DR68" s="123" cm="1">
        <f t="array" ref="DR68">INDEX(Properties!$D:$D,$B68+5)*(IF(DR$3=INDEX(Properties!$U:$U,$B68+5),INDEX(Properties!$W:$W,$B68+5),0))</f>
        <v>0</v>
      </c>
    </row>
    <row r="69" spans="1:122" ht="16.05" customHeight="1" x14ac:dyDescent="0.3">
      <c r="A69" s="148" cm="1">
        <f t="array" ref="A69">INDEX(Properties!$E:$E,$B69+5)</f>
        <v>0</v>
      </c>
      <c r="B69" s="1">
        <v>10</v>
      </c>
      <c r="C69" s="123" cm="1">
        <f t="array" ref="C69">INDEX(Properties!$D:$D,$B69+5)*(IF(C$3=INDEX(Properties!$U:$U,$B69+5),INDEX(Properties!$W:$W,$B69+5),0))</f>
        <v>0</v>
      </c>
      <c r="D69" s="123" cm="1">
        <f t="array" ref="D69">INDEX(Properties!$D:$D,$B69+5)*(IF(D$3=INDEX(Properties!$U:$U,$B69+5),INDEX(Properties!$W:$W,$B69+5),0))</f>
        <v>0</v>
      </c>
      <c r="E69" s="123" cm="1">
        <f t="array" ref="E69">INDEX(Properties!$D:$D,$B69+5)*(IF(E$3=INDEX(Properties!$U:$U,$B69+5),INDEX(Properties!$W:$W,$B69+5),0))</f>
        <v>0</v>
      </c>
      <c r="F69" s="123" cm="1">
        <f t="array" ref="F69">INDEX(Properties!$D:$D,$B69+5)*(IF(F$3=INDEX(Properties!$U:$U,$B69+5),INDEX(Properties!$W:$W,$B69+5),0))</f>
        <v>0</v>
      </c>
      <c r="G69" s="123" cm="1">
        <f t="array" ref="G69">INDEX(Properties!$D:$D,$B69+5)*(IF(G$3=INDEX(Properties!$U:$U,$B69+5),INDEX(Properties!$W:$W,$B69+5),0))</f>
        <v>0</v>
      </c>
      <c r="H69" s="123" cm="1">
        <f t="array" ref="H69">INDEX(Properties!$D:$D,$B69+5)*(IF(H$3=INDEX(Properties!$U:$U,$B69+5),INDEX(Properties!$W:$W,$B69+5),0))</f>
        <v>0</v>
      </c>
      <c r="I69" s="123" cm="1">
        <f t="array" ref="I69">INDEX(Properties!$D:$D,$B69+5)*(IF(I$3=INDEX(Properties!$U:$U,$B69+5),INDEX(Properties!$W:$W,$B69+5),0))</f>
        <v>0</v>
      </c>
      <c r="J69" s="123" cm="1">
        <f t="array" ref="J69">INDEX(Properties!$D:$D,$B69+5)*(IF(J$3=INDEX(Properties!$U:$U,$B69+5),INDEX(Properties!$W:$W,$B69+5),0))</f>
        <v>0</v>
      </c>
      <c r="K69" s="123" cm="1">
        <f t="array" ref="K69">INDEX(Properties!$D:$D,$B69+5)*(IF(K$3=INDEX(Properties!$U:$U,$B69+5),INDEX(Properties!$W:$W,$B69+5),0))</f>
        <v>0</v>
      </c>
      <c r="L69" s="123" cm="1">
        <f t="array" ref="L69">INDEX(Properties!$D:$D,$B69+5)*(IF(L$3=INDEX(Properties!$U:$U,$B69+5),INDEX(Properties!$W:$W,$B69+5),0))</f>
        <v>0</v>
      </c>
      <c r="M69" s="123" cm="1">
        <f t="array" ref="M69">INDEX(Properties!$D:$D,$B69+5)*(IF(M$3=INDEX(Properties!$U:$U,$B69+5),INDEX(Properties!$W:$W,$B69+5),0))</f>
        <v>0</v>
      </c>
      <c r="N69" s="123" cm="1">
        <f t="array" ref="N69">INDEX(Properties!$D:$D,$B69+5)*(IF(N$3=INDEX(Properties!$U:$U,$B69+5),INDEX(Properties!$W:$W,$B69+5),0))</f>
        <v>0</v>
      </c>
      <c r="O69" s="123" cm="1">
        <f t="array" ref="O69">INDEX(Properties!$D:$D,$B69+5)*(IF(O$3=INDEX(Properties!$U:$U,$B69+5),INDEX(Properties!$W:$W,$B69+5),0))</f>
        <v>0</v>
      </c>
      <c r="P69" s="123" cm="1">
        <f t="array" ref="P69">INDEX(Properties!$D:$D,$B69+5)*(IF(P$3=INDEX(Properties!$U:$U,$B69+5),INDEX(Properties!$W:$W,$B69+5),0))</f>
        <v>0</v>
      </c>
      <c r="Q69" s="123" cm="1">
        <f t="array" ref="Q69">INDEX(Properties!$D:$D,$B69+5)*(IF(Q$3=INDEX(Properties!$U:$U,$B69+5),INDEX(Properties!$W:$W,$B69+5),0))</f>
        <v>0</v>
      </c>
      <c r="R69" s="123" cm="1">
        <f t="array" ref="R69">INDEX(Properties!$D:$D,$B69+5)*(IF(R$3=INDEX(Properties!$U:$U,$B69+5),INDEX(Properties!$W:$W,$B69+5),0))</f>
        <v>0</v>
      </c>
      <c r="S69" s="123" cm="1">
        <f t="array" ref="S69">INDEX(Properties!$D:$D,$B69+5)*(IF(S$3=INDEX(Properties!$U:$U,$B69+5),INDEX(Properties!$W:$W,$B69+5),0))</f>
        <v>0</v>
      </c>
      <c r="T69" s="123" cm="1">
        <f t="array" ref="T69">INDEX(Properties!$D:$D,$B69+5)*(IF(T$3=INDEX(Properties!$U:$U,$B69+5),INDEX(Properties!$W:$W,$B69+5),0))</f>
        <v>0</v>
      </c>
      <c r="U69" s="123" cm="1">
        <f t="array" ref="U69">INDEX(Properties!$D:$D,$B69+5)*(IF(U$3=INDEX(Properties!$U:$U,$B69+5),INDEX(Properties!$W:$W,$B69+5),0))</f>
        <v>0</v>
      </c>
      <c r="V69" s="123" cm="1">
        <f t="array" ref="V69">INDEX(Properties!$D:$D,$B69+5)*(IF(V$3=INDEX(Properties!$U:$U,$B69+5),INDEX(Properties!$W:$W,$B69+5),0))</f>
        <v>0</v>
      </c>
      <c r="W69" s="123" cm="1">
        <f t="array" ref="W69">INDEX(Properties!$D:$D,$B69+5)*(IF(W$3=INDEX(Properties!$U:$U,$B69+5),INDEX(Properties!$W:$W,$B69+5),0))</f>
        <v>0</v>
      </c>
      <c r="X69" s="123" cm="1">
        <f t="array" ref="X69">INDEX(Properties!$D:$D,$B69+5)*(IF(X$3=INDEX(Properties!$U:$U,$B69+5),INDEX(Properties!$W:$W,$B69+5),0))</f>
        <v>0</v>
      </c>
      <c r="Y69" s="123" cm="1">
        <f t="array" ref="Y69">INDEX(Properties!$D:$D,$B69+5)*(IF(Y$3=INDEX(Properties!$U:$U,$B69+5),INDEX(Properties!$W:$W,$B69+5),0))</f>
        <v>0</v>
      </c>
      <c r="Z69" s="123" cm="1">
        <f t="array" ref="Z69">INDEX(Properties!$D:$D,$B69+5)*(IF(Z$3=INDEX(Properties!$U:$U,$B69+5),INDEX(Properties!$W:$W,$B69+5),0))</f>
        <v>0</v>
      </c>
      <c r="AA69" s="123" cm="1">
        <f t="array" ref="AA69">INDEX(Properties!$D:$D,$B69+5)*(IF(AA$3=INDEX(Properties!$U:$U,$B69+5),INDEX(Properties!$W:$W,$B69+5),0))</f>
        <v>0</v>
      </c>
      <c r="AB69" s="123" cm="1">
        <f t="array" ref="AB69">INDEX(Properties!$D:$D,$B69+5)*(IF(AB$3=INDEX(Properties!$U:$U,$B69+5),INDEX(Properties!$W:$W,$B69+5),0))</f>
        <v>0</v>
      </c>
      <c r="AC69" s="123" cm="1">
        <f t="array" ref="AC69">INDEX(Properties!$D:$D,$B69+5)*(IF(AC$3=INDEX(Properties!$U:$U,$B69+5),INDEX(Properties!$W:$W,$B69+5),0))</f>
        <v>0</v>
      </c>
      <c r="AD69" s="123" cm="1">
        <f t="array" ref="AD69">INDEX(Properties!$D:$D,$B69+5)*(IF(AD$3=INDEX(Properties!$U:$U,$B69+5),INDEX(Properties!$W:$W,$B69+5),0))</f>
        <v>0</v>
      </c>
      <c r="AE69" s="123" cm="1">
        <f t="array" ref="AE69">INDEX(Properties!$D:$D,$B69+5)*(IF(AE$3=INDEX(Properties!$U:$U,$B69+5),INDEX(Properties!$W:$W,$B69+5),0))</f>
        <v>0</v>
      </c>
      <c r="AF69" s="123" cm="1">
        <f t="array" ref="AF69">INDEX(Properties!$D:$D,$B69+5)*(IF(AF$3=INDEX(Properties!$U:$U,$B69+5),INDEX(Properties!$W:$W,$B69+5),0))</f>
        <v>0</v>
      </c>
      <c r="AG69" s="123" cm="1">
        <f t="array" ref="AG69">INDEX(Properties!$D:$D,$B69+5)*(IF(AG$3=INDEX(Properties!$U:$U,$B69+5),INDEX(Properties!$W:$W,$B69+5),0))</f>
        <v>0</v>
      </c>
      <c r="AH69" s="123" cm="1">
        <f t="array" ref="AH69">INDEX(Properties!$D:$D,$B69+5)*(IF(AH$3=INDEX(Properties!$U:$U,$B69+5),INDEX(Properties!$W:$W,$B69+5),0))</f>
        <v>0</v>
      </c>
      <c r="AI69" s="123" cm="1">
        <f t="array" ref="AI69">INDEX(Properties!$D:$D,$B69+5)*(IF(AI$3=INDEX(Properties!$U:$U,$B69+5),INDEX(Properties!$W:$W,$B69+5),0))</f>
        <v>0</v>
      </c>
      <c r="AJ69" s="123" cm="1">
        <f t="array" ref="AJ69">INDEX(Properties!$D:$D,$B69+5)*(IF(AJ$3=INDEX(Properties!$U:$U,$B69+5),INDEX(Properties!$W:$W,$B69+5),0))</f>
        <v>0</v>
      </c>
      <c r="AK69" s="123" cm="1">
        <f t="array" ref="AK69">INDEX(Properties!$D:$D,$B69+5)*(IF(AK$3=INDEX(Properties!$U:$U,$B69+5),INDEX(Properties!$W:$W,$B69+5),0))</f>
        <v>0</v>
      </c>
      <c r="AL69" s="123" cm="1">
        <f t="array" ref="AL69">INDEX(Properties!$D:$D,$B69+5)*(IF(AL$3=INDEX(Properties!$U:$U,$B69+5),INDEX(Properties!$W:$W,$B69+5),0))</f>
        <v>0</v>
      </c>
      <c r="AM69" s="123" cm="1">
        <f t="array" ref="AM69">INDEX(Properties!$D:$D,$B69+5)*(IF(AM$3=INDEX(Properties!$U:$U,$B69+5),INDEX(Properties!$W:$W,$B69+5),0))</f>
        <v>0</v>
      </c>
      <c r="AN69" s="123" cm="1">
        <f t="array" ref="AN69">INDEX(Properties!$D:$D,$B69+5)*(IF(AN$3=INDEX(Properties!$U:$U,$B69+5),INDEX(Properties!$W:$W,$B69+5),0))</f>
        <v>0</v>
      </c>
      <c r="AO69" s="123" cm="1">
        <f t="array" ref="AO69">INDEX(Properties!$D:$D,$B69+5)*(IF(AO$3=INDEX(Properties!$U:$U,$B69+5),INDEX(Properties!$W:$W,$B69+5),0))</f>
        <v>0</v>
      </c>
      <c r="AP69" s="123" cm="1">
        <f t="array" ref="AP69">INDEX(Properties!$D:$D,$B69+5)*(IF(AP$3=INDEX(Properties!$U:$U,$B69+5),INDEX(Properties!$W:$W,$B69+5),0))</f>
        <v>0</v>
      </c>
      <c r="AQ69" s="123" cm="1">
        <f t="array" ref="AQ69">INDEX(Properties!$D:$D,$B69+5)*(IF(AQ$3=INDEX(Properties!$U:$U,$B69+5),INDEX(Properties!$W:$W,$B69+5),0))</f>
        <v>0</v>
      </c>
      <c r="AR69" s="123" cm="1">
        <f t="array" ref="AR69">INDEX(Properties!$D:$D,$B69+5)*(IF(AR$3=INDEX(Properties!$U:$U,$B69+5),INDEX(Properties!$W:$W,$B69+5),0))</f>
        <v>0</v>
      </c>
      <c r="AS69" s="123" cm="1">
        <f t="array" ref="AS69">INDEX(Properties!$D:$D,$B69+5)*(IF(AS$3=INDEX(Properties!$U:$U,$B69+5),INDEX(Properties!$W:$W,$B69+5),0))</f>
        <v>0</v>
      </c>
      <c r="AT69" s="123" cm="1">
        <f t="array" ref="AT69">INDEX(Properties!$D:$D,$B69+5)*(IF(AT$3=INDEX(Properties!$U:$U,$B69+5),INDEX(Properties!$W:$W,$B69+5),0))</f>
        <v>0</v>
      </c>
      <c r="AU69" s="123" cm="1">
        <f t="array" ref="AU69">INDEX(Properties!$D:$D,$B69+5)*(IF(AU$3=INDEX(Properties!$U:$U,$B69+5),INDEX(Properties!$W:$W,$B69+5),0))</f>
        <v>0</v>
      </c>
      <c r="AV69" s="123" cm="1">
        <f t="array" ref="AV69">INDEX(Properties!$D:$D,$B69+5)*(IF(AV$3=INDEX(Properties!$U:$U,$B69+5),INDEX(Properties!$W:$W,$B69+5),0))</f>
        <v>0</v>
      </c>
      <c r="AW69" s="123" cm="1">
        <f t="array" ref="AW69">INDEX(Properties!$D:$D,$B69+5)*(IF(AW$3=INDEX(Properties!$U:$U,$B69+5),INDEX(Properties!$W:$W,$B69+5),0))</f>
        <v>0</v>
      </c>
      <c r="AX69" s="123" cm="1">
        <f t="array" ref="AX69">INDEX(Properties!$D:$D,$B69+5)*(IF(AX$3=INDEX(Properties!$U:$U,$B69+5),INDEX(Properties!$W:$W,$B69+5),0))</f>
        <v>0</v>
      </c>
      <c r="AY69" s="123" cm="1">
        <f t="array" ref="AY69">INDEX(Properties!$D:$D,$B69+5)*(IF(AY$3=INDEX(Properties!$U:$U,$B69+5),INDEX(Properties!$W:$W,$B69+5),0))</f>
        <v>0</v>
      </c>
      <c r="AZ69" s="123" cm="1">
        <f t="array" ref="AZ69">INDEX(Properties!$D:$D,$B69+5)*(IF(AZ$3=INDEX(Properties!$U:$U,$B69+5),INDEX(Properties!$W:$W,$B69+5),0))</f>
        <v>0</v>
      </c>
      <c r="BA69" s="123" cm="1">
        <f t="array" ref="BA69">INDEX(Properties!$D:$D,$B69+5)*(IF(BA$3=INDEX(Properties!$U:$U,$B69+5),INDEX(Properties!$W:$W,$B69+5),0))</f>
        <v>0</v>
      </c>
      <c r="BB69" s="123" cm="1">
        <f t="array" ref="BB69">INDEX(Properties!$D:$D,$B69+5)*(IF(BB$3=INDEX(Properties!$U:$U,$B69+5),INDEX(Properties!$W:$W,$B69+5),0))</f>
        <v>0</v>
      </c>
      <c r="BC69" s="123" cm="1">
        <f t="array" ref="BC69">INDEX(Properties!$D:$D,$B69+5)*(IF(BC$3=INDEX(Properties!$U:$U,$B69+5),INDEX(Properties!$W:$W,$B69+5),0))</f>
        <v>0</v>
      </c>
      <c r="BD69" s="123" cm="1">
        <f t="array" ref="BD69">INDEX(Properties!$D:$D,$B69+5)*(IF(BD$3=INDEX(Properties!$U:$U,$B69+5),INDEX(Properties!$W:$W,$B69+5),0))</f>
        <v>0</v>
      </c>
      <c r="BE69" s="123" cm="1">
        <f t="array" ref="BE69">INDEX(Properties!$D:$D,$B69+5)*(IF(BE$3=INDEX(Properties!$U:$U,$B69+5),INDEX(Properties!$W:$W,$B69+5),0))</f>
        <v>0</v>
      </c>
      <c r="BF69" s="123" cm="1">
        <f t="array" ref="BF69">INDEX(Properties!$D:$D,$B69+5)*(IF(BF$3=INDEX(Properties!$U:$U,$B69+5),INDEX(Properties!$W:$W,$B69+5),0))</f>
        <v>0</v>
      </c>
      <c r="BG69" s="123" cm="1">
        <f t="array" ref="BG69">INDEX(Properties!$D:$D,$B69+5)*(IF(BG$3=INDEX(Properties!$U:$U,$B69+5),INDEX(Properties!$W:$W,$B69+5),0))</f>
        <v>0</v>
      </c>
      <c r="BH69" s="123" cm="1">
        <f t="array" ref="BH69">INDEX(Properties!$D:$D,$B69+5)*(IF(BH$3=INDEX(Properties!$U:$U,$B69+5),INDEX(Properties!$W:$W,$B69+5),0))</f>
        <v>0</v>
      </c>
      <c r="BI69" s="123" cm="1">
        <f t="array" ref="BI69">INDEX(Properties!$D:$D,$B69+5)*(IF(BI$3=INDEX(Properties!$U:$U,$B69+5),INDEX(Properties!$W:$W,$B69+5),0))</f>
        <v>0</v>
      </c>
      <c r="BJ69" s="123" cm="1">
        <f t="array" ref="BJ69">INDEX(Properties!$D:$D,$B69+5)*(IF(BJ$3=INDEX(Properties!$U:$U,$B69+5),INDEX(Properties!$W:$W,$B69+5),0))</f>
        <v>0</v>
      </c>
      <c r="BK69" s="123" cm="1">
        <f t="array" ref="BK69">INDEX(Properties!$D:$D,$B69+5)*(IF(BK$3=INDEX(Properties!$U:$U,$B69+5),INDEX(Properties!$W:$W,$B69+5),0))</f>
        <v>0</v>
      </c>
      <c r="BL69" s="123" cm="1">
        <f t="array" ref="BL69">INDEX(Properties!$D:$D,$B69+5)*(IF(BL$3=INDEX(Properties!$U:$U,$B69+5),INDEX(Properties!$W:$W,$B69+5),0))</f>
        <v>0</v>
      </c>
      <c r="BM69" s="123" cm="1">
        <f t="array" ref="BM69">INDEX(Properties!$D:$D,$B69+5)*(IF(BM$3=INDEX(Properties!$U:$U,$B69+5),INDEX(Properties!$W:$W,$B69+5),0))</f>
        <v>0</v>
      </c>
      <c r="BN69" s="123" cm="1">
        <f t="array" ref="BN69">INDEX(Properties!$D:$D,$B69+5)*(IF(BN$3=INDEX(Properties!$U:$U,$B69+5),INDEX(Properties!$W:$W,$B69+5),0))</f>
        <v>0</v>
      </c>
      <c r="BO69" s="123" cm="1">
        <f t="array" ref="BO69">INDEX(Properties!$D:$D,$B69+5)*(IF(BO$3=INDEX(Properties!$U:$U,$B69+5),INDEX(Properties!$W:$W,$B69+5),0))</f>
        <v>0</v>
      </c>
      <c r="BP69" s="123" cm="1">
        <f t="array" ref="BP69">INDEX(Properties!$D:$D,$B69+5)*(IF(BP$3=INDEX(Properties!$U:$U,$B69+5),INDEX(Properties!$W:$W,$B69+5),0))</f>
        <v>0</v>
      </c>
      <c r="BQ69" s="123" cm="1">
        <f t="array" ref="BQ69">INDEX(Properties!$D:$D,$B69+5)*(IF(BQ$3=INDEX(Properties!$U:$U,$B69+5),INDEX(Properties!$W:$W,$B69+5),0))</f>
        <v>0</v>
      </c>
      <c r="BR69" s="123" cm="1">
        <f t="array" ref="BR69">INDEX(Properties!$D:$D,$B69+5)*(IF(BR$3=INDEX(Properties!$U:$U,$B69+5),INDEX(Properties!$W:$W,$B69+5),0))</f>
        <v>0</v>
      </c>
      <c r="BS69" s="123" cm="1">
        <f t="array" ref="BS69">INDEX(Properties!$D:$D,$B69+5)*(IF(BS$3=INDEX(Properties!$U:$U,$B69+5),INDEX(Properties!$W:$W,$B69+5),0))</f>
        <v>0</v>
      </c>
      <c r="BT69" s="123" cm="1">
        <f t="array" ref="BT69">INDEX(Properties!$D:$D,$B69+5)*(IF(BT$3=INDEX(Properties!$U:$U,$B69+5),INDEX(Properties!$W:$W,$B69+5),0))</f>
        <v>0</v>
      </c>
      <c r="BU69" s="123" cm="1">
        <f t="array" ref="BU69">INDEX(Properties!$D:$D,$B69+5)*(IF(BU$3=INDEX(Properties!$U:$U,$B69+5),INDEX(Properties!$W:$W,$B69+5),0))</f>
        <v>0</v>
      </c>
      <c r="BV69" s="123" cm="1">
        <f t="array" ref="BV69">INDEX(Properties!$D:$D,$B69+5)*(IF(BV$3=INDEX(Properties!$U:$U,$B69+5),INDEX(Properties!$W:$W,$B69+5),0))</f>
        <v>0</v>
      </c>
      <c r="BW69" s="123" cm="1">
        <f t="array" ref="BW69">INDEX(Properties!$D:$D,$B69+5)*(IF(BW$3=INDEX(Properties!$U:$U,$B69+5),INDEX(Properties!$W:$W,$B69+5),0))</f>
        <v>0</v>
      </c>
      <c r="BX69" s="123" cm="1">
        <f t="array" ref="BX69">INDEX(Properties!$D:$D,$B69+5)*(IF(BX$3=INDEX(Properties!$U:$U,$B69+5),INDEX(Properties!$W:$W,$B69+5),0))</f>
        <v>0</v>
      </c>
      <c r="BY69" s="123" cm="1">
        <f t="array" ref="BY69">INDEX(Properties!$D:$D,$B69+5)*(IF(BY$3=INDEX(Properties!$U:$U,$B69+5),INDEX(Properties!$W:$W,$B69+5),0))</f>
        <v>0</v>
      </c>
      <c r="BZ69" s="123" cm="1">
        <f t="array" ref="BZ69">INDEX(Properties!$D:$D,$B69+5)*(IF(BZ$3=INDEX(Properties!$U:$U,$B69+5),INDEX(Properties!$W:$W,$B69+5),0))</f>
        <v>0</v>
      </c>
      <c r="CA69" s="123" cm="1">
        <f t="array" ref="CA69">INDEX(Properties!$D:$D,$B69+5)*(IF(CA$3=INDEX(Properties!$U:$U,$B69+5),INDEX(Properties!$W:$W,$B69+5),0))</f>
        <v>0</v>
      </c>
      <c r="CB69" s="123" cm="1">
        <f t="array" ref="CB69">INDEX(Properties!$D:$D,$B69+5)*(IF(CB$3=INDEX(Properties!$U:$U,$B69+5),INDEX(Properties!$W:$W,$B69+5),0))</f>
        <v>0</v>
      </c>
      <c r="CC69" s="123" cm="1">
        <f t="array" ref="CC69">INDEX(Properties!$D:$D,$B69+5)*(IF(CC$3=INDEX(Properties!$U:$U,$B69+5),INDEX(Properties!$W:$W,$B69+5),0))</f>
        <v>0</v>
      </c>
      <c r="CD69" s="123" cm="1">
        <f t="array" ref="CD69">INDEX(Properties!$D:$D,$B69+5)*(IF(CD$3=INDEX(Properties!$U:$U,$B69+5),INDEX(Properties!$W:$W,$B69+5),0))</f>
        <v>0</v>
      </c>
      <c r="CE69" s="123" cm="1">
        <f t="array" ref="CE69">INDEX(Properties!$D:$D,$B69+5)*(IF(CE$3=INDEX(Properties!$U:$U,$B69+5),INDEX(Properties!$W:$W,$B69+5),0))</f>
        <v>0</v>
      </c>
      <c r="CF69" s="123" cm="1">
        <f t="array" ref="CF69">INDEX(Properties!$D:$D,$B69+5)*(IF(CF$3=INDEX(Properties!$U:$U,$B69+5),INDEX(Properties!$W:$W,$B69+5),0))</f>
        <v>0</v>
      </c>
      <c r="CG69" s="123" cm="1">
        <f t="array" ref="CG69">INDEX(Properties!$D:$D,$B69+5)*(IF(CG$3=INDEX(Properties!$U:$U,$B69+5),INDEX(Properties!$W:$W,$B69+5),0))</f>
        <v>0</v>
      </c>
      <c r="CH69" s="123" cm="1">
        <f t="array" ref="CH69">INDEX(Properties!$D:$D,$B69+5)*(IF(CH$3=INDEX(Properties!$U:$U,$B69+5),INDEX(Properties!$W:$W,$B69+5),0))</f>
        <v>0</v>
      </c>
      <c r="CI69" s="123" cm="1">
        <f t="array" ref="CI69">INDEX(Properties!$D:$D,$B69+5)*(IF(CI$3=INDEX(Properties!$U:$U,$B69+5),INDEX(Properties!$W:$W,$B69+5),0))</f>
        <v>0</v>
      </c>
      <c r="CJ69" s="123" cm="1">
        <f t="array" ref="CJ69">INDEX(Properties!$D:$D,$B69+5)*(IF(CJ$3=INDEX(Properties!$U:$U,$B69+5),INDEX(Properties!$W:$W,$B69+5),0))</f>
        <v>0</v>
      </c>
      <c r="CK69" s="123" cm="1">
        <f t="array" ref="CK69">INDEX(Properties!$D:$D,$B69+5)*(IF(CK$3=INDEX(Properties!$U:$U,$B69+5),INDEX(Properties!$W:$W,$B69+5),0))</f>
        <v>0</v>
      </c>
      <c r="CL69" s="123" cm="1">
        <f t="array" ref="CL69">INDEX(Properties!$D:$D,$B69+5)*(IF(CL$3=INDEX(Properties!$U:$U,$B69+5),INDEX(Properties!$W:$W,$B69+5),0))</f>
        <v>0</v>
      </c>
      <c r="CM69" s="123" cm="1">
        <f t="array" ref="CM69">INDEX(Properties!$D:$D,$B69+5)*(IF(CM$3=INDEX(Properties!$U:$U,$B69+5),INDEX(Properties!$W:$W,$B69+5),0))</f>
        <v>0</v>
      </c>
      <c r="CN69" s="123" cm="1">
        <f t="array" ref="CN69">INDEX(Properties!$D:$D,$B69+5)*(IF(CN$3=INDEX(Properties!$U:$U,$B69+5),INDEX(Properties!$W:$W,$B69+5),0))</f>
        <v>0</v>
      </c>
      <c r="CO69" s="123" cm="1">
        <f t="array" ref="CO69">INDEX(Properties!$D:$D,$B69+5)*(IF(CO$3=INDEX(Properties!$U:$U,$B69+5),INDEX(Properties!$W:$W,$B69+5),0))</f>
        <v>0</v>
      </c>
      <c r="CP69" s="123" cm="1">
        <f t="array" ref="CP69">INDEX(Properties!$D:$D,$B69+5)*(IF(CP$3=INDEX(Properties!$U:$U,$B69+5),INDEX(Properties!$W:$W,$B69+5),0))</f>
        <v>0</v>
      </c>
      <c r="CQ69" s="123" cm="1">
        <f t="array" ref="CQ69">INDEX(Properties!$D:$D,$B69+5)*(IF(CQ$3=INDEX(Properties!$U:$U,$B69+5),INDEX(Properties!$W:$W,$B69+5),0))</f>
        <v>0</v>
      </c>
      <c r="CR69" s="123" cm="1">
        <f t="array" ref="CR69">INDEX(Properties!$D:$D,$B69+5)*(IF(CR$3=INDEX(Properties!$U:$U,$B69+5),INDEX(Properties!$W:$W,$B69+5),0))</f>
        <v>0</v>
      </c>
      <c r="CS69" s="123" cm="1">
        <f t="array" ref="CS69">INDEX(Properties!$D:$D,$B69+5)*(IF(CS$3=INDEX(Properties!$U:$U,$B69+5),INDEX(Properties!$W:$W,$B69+5),0))</f>
        <v>0</v>
      </c>
      <c r="CT69" s="123" cm="1">
        <f t="array" ref="CT69">INDEX(Properties!$D:$D,$B69+5)*(IF(CT$3=INDEX(Properties!$U:$U,$B69+5),INDEX(Properties!$W:$W,$B69+5),0))</f>
        <v>0</v>
      </c>
      <c r="CU69" s="123" cm="1">
        <f t="array" ref="CU69">INDEX(Properties!$D:$D,$B69+5)*(IF(CU$3=INDEX(Properties!$U:$U,$B69+5),INDEX(Properties!$W:$W,$B69+5),0))</f>
        <v>0</v>
      </c>
      <c r="CV69" s="123" cm="1">
        <f t="array" ref="CV69">INDEX(Properties!$D:$D,$B69+5)*(IF(CV$3=INDEX(Properties!$U:$U,$B69+5),INDEX(Properties!$W:$W,$B69+5),0))</f>
        <v>0</v>
      </c>
      <c r="CW69" s="123" cm="1">
        <f t="array" ref="CW69">INDEX(Properties!$D:$D,$B69+5)*(IF(CW$3=INDEX(Properties!$U:$U,$B69+5),INDEX(Properties!$W:$W,$B69+5),0))</f>
        <v>0</v>
      </c>
      <c r="CX69" s="123" cm="1">
        <f t="array" ref="CX69">INDEX(Properties!$D:$D,$B69+5)*(IF(CX$3=INDEX(Properties!$U:$U,$B69+5),INDEX(Properties!$W:$W,$B69+5),0))</f>
        <v>0</v>
      </c>
      <c r="CY69" s="123" cm="1">
        <f t="array" ref="CY69">INDEX(Properties!$D:$D,$B69+5)*(IF(CY$3=INDEX(Properties!$U:$U,$B69+5),INDEX(Properties!$W:$W,$B69+5),0))</f>
        <v>0</v>
      </c>
      <c r="CZ69" s="123" cm="1">
        <f t="array" ref="CZ69">INDEX(Properties!$D:$D,$B69+5)*(IF(CZ$3=INDEX(Properties!$U:$U,$B69+5),INDEX(Properties!$W:$W,$B69+5),0))</f>
        <v>0</v>
      </c>
      <c r="DA69" s="123" cm="1">
        <f t="array" ref="DA69">INDEX(Properties!$D:$D,$B69+5)*(IF(DA$3=INDEX(Properties!$U:$U,$B69+5),INDEX(Properties!$W:$W,$B69+5),0))</f>
        <v>0</v>
      </c>
      <c r="DB69" s="123" cm="1">
        <f t="array" ref="DB69">INDEX(Properties!$D:$D,$B69+5)*(IF(DB$3=INDEX(Properties!$U:$U,$B69+5),INDEX(Properties!$W:$W,$B69+5),0))</f>
        <v>0</v>
      </c>
      <c r="DC69" s="123" cm="1">
        <f t="array" ref="DC69">INDEX(Properties!$D:$D,$B69+5)*(IF(DC$3=INDEX(Properties!$U:$U,$B69+5),INDEX(Properties!$W:$W,$B69+5),0))</f>
        <v>0</v>
      </c>
      <c r="DD69" s="123" cm="1">
        <f t="array" ref="DD69">INDEX(Properties!$D:$D,$B69+5)*(IF(DD$3=INDEX(Properties!$U:$U,$B69+5),INDEX(Properties!$W:$W,$B69+5),0))</f>
        <v>0</v>
      </c>
      <c r="DE69" s="123" cm="1">
        <f t="array" ref="DE69">INDEX(Properties!$D:$D,$B69+5)*(IF(DE$3=INDEX(Properties!$U:$U,$B69+5),INDEX(Properties!$W:$W,$B69+5),0))</f>
        <v>0</v>
      </c>
      <c r="DF69" s="123" cm="1">
        <f t="array" ref="DF69">INDEX(Properties!$D:$D,$B69+5)*(IF(DF$3=INDEX(Properties!$U:$U,$B69+5),INDEX(Properties!$W:$W,$B69+5),0))</f>
        <v>0</v>
      </c>
      <c r="DG69" s="123" cm="1">
        <f t="array" ref="DG69">INDEX(Properties!$D:$D,$B69+5)*(IF(DG$3=INDEX(Properties!$U:$U,$B69+5),INDEX(Properties!$W:$W,$B69+5),0))</f>
        <v>0</v>
      </c>
      <c r="DH69" s="123" cm="1">
        <f t="array" ref="DH69">INDEX(Properties!$D:$D,$B69+5)*(IF(DH$3=INDEX(Properties!$U:$U,$B69+5),INDEX(Properties!$W:$W,$B69+5),0))</f>
        <v>0</v>
      </c>
      <c r="DI69" s="123" cm="1">
        <f t="array" ref="DI69">INDEX(Properties!$D:$D,$B69+5)*(IF(DI$3=INDEX(Properties!$U:$U,$B69+5),INDEX(Properties!$W:$W,$B69+5),0))</f>
        <v>0</v>
      </c>
      <c r="DJ69" s="123" cm="1">
        <f t="array" ref="DJ69">INDEX(Properties!$D:$D,$B69+5)*(IF(DJ$3=INDEX(Properties!$U:$U,$B69+5),INDEX(Properties!$W:$W,$B69+5),0))</f>
        <v>0</v>
      </c>
      <c r="DK69" s="123" cm="1">
        <f t="array" ref="DK69">INDEX(Properties!$D:$D,$B69+5)*(IF(DK$3=INDEX(Properties!$U:$U,$B69+5),INDEX(Properties!$W:$W,$B69+5),0))</f>
        <v>0</v>
      </c>
      <c r="DL69" s="123" cm="1">
        <f t="array" ref="DL69">INDEX(Properties!$D:$D,$B69+5)*(IF(DL$3=INDEX(Properties!$U:$U,$B69+5),INDEX(Properties!$W:$W,$B69+5),0))</f>
        <v>0</v>
      </c>
      <c r="DM69" s="123" cm="1">
        <f t="array" ref="DM69">INDEX(Properties!$D:$D,$B69+5)*(IF(DM$3=INDEX(Properties!$U:$U,$B69+5),INDEX(Properties!$W:$W,$B69+5),0))</f>
        <v>0</v>
      </c>
      <c r="DN69" s="123" cm="1">
        <f t="array" ref="DN69">INDEX(Properties!$D:$D,$B69+5)*(IF(DN$3=INDEX(Properties!$U:$U,$B69+5),INDEX(Properties!$W:$W,$B69+5),0))</f>
        <v>0</v>
      </c>
      <c r="DO69" s="123" cm="1">
        <f t="array" ref="DO69">INDEX(Properties!$D:$D,$B69+5)*(IF(DO$3=INDEX(Properties!$U:$U,$B69+5),INDEX(Properties!$W:$W,$B69+5),0))</f>
        <v>0</v>
      </c>
      <c r="DP69" s="123" cm="1">
        <f t="array" ref="DP69">INDEX(Properties!$D:$D,$B69+5)*(IF(DP$3=INDEX(Properties!$U:$U,$B69+5),INDEX(Properties!$W:$W,$B69+5),0))</f>
        <v>0</v>
      </c>
      <c r="DQ69" s="123" cm="1">
        <f t="array" ref="DQ69">INDEX(Properties!$D:$D,$B69+5)*(IF(DQ$3=INDEX(Properties!$U:$U,$B69+5),INDEX(Properties!$W:$W,$B69+5),0))</f>
        <v>0</v>
      </c>
      <c r="DR69" s="123" cm="1">
        <f t="array" ref="DR69">INDEX(Properties!$D:$D,$B69+5)*(IF(DR$3=INDEX(Properties!$U:$U,$B69+5),INDEX(Properties!$W:$W,$B69+5),0))</f>
        <v>0</v>
      </c>
    </row>
    <row r="70" spans="1:122" ht="16.05" customHeight="1" x14ac:dyDescent="0.3">
      <c r="A70" s="148" cm="1">
        <f t="array" ref="A70">INDEX(Properties!$E:$E,$B70+5)</f>
        <v>0</v>
      </c>
      <c r="B70" s="1">
        <v>8</v>
      </c>
      <c r="C70" s="123" cm="1">
        <f t="array" ref="C70">INDEX(Properties!$D:$D,$B70+5)*(IF(C$3=INDEX(Properties!$U:$U,$B70+5),INDEX(Properties!$W:$W,$B70+5),0))</f>
        <v>0</v>
      </c>
      <c r="D70" s="123" cm="1">
        <f t="array" ref="D70">INDEX(Properties!$D:$D,$B70+5)*(IF(D$3=INDEX(Properties!$U:$U,$B70+5),INDEX(Properties!$W:$W,$B70+5),0))</f>
        <v>0</v>
      </c>
      <c r="E70" s="123" cm="1">
        <f t="array" ref="E70">INDEX(Properties!$D:$D,$B70+5)*(IF(E$3=INDEX(Properties!$U:$U,$B70+5),INDEX(Properties!$W:$W,$B70+5),0))</f>
        <v>0</v>
      </c>
      <c r="F70" s="123" cm="1">
        <f t="array" ref="F70">INDEX(Properties!$D:$D,$B70+5)*(IF(F$3=INDEX(Properties!$U:$U,$B70+5),INDEX(Properties!$W:$W,$B70+5),0))</f>
        <v>0</v>
      </c>
      <c r="G70" s="123" cm="1">
        <f t="array" ref="G70">INDEX(Properties!$D:$D,$B70+5)*(IF(G$3=INDEX(Properties!$U:$U,$B70+5),INDEX(Properties!$W:$W,$B70+5),0))</f>
        <v>0</v>
      </c>
      <c r="H70" s="123" cm="1">
        <f t="array" ref="H70">INDEX(Properties!$D:$D,$B70+5)*(IF(H$3=INDEX(Properties!$U:$U,$B70+5),INDEX(Properties!$W:$W,$B70+5),0))</f>
        <v>0</v>
      </c>
      <c r="I70" s="123" cm="1">
        <f t="array" ref="I70">INDEX(Properties!$D:$D,$B70+5)*(IF(I$3=INDEX(Properties!$U:$U,$B70+5),INDEX(Properties!$W:$W,$B70+5),0))</f>
        <v>0</v>
      </c>
      <c r="J70" s="123" cm="1">
        <f t="array" ref="J70">INDEX(Properties!$D:$D,$B70+5)*(IF(J$3=INDEX(Properties!$U:$U,$B70+5),INDEX(Properties!$W:$W,$B70+5),0))</f>
        <v>0</v>
      </c>
      <c r="K70" s="123" cm="1">
        <f t="array" ref="K70">INDEX(Properties!$D:$D,$B70+5)*(IF(K$3=INDEX(Properties!$U:$U,$B70+5),INDEX(Properties!$W:$W,$B70+5),0))</f>
        <v>0</v>
      </c>
      <c r="L70" s="123" cm="1">
        <f t="array" ref="L70">INDEX(Properties!$D:$D,$B70+5)*(IF(L$3=INDEX(Properties!$U:$U,$B70+5),INDEX(Properties!$W:$W,$B70+5),0))</f>
        <v>0</v>
      </c>
      <c r="M70" s="123" cm="1">
        <f t="array" ref="M70">INDEX(Properties!$D:$D,$B70+5)*(IF(M$3=INDEX(Properties!$U:$U,$B70+5),INDEX(Properties!$W:$W,$B70+5),0))</f>
        <v>0</v>
      </c>
      <c r="N70" s="123" cm="1">
        <f t="array" ref="N70">INDEX(Properties!$D:$D,$B70+5)*(IF(N$3=INDEX(Properties!$U:$U,$B70+5),INDEX(Properties!$W:$W,$B70+5),0))</f>
        <v>0</v>
      </c>
      <c r="O70" s="123" cm="1">
        <f t="array" ref="O70">INDEX(Properties!$D:$D,$B70+5)*(IF(O$3=INDEX(Properties!$U:$U,$B70+5),INDEX(Properties!$W:$W,$B70+5),0))</f>
        <v>0</v>
      </c>
      <c r="P70" s="123" cm="1">
        <f t="array" ref="P70">INDEX(Properties!$D:$D,$B70+5)*(IF(P$3=INDEX(Properties!$U:$U,$B70+5),INDEX(Properties!$W:$W,$B70+5),0))</f>
        <v>0</v>
      </c>
      <c r="Q70" s="123" cm="1">
        <f t="array" ref="Q70">INDEX(Properties!$D:$D,$B70+5)*(IF(Q$3=INDEX(Properties!$U:$U,$B70+5),INDEX(Properties!$W:$W,$B70+5),0))</f>
        <v>0</v>
      </c>
      <c r="R70" s="123" cm="1">
        <f t="array" ref="R70">INDEX(Properties!$D:$D,$B70+5)*(IF(R$3=INDEX(Properties!$U:$U,$B70+5),INDEX(Properties!$W:$W,$B70+5),0))</f>
        <v>0</v>
      </c>
      <c r="S70" s="123" cm="1">
        <f t="array" ref="S70">INDEX(Properties!$D:$D,$B70+5)*(IF(S$3=INDEX(Properties!$U:$U,$B70+5),INDEX(Properties!$W:$W,$B70+5),0))</f>
        <v>0</v>
      </c>
      <c r="T70" s="123" cm="1">
        <f t="array" ref="T70">INDEX(Properties!$D:$D,$B70+5)*(IF(T$3=INDEX(Properties!$U:$U,$B70+5),INDEX(Properties!$W:$W,$B70+5),0))</f>
        <v>0</v>
      </c>
      <c r="U70" s="123" cm="1">
        <f t="array" ref="U70">INDEX(Properties!$D:$D,$B70+5)*(IF(U$3=INDEX(Properties!$U:$U,$B70+5),INDEX(Properties!$W:$W,$B70+5),0))</f>
        <v>0</v>
      </c>
      <c r="V70" s="123" cm="1">
        <f t="array" ref="V70">INDEX(Properties!$D:$D,$B70+5)*(IF(V$3=INDEX(Properties!$U:$U,$B70+5),INDEX(Properties!$W:$W,$B70+5),0))</f>
        <v>0</v>
      </c>
      <c r="W70" s="123" cm="1">
        <f t="array" ref="W70">INDEX(Properties!$D:$D,$B70+5)*(IF(W$3=INDEX(Properties!$U:$U,$B70+5),INDEX(Properties!$W:$W,$B70+5),0))</f>
        <v>0</v>
      </c>
      <c r="X70" s="123" cm="1">
        <f t="array" ref="X70">INDEX(Properties!$D:$D,$B70+5)*(IF(X$3=INDEX(Properties!$U:$U,$B70+5),INDEX(Properties!$W:$W,$B70+5),0))</f>
        <v>0</v>
      </c>
      <c r="Y70" s="123" cm="1">
        <f t="array" ref="Y70">INDEX(Properties!$D:$D,$B70+5)*(IF(Y$3=INDEX(Properties!$U:$U,$B70+5),INDEX(Properties!$W:$W,$B70+5),0))</f>
        <v>0</v>
      </c>
      <c r="Z70" s="123" cm="1">
        <f t="array" ref="Z70">INDEX(Properties!$D:$D,$B70+5)*(IF(Z$3=INDEX(Properties!$U:$U,$B70+5),INDEX(Properties!$W:$W,$B70+5),0))</f>
        <v>0</v>
      </c>
      <c r="AA70" s="123" cm="1">
        <f t="array" ref="AA70">INDEX(Properties!$D:$D,$B70+5)*(IF(AA$3=INDEX(Properties!$U:$U,$B70+5),INDEX(Properties!$W:$W,$B70+5),0))</f>
        <v>0</v>
      </c>
      <c r="AB70" s="123" cm="1">
        <f t="array" ref="AB70">INDEX(Properties!$D:$D,$B70+5)*(IF(AB$3=INDEX(Properties!$U:$U,$B70+5),INDEX(Properties!$W:$W,$B70+5),0))</f>
        <v>0</v>
      </c>
      <c r="AC70" s="123" cm="1">
        <f t="array" ref="AC70">INDEX(Properties!$D:$D,$B70+5)*(IF(AC$3=INDEX(Properties!$U:$U,$B70+5),INDEX(Properties!$W:$W,$B70+5),0))</f>
        <v>0</v>
      </c>
      <c r="AD70" s="123" cm="1">
        <f t="array" ref="AD70">INDEX(Properties!$D:$D,$B70+5)*(IF(AD$3=INDEX(Properties!$U:$U,$B70+5),INDEX(Properties!$W:$W,$B70+5),0))</f>
        <v>0</v>
      </c>
      <c r="AE70" s="123" cm="1">
        <f t="array" ref="AE70">INDEX(Properties!$D:$D,$B70+5)*(IF(AE$3=INDEX(Properties!$U:$U,$B70+5),INDEX(Properties!$W:$W,$B70+5),0))</f>
        <v>0</v>
      </c>
      <c r="AF70" s="123" cm="1">
        <f t="array" ref="AF70">INDEX(Properties!$D:$D,$B70+5)*(IF(AF$3=INDEX(Properties!$U:$U,$B70+5),INDEX(Properties!$W:$W,$B70+5),0))</f>
        <v>0</v>
      </c>
      <c r="AG70" s="123" cm="1">
        <f t="array" ref="AG70">INDEX(Properties!$D:$D,$B70+5)*(IF(AG$3=INDEX(Properties!$U:$U,$B70+5),INDEX(Properties!$W:$W,$B70+5),0))</f>
        <v>0</v>
      </c>
      <c r="AH70" s="123" cm="1">
        <f t="array" ref="AH70">INDEX(Properties!$D:$D,$B70+5)*(IF(AH$3=INDEX(Properties!$U:$U,$B70+5),INDEX(Properties!$W:$W,$B70+5),0))</f>
        <v>0</v>
      </c>
      <c r="AI70" s="123" cm="1">
        <f t="array" ref="AI70">INDEX(Properties!$D:$D,$B70+5)*(IF(AI$3=INDEX(Properties!$U:$U,$B70+5),INDEX(Properties!$W:$W,$B70+5),0))</f>
        <v>0</v>
      </c>
      <c r="AJ70" s="123" cm="1">
        <f t="array" ref="AJ70">INDEX(Properties!$D:$D,$B70+5)*(IF(AJ$3=INDEX(Properties!$U:$U,$B70+5),INDEX(Properties!$W:$W,$B70+5),0))</f>
        <v>0</v>
      </c>
      <c r="AK70" s="123" cm="1">
        <f t="array" ref="AK70">INDEX(Properties!$D:$D,$B70+5)*(IF(AK$3=INDEX(Properties!$U:$U,$B70+5),INDEX(Properties!$W:$W,$B70+5),0))</f>
        <v>0</v>
      </c>
      <c r="AL70" s="123" cm="1">
        <f t="array" ref="AL70">INDEX(Properties!$D:$D,$B70+5)*(IF(AL$3=INDEX(Properties!$U:$U,$B70+5),INDEX(Properties!$W:$W,$B70+5),0))</f>
        <v>0</v>
      </c>
      <c r="AM70" s="123" cm="1">
        <f t="array" ref="AM70">INDEX(Properties!$D:$D,$B70+5)*(IF(AM$3=INDEX(Properties!$U:$U,$B70+5),INDEX(Properties!$W:$W,$B70+5),0))</f>
        <v>0</v>
      </c>
      <c r="AN70" s="123" cm="1">
        <f t="array" ref="AN70">INDEX(Properties!$D:$D,$B70+5)*(IF(AN$3=INDEX(Properties!$U:$U,$B70+5),INDEX(Properties!$W:$W,$B70+5),0))</f>
        <v>0</v>
      </c>
      <c r="AO70" s="123" cm="1">
        <f t="array" ref="AO70">INDEX(Properties!$D:$D,$B70+5)*(IF(AO$3=INDEX(Properties!$U:$U,$B70+5),INDEX(Properties!$W:$W,$B70+5),0))</f>
        <v>0</v>
      </c>
      <c r="AP70" s="123" cm="1">
        <f t="array" ref="AP70">INDEX(Properties!$D:$D,$B70+5)*(IF(AP$3=INDEX(Properties!$U:$U,$B70+5),INDEX(Properties!$W:$W,$B70+5),0))</f>
        <v>0</v>
      </c>
      <c r="AQ70" s="123" cm="1">
        <f t="array" ref="AQ70">INDEX(Properties!$D:$D,$B70+5)*(IF(AQ$3=INDEX(Properties!$U:$U,$B70+5),INDEX(Properties!$W:$W,$B70+5),0))</f>
        <v>0</v>
      </c>
      <c r="AR70" s="123" cm="1">
        <f t="array" ref="AR70">INDEX(Properties!$D:$D,$B70+5)*(IF(AR$3=INDEX(Properties!$U:$U,$B70+5),INDEX(Properties!$W:$W,$B70+5),0))</f>
        <v>0</v>
      </c>
      <c r="AS70" s="123" cm="1">
        <f t="array" ref="AS70">INDEX(Properties!$D:$D,$B70+5)*(IF(AS$3=INDEX(Properties!$U:$U,$B70+5),INDEX(Properties!$W:$W,$B70+5),0))</f>
        <v>0</v>
      </c>
      <c r="AT70" s="123" cm="1">
        <f t="array" ref="AT70">INDEX(Properties!$D:$D,$B70+5)*(IF(AT$3=INDEX(Properties!$U:$U,$B70+5),INDEX(Properties!$W:$W,$B70+5),0))</f>
        <v>0</v>
      </c>
      <c r="AU70" s="123" cm="1">
        <f t="array" ref="AU70">INDEX(Properties!$D:$D,$B70+5)*(IF(AU$3=INDEX(Properties!$U:$U,$B70+5),INDEX(Properties!$W:$W,$B70+5),0))</f>
        <v>0</v>
      </c>
      <c r="AV70" s="123" cm="1">
        <f t="array" ref="AV70">INDEX(Properties!$D:$D,$B70+5)*(IF(AV$3=INDEX(Properties!$U:$U,$B70+5),INDEX(Properties!$W:$W,$B70+5),0))</f>
        <v>0</v>
      </c>
      <c r="AW70" s="123" cm="1">
        <f t="array" ref="AW70">INDEX(Properties!$D:$D,$B70+5)*(IF(AW$3=INDEX(Properties!$U:$U,$B70+5),INDEX(Properties!$W:$W,$B70+5),0))</f>
        <v>0</v>
      </c>
      <c r="AX70" s="123" cm="1">
        <f t="array" ref="AX70">INDEX(Properties!$D:$D,$B70+5)*(IF(AX$3=INDEX(Properties!$U:$U,$B70+5),INDEX(Properties!$W:$W,$B70+5),0))</f>
        <v>0</v>
      </c>
      <c r="AY70" s="123" cm="1">
        <f t="array" ref="AY70">INDEX(Properties!$D:$D,$B70+5)*(IF(AY$3=INDEX(Properties!$U:$U,$B70+5),INDEX(Properties!$W:$W,$B70+5),0))</f>
        <v>0</v>
      </c>
      <c r="AZ70" s="123" cm="1">
        <f t="array" ref="AZ70">INDEX(Properties!$D:$D,$B70+5)*(IF(AZ$3=INDEX(Properties!$U:$U,$B70+5),INDEX(Properties!$W:$W,$B70+5),0))</f>
        <v>0</v>
      </c>
      <c r="BA70" s="123" cm="1">
        <f t="array" ref="BA70">INDEX(Properties!$D:$D,$B70+5)*(IF(BA$3=INDEX(Properties!$U:$U,$B70+5),INDEX(Properties!$W:$W,$B70+5),0))</f>
        <v>0</v>
      </c>
      <c r="BB70" s="123" cm="1">
        <f t="array" ref="BB70">INDEX(Properties!$D:$D,$B70+5)*(IF(BB$3=INDEX(Properties!$U:$U,$B70+5),INDEX(Properties!$W:$W,$B70+5),0))</f>
        <v>0</v>
      </c>
      <c r="BC70" s="123" cm="1">
        <f t="array" ref="BC70">INDEX(Properties!$D:$D,$B70+5)*(IF(BC$3=INDEX(Properties!$U:$U,$B70+5),INDEX(Properties!$W:$W,$B70+5),0))</f>
        <v>0</v>
      </c>
      <c r="BD70" s="123" cm="1">
        <f t="array" ref="BD70">INDEX(Properties!$D:$D,$B70+5)*(IF(BD$3=INDEX(Properties!$U:$U,$B70+5),INDEX(Properties!$W:$W,$B70+5),0))</f>
        <v>0</v>
      </c>
      <c r="BE70" s="123" cm="1">
        <f t="array" ref="BE70">INDEX(Properties!$D:$D,$B70+5)*(IF(BE$3=INDEX(Properties!$U:$U,$B70+5),INDEX(Properties!$W:$W,$B70+5),0))</f>
        <v>0</v>
      </c>
      <c r="BF70" s="123" cm="1">
        <f t="array" ref="BF70">INDEX(Properties!$D:$D,$B70+5)*(IF(BF$3=INDEX(Properties!$U:$U,$B70+5),INDEX(Properties!$W:$W,$B70+5),0))</f>
        <v>0</v>
      </c>
      <c r="BG70" s="123" cm="1">
        <f t="array" ref="BG70">INDEX(Properties!$D:$D,$B70+5)*(IF(BG$3=INDEX(Properties!$U:$U,$B70+5),INDEX(Properties!$W:$W,$B70+5),0))</f>
        <v>0</v>
      </c>
      <c r="BH70" s="123" cm="1">
        <f t="array" ref="BH70">INDEX(Properties!$D:$D,$B70+5)*(IF(BH$3=INDEX(Properties!$U:$U,$B70+5),INDEX(Properties!$W:$W,$B70+5),0))</f>
        <v>0</v>
      </c>
      <c r="BI70" s="123" cm="1">
        <f t="array" ref="BI70">INDEX(Properties!$D:$D,$B70+5)*(IF(BI$3=INDEX(Properties!$U:$U,$B70+5),INDEX(Properties!$W:$W,$B70+5),0))</f>
        <v>0</v>
      </c>
      <c r="BJ70" s="123" cm="1">
        <f t="array" ref="BJ70">INDEX(Properties!$D:$D,$B70+5)*(IF(BJ$3=INDEX(Properties!$U:$U,$B70+5),INDEX(Properties!$W:$W,$B70+5),0))</f>
        <v>0</v>
      </c>
      <c r="BK70" s="123" cm="1">
        <f t="array" ref="BK70">INDEX(Properties!$D:$D,$B70+5)*(IF(BK$3=INDEX(Properties!$U:$U,$B70+5),INDEX(Properties!$W:$W,$B70+5),0))</f>
        <v>0</v>
      </c>
      <c r="BL70" s="123" cm="1">
        <f t="array" ref="BL70">INDEX(Properties!$D:$D,$B70+5)*(IF(BL$3=INDEX(Properties!$U:$U,$B70+5),INDEX(Properties!$W:$W,$B70+5),0))</f>
        <v>0</v>
      </c>
      <c r="BM70" s="123" cm="1">
        <f t="array" ref="BM70">INDEX(Properties!$D:$D,$B70+5)*(IF(BM$3=INDEX(Properties!$U:$U,$B70+5),INDEX(Properties!$W:$W,$B70+5),0))</f>
        <v>0</v>
      </c>
      <c r="BN70" s="123" cm="1">
        <f t="array" ref="BN70">INDEX(Properties!$D:$D,$B70+5)*(IF(BN$3=INDEX(Properties!$U:$U,$B70+5),INDEX(Properties!$W:$W,$B70+5),0))</f>
        <v>0</v>
      </c>
      <c r="BO70" s="123" cm="1">
        <f t="array" ref="BO70">INDEX(Properties!$D:$D,$B70+5)*(IF(BO$3=INDEX(Properties!$U:$U,$B70+5),INDEX(Properties!$W:$W,$B70+5),0))</f>
        <v>0</v>
      </c>
      <c r="BP70" s="123" cm="1">
        <f t="array" ref="BP70">INDEX(Properties!$D:$D,$B70+5)*(IF(BP$3=INDEX(Properties!$U:$U,$B70+5),INDEX(Properties!$W:$W,$B70+5),0))</f>
        <v>0</v>
      </c>
      <c r="BQ70" s="123" cm="1">
        <f t="array" ref="BQ70">INDEX(Properties!$D:$D,$B70+5)*(IF(BQ$3=INDEX(Properties!$U:$U,$B70+5),INDEX(Properties!$W:$W,$B70+5),0))</f>
        <v>0</v>
      </c>
      <c r="BR70" s="123" cm="1">
        <f t="array" ref="BR70">INDEX(Properties!$D:$D,$B70+5)*(IF(BR$3=INDEX(Properties!$U:$U,$B70+5),INDEX(Properties!$W:$W,$B70+5),0))</f>
        <v>0</v>
      </c>
      <c r="BS70" s="123" cm="1">
        <f t="array" ref="BS70">INDEX(Properties!$D:$D,$B70+5)*(IF(BS$3=INDEX(Properties!$U:$U,$B70+5),INDEX(Properties!$W:$W,$B70+5),0))</f>
        <v>0</v>
      </c>
      <c r="BT70" s="123" cm="1">
        <f t="array" ref="BT70">INDEX(Properties!$D:$D,$B70+5)*(IF(BT$3=INDEX(Properties!$U:$U,$B70+5),INDEX(Properties!$W:$W,$B70+5),0))</f>
        <v>0</v>
      </c>
      <c r="BU70" s="123" cm="1">
        <f t="array" ref="BU70">INDEX(Properties!$D:$D,$B70+5)*(IF(BU$3=INDEX(Properties!$U:$U,$B70+5),INDEX(Properties!$W:$W,$B70+5),0))</f>
        <v>0</v>
      </c>
      <c r="BV70" s="123" cm="1">
        <f t="array" ref="BV70">INDEX(Properties!$D:$D,$B70+5)*(IF(BV$3=INDEX(Properties!$U:$U,$B70+5),INDEX(Properties!$W:$W,$B70+5),0))</f>
        <v>0</v>
      </c>
      <c r="BW70" s="123" cm="1">
        <f t="array" ref="BW70">INDEX(Properties!$D:$D,$B70+5)*(IF(BW$3=INDEX(Properties!$U:$U,$B70+5),INDEX(Properties!$W:$W,$B70+5),0))</f>
        <v>0</v>
      </c>
      <c r="BX70" s="123" cm="1">
        <f t="array" ref="BX70">INDEX(Properties!$D:$D,$B70+5)*(IF(BX$3=INDEX(Properties!$U:$U,$B70+5),INDEX(Properties!$W:$W,$B70+5),0))</f>
        <v>0</v>
      </c>
      <c r="BY70" s="123" cm="1">
        <f t="array" ref="BY70">INDEX(Properties!$D:$D,$B70+5)*(IF(BY$3=INDEX(Properties!$U:$U,$B70+5),INDEX(Properties!$W:$W,$B70+5),0))</f>
        <v>0</v>
      </c>
      <c r="BZ70" s="123" cm="1">
        <f t="array" ref="BZ70">INDEX(Properties!$D:$D,$B70+5)*(IF(BZ$3=INDEX(Properties!$U:$U,$B70+5),INDEX(Properties!$W:$W,$B70+5),0))</f>
        <v>0</v>
      </c>
      <c r="CA70" s="123" cm="1">
        <f t="array" ref="CA70">INDEX(Properties!$D:$D,$B70+5)*(IF(CA$3=INDEX(Properties!$U:$U,$B70+5),INDEX(Properties!$W:$W,$B70+5),0))</f>
        <v>0</v>
      </c>
      <c r="CB70" s="123" cm="1">
        <f t="array" ref="CB70">INDEX(Properties!$D:$D,$B70+5)*(IF(CB$3=INDEX(Properties!$U:$U,$B70+5),INDEX(Properties!$W:$W,$B70+5),0))</f>
        <v>0</v>
      </c>
      <c r="CC70" s="123" cm="1">
        <f t="array" ref="CC70">INDEX(Properties!$D:$D,$B70+5)*(IF(CC$3=INDEX(Properties!$U:$U,$B70+5),INDEX(Properties!$W:$W,$B70+5),0))</f>
        <v>0</v>
      </c>
      <c r="CD70" s="123" cm="1">
        <f t="array" ref="CD70">INDEX(Properties!$D:$D,$B70+5)*(IF(CD$3=INDEX(Properties!$U:$U,$B70+5),INDEX(Properties!$W:$W,$B70+5),0))</f>
        <v>0</v>
      </c>
      <c r="CE70" s="123" cm="1">
        <f t="array" ref="CE70">INDEX(Properties!$D:$D,$B70+5)*(IF(CE$3=INDEX(Properties!$U:$U,$B70+5),INDEX(Properties!$W:$W,$B70+5),0))</f>
        <v>0</v>
      </c>
      <c r="CF70" s="123" cm="1">
        <f t="array" ref="CF70">INDEX(Properties!$D:$D,$B70+5)*(IF(CF$3=INDEX(Properties!$U:$U,$B70+5),INDEX(Properties!$W:$W,$B70+5),0))</f>
        <v>0</v>
      </c>
      <c r="CG70" s="123" cm="1">
        <f t="array" ref="CG70">INDEX(Properties!$D:$D,$B70+5)*(IF(CG$3=INDEX(Properties!$U:$U,$B70+5),INDEX(Properties!$W:$W,$B70+5),0))</f>
        <v>0</v>
      </c>
      <c r="CH70" s="123" cm="1">
        <f t="array" ref="CH70">INDEX(Properties!$D:$D,$B70+5)*(IF(CH$3=INDEX(Properties!$U:$U,$B70+5),INDEX(Properties!$W:$W,$B70+5),0))</f>
        <v>0</v>
      </c>
      <c r="CI70" s="123" cm="1">
        <f t="array" ref="CI70">INDEX(Properties!$D:$D,$B70+5)*(IF(CI$3=INDEX(Properties!$U:$U,$B70+5),INDEX(Properties!$W:$W,$B70+5),0))</f>
        <v>0</v>
      </c>
      <c r="CJ70" s="123" cm="1">
        <f t="array" ref="CJ70">INDEX(Properties!$D:$D,$B70+5)*(IF(CJ$3=INDEX(Properties!$U:$U,$B70+5),INDEX(Properties!$W:$W,$B70+5),0))</f>
        <v>0</v>
      </c>
      <c r="CK70" s="123" cm="1">
        <f t="array" ref="CK70">INDEX(Properties!$D:$D,$B70+5)*(IF(CK$3=INDEX(Properties!$U:$U,$B70+5),INDEX(Properties!$W:$W,$B70+5),0))</f>
        <v>0</v>
      </c>
      <c r="CL70" s="123" cm="1">
        <f t="array" ref="CL70">INDEX(Properties!$D:$D,$B70+5)*(IF(CL$3=INDEX(Properties!$U:$U,$B70+5),INDEX(Properties!$W:$W,$B70+5),0))</f>
        <v>0</v>
      </c>
      <c r="CM70" s="123" cm="1">
        <f t="array" ref="CM70">INDEX(Properties!$D:$D,$B70+5)*(IF(CM$3=INDEX(Properties!$U:$U,$B70+5),INDEX(Properties!$W:$W,$B70+5),0))</f>
        <v>0</v>
      </c>
      <c r="CN70" s="123" cm="1">
        <f t="array" ref="CN70">INDEX(Properties!$D:$D,$B70+5)*(IF(CN$3=INDEX(Properties!$U:$U,$B70+5),INDEX(Properties!$W:$W,$B70+5),0))</f>
        <v>0</v>
      </c>
      <c r="CO70" s="123" cm="1">
        <f t="array" ref="CO70">INDEX(Properties!$D:$D,$B70+5)*(IF(CO$3=INDEX(Properties!$U:$U,$B70+5),INDEX(Properties!$W:$W,$B70+5),0))</f>
        <v>0</v>
      </c>
      <c r="CP70" s="123" cm="1">
        <f t="array" ref="CP70">INDEX(Properties!$D:$D,$B70+5)*(IF(CP$3=INDEX(Properties!$U:$U,$B70+5),INDEX(Properties!$W:$W,$B70+5),0))</f>
        <v>0</v>
      </c>
      <c r="CQ70" s="123" cm="1">
        <f t="array" ref="CQ70">INDEX(Properties!$D:$D,$B70+5)*(IF(CQ$3=INDEX(Properties!$U:$U,$B70+5),INDEX(Properties!$W:$W,$B70+5),0))</f>
        <v>0</v>
      </c>
      <c r="CR70" s="123" cm="1">
        <f t="array" ref="CR70">INDEX(Properties!$D:$D,$B70+5)*(IF(CR$3=INDEX(Properties!$U:$U,$B70+5),INDEX(Properties!$W:$W,$B70+5),0))</f>
        <v>0</v>
      </c>
      <c r="CS70" s="123" cm="1">
        <f t="array" ref="CS70">INDEX(Properties!$D:$D,$B70+5)*(IF(CS$3=INDEX(Properties!$U:$U,$B70+5),INDEX(Properties!$W:$W,$B70+5),0))</f>
        <v>0</v>
      </c>
      <c r="CT70" s="123" cm="1">
        <f t="array" ref="CT70">INDEX(Properties!$D:$D,$B70+5)*(IF(CT$3=INDEX(Properties!$U:$U,$B70+5),INDEX(Properties!$W:$W,$B70+5),0))</f>
        <v>0</v>
      </c>
      <c r="CU70" s="123" cm="1">
        <f t="array" ref="CU70">INDEX(Properties!$D:$D,$B70+5)*(IF(CU$3=INDEX(Properties!$U:$U,$B70+5),INDEX(Properties!$W:$W,$B70+5),0))</f>
        <v>0</v>
      </c>
      <c r="CV70" s="123" cm="1">
        <f t="array" ref="CV70">INDEX(Properties!$D:$D,$B70+5)*(IF(CV$3=INDEX(Properties!$U:$U,$B70+5),INDEX(Properties!$W:$W,$B70+5),0))</f>
        <v>0</v>
      </c>
      <c r="CW70" s="123" cm="1">
        <f t="array" ref="CW70">INDEX(Properties!$D:$D,$B70+5)*(IF(CW$3=INDEX(Properties!$U:$U,$B70+5),INDEX(Properties!$W:$W,$B70+5),0))</f>
        <v>0</v>
      </c>
      <c r="CX70" s="123" cm="1">
        <f t="array" ref="CX70">INDEX(Properties!$D:$D,$B70+5)*(IF(CX$3=INDEX(Properties!$U:$U,$B70+5),INDEX(Properties!$W:$W,$B70+5),0))</f>
        <v>0</v>
      </c>
      <c r="CY70" s="123" cm="1">
        <f t="array" ref="CY70">INDEX(Properties!$D:$D,$B70+5)*(IF(CY$3=INDEX(Properties!$U:$U,$B70+5),INDEX(Properties!$W:$W,$B70+5),0))</f>
        <v>0</v>
      </c>
      <c r="CZ70" s="123" cm="1">
        <f t="array" ref="CZ70">INDEX(Properties!$D:$D,$B70+5)*(IF(CZ$3=INDEX(Properties!$U:$U,$B70+5),INDEX(Properties!$W:$W,$B70+5),0))</f>
        <v>0</v>
      </c>
      <c r="DA70" s="123" cm="1">
        <f t="array" ref="DA70">INDEX(Properties!$D:$D,$B70+5)*(IF(DA$3=INDEX(Properties!$U:$U,$B70+5),INDEX(Properties!$W:$W,$B70+5),0))</f>
        <v>0</v>
      </c>
      <c r="DB70" s="123" cm="1">
        <f t="array" ref="DB70">INDEX(Properties!$D:$D,$B70+5)*(IF(DB$3=INDEX(Properties!$U:$U,$B70+5),INDEX(Properties!$W:$W,$B70+5),0))</f>
        <v>0</v>
      </c>
      <c r="DC70" s="123" cm="1">
        <f t="array" ref="DC70">INDEX(Properties!$D:$D,$B70+5)*(IF(DC$3=INDEX(Properties!$U:$U,$B70+5),INDEX(Properties!$W:$W,$B70+5),0))</f>
        <v>0</v>
      </c>
      <c r="DD70" s="123" cm="1">
        <f t="array" ref="DD70">INDEX(Properties!$D:$D,$B70+5)*(IF(DD$3=INDEX(Properties!$U:$U,$B70+5),INDEX(Properties!$W:$W,$B70+5),0))</f>
        <v>0</v>
      </c>
      <c r="DE70" s="123" cm="1">
        <f t="array" ref="DE70">INDEX(Properties!$D:$D,$B70+5)*(IF(DE$3=INDEX(Properties!$U:$U,$B70+5),INDEX(Properties!$W:$W,$B70+5),0))</f>
        <v>0</v>
      </c>
      <c r="DF70" s="123" cm="1">
        <f t="array" ref="DF70">INDEX(Properties!$D:$D,$B70+5)*(IF(DF$3=INDEX(Properties!$U:$U,$B70+5),INDEX(Properties!$W:$W,$B70+5),0))</f>
        <v>0</v>
      </c>
      <c r="DG70" s="123" cm="1">
        <f t="array" ref="DG70">INDEX(Properties!$D:$D,$B70+5)*(IF(DG$3=INDEX(Properties!$U:$U,$B70+5),INDEX(Properties!$W:$W,$B70+5),0))</f>
        <v>0</v>
      </c>
      <c r="DH70" s="123" cm="1">
        <f t="array" ref="DH70">INDEX(Properties!$D:$D,$B70+5)*(IF(DH$3=INDEX(Properties!$U:$U,$B70+5),INDEX(Properties!$W:$W,$B70+5),0))</f>
        <v>0</v>
      </c>
      <c r="DI70" s="123" cm="1">
        <f t="array" ref="DI70">INDEX(Properties!$D:$D,$B70+5)*(IF(DI$3=INDEX(Properties!$U:$U,$B70+5),INDEX(Properties!$W:$W,$B70+5),0))</f>
        <v>0</v>
      </c>
      <c r="DJ70" s="123" cm="1">
        <f t="array" ref="DJ70">INDEX(Properties!$D:$D,$B70+5)*(IF(DJ$3=INDEX(Properties!$U:$U,$B70+5),INDEX(Properties!$W:$W,$B70+5),0))</f>
        <v>0</v>
      </c>
      <c r="DK70" s="123" cm="1">
        <f t="array" ref="DK70">INDEX(Properties!$D:$D,$B70+5)*(IF(DK$3=INDEX(Properties!$U:$U,$B70+5),INDEX(Properties!$W:$W,$B70+5),0))</f>
        <v>0</v>
      </c>
      <c r="DL70" s="123" cm="1">
        <f t="array" ref="DL70">INDEX(Properties!$D:$D,$B70+5)*(IF(DL$3=INDEX(Properties!$U:$U,$B70+5),INDEX(Properties!$W:$W,$B70+5),0))</f>
        <v>0</v>
      </c>
      <c r="DM70" s="123" cm="1">
        <f t="array" ref="DM70">INDEX(Properties!$D:$D,$B70+5)*(IF(DM$3=INDEX(Properties!$U:$U,$B70+5),INDEX(Properties!$W:$W,$B70+5),0))</f>
        <v>0</v>
      </c>
      <c r="DN70" s="123" cm="1">
        <f t="array" ref="DN70">INDEX(Properties!$D:$D,$B70+5)*(IF(DN$3=INDEX(Properties!$U:$U,$B70+5),INDEX(Properties!$W:$W,$B70+5),0))</f>
        <v>0</v>
      </c>
      <c r="DO70" s="123" cm="1">
        <f t="array" ref="DO70">INDEX(Properties!$D:$D,$B70+5)*(IF(DO$3=INDEX(Properties!$U:$U,$B70+5),INDEX(Properties!$W:$W,$B70+5),0))</f>
        <v>0</v>
      </c>
      <c r="DP70" s="123" cm="1">
        <f t="array" ref="DP70">INDEX(Properties!$D:$D,$B70+5)*(IF(DP$3=INDEX(Properties!$U:$U,$B70+5),INDEX(Properties!$W:$W,$B70+5),0))</f>
        <v>0</v>
      </c>
      <c r="DQ70" s="123" cm="1">
        <f t="array" ref="DQ70">INDEX(Properties!$D:$D,$B70+5)*(IF(DQ$3=INDEX(Properties!$U:$U,$B70+5),INDEX(Properties!$W:$W,$B70+5),0))</f>
        <v>0</v>
      </c>
      <c r="DR70" s="123" cm="1">
        <f t="array" ref="DR70">INDEX(Properties!$D:$D,$B70+5)*(IF(DR$3=INDEX(Properties!$U:$U,$B70+5),INDEX(Properties!$W:$W,$B70+5),0))</f>
        <v>0</v>
      </c>
    </row>
    <row r="71" spans="1:122" ht="16.05" customHeight="1" x14ac:dyDescent="0.3">
      <c r="A71" s="5" t="s">
        <v>62</v>
      </c>
      <c r="B71" s="1"/>
      <c r="C71" s="243">
        <f t="shared" ref="C71:AH71" si="20">SUM(C61:C70)</f>
        <v>0</v>
      </c>
      <c r="D71" s="243">
        <f t="shared" si="20"/>
        <v>0</v>
      </c>
      <c r="E71" s="243">
        <f t="shared" si="20"/>
        <v>0</v>
      </c>
      <c r="F71" s="243">
        <f t="shared" si="20"/>
        <v>0</v>
      </c>
      <c r="G71" s="243">
        <f t="shared" si="20"/>
        <v>0</v>
      </c>
      <c r="H71" s="243">
        <f t="shared" si="20"/>
        <v>0</v>
      </c>
      <c r="I71" s="243">
        <f t="shared" si="20"/>
        <v>0</v>
      </c>
      <c r="J71" s="243">
        <f t="shared" si="20"/>
        <v>0</v>
      </c>
      <c r="K71" s="243">
        <f t="shared" si="20"/>
        <v>0</v>
      </c>
      <c r="L71" s="243">
        <f t="shared" si="20"/>
        <v>0</v>
      </c>
      <c r="M71" s="243">
        <f t="shared" si="20"/>
        <v>0</v>
      </c>
      <c r="N71" s="243">
        <f t="shared" si="20"/>
        <v>0</v>
      </c>
      <c r="O71" s="243">
        <f t="shared" si="20"/>
        <v>0</v>
      </c>
      <c r="P71" s="243">
        <f t="shared" si="20"/>
        <v>0</v>
      </c>
      <c r="Q71" s="243">
        <f t="shared" si="20"/>
        <v>0</v>
      </c>
      <c r="R71" s="243">
        <f t="shared" si="20"/>
        <v>0</v>
      </c>
      <c r="S71" s="243">
        <f t="shared" si="20"/>
        <v>0</v>
      </c>
      <c r="T71" s="243">
        <f t="shared" si="20"/>
        <v>0</v>
      </c>
      <c r="U71" s="243">
        <f t="shared" si="20"/>
        <v>0</v>
      </c>
      <c r="V71" s="243">
        <f t="shared" si="20"/>
        <v>0</v>
      </c>
      <c r="W71" s="243">
        <f t="shared" si="20"/>
        <v>0</v>
      </c>
      <c r="X71" s="243">
        <f t="shared" si="20"/>
        <v>0</v>
      </c>
      <c r="Y71" s="243">
        <f t="shared" si="20"/>
        <v>0</v>
      </c>
      <c r="Z71" s="243">
        <f t="shared" si="20"/>
        <v>0</v>
      </c>
      <c r="AA71" s="243">
        <f t="shared" si="20"/>
        <v>0</v>
      </c>
      <c r="AB71" s="243">
        <f t="shared" si="20"/>
        <v>0</v>
      </c>
      <c r="AC71" s="243">
        <f t="shared" si="20"/>
        <v>0</v>
      </c>
      <c r="AD71" s="243">
        <f t="shared" si="20"/>
        <v>1265464.2924150538</v>
      </c>
      <c r="AE71" s="243">
        <f t="shared" si="20"/>
        <v>0</v>
      </c>
      <c r="AF71" s="243">
        <f t="shared" si="20"/>
        <v>2019763.3569386934</v>
      </c>
      <c r="AG71" s="243">
        <f t="shared" si="20"/>
        <v>2261281.5704204938</v>
      </c>
      <c r="AH71" s="243">
        <f t="shared" si="20"/>
        <v>0</v>
      </c>
      <c r="AI71" s="243">
        <f t="shared" ref="AI71:BN71" si="21">SUM(AI61:AI70)</f>
        <v>0</v>
      </c>
      <c r="AJ71" s="243">
        <f t="shared" si="21"/>
        <v>0</v>
      </c>
      <c r="AK71" s="243">
        <f t="shared" si="21"/>
        <v>0</v>
      </c>
      <c r="AL71" s="243">
        <f t="shared" si="21"/>
        <v>0</v>
      </c>
      <c r="AM71" s="243">
        <f t="shared" si="21"/>
        <v>2834606.5805107774</v>
      </c>
      <c r="AN71" s="243">
        <f t="shared" si="21"/>
        <v>0</v>
      </c>
      <c r="AO71" s="243">
        <f t="shared" si="21"/>
        <v>0</v>
      </c>
      <c r="AP71" s="243">
        <f t="shared" si="21"/>
        <v>0</v>
      </c>
      <c r="AQ71" s="243">
        <f t="shared" si="21"/>
        <v>0</v>
      </c>
      <c r="AR71" s="243">
        <f t="shared" si="21"/>
        <v>0</v>
      </c>
      <c r="AS71" s="243">
        <f t="shared" si="21"/>
        <v>2995795.1883356264</v>
      </c>
      <c r="AT71" s="243">
        <f t="shared" si="21"/>
        <v>0</v>
      </c>
      <c r="AU71" s="243">
        <f t="shared" si="21"/>
        <v>0</v>
      </c>
      <c r="AV71" s="243">
        <f t="shared" si="21"/>
        <v>0</v>
      </c>
      <c r="AW71" s="243">
        <f t="shared" si="21"/>
        <v>0</v>
      </c>
      <c r="AX71" s="243">
        <f t="shared" si="21"/>
        <v>0</v>
      </c>
      <c r="AY71" s="243">
        <f t="shared" si="21"/>
        <v>0</v>
      </c>
      <c r="AZ71" s="243">
        <f t="shared" si="21"/>
        <v>0</v>
      </c>
      <c r="BA71" s="243">
        <f t="shared" si="21"/>
        <v>0</v>
      </c>
      <c r="BB71" s="243">
        <f t="shared" si="21"/>
        <v>0</v>
      </c>
      <c r="BC71" s="243">
        <f t="shared" si="21"/>
        <v>0</v>
      </c>
      <c r="BD71" s="243">
        <f t="shared" si="21"/>
        <v>0</v>
      </c>
      <c r="BE71" s="243">
        <f t="shared" si="21"/>
        <v>0</v>
      </c>
      <c r="BF71" s="243">
        <f t="shared" si="21"/>
        <v>0</v>
      </c>
      <c r="BG71" s="243">
        <f t="shared" si="21"/>
        <v>0</v>
      </c>
      <c r="BH71" s="243">
        <f t="shared" si="21"/>
        <v>0</v>
      </c>
      <c r="BI71" s="243">
        <f t="shared" si="21"/>
        <v>0</v>
      </c>
      <c r="BJ71" s="243">
        <f t="shared" si="21"/>
        <v>0</v>
      </c>
      <c r="BK71" s="243">
        <f t="shared" si="21"/>
        <v>0</v>
      </c>
      <c r="BL71" s="243">
        <f t="shared" si="21"/>
        <v>0</v>
      </c>
      <c r="BM71" s="243">
        <f t="shared" si="21"/>
        <v>0</v>
      </c>
      <c r="BN71" s="243">
        <f t="shared" si="21"/>
        <v>0</v>
      </c>
      <c r="BO71" s="243">
        <f t="shared" ref="BO71:CT71" si="22">SUM(BO61:BO70)</f>
        <v>0</v>
      </c>
      <c r="BP71" s="243">
        <f t="shared" si="22"/>
        <v>0</v>
      </c>
      <c r="BQ71" s="243">
        <f t="shared" si="22"/>
        <v>0</v>
      </c>
      <c r="BR71" s="243">
        <f t="shared" si="22"/>
        <v>0</v>
      </c>
      <c r="BS71" s="243">
        <f t="shared" si="22"/>
        <v>0</v>
      </c>
      <c r="BT71" s="243">
        <f t="shared" si="22"/>
        <v>0</v>
      </c>
      <c r="BU71" s="243">
        <f t="shared" si="22"/>
        <v>0</v>
      </c>
      <c r="BV71" s="243">
        <f t="shared" si="22"/>
        <v>0</v>
      </c>
      <c r="BW71" s="243">
        <f t="shared" si="22"/>
        <v>0</v>
      </c>
      <c r="BX71" s="243">
        <f t="shared" si="22"/>
        <v>0</v>
      </c>
      <c r="BY71" s="243">
        <f t="shared" si="22"/>
        <v>0</v>
      </c>
      <c r="BZ71" s="243">
        <f t="shared" si="22"/>
        <v>0</v>
      </c>
      <c r="CA71" s="243">
        <f t="shared" si="22"/>
        <v>0</v>
      </c>
      <c r="CB71" s="243">
        <f t="shared" si="22"/>
        <v>0</v>
      </c>
      <c r="CC71" s="243">
        <f t="shared" si="22"/>
        <v>0</v>
      </c>
      <c r="CD71" s="243">
        <f t="shared" si="22"/>
        <v>0</v>
      </c>
      <c r="CE71" s="243">
        <f t="shared" si="22"/>
        <v>0</v>
      </c>
      <c r="CF71" s="243">
        <f t="shared" si="22"/>
        <v>0</v>
      </c>
      <c r="CG71" s="243">
        <f t="shared" si="22"/>
        <v>0</v>
      </c>
      <c r="CH71" s="243">
        <f t="shared" si="22"/>
        <v>0</v>
      </c>
      <c r="CI71" s="243">
        <f t="shared" si="22"/>
        <v>0</v>
      </c>
      <c r="CJ71" s="243">
        <f t="shared" si="22"/>
        <v>0</v>
      </c>
      <c r="CK71" s="243">
        <f t="shared" si="22"/>
        <v>0</v>
      </c>
      <c r="CL71" s="243">
        <f t="shared" si="22"/>
        <v>0</v>
      </c>
      <c r="CM71" s="243">
        <f t="shared" si="22"/>
        <v>0</v>
      </c>
      <c r="CN71" s="243">
        <f t="shared" si="22"/>
        <v>0</v>
      </c>
      <c r="CO71" s="243">
        <f t="shared" si="22"/>
        <v>0</v>
      </c>
      <c r="CP71" s="243">
        <f t="shared" si="22"/>
        <v>0</v>
      </c>
      <c r="CQ71" s="243">
        <f t="shared" si="22"/>
        <v>0</v>
      </c>
      <c r="CR71" s="243">
        <f t="shared" si="22"/>
        <v>0</v>
      </c>
      <c r="CS71" s="243">
        <f t="shared" si="22"/>
        <v>0</v>
      </c>
      <c r="CT71" s="243">
        <f t="shared" si="22"/>
        <v>0</v>
      </c>
      <c r="CU71" s="243">
        <f t="shared" ref="CU71:DR71" si="23">SUM(CU61:CU70)</f>
        <v>0</v>
      </c>
      <c r="CV71" s="243">
        <f t="shared" si="23"/>
        <v>0</v>
      </c>
      <c r="CW71" s="243">
        <f t="shared" si="23"/>
        <v>0</v>
      </c>
      <c r="CX71" s="243">
        <f t="shared" si="23"/>
        <v>0</v>
      </c>
      <c r="CY71" s="243">
        <f t="shared" si="23"/>
        <v>0</v>
      </c>
      <c r="CZ71" s="243">
        <f t="shared" si="23"/>
        <v>0</v>
      </c>
      <c r="DA71" s="243">
        <f t="shared" si="23"/>
        <v>0</v>
      </c>
      <c r="DB71" s="243">
        <f t="shared" si="23"/>
        <v>0</v>
      </c>
      <c r="DC71" s="243">
        <f t="shared" si="23"/>
        <v>0</v>
      </c>
      <c r="DD71" s="243">
        <f t="shared" si="23"/>
        <v>0</v>
      </c>
      <c r="DE71" s="243">
        <f t="shared" si="23"/>
        <v>0</v>
      </c>
      <c r="DF71" s="243">
        <f t="shared" si="23"/>
        <v>0</v>
      </c>
      <c r="DG71" s="243">
        <f t="shared" si="23"/>
        <v>0</v>
      </c>
      <c r="DH71" s="243">
        <f t="shared" si="23"/>
        <v>0</v>
      </c>
      <c r="DI71" s="243">
        <f t="shared" si="23"/>
        <v>0</v>
      </c>
      <c r="DJ71" s="243">
        <f t="shared" si="23"/>
        <v>0</v>
      </c>
      <c r="DK71" s="243">
        <f t="shared" si="23"/>
        <v>0</v>
      </c>
      <c r="DL71" s="243">
        <f t="shared" si="23"/>
        <v>0</v>
      </c>
      <c r="DM71" s="243">
        <f t="shared" si="23"/>
        <v>0</v>
      </c>
      <c r="DN71" s="243">
        <f t="shared" si="23"/>
        <v>0</v>
      </c>
      <c r="DO71" s="243">
        <f t="shared" si="23"/>
        <v>0</v>
      </c>
      <c r="DP71" s="243">
        <f t="shared" si="23"/>
        <v>0</v>
      </c>
      <c r="DQ71" s="243">
        <f t="shared" si="23"/>
        <v>0</v>
      </c>
      <c r="DR71" s="243">
        <f t="shared" si="23"/>
        <v>0</v>
      </c>
    </row>
    <row r="72" spans="1:122" ht="19.95" customHeight="1" x14ac:dyDescent="0.3">
      <c r="A72" s="3" t="s">
        <v>63</v>
      </c>
      <c r="B72" s="3"/>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c r="CG72" s="244"/>
      <c r="CH72" s="244"/>
      <c r="CI72" s="244"/>
      <c r="CJ72" s="244"/>
      <c r="CK72" s="244"/>
      <c r="CL72" s="244"/>
      <c r="CM72" s="244"/>
      <c r="CN72" s="244"/>
      <c r="CO72" s="244"/>
      <c r="CP72" s="244"/>
      <c r="CQ72" s="244"/>
      <c r="CR72" s="244"/>
      <c r="CS72" s="244"/>
      <c r="CT72" s="244"/>
      <c r="CU72" s="244"/>
      <c r="CV72" s="244"/>
      <c r="CW72" s="244"/>
      <c r="CX72" s="244"/>
      <c r="CY72" s="244"/>
      <c r="CZ72" s="244"/>
      <c r="DA72" s="244"/>
      <c r="DB72" s="244"/>
      <c r="DC72" s="244"/>
      <c r="DD72" s="244"/>
      <c r="DE72" s="244"/>
      <c r="DF72" s="244"/>
      <c r="DG72" s="244"/>
      <c r="DH72" s="244"/>
      <c r="DI72" s="244"/>
      <c r="DJ72" s="244"/>
      <c r="DK72" s="244"/>
      <c r="DL72" s="244"/>
      <c r="DM72" s="244"/>
      <c r="DN72" s="244"/>
      <c r="DO72" s="244"/>
      <c r="DP72" s="244"/>
      <c r="DQ72" s="244"/>
      <c r="DR72" s="244"/>
    </row>
    <row r="73" spans="1:122" ht="16.05" customHeight="1" x14ac:dyDescent="0.3">
      <c r="A73" s="148" t="str" cm="1">
        <f t="array" ref="A73">INDEX(Properties!$E:$E,$B73+5)</f>
        <v>Aires de Campestre Apto 801 (Penthouse)</v>
      </c>
      <c r="B73" s="1">
        <v>1</v>
      </c>
      <c r="C73" s="123" cm="1">
        <f t="array" ref="C73">INDEX(Properties!$D:$D,$B73+5)*(IF(C$3=INDEX(Properties!$U:$U,$B73+5),INDEX(Properties!$P:$P,$B73+5),0))</f>
        <v>0</v>
      </c>
      <c r="D73" s="123" cm="1">
        <f t="array" ref="D73">INDEX(Properties!$D:$D,$B73+5)*(IF(D$3=INDEX(Properties!$U:$U,$B73+5),INDEX(Properties!$P:$P,$B73+5),0))</f>
        <v>0</v>
      </c>
      <c r="E73" s="123" cm="1">
        <f t="array" ref="E73">INDEX(Properties!$D:$D,$B73+5)*(IF(E$3=INDEX(Properties!$U:$U,$B73+5),INDEX(Properties!$P:$P,$B73+5),0))</f>
        <v>0</v>
      </c>
      <c r="F73" s="123" cm="1">
        <f t="array" ref="F73">INDEX(Properties!$D:$D,$B73+5)*(IF(F$3=INDEX(Properties!$U:$U,$B73+5),INDEX(Properties!$P:$P,$B73+5),0))</f>
        <v>0</v>
      </c>
      <c r="G73" s="123" cm="1">
        <f t="array" ref="G73">INDEX(Properties!$D:$D,$B73+5)*(IF(G$3=INDEX(Properties!$U:$U,$B73+5),INDEX(Properties!$P:$P,$B73+5),0))</f>
        <v>0</v>
      </c>
      <c r="H73" s="123" cm="1">
        <f t="array" ref="H73">INDEX(Properties!$D:$D,$B73+5)*(IF(H$3=INDEX(Properties!$U:$U,$B73+5),INDEX(Properties!$P:$P,$B73+5),0))</f>
        <v>0</v>
      </c>
      <c r="I73" s="123" cm="1">
        <f t="array" ref="I73">INDEX(Properties!$D:$D,$B73+5)*(IF(I$3=INDEX(Properties!$U:$U,$B73+5),INDEX(Properties!$P:$P,$B73+5),0))</f>
        <v>0</v>
      </c>
      <c r="J73" s="123" cm="1">
        <f t="array" ref="J73">INDEX(Properties!$D:$D,$B73+5)*(IF(J$3=INDEX(Properties!$U:$U,$B73+5),INDEX(Properties!$P:$P,$B73+5),0))</f>
        <v>0</v>
      </c>
      <c r="K73" s="123" cm="1">
        <f t="array" ref="K73">INDEX(Properties!$D:$D,$B73+5)*(IF(K$3=INDEX(Properties!$U:$U,$B73+5),INDEX(Properties!$P:$P,$B73+5),0))</f>
        <v>0</v>
      </c>
      <c r="L73" s="123" cm="1">
        <f t="array" ref="L73">INDEX(Properties!$D:$D,$B73+5)*(IF(L$3=INDEX(Properties!$U:$U,$B73+5),INDEX(Properties!$P:$P,$B73+5),0))</f>
        <v>0</v>
      </c>
      <c r="M73" s="123" cm="1">
        <f t="array" ref="M73">INDEX(Properties!$D:$D,$B73+5)*(IF(M$3=INDEX(Properties!$U:$U,$B73+5),INDEX(Properties!$P:$P,$B73+5),0))</f>
        <v>0</v>
      </c>
      <c r="N73" s="123" cm="1">
        <f t="array" ref="N73">INDEX(Properties!$D:$D,$B73+5)*(IF(N$3=INDEX(Properties!$U:$U,$B73+5),INDEX(Properties!$P:$P,$B73+5),0))</f>
        <v>0</v>
      </c>
      <c r="O73" s="123" cm="1">
        <f t="array" ref="O73">INDEX(Properties!$D:$D,$B73+5)*(IF(O$3=INDEX(Properties!$U:$U,$B73+5),INDEX(Properties!$P:$P,$B73+5),0))</f>
        <v>0</v>
      </c>
      <c r="P73" s="123" cm="1">
        <f t="array" ref="P73">INDEX(Properties!$D:$D,$B73+5)*(IF(P$3=INDEX(Properties!$U:$U,$B73+5),INDEX(Properties!$P:$P,$B73+5),0))</f>
        <v>0</v>
      </c>
      <c r="Q73" s="123" cm="1">
        <f t="array" ref="Q73">INDEX(Properties!$D:$D,$B73+5)*(IF(Q$3=INDEX(Properties!$U:$U,$B73+5),INDEX(Properties!$P:$P,$B73+5),0))</f>
        <v>0</v>
      </c>
      <c r="R73" s="123" cm="1">
        <f t="array" ref="R73">INDEX(Properties!$D:$D,$B73+5)*(IF(R$3=INDEX(Properties!$U:$U,$B73+5),INDEX(Properties!$P:$P,$B73+5),0))</f>
        <v>0</v>
      </c>
      <c r="S73" s="123" cm="1">
        <f t="array" ref="S73">INDEX(Properties!$D:$D,$B73+5)*(IF(S$3=INDEX(Properties!$U:$U,$B73+5),INDEX(Properties!$P:$P,$B73+5),0))</f>
        <v>0</v>
      </c>
      <c r="T73" s="123" cm="1">
        <f t="array" ref="T73">INDEX(Properties!$D:$D,$B73+5)*(IF(T$3=INDEX(Properties!$U:$U,$B73+5),INDEX(Properties!$P:$P,$B73+5),0))</f>
        <v>0</v>
      </c>
      <c r="U73" s="123" cm="1">
        <f t="array" ref="U73">INDEX(Properties!$D:$D,$B73+5)*(IF(U$3=INDEX(Properties!$U:$U,$B73+5),INDEX(Properties!$P:$P,$B73+5),0))</f>
        <v>0</v>
      </c>
      <c r="V73" s="123" cm="1">
        <f t="array" ref="V73">INDEX(Properties!$D:$D,$B73+5)*(IF(V$3=INDEX(Properties!$U:$U,$B73+5),INDEX(Properties!$P:$P,$B73+5),0))</f>
        <v>0</v>
      </c>
      <c r="W73" s="123" cm="1">
        <f t="array" ref="W73">INDEX(Properties!$D:$D,$B73+5)*(IF(W$3=INDEX(Properties!$U:$U,$B73+5),INDEX(Properties!$P:$P,$B73+5),0))</f>
        <v>0</v>
      </c>
      <c r="X73" s="123" cm="1">
        <f t="array" ref="X73">INDEX(Properties!$D:$D,$B73+5)*(IF(X$3=INDEX(Properties!$U:$U,$B73+5),INDEX(Properties!$P:$P,$B73+5),0))</f>
        <v>0</v>
      </c>
      <c r="Y73" s="123" cm="1">
        <f t="array" ref="Y73">INDEX(Properties!$D:$D,$B73+5)*(IF(Y$3=INDEX(Properties!$U:$U,$B73+5),INDEX(Properties!$P:$P,$B73+5),0))</f>
        <v>0</v>
      </c>
      <c r="Z73" s="123" cm="1">
        <f t="array" ref="Z73">INDEX(Properties!$D:$D,$B73+5)*(IF(Z$3=INDEX(Properties!$U:$U,$B73+5),INDEX(Properties!$P:$P,$B73+5),0))</f>
        <v>0</v>
      </c>
      <c r="AA73" s="123" cm="1">
        <f t="array" ref="AA73">INDEX(Properties!$D:$D,$B73+5)*(IF(AA$3=INDEX(Properties!$U:$U,$B73+5),INDEX(Properties!$P:$P,$B73+5),0))</f>
        <v>0</v>
      </c>
      <c r="AB73" s="123" cm="1">
        <f t="array" ref="AB73">INDEX(Properties!$D:$D,$B73+5)*(IF(AB$3=INDEX(Properties!$U:$U,$B73+5),INDEX(Properties!$P:$P,$B73+5),0))</f>
        <v>0</v>
      </c>
      <c r="AC73" s="123" cm="1">
        <f t="array" ref="AC73">INDEX(Properties!$D:$D,$B73+5)*(IF(AC$3=INDEX(Properties!$U:$U,$B73+5),INDEX(Properties!$P:$P,$B73+5),0))</f>
        <v>0</v>
      </c>
      <c r="AD73" s="123" cm="1">
        <f t="array" ref="AD73">INDEX(Properties!$D:$D,$B73+5)*(IF(AD$3=INDEX(Properties!$U:$U,$B73+5),INDEX(Properties!$P:$P,$B73+5),0))</f>
        <v>0</v>
      </c>
      <c r="AE73" s="123" cm="1">
        <f t="array" ref="AE73">INDEX(Properties!$D:$D,$B73+5)*(IF(AE$3=INDEX(Properties!$U:$U,$B73+5),INDEX(Properties!$P:$P,$B73+5),0))</f>
        <v>0</v>
      </c>
      <c r="AF73" s="123" cm="1">
        <f t="array" ref="AF73">INDEX(Properties!$D:$D,$B73+5)*(IF(AF$3=INDEX(Properties!$U:$U,$B73+5),INDEX(Properties!$P:$P,$B73+5),0))</f>
        <v>1168770.2265372169</v>
      </c>
      <c r="AG73" s="123" cm="1">
        <f t="array" ref="AG73">INDEX(Properties!$D:$D,$B73+5)*(IF(AG$3=INDEX(Properties!$U:$U,$B73+5),INDEX(Properties!$P:$P,$B73+5),0))</f>
        <v>0</v>
      </c>
      <c r="AH73" s="123" cm="1">
        <f t="array" ref="AH73">INDEX(Properties!$D:$D,$B73+5)*(IF(AH$3=INDEX(Properties!$U:$U,$B73+5),INDEX(Properties!$P:$P,$B73+5),0))</f>
        <v>0</v>
      </c>
      <c r="AI73" s="123" cm="1">
        <f t="array" ref="AI73">INDEX(Properties!$D:$D,$B73+5)*(IF(AI$3=INDEX(Properties!$U:$U,$B73+5),INDEX(Properties!$P:$P,$B73+5),0))</f>
        <v>0</v>
      </c>
      <c r="AJ73" s="123" cm="1">
        <f t="array" ref="AJ73">INDEX(Properties!$D:$D,$B73+5)*(IF(AJ$3=INDEX(Properties!$U:$U,$B73+5),INDEX(Properties!$P:$P,$B73+5),0))</f>
        <v>0</v>
      </c>
      <c r="AK73" s="123" cm="1">
        <f t="array" ref="AK73">INDEX(Properties!$D:$D,$B73+5)*(IF(AK$3=INDEX(Properties!$U:$U,$B73+5),INDEX(Properties!$P:$P,$B73+5),0))</f>
        <v>0</v>
      </c>
      <c r="AL73" s="123" cm="1">
        <f t="array" ref="AL73">INDEX(Properties!$D:$D,$B73+5)*(IF(AL$3=INDEX(Properties!$U:$U,$B73+5),INDEX(Properties!$P:$P,$B73+5),0))</f>
        <v>0</v>
      </c>
      <c r="AM73" s="123" cm="1">
        <f t="array" ref="AM73">INDEX(Properties!$D:$D,$B73+5)*(IF(AM$3=INDEX(Properties!$U:$U,$B73+5),INDEX(Properties!$P:$P,$B73+5),0))</f>
        <v>0</v>
      </c>
      <c r="AN73" s="123" cm="1">
        <f t="array" ref="AN73">INDEX(Properties!$D:$D,$B73+5)*(IF(AN$3=INDEX(Properties!$U:$U,$B73+5),INDEX(Properties!$P:$P,$B73+5),0))</f>
        <v>0</v>
      </c>
      <c r="AO73" s="123" cm="1">
        <f t="array" ref="AO73">INDEX(Properties!$D:$D,$B73+5)*(IF(AO$3=INDEX(Properties!$U:$U,$B73+5),INDEX(Properties!$P:$P,$B73+5),0))</f>
        <v>0</v>
      </c>
      <c r="AP73" s="123" cm="1">
        <f t="array" ref="AP73">INDEX(Properties!$D:$D,$B73+5)*(IF(AP$3=INDEX(Properties!$U:$U,$B73+5),INDEX(Properties!$P:$P,$B73+5),0))</f>
        <v>0</v>
      </c>
      <c r="AQ73" s="123" cm="1">
        <f t="array" ref="AQ73">INDEX(Properties!$D:$D,$B73+5)*(IF(AQ$3=INDEX(Properties!$U:$U,$B73+5),INDEX(Properties!$P:$P,$B73+5),0))</f>
        <v>0</v>
      </c>
      <c r="AR73" s="123" cm="1">
        <f t="array" ref="AR73">INDEX(Properties!$D:$D,$B73+5)*(IF(AR$3=INDEX(Properties!$U:$U,$B73+5),INDEX(Properties!$P:$P,$B73+5),0))</f>
        <v>0</v>
      </c>
      <c r="AS73" s="123" cm="1">
        <f t="array" ref="AS73">INDEX(Properties!$D:$D,$B73+5)*(IF(AS$3=INDEX(Properties!$U:$U,$B73+5),INDEX(Properties!$P:$P,$B73+5),0))</f>
        <v>0</v>
      </c>
      <c r="AT73" s="123" cm="1">
        <f t="array" ref="AT73">INDEX(Properties!$D:$D,$B73+5)*(IF(AT$3=INDEX(Properties!$U:$U,$B73+5),INDEX(Properties!$P:$P,$B73+5),0))</f>
        <v>0</v>
      </c>
      <c r="AU73" s="123" cm="1">
        <f t="array" ref="AU73">INDEX(Properties!$D:$D,$B73+5)*(IF(AU$3=INDEX(Properties!$U:$U,$B73+5),INDEX(Properties!$P:$P,$B73+5),0))</f>
        <v>0</v>
      </c>
      <c r="AV73" s="123" cm="1">
        <f t="array" ref="AV73">INDEX(Properties!$D:$D,$B73+5)*(IF(AV$3=INDEX(Properties!$U:$U,$B73+5),INDEX(Properties!$P:$P,$B73+5),0))</f>
        <v>0</v>
      </c>
      <c r="AW73" s="123" cm="1">
        <f t="array" ref="AW73">INDEX(Properties!$D:$D,$B73+5)*(IF(AW$3=INDEX(Properties!$U:$U,$B73+5),INDEX(Properties!$P:$P,$B73+5),0))</f>
        <v>0</v>
      </c>
      <c r="AX73" s="123" cm="1">
        <f t="array" ref="AX73">INDEX(Properties!$D:$D,$B73+5)*(IF(AX$3=INDEX(Properties!$U:$U,$B73+5),INDEX(Properties!$P:$P,$B73+5),0))</f>
        <v>0</v>
      </c>
      <c r="AY73" s="123" cm="1">
        <f t="array" ref="AY73">INDEX(Properties!$D:$D,$B73+5)*(IF(AY$3=INDEX(Properties!$U:$U,$B73+5),INDEX(Properties!$P:$P,$B73+5),0))</f>
        <v>0</v>
      </c>
      <c r="AZ73" s="123" cm="1">
        <f t="array" ref="AZ73">INDEX(Properties!$D:$D,$B73+5)*(IF(AZ$3=INDEX(Properties!$U:$U,$B73+5),INDEX(Properties!$P:$P,$B73+5),0))</f>
        <v>0</v>
      </c>
      <c r="BA73" s="123" cm="1">
        <f t="array" ref="BA73">INDEX(Properties!$D:$D,$B73+5)*(IF(BA$3=INDEX(Properties!$U:$U,$B73+5),INDEX(Properties!$P:$P,$B73+5),0))</f>
        <v>0</v>
      </c>
      <c r="BB73" s="123" cm="1">
        <f t="array" ref="BB73">INDEX(Properties!$D:$D,$B73+5)*(IF(BB$3=INDEX(Properties!$U:$U,$B73+5),INDEX(Properties!$P:$P,$B73+5),0))</f>
        <v>0</v>
      </c>
      <c r="BC73" s="123" cm="1">
        <f t="array" ref="BC73">INDEX(Properties!$D:$D,$B73+5)*(IF(BC$3=INDEX(Properties!$U:$U,$B73+5),INDEX(Properties!$P:$P,$B73+5),0))</f>
        <v>0</v>
      </c>
      <c r="BD73" s="123" cm="1">
        <f t="array" ref="BD73">INDEX(Properties!$D:$D,$B73+5)*(IF(BD$3=INDEX(Properties!$U:$U,$B73+5),INDEX(Properties!$P:$P,$B73+5),0))</f>
        <v>0</v>
      </c>
      <c r="BE73" s="123" cm="1">
        <f t="array" ref="BE73">INDEX(Properties!$D:$D,$B73+5)*(IF(BE$3=INDEX(Properties!$U:$U,$B73+5),INDEX(Properties!$P:$P,$B73+5),0))</f>
        <v>0</v>
      </c>
      <c r="BF73" s="123" cm="1">
        <f t="array" ref="BF73">INDEX(Properties!$D:$D,$B73+5)*(IF(BF$3=INDEX(Properties!$U:$U,$B73+5),INDEX(Properties!$P:$P,$B73+5),0))</f>
        <v>0</v>
      </c>
      <c r="BG73" s="123" cm="1">
        <f t="array" ref="BG73">INDEX(Properties!$D:$D,$B73+5)*(IF(BG$3=INDEX(Properties!$U:$U,$B73+5),INDEX(Properties!$P:$P,$B73+5),0))</f>
        <v>0</v>
      </c>
      <c r="BH73" s="123" cm="1">
        <f t="array" ref="BH73">INDEX(Properties!$D:$D,$B73+5)*(IF(BH$3=INDEX(Properties!$U:$U,$B73+5),INDEX(Properties!$P:$P,$B73+5),0))</f>
        <v>0</v>
      </c>
      <c r="BI73" s="123" cm="1">
        <f t="array" ref="BI73">INDEX(Properties!$D:$D,$B73+5)*(IF(BI$3=INDEX(Properties!$U:$U,$B73+5),INDEX(Properties!$P:$P,$B73+5),0))</f>
        <v>0</v>
      </c>
      <c r="BJ73" s="123" cm="1">
        <f t="array" ref="BJ73">INDEX(Properties!$D:$D,$B73+5)*(IF(BJ$3=INDEX(Properties!$U:$U,$B73+5),INDEX(Properties!$P:$P,$B73+5),0))</f>
        <v>0</v>
      </c>
      <c r="BK73" s="123" cm="1">
        <f t="array" ref="BK73">INDEX(Properties!$D:$D,$B73+5)*(IF(BK$3=INDEX(Properties!$U:$U,$B73+5),INDEX(Properties!$P:$P,$B73+5),0))</f>
        <v>0</v>
      </c>
      <c r="BL73" s="123" cm="1">
        <f t="array" ref="BL73">INDEX(Properties!$D:$D,$B73+5)*(IF(BL$3=INDEX(Properties!$U:$U,$B73+5),INDEX(Properties!$P:$P,$B73+5),0))</f>
        <v>0</v>
      </c>
      <c r="BM73" s="123" cm="1">
        <f t="array" ref="BM73">INDEX(Properties!$D:$D,$B73+5)*(IF(BM$3=INDEX(Properties!$U:$U,$B73+5),INDEX(Properties!$P:$P,$B73+5),0))</f>
        <v>0</v>
      </c>
      <c r="BN73" s="123" cm="1">
        <f t="array" ref="BN73">INDEX(Properties!$D:$D,$B73+5)*(IF(BN$3=INDEX(Properties!$U:$U,$B73+5),INDEX(Properties!$P:$P,$B73+5),0))</f>
        <v>0</v>
      </c>
      <c r="BO73" s="123" cm="1">
        <f t="array" ref="BO73">INDEX(Properties!$D:$D,$B73+5)*(IF(BO$3=INDEX(Properties!$U:$U,$B73+5),INDEX(Properties!$P:$P,$B73+5),0))</f>
        <v>0</v>
      </c>
      <c r="BP73" s="123" cm="1">
        <f t="array" ref="BP73">INDEX(Properties!$D:$D,$B73+5)*(IF(BP$3=INDEX(Properties!$U:$U,$B73+5),INDEX(Properties!$P:$P,$B73+5),0))</f>
        <v>0</v>
      </c>
      <c r="BQ73" s="123" cm="1">
        <f t="array" ref="BQ73">INDEX(Properties!$D:$D,$B73+5)*(IF(BQ$3=INDEX(Properties!$U:$U,$B73+5),INDEX(Properties!$P:$P,$B73+5),0))</f>
        <v>0</v>
      </c>
      <c r="BR73" s="123" cm="1">
        <f t="array" ref="BR73">INDEX(Properties!$D:$D,$B73+5)*(IF(BR$3=INDEX(Properties!$U:$U,$B73+5),INDEX(Properties!$P:$P,$B73+5),0))</f>
        <v>0</v>
      </c>
      <c r="BS73" s="123" cm="1">
        <f t="array" ref="BS73">INDEX(Properties!$D:$D,$B73+5)*(IF(BS$3=INDEX(Properties!$U:$U,$B73+5),INDEX(Properties!$P:$P,$B73+5),0))</f>
        <v>0</v>
      </c>
      <c r="BT73" s="123" cm="1">
        <f t="array" ref="BT73">INDEX(Properties!$D:$D,$B73+5)*(IF(BT$3=INDEX(Properties!$U:$U,$B73+5),INDEX(Properties!$P:$P,$B73+5),0))</f>
        <v>0</v>
      </c>
      <c r="BU73" s="123" cm="1">
        <f t="array" ref="BU73">INDEX(Properties!$D:$D,$B73+5)*(IF(BU$3=INDEX(Properties!$U:$U,$B73+5),INDEX(Properties!$P:$P,$B73+5),0))</f>
        <v>0</v>
      </c>
      <c r="BV73" s="123" cm="1">
        <f t="array" ref="BV73">INDEX(Properties!$D:$D,$B73+5)*(IF(BV$3=INDEX(Properties!$U:$U,$B73+5),INDEX(Properties!$P:$P,$B73+5),0))</f>
        <v>0</v>
      </c>
      <c r="BW73" s="123" cm="1">
        <f t="array" ref="BW73">INDEX(Properties!$D:$D,$B73+5)*(IF(BW$3=INDEX(Properties!$U:$U,$B73+5),INDEX(Properties!$P:$P,$B73+5),0))</f>
        <v>0</v>
      </c>
      <c r="BX73" s="123" cm="1">
        <f t="array" ref="BX73">INDEX(Properties!$D:$D,$B73+5)*(IF(BX$3=INDEX(Properties!$U:$U,$B73+5),INDEX(Properties!$P:$P,$B73+5),0))</f>
        <v>0</v>
      </c>
      <c r="BY73" s="123" cm="1">
        <f t="array" ref="BY73">INDEX(Properties!$D:$D,$B73+5)*(IF(BY$3=INDEX(Properties!$U:$U,$B73+5),INDEX(Properties!$P:$P,$B73+5),0))</f>
        <v>0</v>
      </c>
      <c r="BZ73" s="123" cm="1">
        <f t="array" ref="BZ73">INDEX(Properties!$D:$D,$B73+5)*(IF(BZ$3=INDEX(Properties!$U:$U,$B73+5),INDEX(Properties!$P:$P,$B73+5),0))</f>
        <v>0</v>
      </c>
      <c r="CA73" s="123" cm="1">
        <f t="array" ref="CA73">INDEX(Properties!$D:$D,$B73+5)*(IF(CA$3=INDEX(Properties!$U:$U,$B73+5),INDEX(Properties!$P:$P,$B73+5),0))</f>
        <v>0</v>
      </c>
      <c r="CB73" s="123" cm="1">
        <f t="array" ref="CB73">INDEX(Properties!$D:$D,$B73+5)*(IF(CB$3=INDEX(Properties!$U:$U,$B73+5),INDEX(Properties!$P:$P,$B73+5),0))</f>
        <v>0</v>
      </c>
      <c r="CC73" s="123" cm="1">
        <f t="array" ref="CC73">INDEX(Properties!$D:$D,$B73+5)*(IF(CC$3=INDEX(Properties!$U:$U,$B73+5),INDEX(Properties!$P:$P,$B73+5),0))</f>
        <v>0</v>
      </c>
      <c r="CD73" s="123" cm="1">
        <f t="array" ref="CD73">INDEX(Properties!$D:$D,$B73+5)*(IF(CD$3=INDEX(Properties!$U:$U,$B73+5),INDEX(Properties!$P:$P,$B73+5),0))</f>
        <v>0</v>
      </c>
      <c r="CE73" s="123" cm="1">
        <f t="array" ref="CE73">INDEX(Properties!$D:$D,$B73+5)*(IF(CE$3=INDEX(Properties!$U:$U,$B73+5),INDEX(Properties!$P:$P,$B73+5),0))</f>
        <v>0</v>
      </c>
      <c r="CF73" s="123" cm="1">
        <f t="array" ref="CF73">INDEX(Properties!$D:$D,$B73+5)*(IF(CF$3=INDEX(Properties!$U:$U,$B73+5),INDEX(Properties!$P:$P,$B73+5),0))</f>
        <v>0</v>
      </c>
      <c r="CG73" s="123" cm="1">
        <f t="array" ref="CG73">INDEX(Properties!$D:$D,$B73+5)*(IF(CG$3=INDEX(Properties!$U:$U,$B73+5),INDEX(Properties!$P:$P,$B73+5),0))</f>
        <v>0</v>
      </c>
      <c r="CH73" s="123" cm="1">
        <f t="array" ref="CH73">INDEX(Properties!$D:$D,$B73+5)*(IF(CH$3=INDEX(Properties!$U:$U,$B73+5),INDEX(Properties!$P:$P,$B73+5),0))</f>
        <v>0</v>
      </c>
      <c r="CI73" s="123" cm="1">
        <f t="array" ref="CI73">INDEX(Properties!$D:$D,$B73+5)*(IF(CI$3=INDEX(Properties!$U:$U,$B73+5),INDEX(Properties!$P:$P,$B73+5),0))</f>
        <v>0</v>
      </c>
      <c r="CJ73" s="123" cm="1">
        <f t="array" ref="CJ73">INDEX(Properties!$D:$D,$B73+5)*(IF(CJ$3=INDEX(Properties!$U:$U,$B73+5),INDEX(Properties!$P:$P,$B73+5),0))</f>
        <v>0</v>
      </c>
      <c r="CK73" s="123" cm="1">
        <f t="array" ref="CK73">INDEX(Properties!$D:$D,$B73+5)*(IF(CK$3=INDEX(Properties!$U:$U,$B73+5),INDEX(Properties!$P:$P,$B73+5),0))</f>
        <v>0</v>
      </c>
      <c r="CL73" s="123" cm="1">
        <f t="array" ref="CL73">INDEX(Properties!$D:$D,$B73+5)*(IF(CL$3=INDEX(Properties!$U:$U,$B73+5),INDEX(Properties!$P:$P,$B73+5),0))</f>
        <v>0</v>
      </c>
      <c r="CM73" s="123" cm="1">
        <f t="array" ref="CM73">INDEX(Properties!$D:$D,$B73+5)*(IF(CM$3=INDEX(Properties!$U:$U,$B73+5),INDEX(Properties!$P:$P,$B73+5),0))</f>
        <v>0</v>
      </c>
      <c r="CN73" s="123" cm="1">
        <f t="array" ref="CN73">INDEX(Properties!$D:$D,$B73+5)*(IF(CN$3=INDEX(Properties!$U:$U,$B73+5),INDEX(Properties!$P:$P,$B73+5),0))</f>
        <v>0</v>
      </c>
      <c r="CO73" s="123" cm="1">
        <f t="array" ref="CO73">INDEX(Properties!$D:$D,$B73+5)*(IF(CO$3=INDEX(Properties!$U:$U,$B73+5),INDEX(Properties!$P:$P,$B73+5),0))</f>
        <v>0</v>
      </c>
      <c r="CP73" s="123" cm="1">
        <f t="array" ref="CP73">INDEX(Properties!$D:$D,$B73+5)*(IF(CP$3=INDEX(Properties!$U:$U,$B73+5),INDEX(Properties!$P:$P,$B73+5),0))</f>
        <v>0</v>
      </c>
      <c r="CQ73" s="123" cm="1">
        <f t="array" ref="CQ73">INDEX(Properties!$D:$D,$B73+5)*(IF(CQ$3=INDEX(Properties!$U:$U,$B73+5),INDEX(Properties!$P:$P,$B73+5),0))</f>
        <v>0</v>
      </c>
      <c r="CR73" s="123" cm="1">
        <f t="array" ref="CR73">INDEX(Properties!$D:$D,$B73+5)*(IF(CR$3=INDEX(Properties!$U:$U,$B73+5),INDEX(Properties!$P:$P,$B73+5),0))</f>
        <v>0</v>
      </c>
      <c r="CS73" s="123" cm="1">
        <f t="array" ref="CS73">INDEX(Properties!$D:$D,$B73+5)*(IF(CS$3=INDEX(Properties!$U:$U,$B73+5),INDEX(Properties!$P:$P,$B73+5),0))</f>
        <v>0</v>
      </c>
      <c r="CT73" s="123" cm="1">
        <f t="array" ref="CT73">INDEX(Properties!$D:$D,$B73+5)*(IF(CT$3=INDEX(Properties!$U:$U,$B73+5),INDEX(Properties!$P:$P,$B73+5),0))</f>
        <v>0</v>
      </c>
      <c r="CU73" s="123" cm="1">
        <f t="array" ref="CU73">INDEX(Properties!$D:$D,$B73+5)*(IF(CU$3=INDEX(Properties!$U:$U,$B73+5),INDEX(Properties!$P:$P,$B73+5),0))</f>
        <v>0</v>
      </c>
      <c r="CV73" s="123" cm="1">
        <f t="array" ref="CV73">INDEX(Properties!$D:$D,$B73+5)*(IF(CV$3=INDEX(Properties!$U:$U,$B73+5),INDEX(Properties!$P:$P,$B73+5),0))</f>
        <v>0</v>
      </c>
      <c r="CW73" s="123" cm="1">
        <f t="array" ref="CW73">INDEX(Properties!$D:$D,$B73+5)*(IF(CW$3=INDEX(Properties!$U:$U,$B73+5),INDEX(Properties!$P:$P,$B73+5),0))</f>
        <v>0</v>
      </c>
      <c r="CX73" s="123" cm="1">
        <f t="array" ref="CX73">INDEX(Properties!$D:$D,$B73+5)*(IF(CX$3=INDEX(Properties!$U:$U,$B73+5),INDEX(Properties!$P:$P,$B73+5),0))</f>
        <v>0</v>
      </c>
      <c r="CY73" s="123" cm="1">
        <f t="array" ref="CY73">INDEX(Properties!$D:$D,$B73+5)*(IF(CY$3=INDEX(Properties!$U:$U,$B73+5),INDEX(Properties!$P:$P,$B73+5),0))</f>
        <v>0</v>
      </c>
      <c r="CZ73" s="123" cm="1">
        <f t="array" ref="CZ73">INDEX(Properties!$D:$D,$B73+5)*(IF(CZ$3=INDEX(Properties!$U:$U,$B73+5),INDEX(Properties!$P:$P,$B73+5),0))</f>
        <v>0</v>
      </c>
      <c r="DA73" s="123" cm="1">
        <f t="array" ref="DA73">INDEX(Properties!$D:$D,$B73+5)*(IF(DA$3=INDEX(Properties!$U:$U,$B73+5),INDEX(Properties!$P:$P,$B73+5),0))</f>
        <v>0</v>
      </c>
      <c r="DB73" s="123" cm="1">
        <f t="array" ref="DB73">INDEX(Properties!$D:$D,$B73+5)*(IF(DB$3=INDEX(Properties!$U:$U,$B73+5),INDEX(Properties!$P:$P,$B73+5),0))</f>
        <v>0</v>
      </c>
      <c r="DC73" s="123" cm="1">
        <f t="array" ref="DC73">INDEX(Properties!$D:$D,$B73+5)*(IF(DC$3=INDEX(Properties!$U:$U,$B73+5),INDEX(Properties!$P:$P,$B73+5),0))</f>
        <v>0</v>
      </c>
      <c r="DD73" s="123" cm="1">
        <f t="array" ref="DD73">INDEX(Properties!$D:$D,$B73+5)*(IF(DD$3=INDEX(Properties!$U:$U,$B73+5),INDEX(Properties!$P:$P,$B73+5),0))</f>
        <v>0</v>
      </c>
      <c r="DE73" s="123" cm="1">
        <f t="array" ref="DE73">INDEX(Properties!$D:$D,$B73+5)*(IF(DE$3=INDEX(Properties!$U:$U,$B73+5),INDEX(Properties!$P:$P,$B73+5),0))</f>
        <v>0</v>
      </c>
      <c r="DF73" s="123" cm="1">
        <f t="array" ref="DF73">INDEX(Properties!$D:$D,$B73+5)*(IF(DF$3=INDEX(Properties!$U:$U,$B73+5),INDEX(Properties!$P:$P,$B73+5),0))</f>
        <v>0</v>
      </c>
      <c r="DG73" s="123" cm="1">
        <f t="array" ref="DG73">INDEX(Properties!$D:$D,$B73+5)*(IF(DG$3=INDEX(Properties!$U:$U,$B73+5),INDEX(Properties!$P:$P,$B73+5),0))</f>
        <v>0</v>
      </c>
      <c r="DH73" s="123" cm="1">
        <f t="array" ref="DH73">INDEX(Properties!$D:$D,$B73+5)*(IF(DH$3=INDEX(Properties!$U:$U,$B73+5),INDEX(Properties!$P:$P,$B73+5),0))</f>
        <v>0</v>
      </c>
      <c r="DI73" s="123" cm="1">
        <f t="array" ref="DI73">INDEX(Properties!$D:$D,$B73+5)*(IF(DI$3=INDEX(Properties!$U:$U,$B73+5),INDEX(Properties!$P:$P,$B73+5),0))</f>
        <v>0</v>
      </c>
      <c r="DJ73" s="123" cm="1">
        <f t="array" ref="DJ73">INDEX(Properties!$D:$D,$B73+5)*(IF(DJ$3=INDEX(Properties!$U:$U,$B73+5),INDEX(Properties!$P:$P,$B73+5),0))</f>
        <v>0</v>
      </c>
      <c r="DK73" s="123" cm="1">
        <f t="array" ref="DK73">INDEX(Properties!$D:$D,$B73+5)*(IF(DK$3=INDEX(Properties!$U:$U,$B73+5),INDEX(Properties!$P:$P,$B73+5),0))</f>
        <v>0</v>
      </c>
      <c r="DL73" s="123" cm="1">
        <f t="array" ref="DL73">INDEX(Properties!$D:$D,$B73+5)*(IF(DL$3=INDEX(Properties!$U:$U,$B73+5),INDEX(Properties!$P:$P,$B73+5),0))</f>
        <v>0</v>
      </c>
      <c r="DM73" s="123" cm="1">
        <f t="array" ref="DM73">INDEX(Properties!$D:$D,$B73+5)*(IF(DM$3=INDEX(Properties!$U:$U,$B73+5),INDEX(Properties!$P:$P,$B73+5),0))</f>
        <v>0</v>
      </c>
      <c r="DN73" s="123" cm="1">
        <f t="array" ref="DN73">INDEX(Properties!$D:$D,$B73+5)*(IF(DN$3=INDEX(Properties!$U:$U,$B73+5),INDEX(Properties!$P:$P,$B73+5),0))</f>
        <v>0</v>
      </c>
      <c r="DO73" s="123" cm="1">
        <f t="array" ref="DO73">INDEX(Properties!$D:$D,$B73+5)*(IF(DO$3=INDEX(Properties!$U:$U,$B73+5),INDEX(Properties!$P:$P,$B73+5),0))</f>
        <v>0</v>
      </c>
      <c r="DP73" s="123" cm="1">
        <f t="array" ref="DP73">INDEX(Properties!$D:$D,$B73+5)*(IF(DP$3=INDEX(Properties!$U:$U,$B73+5),INDEX(Properties!$P:$P,$B73+5),0))</f>
        <v>0</v>
      </c>
      <c r="DQ73" s="123" cm="1">
        <f t="array" ref="DQ73">INDEX(Properties!$D:$D,$B73+5)*(IF(DQ$3=INDEX(Properties!$U:$U,$B73+5),INDEX(Properties!$P:$P,$B73+5),0))</f>
        <v>0</v>
      </c>
      <c r="DR73" s="123" cm="1">
        <f t="array" ref="DR73">INDEX(Properties!$D:$D,$B73+5)*(IF(DR$3=INDEX(Properties!$U:$U,$B73+5),INDEX(Properties!$P:$P,$B73+5),0))</f>
        <v>0</v>
      </c>
    </row>
    <row r="74" spans="1:122" ht="16.05" customHeight="1" x14ac:dyDescent="0.3">
      <c r="A74" s="148" t="str" cm="1">
        <f t="array" ref="A74">INDEX(Properties!$E:$E,$B74+5)</f>
        <v>Fontanar Apto 201 (Penthouse)</v>
      </c>
      <c r="B74" s="1">
        <v>2</v>
      </c>
      <c r="C74" s="123" cm="1">
        <f t="array" ref="C74">INDEX(Properties!$D:$D,$B74+5)*(IF(C$3=INDEX(Properties!$U:$U,$B74+5),INDEX(Properties!$P:$P,$B74+5),0))</f>
        <v>0</v>
      </c>
      <c r="D74" s="123" cm="1">
        <f t="array" ref="D74">INDEX(Properties!$D:$D,$B74+5)*(IF(D$3=INDEX(Properties!$U:$U,$B74+5),INDEX(Properties!$P:$P,$B74+5),0))</f>
        <v>0</v>
      </c>
      <c r="E74" s="123" cm="1">
        <f t="array" ref="E74">INDEX(Properties!$D:$D,$B74+5)*(IF(E$3=INDEX(Properties!$U:$U,$B74+5),INDEX(Properties!$P:$P,$B74+5),0))</f>
        <v>0</v>
      </c>
      <c r="F74" s="123" cm="1">
        <f t="array" ref="F74">INDEX(Properties!$D:$D,$B74+5)*(IF(F$3=INDEX(Properties!$U:$U,$B74+5),INDEX(Properties!$P:$P,$B74+5),0))</f>
        <v>0</v>
      </c>
      <c r="G74" s="123" cm="1">
        <f t="array" ref="G74">INDEX(Properties!$D:$D,$B74+5)*(IF(G$3=INDEX(Properties!$U:$U,$B74+5),INDEX(Properties!$P:$P,$B74+5),0))</f>
        <v>0</v>
      </c>
      <c r="H74" s="123" cm="1">
        <f t="array" ref="H74">INDEX(Properties!$D:$D,$B74+5)*(IF(H$3=INDEX(Properties!$U:$U,$B74+5),INDEX(Properties!$P:$P,$B74+5),0))</f>
        <v>0</v>
      </c>
      <c r="I74" s="123" cm="1">
        <f t="array" ref="I74">INDEX(Properties!$D:$D,$B74+5)*(IF(I$3=INDEX(Properties!$U:$U,$B74+5),INDEX(Properties!$P:$P,$B74+5),0))</f>
        <v>0</v>
      </c>
      <c r="J74" s="123" cm="1">
        <f t="array" ref="J74">INDEX(Properties!$D:$D,$B74+5)*(IF(J$3=INDEX(Properties!$U:$U,$B74+5),INDEX(Properties!$P:$P,$B74+5),0))</f>
        <v>0</v>
      </c>
      <c r="K74" s="123" cm="1">
        <f t="array" ref="K74">INDEX(Properties!$D:$D,$B74+5)*(IF(K$3=INDEX(Properties!$U:$U,$B74+5),INDEX(Properties!$P:$P,$B74+5),0))</f>
        <v>0</v>
      </c>
      <c r="L74" s="123" cm="1">
        <f t="array" ref="L74">INDEX(Properties!$D:$D,$B74+5)*(IF(L$3=INDEX(Properties!$U:$U,$B74+5),INDEX(Properties!$P:$P,$B74+5),0))</f>
        <v>0</v>
      </c>
      <c r="M74" s="123" cm="1">
        <f t="array" ref="M74">INDEX(Properties!$D:$D,$B74+5)*(IF(M$3=INDEX(Properties!$U:$U,$B74+5),INDEX(Properties!$P:$P,$B74+5),0))</f>
        <v>0</v>
      </c>
      <c r="N74" s="123" cm="1">
        <f t="array" ref="N74">INDEX(Properties!$D:$D,$B74+5)*(IF(N$3=INDEX(Properties!$U:$U,$B74+5),INDEX(Properties!$P:$P,$B74+5),0))</f>
        <v>0</v>
      </c>
      <c r="O74" s="123" cm="1">
        <f t="array" ref="O74">INDEX(Properties!$D:$D,$B74+5)*(IF(O$3=INDEX(Properties!$U:$U,$B74+5),INDEX(Properties!$P:$P,$B74+5),0))</f>
        <v>0</v>
      </c>
      <c r="P74" s="123" cm="1">
        <f t="array" ref="P74">INDEX(Properties!$D:$D,$B74+5)*(IF(P$3=INDEX(Properties!$U:$U,$B74+5),INDEX(Properties!$P:$P,$B74+5),0))</f>
        <v>0</v>
      </c>
      <c r="Q74" s="123" cm="1">
        <f t="array" ref="Q74">INDEX(Properties!$D:$D,$B74+5)*(IF(Q$3=INDEX(Properties!$U:$U,$B74+5),INDEX(Properties!$P:$P,$B74+5),0))</f>
        <v>0</v>
      </c>
      <c r="R74" s="123" cm="1">
        <f t="array" ref="R74">INDEX(Properties!$D:$D,$B74+5)*(IF(R$3=INDEX(Properties!$U:$U,$B74+5),INDEX(Properties!$P:$P,$B74+5),0))</f>
        <v>0</v>
      </c>
      <c r="S74" s="123" cm="1">
        <f t="array" ref="S74">INDEX(Properties!$D:$D,$B74+5)*(IF(S$3=INDEX(Properties!$U:$U,$B74+5),INDEX(Properties!$P:$P,$B74+5),0))</f>
        <v>0</v>
      </c>
      <c r="T74" s="123" cm="1">
        <f t="array" ref="T74">INDEX(Properties!$D:$D,$B74+5)*(IF(T$3=INDEX(Properties!$U:$U,$B74+5),INDEX(Properties!$P:$P,$B74+5),0))</f>
        <v>0</v>
      </c>
      <c r="U74" s="123" cm="1">
        <f t="array" ref="U74">INDEX(Properties!$D:$D,$B74+5)*(IF(U$3=INDEX(Properties!$U:$U,$B74+5),INDEX(Properties!$P:$P,$B74+5),0))</f>
        <v>0</v>
      </c>
      <c r="V74" s="123" cm="1">
        <f t="array" ref="V74">INDEX(Properties!$D:$D,$B74+5)*(IF(V$3=INDEX(Properties!$U:$U,$B74+5),INDEX(Properties!$P:$P,$B74+5),0))</f>
        <v>0</v>
      </c>
      <c r="W74" s="123" cm="1">
        <f t="array" ref="W74">INDEX(Properties!$D:$D,$B74+5)*(IF(W$3=INDEX(Properties!$U:$U,$B74+5),INDEX(Properties!$P:$P,$B74+5),0))</f>
        <v>0</v>
      </c>
      <c r="X74" s="123" cm="1">
        <f t="array" ref="X74">INDEX(Properties!$D:$D,$B74+5)*(IF(X$3=INDEX(Properties!$U:$U,$B74+5),INDEX(Properties!$P:$P,$B74+5),0))</f>
        <v>0</v>
      </c>
      <c r="Y74" s="123" cm="1">
        <f t="array" ref="Y74">INDEX(Properties!$D:$D,$B74+5)*(IF(Y$3=INDEX(Properties!$U:$U,$B74+5),INDEX(Properties!$P:$P,$B74+5),0))</f>
        <v>0</v>
      </c>
      <c r="Z74" s="123" cm="1">
        <f t="array" ref="Z74">INDEX(Properties!$D:$D,$B74+5)*(IF(Z$3=INDEX(Properties!$U:$U,$B74+5),INDEX(Properties!$P:$P,$B74+5),0))</f>
        <v>0</v>
      </c>
      <c r="AA74" s="123" cm="1">
        <f t="array" ref="AA74">INDEX(Properties!$D:$D,$B74+5)*(IF(AA$3=INDEX(Properties!$U:$U,$B74+5),INDEX(Properties!$P:$P,$B74+5),0))</f>
        <v>0</v>
      </c>
      <c r="AB74" s="123" cm="1">
        <f t="array" ref="AB74">INDEX(Properties!$D:$D,$B74+5)*(IF(AB$3=INDEX(Properties!$U:$U,$B74+5),INDEX(Properties!$P:$P,$B74+5),0))</f>
        <v>0</v>
      </c>
      <c r="AC74" s="123" cm="1">
        <f t="array" ref="AC74">INDEX(Properties!$D:$D,$B74+5)*(IF(AC$3=INDEX(Properties!$U:$U,$B74+5),INDEX(Properties!$P:$P,$B74+5),0))</f>
        <v>0</v>
      </c>
      <c r="AD74" s="123" cm="1">
        <f t="array" ref="AD74">INDEX(Properties!$D:$D,$B74+5)*(IF(AD$3=INDEX(Properties!$U:$U,$B74+5),INDEX(Properties!$P:$P,$B74+5),0))</f>
        <v>0</v>
      </c>
      <c r="AE74" s="123" cm="1">
        <f t="array" ref="AE74">INDEX(Properties!$D:$D,$B74+5)*(IF(AE$3=INDEX(Properties!$U:$U,$B74+5),INDEX(Properties!$P:$P,$B74+5),0))</f>
        <v>0</v>
      </c>
      <c r="AF74" s="123" cm="1">
        <f t="array" ref="AF74">INDEX(Properties!$D:$D,$B74+5)*(IF(AF$3=INDEX(Properties!$U:$U,$B74+5),INDEX(Properties!$P:$P,$B74+5),0))</f>
        <v>0</v>
      </c>
      <c r="AG74" s="123" cm="1">
        <f t="array" ref="AG74">INDEX(Properties!$D:$D,$B74+5)*(IF(AG$3=INDEX(Properties!$U:$U,$B74+5),INDEX(Properties!$P:$P,$B74+5),0))</f>
        <v>1290857.6051779937</v>
      </c>
      <c r="AH74" s="123" cm="1">
        <f t="array" ref="AH74">INDEX(Properties!$D:$D,$B74+5)*(IF(AH$3=INDEX(Properties!$U:$U,$B74+5),INDEX(Properties!$P:$P,$B74+5),0))</f>
        <v>0</v>
      </c>
      <c r="AI74" s="123" cm="1">
        <f t="array" ref="AI74">INDEX(Properties!$D:$D,$B74+5)*(IF(AI$3=INDEX(Properties!$U:$U,$B74+5),INDEX(Properties!$P:$P,$B74+5),0))</f>
        <v>0</v>
      </c>
      <c r="AJ74" s="123" cm="1">
        <f t="array" ref="AJ74">INDEX(Properties!$D:$D,$B74+5)*(IF(AJ$3=INDEX(Properties!$U:$U,$B74+5),INDEX(Properties!$P:$P,$B74+5),0))</f>
        <v>0</v>
      </c>
      <c r="AK74" s="123" cm="1">
        <f t="array" ref="AK74">INDEX(Properties!$D:$D,$B74+5)*(IF(AK$3=INDEX(Properties!$U:$U,$B74+5),INDEX(Properties!$P:$P,$B74+5),0))</f>
        <v>0</v>
      </c>
      <c r="AL74" s="123" cm="1">
        <f t="array" ref="AL74">INDEX(Properties!$D:$D,$B74+5)*(IF(AL$3=INDEX(Properties!$U:$U,$B74+5),INDEX(Properties!$P:$P,$B74+5),0))</f>
        <v>0</v>
      </c>
      <c r="AM74" s="123" cm="1">
        <f t="array" ref="AM74">INDEX(Properties!$D:$D,$B74+5)*(IF(AM$3=INDEX(Properties!$U:$U,$B74+5),INDEX(Properties!$P:$P,$B74+5),0))</f>
        <v>0</v>
      </c>
      <c r="AN74" s="123" cm="1">
        <f t="array" ref="AN74">INDEX(Properties!$D:$D,$B74+5)*(IF(AN$3=INDEX(Properties!$U:$U,$B74+5),INDEX(Properties!$P:$P,$B74+5),0))</f>
        <v>0</v>
      </c>
      <c r="AO74" s="123" cm="1">
        <f t="array" ref="AO74">INDEX(Properties!$D:$D,$B74+5)*(IF(AO$3=INDEX(Properties!$U:$U,$B74+5),INDEX(Properties!$P:$P,$B74+5),0))</f>
        <v>0</v>
      </c>
      <c r="AP74" s="123" cm="1">
        <f t="array" ref="AP74">INDEX(Properties!$D:$D,$B74+5)*(IF(AP$3=INDEX(Properties!$U:$U,$B74+5),INDEX(Properties!$P:$P,$B74+5),0))</f>
        <v>0</v>
      </c>
      <c r="AQ74" s="123" cm="1">
        <f t="array" ref="AQ74">INDEX(Properties!$D:$D,$B74+5)*(IF(AQ$3=INDEX(Properties!$U:$U,$B74+5),INDEX(Properties!$P:$P,$B74+5),0))</f>
        <v>0</v>
      </c>
      <c r="AR74" s="123" cm="1">
        <f t="array" ref="AR74">INDEX(Properties!$D:$D,$B74+5)*(IF(AR$3=INDEX(Properties!$U:$U,$B74+5),INDEX(Properties!$P:$P,$B74+5),0))</f>
        <v>0</v>
      </c>
      <c r="AS74" s="123" cm="1">
        <f t="array" ref="AS74">INDEX(Properties!$D:$D,$B74+5)*(IF(AS$3=INDEX(Properties!$U:$U,$B74+5),INDEX(Properties!$P:$P,$B74+5),0))</f>
        <v>0</v>
      </c>
      <c r="AT74" s="123" cm="1">
        <f t="array" ref="AT74">INDEX(Properties!$D:$D,$B74+5)*(IF(AT$3=INDEX(Properties!$U:$U,$B74+5),INDEX(Properties!$P:$P,$B74+5),0))</f>
        <v>0</v>
      </c>
      <c r="AU74" s="123" cm="1">
        <f t="array" ref="AU74">INDEX(Properties!$D:$D,$B74+5)*(IF(AU$3=INDEX(Properties!$U:$U,$B74+5),INDEX(Properties!$P:$P,$B74+5),0))</f>
        <v>0</v>
      </c>
      <c r="AV74" s="123" cm="1">
        <f t="array" ref="AV74">INDEX(Properties!$D:$D,$B74+5)*(IF(AV$3=INDEX(Properties!$U:$U,$B74+5),INDEX(Properties!$P:$P,$B74+5),0))</f>
        <v>0</v>
      </c>
      <c r="AW74" s="123" cm="1">
        <f t="array" ref="AW74">INDEX(Properties!$D:$D,$B74+5)*(IF(AW$3=INDEX(Properties!$U:$U,$B74+5),INDEX(Properties!$P:$P,$B74+5),0))</f>
        <v>0</v>
      </c>
      <c r="AX74" s="123" cm="1">
        <f t="array" ref="AX74">INDEX(Properties!$D:$D,$B74+5)*(IF(AX$3=INDEX(Properties!$U:$U,$B74+5),INDEX(Properties!$P:$P,$B74+5),0))</f>
        <v>0</v>
      </c>
      <c r="AY74" s="123" cm="1">
        <f t="array" ref="AY74">INDEX(Properties!$D:$D,$B74+5)*(IF(AY$3=INDEX(Properties!$U:$U,$B74+5),INDEX(Properties!$P:$P,$B74+5),0))</f>
        <v>0</v>
      </c>
      <c r="AZ74" s="123" cm="1">
        <f t="array" ref="AZ74">INDEX(Properties!$D:$D,$B74+5)*(IF(AZ$3=INDEX(Properties!$U:$U,$B74+5),INDEX(Properties!$P:$P,$B74+5),0))</f>
        <v>0</v>
      </c>
      <c r="BA74" s="123" cm="1">
        <f t="array" ref="BA74">INDEX(Properties!$D:$D,$B74+5)*(IF(BA$3=INDEX(Properties!$U:$U,$B74+5),INDEX(Properties!$P:$P,$B74+5),0))</f>
        <v>0</v>
      </c>
      <c r="BB74" s="123" cm="1">
        <f t="array" ref="BB74">INDEX(Properties!$D:$D,$B74+5)*(IF(BB$3=INDEX(Properties!$U:$U,$B74+5),INDEX(Properties!$P:$P,$B74+5),0))</f>
        <v>0</v>
      </c>
      <c r="BC74" s="123" cm="1">
        <f t="array" ref="BC74">INDEX(Properties!$D:$D,$B74+5)*(IF(BC$3=INDEX(Properties!$U:$U,$B74+5),INDEX(Properties!$P:$P,$B74+5),0))</f>
        <v>0</v>
      </c>
      <c r="BD74" s="123" cm="1">
        <f t="array" ref="BD74">INDEX(Properties!$D:$D,$B74+5)*(IF(BD$3=INDEX(Properties!$U:$U,$B74+5),INDEX(Properties!$P:$P,$B74+5),0))</f>
        <v>0</v>
      </c>
      <c r="BE74" s="123" cm="1">
        <f t="array" ref="BE74">INDEX(Properties!$D:$D,$B74+5)*(IF(BE$3=INDEX(Properties!$U:$U,$B74+5),INDEX(Properties!$P:$P,$B74+5),0))</f>
        <v>0</v>
      </c>
      <c r="BF74" s="123" cm="1">
        <f t="array" ref="BF74">INDEX(Properties!$D:$D,$B74+5)*(IF(BF$3=INDEX(Properties!$U:$U,$B74+5),INDEX(Properties!$P:$P,$B74+5),0))</f>
        <v>0</v>
      </c>
      <c r="BG74" s="123" cm="1">
        <f t="array" ref="BG74">INDEX(Properties!$D:$D,$B74+5)*(IF(BG$3=INDEX(Properties!$U:$U,$B74+5),INDEX(Properties!$P:$P,$B74+5),0))</f>
        <v>0</v>
      </c>
      <c r="BH74" s="123" cm="1">
        <f t="array" ref="BH74">INDEX(Properties!$D:$D,$B74+5)*(IF(BH$3=INDEX(Properties!$U:$U,$B74+5),INDEX(Properties!$P:$P,$B74+5),0))</f>
        <v>0</v>
      </c>
      <c r="BI74" s="123" cm="1">
        <f t="array" ref="BI74">INDEX(Properties!$D:$D,$B74+5)*(IF(BI$3=INDEX(Properties!$U:$U,$B74+5),INDEX(Properties!$P:$P,$B74+5),0))</f>
        <v>0</v>
      </c>
      <c r="BJ74" s="123" cm="1">
        <f t="array" ref="BJ74">INDEX(Properties!$D:$D,$B74+5)*(IF(BJ$3=INDEX(Properties!$U:$U,$B74+5),INDEX(Properties!$P:$P,$B74+5),0))</f>
        <v>0</v>
      </c>
      <c r="BK74" s="123" cm="1">
        <f t="array" ref="BK74">INDEX(Properties!$D:$D,$B74+5)*(IF(BK$3=INDEX(Properties!$U:$U,$B74+5),INDEX(Properties!$P:$P,$B74+5),0))</f>
        <v>0</v>
      </c>
      <c r="BL74" s="123" cm="1">
        <f t="array" ref="BL74">INDEX(Properties!$D:$D,$B74+5)*(IF(BL$3=INDEX(Properties!$U:$U,$B74+5),INDEX(Properties!$P:$P,$B74+5),0))</f>
        <v>0</v>
      </c>
      <c r="BM74" s="123" cm="1">
        <f t="array" ref="BM74">INDEX(Properties!$D:$D,$B74+5)*(IF(BM$3=INDEX(Properties!$U:$U,$B74+5),INDEX(Properties!$P:$P,$B74+5),0))</f>
        <v>0</v>
      </c>
      <c r="BN74" s="123" cm="1">
        <f t="array" ref="BN74">INDEX(Properties!$D:$D,$B74+5)*(IF(BN$3=INDEX(Properties!$U:$U,$B74+5),INDEX(Properties!$P:$P,$B74+5),0))</f>
        <v>0</v>
      </c>
      <c r="BO74" s="123" cm="1">
        <f t="array" ref="BO74">INDEX(Properties!$D:$D,$B74+5)*(IF(BO$3=INDEX(Properties!$U:$U,$B74+5),INDEX(Properties!$P:$P,$B74+5),0))</f>
        <v>0</v>
      </c>
      <c r="BP74" s="123" cm="1">
        <f t="array" ref="BP74">INDEX(Properties!$D:$D,$B74+5)*(IF(BP$3=INDEX(Properties!$U:$U,$B74+5),INDEX(Properties!$P:$P,$B74+5),0))</f>
        <v>0</v>
      </c>
      <c r="BQ74" s="123" cm="1">
        <f t="array" ref="BQ74">INDEX(Properties!$D:$D,$B74+5)*(IF(BQ$3=INDEX(Properties!$U:$U,$B74+5),INDEX(Properties!$P:$P,$B74+5),0))</f>
        <v>0</v>
      </c>
      <c r="BR74" s="123" cm="1">
        <f t="array" ref="BR74">INDEX(Properties!$D:$D,$B74+5)*(IF(BR$3=INDEX(Properties!$U:$U,$B74+5),INDEX(Properties!$P:$P,$B74+5),0))</f>
        <v>0</v>
      </c>
      <c r="BS74" s="123" cm="1">
        <f t="array" ref="BS74">INDEX(Properties!$D:$D,$B74+5)*(IF(BS$3=INDEX(Properties!$U:$U,$B74+5),INDEX(Properties!$P:$P,$B74+5),0))</f>
        <v>0</v>
      </c>
      <c r="BT74" s="123" cm="1">
        <f t="array" ref="BT74">INDEX(Properties!$D:$D,$B74+5)*(IF(BT$3=INDEX(Properties!$U:$U,$B74+5),INDEX(Properties!$P:$P,$B74+5),0))</f>
        <v>0</v>
      </c>
      <c r="BU74" s="123" cm="1">
        <f t="array" ref="BU74">INDEX(Properties!$D:$D,$B74+5)*(IF(BU$3=INDEX(Properties!$U:$U,$B74+5),INDEX(Properties!$P:$P,$B74+5),0))</f>
        <v>0</v>
      </c>
      <c r="BV74" s="123" cm="1">
        <f t="array" ref="BV74">INDEX(Properties!$D:$D,$B74+5)*(IF(BV$3=INDEX(Properties!$U:$U,$B74+5),INDEX(Properties!$P:$P,$B74+5),0))</f>
        <v>0</v>
      </c>
      <c r="BW74" s="123" cm="1">
        <f t="array" ref="BW74">INDEX(Properties!$D:$D,$B74+5)*(IF(BW$3=INDEX(Properties!$U:$U,$B74+5),INDEX(Properties!$P:$P,$B74+5),0))</f>
        <v>0</v>
      </c>
      <c r="BX74" s="123" cm="1">
        <f t="array" ref="BX74">INDEX(Properties!$D:$D,$B74+5)*(IF(BX$3=INDEX(Properties!$U:$U,$B74+5),INDEX(Properties!$P:$P,$B74+5),0))</f>
        <v>0</v>
      </c>
      <c r="BY74" s="123" cm="1">
        <f t="array" ref="BY74">INDEX(Properties!$D:$D,$B74+5)*(IF(BY$3=INDEX(Properties!$U:$U,$B74+5),INDEX(Properties!$P:$P,$B74+5),0))</f>
        <v>0</v>
      </c>
      <c r="BZ74" s="123" cm="1">
        <f t="array" ref="BZ74">INDEX(Properties!$D:$D,$B74+5)*(IF(BZ$3=INDEX(Properties!$U:$U,$B74+5),INDEX(Properties!$P:$P,$B74+5),0))</f>
        <v>0</v>
      </c>
      <c r="CA74" s="123" cm="1">
        <f t="array" ref="CA74">INDEX(Properties!$D:$D,$B74+5)*(IF(CA$3=INDEX(Properties!$U:$U,$B74+5),INDEX(Properties!$P:$P,$B74+5),0))</f>
        <v>0</v>
      </c>
      <c r="CB74" s="123" cm="1">
        <f t="array" ref="CB74">INDEX(Properties!$D:$D,$B74+5)*(IF(CB$3=INDEX(Properties!$U:$U,$B74+5),INDEX(Properties!$P:$P,$B74+5),0))</f>
        <v>0</v>
      </c>
      <c r="CC74" s="123" cm="1">
        <f t="array" ref="CC74">INDEX(Properties!$D:$D,$B74+5)*(IF(CC$3=INDEX(Properties!$U:$U,$B74+5),INDEX(Properties!$P:$P,$B74+5),0))</f>
        <v>0</v>
      </c>
      <c r="CD74" s="123" cm="1">
        <f t="array" ref="CD74">INDEX(Properties!$D:$D,$B74+5)*(IF(CD$3=INDEX(Properties!$U:$U,$B74+5),INDEX(Properties!$P:$P,$B74+5),0))</f>
        <v>0</v>
      </c>
      <c r="CE74" s="123" cm="1">
        <f t="array" ref="CE74">INDEX(Properties!$D:$D,$B74+5)*(IF(CE$3=INDEX(Properties!$U:$U,$B74+5),INDEX(Properties!$P:$P,$B74+5),0))</f>
        <v>0</v>
      </c>
      <c r="CF74" s="123" cm="1">
        <f t="array" ref="CF74">INDEX(Properties!$D:$D,$B74+5)*(IF(CF$3=INDEX(Properties!$U:$U,$B74+5),INDEX(Properties!$P:$P,$B74+5),0))</f>
        <v>0</v>
      </c>
      <c r="CG74" s="123" cm="1">
        <f t="array" ref="CG74">INDEX(Properties!$D:$D,$B74+5)*(IF(CG$3=INDEX(Properties!$U:$U,$B74+5),INDEX(Properties!$P:$P,$B74+5),0))</f>
        <v>0</v>
      </c>
      <c r="CH74" s="123" cm="1">
        <f t="array" ref="CH74">INDEX(Properties!$D:$D,$B74+5)*(IF(CH$3=INDEX(Properties!$U:$U,$B74+5),INDEX(Properties!$P:$P,$B74+5),0))</f>
        <v>0</v>
      </c>
      <c r="CI74" s="123" cm="1">
        <f t="array" ref="CI74">INDEX(Properties!$D:$D,$B74+5)*(IF(CI$3=INDEX(Properties!$U:$U,$B74+5),INDEX(Properties!$P:$P,$B74+5),0))</f>
        <v>0</v>
      </c>
      <c r="CJ74" s="123" cm="1">
        <f t="array" ref="CJ74">INDEX(Properties!$D:$D,$B74+5)*(IF(CJ$3=INDEX(Properties!$U:$U,$B74+5),INDEX(Properties!$P:$P,$B74+5),0))</f>
        <v>0</v>
      </c>
      <c r="CK74" s="123" cm="1">
        <f t="array" ref="CK74">INDEX(Properties!$D:$D,$B74+5)*(IF(CK$3=INDEX(Properties!$U:$U,$B74+5),INDEX(Properties!$P:$P,$B74+5),0))</f>
        <v>0</v>
      </c>
      <c r="CL74" s="123" cm="1">
        <f t="array" ref="CL74">INDEX(Properties!$D:$D,$B74+5)*(IF(CL$3=INDEX(Properties!$U:$U,$B74+5),INDEX(Properties!$P:$P,$B74+5),0))</f>
        <v>0</v>
      </c>
      <c r="CM74" s="123" cm="1">
        <f t="array" ref="CM74">INDEX(Properties!$D:$D,$B74+5)*(IF(CM$3=INDEX(Properties!$U:$U,$B74+5),INDEX(Properties!$P:$P,$B74+5),0))</f>
        <v>0</v>
      </c>
      <c r="CN74" s="123" cm="1">
        <f t="array" ref="CN74">INDEX(Properties!$D:$D,$B74+5)*(IF(CN$3=INDEX(Properties!$U:$U,$B74+5),INDEX(Properties!$P:$P,$B74+5),0))</f>
        <v>0</v>
      </c>
      <c r="CO74" s="123" cm="1">
        <f t="array" ref="CO74">INDEX(Properties!$D:$D,$B74+5)*(IF(CO$3=INDEX(Properties!$U:$U,$B74+5),INDEX(Properties!$P:$P,$B74+5),0))</f>
        <v>0</v>
      </c>
      <c r="CP74" s="123" cm="1">
        <f t="array" ref="CP74">INDEX(Properties!$D:$D,$B74+5)*(IF(CP$3=INDEX(Properties!$U:$U,$B74+5),INDEX(Properties!$P:$P,$B74+5),0))</f>
        <v>0</v>
      </c>
      <c r="CQ74" s="123" cm="1">
        <f t="array" ref="CQ74">INDEX(Properties!$D:$D,$B74+5)*(IF(CQ$3=INDEX(Properties!$U:$U,$B74+5),INDEX(Properties!$P:$P,$B74+5),0))</f>
        <v>0</v>
      </c>
      <c r="CR74" s="123" cm="1">
        <f t="array" ref="CR74">INDEX(Properties!$D:$D,$B74+5)*(IF(CR$3=INDEX(Properties!$U:$U,$B74+5),INDEX(Properties!$P:$P,$B74+5),0))</f>
        <v>0</v>
      </c>
      <c r="CS74" s="123" cm="1">
        <f t="array" ref="CS74">INDEX(Properties!$D:$D,$B74+5)*(IF(CS$3=INDEX(Properties!$U:$U,$B74+5),INDEX(Properties!$P:$P,$B74+5),0))</f>
        <v>0</v>
      </c>
      <c r="CT74" s="123" cm="1">
        <f t="array" ref="CT74">INDEX(Properties!$D:$D,$B74+5)*(IF(CT$3=INDEX(Properties!$U:$U,$B74+5),INDEX(Properties!$P:$P,$B74+5),0))</f>
        <v>0</v>
      </c>
      <c r="CU74" s="123" cm="1">
        <f t="array" ref="CU74">INDEX(Properties!$D:$D,$B74+5)*(IF(CU$3=INDEX(Properties!$U:$U,$B74+5),INDEX(Properties!$P:$P,$B74+5),0))</f>
        <v>0</v>
      </c>
      <c r="CV74" s="123" cm="1">
        <f t="array" ref="CV74">INDEX(Properties!$D:$D,$B74+5)*(IF(CV$3=INDEX(Properties!$U:$U,$B74+5),INDEX(Properties!$P:$P,$B74+5),0))</f>
        <v>0</v>
      </c>
      <c r="CW74" s="123" cm="1">
        <f t="array" ref="CW74">INDEX(Properties!$D:$D,$B74+5)*(IF(CW$3=INDEX(Properties!$U:$U,$B74+5),INDEX(Properties!$P:$P,$B74+5),0))</f>
        <v>0</v>
      </c>
      <c r="CX74" s="123" cm="1">
        <f t="array" ref="CX74">INDEX(Properties!$D:$D,$B74+5)*(IF(CX$3=INDEX(Properties!$U:$U,$B74+5),INDEX(Properties!$P:$P,$B74+5),0))</f>
        <v>0</v>
      </c>
      <c r="CY74" s="123" cm="1">
        <f t="array" ref="CY74">INDEX(Properties!$D:$D,$B74+5)*(IF(CY$3=INDEX(Properties!$U:$U,$B74+5),INDEX(Properties!$P:$P,$B74+5),0))</f>
        <v>0</v>
      </c>
      <c r="CZ74" s="123" cm="1">
        <f t="array" ref="CZ74">INDEX(Properties!$D:$D,$B74+5)*(IF(CZ$3=INDEX(Properties!$U:$U,$B74+5),INDEX(Properties!$P:$P,$B74+5),0))</f>
        <v>0</v>
      </c>
      <c r="DA74" s="123" cm="1">
        <f t="array" ref="DA74">INDEX(Properties!$D:$D,$B74+5)*(IF(DA$3=INDEX(Properties!$U:$U,$B74+5),INDEX(Properties!$P:$P,$B74+5),0))</f>
        <v>0</v>
      </c>
      <c r="DB74" s="123" cm="1">
        <f t="array" ref="DB74">INDEX(Properties!$D:$D,$B74+5)*(IF(DB$3=INDEX(Properties!$U:$U,$B74+5),INDEX(Properties!$P:$P,$B74+5),0))</f>
        <v>0</v>
      </c>
      <c r="DC74" s="123" cm="1">
        <f t="array" ref="DC74">INDEX(Properties!$D:$D,$B74+5)*(IF(DC$3=INDEX(Properties!$U:$U,$B74+5),INDEX(Properties!$P:$P,$B74+5),0))</f>
        <v>0</v>
      </c>
      <c r="DD74" s="123" cm="1">
        <f t="array" ref="DD74">INDEX(Properties!$D:$D,$B74+5)*(IF(DD$3=INDEX(Properties!$U:$U,$B74+5),INDEX(Properties!$P:$P,$B74+5),0))</f>
        <v>0</v>
      </c>
      <c r="DE74" s="123" cm="1">
        <f t="array" ref="DE74">INDEX(Properties!$D:$D,$B74+5)*(IF(DE$3=INDEX(Properties!$U:$U,$B74+5),INDEX(Properties!$P:$P,$B74+5),0))</f>
        <v>0</v>
      </c>
      <c r="DF74" s="123" cm="1">
        <f t="array" ref="DF74">INDEX(Properties!$D:$D,$B74+5)*(IF(DF$3=INDEX(Properties!$U:$U,$B74+5),INDEX(Properties!$P:$P,$B74+5),0))</f>
        <v>0</v>
      </c>
      <c r="DG74" s="123" cm="1">
        <f t="array" ref="DG74">INDEX(Properties!$D:$D,$B74+5)*(IF(DG$3=INDEX(Properties!$U:$U,$B74+5),INDEX(Properties!$P:$P,$B74+5),0))</f>
        <v>0</v>
      </c>
      <c r="DH74" s="123" cm="1">
        <f t="array" ref="DH74">INDEX(Properties!$D:$D,$B74+5)*(IF(DH$3=INDEX(Properties!$U:$U,$B74+5),INDEX(Properties!$P:$P,$B74+5),0))</f>
        <v>0</v>
      </c>
      <c r="DI74" s="123" cm="1">
        <f t="array" ref="DI74">INDEX(Properties!$D:$D,$B74+5)*(IF(DI$3=INDEX(Properties!$U:$U,$B74+5),INDEX(Properties!$P:$P,$B74+5),0))</f>
        <v>0</v>
      </c>
      <c r="DJ74" s="123" cm="1">
        <f t="array" ref="DJ74">INDEX(Properties!$D:$D,$B74+5)*(IF(DJ$3=INDEX(Properties!$U:$U,$B74+5),INDEX(Properties!$P:$P,$B74+5),0))</f>
        <v>0</v>
      </c>
      <c r="DK74" s="123" cm="1">
        <f t="array" ref="DK74">INDEX(Properties!$D:$D,$B74+5)*(IF(DK$3=INDEX(Properties!$U:$U,$B74+5),INDEX(Properties!$P:$P,$B74+5),0))</f>
        <v>0</v>
      </c>
      <c r="DL74" s="123" cm="1">
        <f t="array" ref="DL74">INDEX(Properties!$D:$D,$B74+5)*(IF(DL$3=INDEX(Properties!$U:$U,$B74+5),INDEX(Properties!$P:$P,$B74+5),0))</f>
        <v>0</v>
      </c>
      <c r="DM74" s="123" cm="1">
        <f t="array" ref="DM74">INDEX(Properties!$D:$D,$B74+5)*(IF(DM$3=INDEX(Properties!$U:$U,$B74+5),INDEX(Properties!$P:$P,$B74+5),0))</f>
        <v>0</v>
      </c>
      <c r="DN74" s="123" cm="1">
        <f t="array" ref="DN74">INDEX(Properties!$D:$D,$B74+5)*(IF(DN$3=INDEX(Properties!$U:$U,$B74+5),INDEX(Properties!$P:$P,$B74+5),0))</f>
        <v>0</v>
      </c>
      <c r="DO74" s="123" cm="1">
        <f t="array" ref="DO74">INDEX(Properties!$D:$D,$B74+5)*(IF(DO$3=INDEX(Properties!$U:$U,$B74+5),INDEX(Properties!$P:$P,$B74+5),0))</f>
        <v>0</v>
      </c>
      <c r="DP74" s="123" cm="1">
        <f t="array" ref="DP74">INDEX(Properties!$D:$D,$B74+5)*(IF(DP$3=INDEX(Properties!$U:$U,$B74+5),INDEX(Properties!$P:$P,$B74+5),0))</f>
        <v>0</v>
      </c>
      <c r="DQ74" s="123" cm="1">
        <f t="array" ref="DQ74">INDEX(Properties!$D:$D,$B74+5)*(IF(DQ$3=INDEX(Properties!$U:$U,$B74+5),INDEX(Properties!$P:$P,$B74+5),0))</f>
        <v>0</v>
      </c>
      <c r="DR74" s="123" cm="1">
        <f t="array" ref="DR74">INDEX(Properties!$D:$D,$B74+5)*(IF(DR$3=INDEX(Properties!$U:$U,$B74+5),INDEX(Properties!$P:$P,$B74+5),0))</f>
        <v>0</v>
      </c>
    </row>
    <row r="75" spans="1:122" ht="16.05" customHeight="1" x14ac:dyDescent="0.3">
      <c r="A75" s="148" t="str" cm="1">
        <f t="array" ref="A75">INDEX(Properties!$E:$E,$B75+5)</f>
        <v>San Lucas Apto 101</v>
      </c>
      <c r="B75" s="1">
        <v>3</v>
      </c>
      <c r="C75" s="123" cm="1">
        <f t="array" ref="C75">INDEX(Properties!$D:$D,$B75+5)*(IF(C$3=INDEX(Properties!$U:$U,$B75+5),INDEX(Properties!$P:$P,$B75+5),0))</f>
        <v>0</v>
      </c>
      <c r="D75" s="123" cm="1">
        <f t="array" ref="D75">INDEX(Properties!$D:$D,$B75+5)*(IF(D$3=INDEX(Properties!$U:$U,$B75+5),INDEX(Properties!$P:$P,$B75+5),0))</f>
        <v>0</v>
      </c>
      <c r="E75" s="123" cm="1">
        <f t="array" ref="E75">INDEX(Properties!$D:$D,$B75+5)*(IF(E$3=INDEX(Properties!$U:$U,$B75+5),INDEX(Properties!$P:$P,$B75+5),0))</f>
        <v>0</v>
      </c>
      <c r="F75" s="123" cm="1">
        <f t="array" ref="F75">INDEX(Properties!$D:$D,$B75+5)*(IF(F$3=INDEX(Properties!$U:$U,$B75+5),INDEX(Properties!$P:$P,$B75+5),0))</f>
        <v>0</v>
      </c>
      <c r="G75" s="123" cm="1">
        <f t="array" ref="G75">INDEX(Properties!$D:$D,$B75+5)*(IF(G$3=INDEX(Properties!$U:$U,$B75+5),INDEX(Properties!$P:$P,$B75+5),0))</f>
        <v>0</v>
      </c>
      <c r="H75" s="123" cm="1">
        <f t="array" ref="H75">INDEX(Properties!$D:$D,$B75+5)*(IF(H$3=INDEX(Properties!$U:$U,$B75+5),INDEX(Properties!$P:$P,$B75+5),0))</f>
        <v>0</v>
      </c>
      <c r="I75" s="123" cm="1">
        <f t="array" ref="I75">INDEX(Properties!$D:$D,$B75+5)*(IF(I$3=INDEX(Properties!$U:$U,$B75+5),INDEX(Properties!$P:$P,$B75+5),0))</f>
        <v>0</v>
      </c>
      <c r="J75" s="123" cm="1">
        <f t="array" ref="J75">INDEX(Properties!$D:$D,$B75+5)*(IF(J$3=INDEX(Properties!$U:$U,$B75+5),INDEX(Properties!$P:$P,$B75+5),0))</f>
        <v>0</v>
      </c>
      <c r="K75" s="123" cm="1">
        <f t="array" ref="K75">INDEX(Properties!$D:$D,$B75+5)*(IF(K$3=INDEX(Properties!$U:$U,$B75+5),INDEX(Properties!$P:$P,$B75+5),0))</f>
        <v>0</v>
      </c>
      <c r="L75" s="123" cm="1">
        <f t="array" ref="L75">INDEX(Properties!$D:$D,$B75+5)*(IF(L$3=INDEX(Properties!$U:$U,$B75+5),INDEX(Properties!$P:$P,$B75+5),0))</f>
        <v>0</v>
      </c>
      <c r="M75" s="123" cm="1">
        <f t="array" ref="M75">INDEX(Properties!$D:$D,$B75+5)*(IF(M$3=INDEX(Properties!$U:$U,$B75+5),INDEX(Properties!$P:$P,$B75+5),0))</f>
        <v>0</v>
      </c>
      <c r="N75" s="123" cm="1">
        <f t="array" ref="N75">INDEX(Properties!$D:$D,$B75+5)*(IF(N$3=INDEX(Properties!$U:$U,$B75+5),INDEX(Properties!$P:$P,$B75+5),0))</f>
        <v>0</v>
      </c>
      <c r="O75" s="123" cm="1">
        <f t="array" ref="O75">INDEX(Properties!$D:$D,$B75+5)*(IF(O$3=INDEX(Properties!$U:$U,$B75+5),INDEX(Properties!$P:$P,$B75+5),0))</f>
        <v>0</v>
      </c>
      <c r="P75" s="123" cm="1">
        <f t="array" ref="P75">INDEX(Properties!$D:$D,$B75+5)*(IF(P$3=INDEX(Properties!$U:$U,$B75+5),INDEX(Properties!$P:$P,$B75+5),0))</f>
        <v>0</v>
      </c>
      <c r="Q75" s="123" cm="1">
        <f t="array" ref="Q75">INDEX(Properties!$D:$D,$B75+5)*(IF(Q$3=INDEX(Properties!$U:$U,$B75+5),INDEX(Properties!$P:$P,$B75+5),0))</f>
        <v>0</v>
      </c>
      <c r="R75" s="123" cm="1">
        <f t="array" ref="R75">INDEX(Properties!$D:$D,$B75+5)*(IF(R$3=INDEX(Properties!$U:$U,$B75+5),INDEX(Properties!$P:$P,$B75+5),0))</f>
        <v>0</v>
      </c>
      <c r="S75" s="123" cm="1">
        <f t="array" ref="S75">INDEX(Properties!$D:$D,$B75+5)*(IF(S$3=INDEX(Properties!$U:$U,$B75+5),INDEX(Properties!$P:$P,$B75+5),0))</f>
        <v>0</v>
      </c>
      <c r="T75" s="123" cm="1">
        <f t="array" ref="T75">INDEX(Properties!$D:$D,$B75+5)*(IF(T$3=INDEX(Properties!$U:$U,$B75+5),INDEX(Properties!$P:$P,$B75+5),0))</f>
        <v>0</v>
      </c>
      <c r="U75" s="123" cm="1">
        <f t="array" ref="U75">INDEX(Properties!$D:$D,$B75+5)*(IF(U$3=INDEX(Properties!$U:$U,$B75+5),INDEX(Properties!$P:$P,$B75+5),0))</f>
        <v>0</v>
      </c>
      <c r="V75" s="123" cm="1">
        <f t="array" ref="V75">INDEX(Properties!$D:$D,$B75+5)*(IF(V$3=INDEX(Properties!$U:$U,$B75+5),INDEX(Properties!$P:$P,$B75+5),0))</f>
        <v>0</v>
      </c>
      <c r="W75" s="123" cm="1">
        <f t="array" ref="W75">INDEX(Properties!$D:$D,$B75+5)*(IF(W$3=INDEX(Properties!$U:$U,$B75+5),INDEX(Properties!$P:$P,$B75+5),0))</f>
        <v>0</v>
      </c>
      <c r="X75" s="123" cm="1">
        <f t="array" ref="X75">INDEX(Properties!$D:$D,$B75+5)*(IF(X$3=INDEX(Properties!$U:$U,$B75+5),INDEX(Properties!$P:$P,$B75+5),0))</f>
        <v>0</v>
      </c>
      <c r="Y75" s="123" cm="1">
        <f t="array" ref="Y75">INDEX(Properties!$D:$D,$B75+5)*(IF(Y$3=INDEX(Properties!$U:$U,$B75+5),INDEX(Properties!$P:$P,$B75+5),0))</f>
        <v>0</v>
      </c>
      <c r="Z75" s="123" cm="1">
        <f t="array" ref="Z75">INDEX(Properties!$D:$D,$B75+5)*(IF(Z$3=INDEX(Properties!$U:$U,$B75+5),INDEX(Properties!$P:$P,$B75+5),0))</f>
        <v>0</v>
      </c>
      <c r="AA75" s="123" cm="1">
        <f t="array" ref="AA75">INDEX(Properties!$D:$D,$B75+5)*(IF(AA$3=INDEX(Properties!$U:$U,$B75+5),INDEX(Properties!$P:$P,$B75+5),0))</f>
        <v>0</v>
      </c>
      <c r="AB75" s="123" cm="1">
        <f t="array" ref="AB75">INDEX(Properties!$D:$D,$B75+5)*(IF(AB$3=INDEX(Properties!$U:$U,$B75+5),INDEX(Properties!$P:$P,$B75+5),0))</f>
        <v>0</v>
      </c>
      <c r="AC75" s="123" cm="1">
        <f t="array" ref="AC75">INDEX(Properties!$D:$D,$B75+5)*(IF(AC$3=INDEX(Properties!$U:$U,$B75+5),INDEX(Properties!$P:$P,$B75+5),0))</f>
        <v>0</v>
      </c>
      <c r="AD75" s="123" cm="1">
        <f t="array" ref="AD75">INDEX(Properties!$D:$D,$B75+5)*(IF(AD$3=INDEX(Properties!$U:$U,$B75+5),INDEX(Properties!$P:$P,$B75+5),0))</f>
        <v>747370.55016181234</v>
      </c>
      <c r="AE75" s="123" cm="1">
        <f t="array" ref="AE75">INDEX(Properties!$D:$D,$B75+5)*(IF(AE$3=INDEX(Properties!$U:$U,$B75+5),INDEX(Properties!$P:$P,$B75+5),0))</f>
        <v>0</v>
      </c>
      <c r="AF75" s="123" cm="1">
        <f t="array" ref="AF75">INDEX(Properties!$D:$D,$B75+5)*(IF(AF$3=INDEX(Properties!$U:$U,$B75+5),INDEX(Properties!$P:$P,$B75+5),0))</f>
        <v>0</v>
      </c>
      <c r="AG75" s="123" cm="1">
        <f t="array" ref="AG75">INDEX(Properties!$D:$D,$B75+5)*(IF(AG$3=INDEX(Properties!$U:$U,$B75+5),INDEX(Properties!$P:$P,$B75+5),0))</f>
        <v>0</v>
      </c>
      <c r="AH75" s="123" cm="1">
        <f t="array" ref="AH75">INDEX(Properties!$D:$D,$B75+5)*(IF(AH$3=INDEX(Properties!$U:$U,$B75+5),INDEX(Properties!$P:$P,$B75+5),0))</f>
        <v>0</v>
      </c>
      <c r="AI75" s="123" cm="1">
        <f t="array" ref="AI75">INDEX(Properties!$D:$D,$B75+5)*(IF(AI$3=INDEX(Properties!$U:$U,$B75+5),INDEX(Properties!$P:$P,$B75+5),0))</f>
        <v>0</v>
      </c>
      <c r="AJ75" s="123" cm="1">
        <f t="array" ref="AJ75">INDEX(Properties!$D:$D,$B75+5)*(IF(AJ$3=INDEX(Properties!$U:$U,$B75+5),INDEX(Properties!$P:$P,$B75+5),0))</f>
        <v>0</v>
      </c>
      <c r="AK75" s="123" cm="1">
        <f t="array" ref="AK75">INDEX(Properties!$D:$D,$B75+5)*(IF(AK$3=INDEX(Properties!$U:$U,$B75+5),INDEX(Properties!$P:$P,$B75+5),0))</f>
        <v>0</v>
      </c>
      <c r="AL75" s="123" cm="1">
        <f t="array" ref="AL75">INDEX(Properties!$D:$D,$B75+5)*(IF(AL$3=INDEX(Properties!$U:$U,$B75+5),INDEX(Properties!$P:$P,$B75+5),0))</f>
        <v>0</v>
      </c>
      <c r="AM75" s="123" cm="1">
        <f t="array" ref="AM75">INDEX(Properties!$D:$D,$B75+5)*(IF(AM$3=INDEX(Properties!$U:$U,$B75+5),INDEX(Properties!$P:$P,$B75+5),0))</f>
        <v>0</v>
      </c>
      <c r="AN75" s="123" cm="1">
        <f t="array" ref="AN75">INDEX(Properties!$D:$D,$B75+5)*(IF(AN$3=INDEX(Properties!$U:$U,$B75+5),INDEX(Properties!$P:$P,$B75+5),0))</f>
        <v>0</v>
      </c>
      <c r="AO75" s="123" cm="1">
        <f t="array" ref="AO75">INDEX(Properties!$D:$D,$B75+5)*(IF(AO$3=INDEX(Properties!$U:$U,$B75+5),INDEX(Properties!$P:$P,$B75+5),0))</f>
        <v>0</v>
      </c>
      <c r="AP75" s="123" cm="1">
        <f t="array" ref="AP75">INDEX(Properties!$D:$D,$B75+5)*(IF(AP$3=INDEX(Properties!$U:$U,$B75+5),INDEX(Properties!$P:$P,$B75+5),0))</f>
        <v>0</v>
      </c>
      <c r="AQ75" s="123" cm="1">
        <f t="array" ref="AQ75">INDEX(Properties!$D:$D,$B75+5)*(IF(AQ$3=INDEX(Properties!$U:$U,$B75+5),INDEX(Properties!$P:$P,$B75+5),0))</f>
        <v>0</v>
      </c>
      <c r="AR75" s="123" cm="1">
        <f t="array" ref="AR75">INDEX(Properties!$D:$D,$B75+5)*(IF(AR$3=INDEX(Properties!$U:$U,$B75+5),INDEX(Properties!$P:$P,$B75+5),0))</f>
        <v>0</v>
      </c>
      <c r="AS75" s="123" cm="1">
        <f t="array" ref="AS75">INDEX(Properties!$D:$D,$B75+5)*(IF(AS$3=INDEX(Properties!$U:$U,$B75+5),INDEX(Properties!$P:$P,$B75+5),0))</f>
        <v>0</v>
      </c>
      <c r="AT75" s="123" cm="1">
        <f t="array" ref="AT75">INDEX(Properties!$D:$D,$B75+5)*(IF(AT$3=INDEX(Properties!$U:$U,$B75+5),INDEX(Properties!$P:$P,$B75+5),0))</f>
        <v>0</v>
      </c>
      <c r="AU75" s="123" cm="1">
        <f t="array" ref="AU75">INDEX(Properties!$D:$D,$B75+5)*(IF(AU$3=INDEX(Properties!$U:$U,$B75+5),INDEX(Properties!$P:$P,$B75+5),0))</f>
        <v>0</v>
      </c>
      <c r="AV75" s="123" cm="1">
        <f t="array" ref="AV75">INDEX(Properties!$D:$D,$B75+5)*(IF(AV$3=INDEX(Properties!$U:$U,$B75+5),INDEX(Properties!$P:$P,$B75+5),0))</f>
        <v>0</v>
      </c>
      <c r="AW75" s="123" cm="1">
        <f t="array" ref="AW75">INDEX(Properties!$D:$D,$B75+5)*(IF(AW$3=INDEX(Properties!$U:$U,$B75+5),INDEX(Properties!$P:$P,$B75+5),0))</f>
        <v>0</v>
      </c>
      <c r="AX75" s="123" cm="1">
        <f t="array" ref="AX75">INDEX(Properties!$D:$D,$B75+5)*(IF(AX$3=INDEX(Properties!$U:$U,$B75+5),INDEX(Properties!$P:$P,$B75+5),0))</f>
        <v>0</v>
      </c>
      <c r="AY75" s="123" cm="1">
        <f t="array" ref="AY75">INDEX(Properties!$D:$D,$B75+5)*(IF(AY$3=INDEX(Properties!$U:$U,$B75+5),INDEX(Properties!$P:$P,$B75+5),0))</f>
        <v>0</v>
      </c>
      <c r="AZ75" s="123" cm="1">
        <f t="array" ref="AZ75">INDEX(Properties!$D:$D,$B75+5)*(IF(AZ$3=INDEX(Properties!$U:$U,$B75+5),INDEX(Properties!$P:$P,$B75+5),0))</f>
        <v>0</v>
      </c>
      <c r="BA75" s="123" cm="1">
        <f t="array" ref="BA75">INDEX(Properties!$D:$D,$B75+5)*(IF(BA$3=INDEX(Properties!$U:$U,$B75+5),INDEX(Properties!$P:$P,$B75+5),0))</f>
        <v>0</v>
      </c>
      <c r="BB75" s="123" cm="1">
        <f t="array" ref="BB75">INDEX(Properties!$D:$D,$B75+5)*(IF(BB$3=INDEX(Properties!$U:$U,$B75+5),INDEX(Properties!$P:$P,$B75+5),0))</f>
        <v>0</v>
      </c>
      <c r="BC75" s="123" cm="1">
        <f t="array" ref="BC75">INDEX(Properties!$D:$D,$B75+5)*(IF(BC$3=INDEX(Properties!$U:$U,$B75+5),INDEX(Properties!$P:$P,$B75+5),0))</f>
        <v>0</v>
      </c>
      <c r="BD75" s="123" cm="1">
        <f t="array" ref="BD75">INDEX(Properties!$D:$D,$B75+5)*(IF(BD$3=INDEX(Properties!$U:$U,$B75+5),INDEX(Properties!$P:$P,$B75+5),0))</f>
        <v>0</v>
      </c>
      <c r="BE75" s="123" cm="1">
        <f t="array" ref="BE75">INDEX(Properties!$D:$D,$B75+5)*(IF(BE$3=INDEX(Properties!$U:$U,$B75+5),INDEX(Properties!$P:$P,$B75+5),0))</f>
        <v>0</v>
      </c>
      <c r="BF75" s="123" cm="1">
        <f t="array" ref="BF75">INDEX(Properties!$D:$D,$B75+5)*(IF(BF$3=INDEX(Properties!$U:$U,$B75+5),INDEX(Properties!$P:$P,$B75+5),0))</f>
        <v>0</v>
      </c>
      <c r="BG75" s="123" cm="1">
        <f t="array" ref="BG75">INDEX(Properties!$D:$D,$B75+5)*(IF(BG$3=INDEX(Properties!$U:$U,$B75+5),INDEX(Properties!$P:$P,$B75+5),0))</f>
        <v>0</v>
      </c>
      <c r="BH75" s="123" cm="1">
        <f t="array" ref="BH75">INDEX(Properties!$D:$D,$B75+5)*(IF(BH$3=INDEX(Properties!$U:$U,$B75+5),INDEX(Properties!$P:$P,$B75+5),0))</f>
        <v>0</v>
      </c>
      <c r="BI75" s="123" cm="1">
        <f t="array" ref="BI75">INDEX(Properties!$D:$D,$B75+5)*(IF(BI$3=INDEX(Properties!$U:$U,$B75+5),INDEX(Properties!$P:$P,$B75+5),0))</f>
        <v>0</v>
      </c>
      <c r="BJ75" s="123" cm="1">
        <f t="array" ref="BJ75">INDEX(Properties!$D:$D,$B75+5)*(IF(BJ$3=INDEX(Properties!$U:$U,$B75+5),INDEX(Properties!$P:$P,$B75+5),0))</f>
        <v>0</v>
      </c>
      <c r="BK75" s="123" cm="1">
        <f t="array" ref="BK75">INDEX(Properties!$D:$D,$B75+5)*(IF(BK$3=INDEX(Properties!$U:$U,$B75+5),INDEX(Properties!$P:$P,$B75+5),0))</f>
        <v>0</v>
      </c>
      <c r="BL75" s="123" cm="1">
        <f t="array" ref="BL75">INDEX(Properties!$D:$D,$B75+5)*(IF(BL$3=INDEX(Properties!$U:$U,$B75+5),INDEX(Properties!$P:$P,$B75+5),0))</f>
        <v>0</v>
      </c>
      <c r="BM75" s="123" cm="1">
        <f t="array" ref="BM75">INDEX(Properties!$D:$D,$B75+5)*(IF(BM$3=INDEX(Properties!$U:$U,$B75+5),INDEX(Properties!$P:$P,$B75+5),0))</f>
        <v>0</v>
      </c>
      <c r="BN75" s="123" cm="1">
        <f t="array" ref="BN75">INDEX(Properties!$D:$D,$B75+5)*(IF(BN$3=INDEX(Properties!$U:$U,$B75+5),INDEX(Properties!$P:$P,$B75+5),0))</f>
        <v>0</v>
      </c>
      <c r="BO75" s="123" cm="1">
        <f t="array" ref="BO75">INDEX(Properties!$D:$D,$B75+5)*(IF(BO$3=INDEX(Properties!$U:$U,$B75+5),INDEX(Properties!$P:$P,$B75+5),0))</f>
        <v>0</v>
      </c>
      <c r="BP75" s="123" cm="1">
        <f t="array" ref="BP75">INDEX(Properties!$D:$D,$B75+5)*(IF(BP$3=INDEX(Properties!$U:$U,$B75+5),INDEX(Properties!$P:$P,$B75+5),0))</f>
        <v>0</v>
      </c>
      <c r="BQ75" s="123" cm="1">
        <f t="array" ref="BQ75">INDEX(Properties!$D:$D,$B75+5)*(IF(BQ$3=INDEX(Properties!$U:$U,$B75+5),INDEX(Properties!$P:$P,$B75+5),0))</f>
        <v>0</v>
      </c>
      <c r="BR75" s="123" cm="1">
        <f t="array" ref="BR75">INDEX(Properties!$D:$D,$B75+5)*(IF(BR$3=INDEX(Properties!$U:$U,$B75+5),INDEX(Properties!$P:$P,$B75+5),0))</f>
        <v>0</v>
      </c>
      <c r="BS75" s="123" cm="1">
        <f t="array" ref="BS75">INDEX(Properties!$D:$D,$B75+5)*(IF(BS$3=INDEX(Properties!$U:$U,$B75+5),INDEX(Properties!$P:$P,$B75+5),0))</f>
        <v>0</v>
      </c>
      <c r="BT75" s="123" cm="1">
        <f t="array" ref="BT75">INDEX(Properties!$D:$D,$B75+5)*(IF(BT$3=INDEX(Properties!$U:$U,$B75+5),INDEX(Properties!$P:$P,$B75+5),0))</f>
        <v>0</v>
      </c>
      <c r="BU75" s="123" cm="1">
        <f t="array" ref="BU75">INDEX(Properties!$D:$D,$B75+5)*(IF(BU$3=INDEX(Properties!$U:$U,$B75+5),INDEX(Properties!$P:$P,$B75+5),0))</f>
        <v>0</v>
      </c>
      <c r="BV75" s="123" cm="1">
        <f t="array" ref="BV75">INDEX(Properties!$D:$D,$B75+5)*(IF(BV$3=INDEX(Properties!$U:$U,$B75+5),INDEX(Properties!$P:$P,$B75+5),0))</f>
        <v>0</v>
      </c>
      <c r="BW75" s="123" cm="1">
        <f t="array" ref="BW75">INDEX(Properties!$D:$D,$B75+5)*(IF(BW$3=INDEX(Properties!$U:$U,$B75+5),INDEX(Properties!$P:$P,$B75+5),0))</f>
        <v>0</v>
      </c>
      <c r="BX75" s="123" cm="1">
        <f t="array" ref="BX75">INDEX(Properties!$D:$D,$B75+5)*(IF(BX$3=INDEX(Properties!$U:$U,$B75+5),INDEX(Properties!$P:$P,$B75+5),0))</f>
        <v>0</v>
      </c>
      <c r="BY75" s="123" cm="1">
        <f t="array" ref="BY75">INDEX(Properties!$D:$D,$B75+5)*(IF(BY$3=INDEX(Properties!$U:$U,$B75+5),INDEX(Properties!$P:$P,$B75+5),0))</f>
        <v>0</v>
      </c>
      <c r="BZ75" s="123" cm="1">
        <f t="array" ref="BZ75">INDEX(Properties!$D:$D,$B75+5)*(IF(BZ$3=INDEX(Properties!$U:$U,$B75+5),INDEX(Properties!$P:$P,$B75+5),0))</f>
        <v>0</v>
      </c>
      <c r="CA75" s="123" cm="1">
        <f t="array" ref="CA75">INDEX(Properties!$D:$D,$B75+5)*(IF(CA$3=INDEX(Properties!$U:$U,$B75+5),INDEX(Properties!$P:$P,$B75+5),0))</f>
        <v>0</v>
      </c>
      <c r="CB75" s="123" cm="1">
        <f t="array" ref="CB75">INDEX(Properties!$D:$D,$B75+5)*(IF(CB$3=INDEX(Properties!$U:$U,$B75+5),INDEX(Properties!$P:$P,$B75+5),0))</f>
        <v>0</v>
      </c>
      <c r="CC75" s="123" cm="1">
        <f t="array" ref="CC75">INDEX(Properties!$D:$D,$B75+5)*(IF(CC$3=INDEX(Properties!$U:$U,$B75+5),INDEX(Properties!$P:$P,$B75+5),0))</f>
        <v>0</v>
      </c>
      <c r="CD75" s="123" cm="1">
        <f t="array" ref="CD75">INDEX(Properties!$D:$D,$B75+5)*(IF(CD$3=INDEX(Properties!$U:$U,$B75+5),INDEX(Properties!$P:$P,$B75+5),0))</f>
        <v>0</v>
      </c>
      <c r="CE75" s="123" cm="1">
        <f t="array" ref="CE75">INDEX(Properties!$D:$D,$B75+5)*(IF(CE$3=INDEX(Properties!$U:$U,$B75+5),INDEX(Properties!$P:$P,$B75+5),0))</f>
        <v>0</v>
      </c>
      <c r="CF75" s="123" cm="1">
        <f t="array" ref="CF75">INDEX(Properties!$D:$D,$B75+5)*(IF(CF$3=INDEX(Properties!$U:$U,$B75+5),INDEX(Properties!$P:$P,$B75+5),0))</f>
        <v>0</v>
      </c>
      <c r="CG75" s="123" cm="1">
        <f t="array" ref="CG75">INDEX(Properties!$D:$D,$B75+5)*(IF(CG$3=INDEX(Properties!$U:$U,$B75+5),INDEX(Properties!$P:$P,$B75+5),0))</f>
        <v>0</v>
      </c>
      <c r="CH75" s="123" cm="1">
        <f t="array" ref="CH75">INDEX(Properties!$D:$D,$B75+5)*(IF(CH$3=INDEX(Properties!$U:$U,$B75+5),INDEX(Properties!$P:$P,$B75+5),0))</f>
        <v>0</v>
      </c>
      <c r="CI75" s="123" cm="1">
        <f t="array" ref="CI75">INDEX(Properties!$D:$D,$B75+5)*(IF(CI$3=INDEX(Properties!$U:$U,$B75+5),INDEX(Properties!$P:$P,$B75+5),0))</f>
        <v>0</v>
      </c>
      <c r="CJ75" s="123" cm="1">
        <f t="array" ref="CJ75">INDEX(Properties!$D:$D,$B75+5)*(IF(CJ$3=INDEX(Properties!$U:$U,$B75+5),INDEX(Properties!$P:$P,$B75+5),0))</f>
        <v>0</v>
      </c>
      <c r="CK75" s="123" cm="1">
        <f t="array" ref="CK75">INDEX(Properties!$D:$D,$B75+5)*(IF(CK$3=INDEX(Properties!$U:$U,$B75+5),INDEX(Properties!$P:$P,$B75+5),0))</f>
        <v>0</v>
      </c>
      <c r="CL75" s="123" cm="1">
        <f t="array" ref="CL75">INDEX(Properties!$D:$D,$B75+5)*(IF(CL$3=INDEX(Properties!$U:$U,$B75+5),INDEX(Properties!$P:$P,$B75+5),0))</f>
        <v>0</v>
      </c>
      <c r="CM75" s="123" cm="1">
        <f t="array" ref="CM75">INDEX(Properties!$D:$D,$B75+5)*(IF(CM$3=INDEX(Properties!$U:$U,$B75+5),INDEX(Properties!$P:$P,$B75+5),0))</f>
        <v>0</v>
      </c>
      <c r="CN75" s="123" cm="1">
        <f t="array" ref="CN75">INDEX(Properties!$D:$D,$B75+5)*(IF(CN$3=INDEX(Properties!$U:$U,$B75+5),INDEX(Properties!$P:$P,$B75+5),0))</f>
        <v>0</v>
      </c>
      <c r="CO75" s="123" cm="1">
        <f t="array" ref="CO75">INDEX(Properties!$D:$D,$B75+5)*(IF(CO$3=INDEX(Properties!$U:$U,$B75+5),INDEX(Properties!$P:$P,$B75+5),0))</f>
        <v>0</v>
      </c>
      <c r="CP75" s="123" cm="1">
        <f t="array" ref="CP75">INDEX(Properties!$D:$D,$B75+5)*(IF(CP$3=INDEX(Properties!$U:$U,$B75+5),INDEX(Properties!$P:$P,$B75+5),0))</f>
        <v>0</v>
      </c>
      <c r="CQ75" s="123" cm="1">
        <f t="array" ref="CQ75">INDEX(Properties!$D:$D,$B75+5)*(IF(CQ$3=INDEX(Properties!$U:$U,$B75+5),INDEX(Properties!$P:$P,$B75+5),0))</f>
        <v>0</v>
      </c>
      <c r="CR75" s="123" cm="1">
        <f t="array" ref="CR75">INDEX(Properties!$D:$D,$B75+5)*(IF(CR$3=INDEX(Properties!$U:$U,$B75+5),INDEX(Properties!$P:$P,$B75+5),0))</f>
        <v>0</v>
      </c>
      <c r="CS75" s="123" cm="1">
        <f t="array" ref="CS75">INDEX(Properties!$D:$D,$B75+5)*(IF(CS$3=INDEX(Properties!$U:$U,$B75+5),INDEX(Properties!$P:$P,$B75+5),0))</f>
        <v>0</v>
      </c>
      <c r="CT75" s="123" cm="1">
        <f t="array" ref="CT75">INDEX(Properties!$D:$D,$B75+5)*(IF(CT$3=INDEX(Properties!$U:$U,$B75+5),INDEX(Properties!$P:$P,$B75+5),0))</f>
        <v>0</v>
      </c>
      <c r="CU75" s="123" cm="1">
        <f t="array" ref="CU75">INDEX(Properties!$D:$D,$B75+5)*(IF(CU$3=INDEX(Properties!$U:$U,$B75+5),INDEX(Properties!$P:$P,$B75+5),0))</f>
        <v>0</v>
      </c>
      <c r="CV75" s="123" cm="1">
        <f t="array" ref="CV75">INDEX(Properties!$D:$D,$B75+5)*(IF(CV$3=INDEX(Properties!$U:$U,$B75+5),INDEX(Properties!$P:$P,$B75+5),0))</f>
        <v>0</v>
      </c>
      <c r="CW75" s="123" cm="1">
        <f t="array" ref="CW75">INDEX(Properties!$D:$D,$B75+5)*(IF(CW$3=INDEX(Properties!$U:$U,$B75+5),INDEX(Properties!$P:$P,$B75+5),0))</f>
        <v>0</v>
      </c>
      <c r="CX75" s="123" cm="1">
        <f t="array" ref="CX75">INDEX(Properties!$D:$D,$B75+5)*(IF(CX$3=INDEX(Properties!$U:$U,$B75+5),INDEX(Properties!$P:$P,$B75+5),0))</f>
        <v>0</v>
      </c>
      <c r="CY75" s="123" cm="1">
        <f t="array" ref="CY75">INDEX(Properties!$D:$D,$B75+5)*(IF(CY$3=INDEX(Properties!$U:$U,$B75+5),INDEX(Properties!$P:$P,$B75+5),0))</f>
        <v>0</v>
      </c>
      <c r="CZ75" s="123" cm="1">
        <f t="array" ref="CZ75">INDEX(Properties!$D:$D,$B75+5)*(IF(CZ$3=INDEX(Properties!$U:$U,$B75+5),INDEX(Properties!$P:$P,$B75+5),0))</f>
        <v>0</v>
      </c>
      <c r="DA75" s="123" cm="1">
        <f t="array" ref="DA75">INDEX(Properties!$D:$D,$B75+5)*(IF(DA$3=INDEX(Properties!$U:$U,$B75+5),INDEX(Properties!$P:$P,$B75+5),0))</f>
        <v>0</v>
      </c>
      <c r="DB75" s="123" cm="1">
        <f t="array" ref="DB75">INDEX(Properties!$D:$D,$B75+5)*(IF(DB$3=INDEX(Properties!$U:$U,$B75+5),INDEX(Properties!$P:$P,$B75+5),0))</f>
        <v>0</v>
      </c>
      <c r="DC75" s="123" cm="1">
        <f t="array" ref="DC75">INDEX(Properties!$D:$D,$B75+5)*(IF(DC$3=INDEX(Properties!$U:$U,$B75+5),INDEX(Properties!$P:$P,$B75+5),0))</f>
        <v>0</v>
      </c>
      <c r="DD75" s="123" cm="1">
        <f t="array" ref="DD75">INDEX(Properties!$D:$D,$B75+5)*(IF(DD$3=INDEX(Properties!$U:$U,$B75+5),INDEX(Properties!$P:$P,$B75+5),0))</f>
        <v>0</v>
      </c>
      <c r="DE75" s="123" cm="1">
        <f t="array" ref="DE75">INDEX(Properties!$D:$D,$B75+5)*(IF(DE$3=INDEX(Properties!$U:$U,$B75+5),INDEX(Properties!$P:$P,$B75+5),0))</f>
        <v>0</v>
      </c>
      <c r="DF75" s="123" cm="1">
        <f t="array" ref="DF75">INDEX(Properties!$D:$D,$B75+5)*(IF(DF$3=INDEX(Properties!$U:$U,$B75+5),INDEX(Properties!$P:$P,$B75+5),0))</f>
        <v>0</v>
      </c>
      <c r="DG75" s="123" cm="1">
        <f t="array" ref="DG75">INDEX(Properties!$D:$D,$B75+5)*(IF(DG$3=INDEX(Properties!$U:$U,$B75+5),INDEX(Properties!$P:$P,$B75+5),0))</f>
        <v>0</v>
      </c>
      <c r="DH75" s="123" cm="1">
        <f t="array" ref="DH75">INDEX(Properties!$D:$D,$B75+5)*(IF(DH$3=INDEX(Properties!$U:$U,$B75+5),INDEX(Properties!$P:$P,$B75+5),0))</f>
        <v>0</v>
      </c>
      <c r="DI75" s="123" cm="1">
        <f t="array" ref="DI75">INDEX(Properties!$D:$D,$B75+5)*(IF(DI$3=INDEX(Properties!$U:$U,$B75+5),INDEX(Properties!$P:$P,$B75+5),0))</f>
        <v>0</v>
      </c>
      <c r="DJ75" s="123" cm="1">
        <f t="array" ref="DJ75">INDEX(Properties!$D:$D,$B75+5)*(IF(DJ$3=INDEX(Properties!$U:$U,$B75+5),INDEX(Properties!$P:$P,$B75+5),0))</f>
        <v>0</v>
      </c>
      <c r="DK75" s="123" cm="1">
        <f t="array" ref="DK75">INDEX(Properties!$D:$D,$B75+5)*(IF(DK$3=INDEX(Properties!$U:$U,$B75+5),INDEX(Properties!$P:$P,$B75+5),0))</f>
        <v>0</v>
      </c>
      <c r="DL75" s="123" cm="1">
        <f t="array" ref="DL75">INDEX(Properties!$D:$D,$B75+5)*(IF(DL$3=INDEX(Properties!$U:$U,$B75+5),INDEX(Properties!$P:$P,$B75+5),0))</f>
        <v>0</v>
      </c>
      <c r="DM75" s="123" cm="1">
        <f t="array" ref="DM75">INDEX(Properties!$D:$D,$B75+5)*(IF(DM$3=INDEX(Properties!$U:$U,$B75+5),INDEX(Properties!$P:$P,$B75+5),0))</f>
        <v>0</v>
      </c>
      <c r="DN75" s="123" cm="1">
        <f t="array" ref="DN75">INDEX(Properties!$D:$D,$B75+5)*(IF(DN$3=INDEX(Properties!$U:$U,$B75+5),INDEX(Properties!$P:$P,$B75+5),0))</f>
        <v>0</v>
      </c>
      <c r="DO75" s="123" cm="1">
        <f t="array" ref="DO75">INDEX(Properties!$D:$D,$B75+5)*(IF(DO$3=INDEX(Properties!$U:$U,$B75+5),INDEX(Properties!$P:$P,$B75+5),0))</f>
        <v>0</v>
      </c>
      <c r="DP75" s="123" cm="1">
        <f t="array" ref="DP75">INDEX(Properties!$D:$D,$B75+5)*(IF(DP$3=INDEX(Properties!$U:$U,$B75+5),INDEX(Properties!$P:$P,$B75+5),0))</f>
        <v>0</v>
      </c>
      <c r="DQ75" s="123" cm="1">
        <f t="array" ref="DQ75">INDEX(Properties!$D:$D,$B75+5)*(IF(DQ$3=INDEX(Properties!$U:$U,$B75+5),INDEX(Properties!$P:$P,$B75+5),0))</f>
        <v>0</v>
      </c>
      <c r="DR75" s="123" cm="1">
        <f t="array" ref="DR75">INDEX(Properties!$D:$D,$B75+5)*(IF(DR$3=INDEX(Properties!$U:$U,$B75+5),INDEX(Properties!$P:$P,$B75+5),0))</f>
        <v>0</v>
      </c>
    </row>
    <row r="76" spans="1:122" ht="16.05" customHeight="1" x14ac:dyDescent="0.3">
      <c r="A76" s="148" t="str" cm="1">
        <f t="array" ref="A76">INDEX(Properties!$E:$E,$B76+5)</f>
        <v>Casa Montana Lote 2 (Samuel Gaviria House)</v>
      </c>
      <c r="B76" s="1">
        <v>4</v>
      </c>
      <c r="C76" s="123" cm="1">
        <f t="array" ref="C76">INDEX(Properties!$D:$D,$B76+5)*(IF(C$3=INDEX(Properties!$U:$U,$B76+5),INDEX(Properties!$P:$P,$B76+5),0))</f>
        <v>0</v>
      </c>
      <c r="D76" s="123" cm="1">
        <f t="array" ref="D76">INDEX(Properties!$D:$D,$B76+5)*(IF(D$3=INDEX(Properties!$U:$U,$B76+5),INDEX(Properties!$P:$P,$B76+5),0))</f>
        <v>0</v>
      </c>
      <c r="E76" s="123" cm="1">
        <f t="array" ref="E76">INDEX(Properties!$D:$D,$B76+5)*(IF(E$3=INDEX(Properties!$U:$U,$B76+5),INDEX(Properties!$P:$P,$B76+5),0))</f>
        <v>0</v>
      </c>
      <c r="F76" s="123" cm="1">
        <f t="array" ref="F76">INDEX(Properties!$D:$D,$B76+5)*(IF(F$3=INDEX(Properties!$U:$U,$B76+5),INDEX(Properties!$P:$P,$B76+5),0))</f>
        <v>0</v>
      </c>
      <c r="G76" s="123" cm="1">
        <f t="array" ref="G76">INDEX(Properties!$D:$D,$B76+5)*(IF(G$3=INDEX(Properties!$U:$U,$B76+5),INDEX(Properties!$P:$P,$B76+5),0))</f>
        <v>0</v>
      </c>
      <c r="H76" s="123" cm="1">
        <f t="array" ref="H76">INDEX(Properties!$D:$D,$B76+5)*(IF(H$3=INDEX(Properties!$U:$U,$B76+5),INDEX(Properties!$P:$P,$B76+5),0))</f>
        <v>0</v>
      </c>
      <c r="I76" s="123" cm="1">
        <f t="array" ref="I76">INDEX(Properties!$D:$D,$B76+5)*(IF(I$3=INDEX(Properties!$U:$U,$B76+5),INDEX(Properties!$P:$P,$B76+5),0))</f>
        <v>0</v>
      </c>
      <c r="J76" s="123" cm="1">
        <f t="array" ref="J76">INDEX(Properties!$D:$D,$B76+5)*(IF(J$3=INDEX(Properties!$U:$U,$B76+5),INDEX(Properties!$P:$P,$B76+5),0))</f>
        <v>0</v>
      </c>
      <c r="K76" s="123" cm="1">
        <f t="array" ref="K76">INDEX(Properties!$D:$D,$B76+5)*(IF(K$3=INDEX(Properties!$U:$U,$B76+5),INDEX(Properties!$P:$P,$B76+5),0))</f>
        <v>0</v>
      </c>
      <c r="L76" s="123" cm="1">
        <f t="array" ref="L76">INDEX(Properties!$D:$D,$B76+5)*(IF(L$3=INDEX(Properties!$U:$U,$B76+5),INDEX(Properties!$P:$P,$B76+5),0))</f>
        <v>0</v>
      </c>
      <c r="M76" s="123" cm="1">
        <f t="array" ref="M76">INDEX(Properties!$D:$D,$B76+5)*(IF(M$3=INDEX(Properties!$U:$U,$B76+5),INDEX(Properties!$P:$P,$B76+5),0))</f>
        <v>0</v>
      </c>
      <c r="N76" s="123" cm="1">
        <f t="array" ref="N76">INDEX(Properties!$D:$D,$B76+5)*(IF(N$3=INDEX(Properties!$U:$U,$B76+5),INDEX(Properties!$P:$P,$B76+5),0))</f>
        <v>0</v>
      </c>
      <c r="O76" s="123" cm="1">
        <f t="array" ref="O76">INDEX(Properties!$D:$D,$B76+5)*(IF(O$3=INDEX(Properties!$U:$U,$B76+5),INDEX(Properties!$P:$P,$B76+5),0))</f>
        <v>0</v>
      </c>
      <c r="P76" s="123" cm="1">
        <f t="array" ref="P76">INDEX(Properties!$D:$D,$B76+5)*(IF(P$3=INDEX(Properties!$U:$U,$B76+5),INDEX(Properties!$P:$P,$B76+5),0))</f>
        <v>0</v>
      </c>
      <c r="Q76" s="123" cm="1">
        <f t="array" ref="Q76">INDEX(Properties!$D:$D,$B76+5)*(IF(Q$3=INDEX(Properties!$U:$U,$B76+5),INDEX(Properties!$P:$P,$B76+5),0))</f>
        <v>0</v>
      </c>
      <c r="R76" s="123" cm="1">
        <f t="array" ref="R76">INDEX(Properties!$D:$D,$B76+5)*(IF(R$3=INDEX(Properties!$U:$U,$B76+5),INDEX(Properties!$P:$P,$B76+5),0))</f>
        <v>0</v>
      </c>
      <c r="S76" s="123" cm="1">
        <f t="array" ref="S76">INDEX(Properties!$D:$D,$B76+5)*(IF(S$3=INDEX(Properties!$U:$U,$B76+5),INDEX(Properties!$P:$P,$B76+5),0))</f>
        <v>0</v>
      </c>
      <c r="T76" s="123" cm="1">
        <f t="array" ref="T76">INDEX(Properties!$D:$D,$B76+5)*(IF(T$3=INDEX(Properties!$U:$U,$B76+5),INDEX(Properties!$P:$P,$B76+5),0))</f>
        <v>0</v>
      </c>
      <c r="U76" s="123" cm="1">
        <f t="array" ref="U76">INDEX(Properties!$D:$D,$B76+5)*(IF(U$3=INDEX(Properties!$U:$U,$B76+5),INDEX(Properties!$P:$P,$B76+5),0))</f>
        <v>0</v>
      </c>
      <c r="V76" s="123" cm="1">
        <f t="array" ref="V76">INDEX(Properties!$D:$D,$B76+5)*(IF(V$3=INDEX(Properties!$U:$U,$B76+5),INDEX(Properties!$P:$P,$B76+5),0))</f>
        <v>0</v>
      </c>
      <c r="W76" s="123" cm="1">
        <f t="array" ref="W76">INDEX(Properties!$D:$D,$B76+5)*(IF(W$3=INDEX(Properties!$U:$U,$B76+5),INDEX(Properties!$P:$P,$B76+5),0))</f>
        <v>0</v>
      </c>
      <c r="X76" s="123" cm="1">
        <f t="array" ref="X76">INDEX(Properties!$D:$D,$B76+5)*(IF(X$3=INDEX(Properties!$U:$U,$B76+5),INDEX(Properties!$P:$P,$B76+5),0))</f>
        <v>0</v>
      </c>
      <c r="Y76" s="123" cm="1">
        <f t="array" ref="Y76">INDEX(Properties!$D:$D,$B76+5)*(IF(Y$3=INDEX(Properties!$U:$U,$B76+5),INDEX(Properties!$P:$P,$B76+5),0))</f>
        <v>0</v>
      </c>
      <c r="Z76" s="123" cm="1">
        <f t="array" ref="Z76">INDEX(Properties!$D:$D,$B76+5)*(IF(Z$3=INDEX(Properties!$U:$U,$B76+5),INDEX(Properties!$P:$P,$B76+5),0))</f>
        <v>0</v>
      </c>
      <c r="AA76" s="123" cm="1">
        <f t="array" ref="AA76">INDEX(Properties!$D:$D,$B76+5)*(IF(AA$3=INDEX(Properties!$U:$U,$B76+5),INDEX(Properties!$P:$P,$B76+5),0))</f>
        <v>0</v>
      </c>
      <c r="AB76" s="123" cm="1">
        <f t="array" ref="AB76">INDEX(Properties!$D:$D,$B76+5)*(IF(AB$3=INDEX(Properties!$U:$U,$B76+5),INDEX(Properties!$P:$P,$B76+5),0))</f>
        <v>0</v>
      </c>
      <c r="AC76" s="123" cm="1">
        <f t="array" ref="AC76">INDEX(Properties!$D:$D,$B76+5)*(IF(AC$3=INDEX(Properties!$U:$U,$B76+5),INDEX(Properties!$P:$P,$B76+5),0))</f>
        <v>0</v>
      </c>
      <c r="AD76" s="123" cm="1">
        <f t="array" ref="AD76">INDEX(Properties!$D:$D,$B76+5)*(IF(AD$3=INDEX(Properties!$U:$U,$B76+5),INDEX(Properties!$P:$P,$B76+5),0))</f>
        <v>0</v>
      </c>
      <c r="AE76" s="123" cm="1">
        <f t="array" ref="AE76">INDEX(Properties!$D:$D,$B76+5)*(IF(AE$3=INDEX(Properties!$U:$U,$B76+5),INDEX(Properties!$P:$P,$B76+5),0))</f>
        <v>0</v>
      </c>
      <c r="AF76" s="123" cm="1">
        <f t="array" ref="AF76">INDEX(Properties!$D:$D,$B76+5)*(IF(AF$3=INDEX(Properties!$U:$U,$B76+5),INDEX(Properties!$P:$P,$B76+5),0))</f>
        <v>0</v>
      </c>
      <c r="AG76" s="123" cm="1">
        <f t="array" ref="AG76">INDEX(Properties!$D:$D,$B76+5)*(IF(AG$3=INDEX(Properties!$U:$U,$B76+5),INDEX(Properties!$P:$P,$B76+5),0))</f>
        <v>0</v>
      </c>
      <c r="AH76" s="123" cm="1">
        <f t="array" ref="AH76">INDEX(Properties!$D:$D,$B76+5)*(IF(AH$3=INDEX(Properties!$U:$U,$B76+5),INDEX(Properties!$P:$P,$B76+5),0))</f>
        <v>0</v>
      </c>
      <c r="AI76" s="123" cm="1">
        <f t="array" ref="AI76">INDEX(Properties!$D:$D,$B76+5)*(IF(AI$3=INDEX(Properties!$U:$U,$B76+5),INDEX(Properties!$P:$P,$B76+5),0))</f>
        <v>0</v>
      </c>
      <c r="AJ76" s="123" cm="1">
        <f t="array" ref="AJ76">INDEX(Properties!$D:$D,$B76+5)*(IF(AJ$3=INDEX(Properties!$U:$U,$B76+5),INDEX(Properties!$P:$P,$B76+5),0))</f>
        <v>0</v>
      </c>
      <c r="AK76" s="123" cm="1">
        <f t="array" ref="AK76">INDEX(Properties!$D:$D,$B76+5)*(IF(AK$3=INDEX(Properties!$U:$U,$B76+5),INDEX(Properties!$P:$P,$B76+5),0))</f>
        <v>0</v>
      </c>
      <c r="AL76" s="123" cm="1">
        <f t="array" ref="AL76">INDEX(Properties!$D:$D,$B76+5)*(IF(AL$3=INDEX(Properties!$U:$U,$B76+5),INDEX(Properties!$P:$P,$B76+5),0))</f>
        <v>0</v>
      </c>
      <c r="AM76" s="123" cm="1">
        <f t="array" ref="AM76">INDEX(Properties!$D:$D,$B76+5)*(IF(AM$3=INDEX(Properties!$U:$U,$B76+5),INDEX(Properties!$P:$P,$B76+5),0))</f>
        <v>0</v>
      </c>
      <c r="AN76" s="123" cm="1">
        <f t="array" ref="AN76">INDEX(Properties!$D:$D,$B76+5)*(IF(AN$3=INDEX(Properties!$U:$U,$B76+5),INDEX(Properties!$P:$P,$B76+5),0))</f>
        <v>0</v>
      </c>
      <c r="AO76" s="123" cm="1">
        <f t="array" ref="AO76">INDEX(Properties!$D:$D,$B76+5)*(IF(AO$3=INDEX(Properties!$U:$U,$B76+5),INDEX(Properties!$P:$P,$B76+5),0))</f>
        <v>0</v>
      </c>
      <c r="AP76" s="123" cm="1">
        <f t="array" ref="AP76">INDEX(Properties!$D:$D,$B76+5)*(IF(AP$3=INDEX(Properties!$U:$U,$B76+5),INDEX(Properties!$P:$P,$B76+5),0))</f>
        <v>0</v>
      </c>
      <c r="AQ76" s="123" cm="1">
        <f t="array" ref="AQ76">INDEX(Properties!$D:$D,$B76+5)*(IF(AQ$3=INDEX(Properties!$U:$U,$B76+5),INDEX(Properties!$P:$P,$B76+5),0))</f>
        <v>0</v>
      </c>
      <c r="AR76" s="123" cm="1">
        <f t="array" ref="AR76">INDEX(Properties!$D:$D,$B76+5)*(IF(AR$3=INDEX(Properties!$U:$U,$B76+5),INDEX(Properties!$P:$P,$B76+5),0))</f>
        <v>0</v>
      </c>
      <c r="AS76" s="123" cm="1">
        <f t="array" ref="AS76">INDEX(Properties!$D:$D,$B76+5)*(IF(AS$3=INDEX(Properties!$U:$U,$B76+5),INDEX(Properties!$P:$P,$B76+5),0))</f>
        <v>1714482.2006472494</v>
      </c>
      <c r="AT76" s="123" cm="1">
        <f t="array" ref="AT76">INDEX(Properties!$D:$D,$B76+5)*(IF(AT$3=INDEX(Properties!$U:$U,$B76+5),INDEX(Properties!$P:$P,$B76+5),0))</f>
        <v>0</v>
      </c>
      <c r="AU76" s="123" cm="1">
        <f t="array" ref="AU76">INDEX(Properties!$D:$D,$B76+5)*(IF(AU$3=INDEX(Properties!$U:$U,$B76+5),INDEX(Properties!$P:$P,$B76+5),0))</f>
        <v>0</v>
      </c>
      <c r="AV76" s="123" cm="1">
        <f t="array" ref="AV76">INDEX(Properties!$D:$D,$B76+5)*(IF(AV$3=INDEX(Properties!$U:$U,$B76+5),INDEX(Properties!$P:$P,$B76+5),0))</f>
        <v>0</v>
      </c>
      <c r="AW76" s="123" cm="1">
        <f t="array" ref="AW76">INDEX(Properties!$D:$D,$B76+5)*(IF(AW$3=INDEX(Properties!$U:$U,$B76+5),INDEX(Properties!$P:$P,$B76+5),0))</f>
        <v>0</v>
      </c>
      <c r="AX76" s="123" cm="1">
        <f t="array" ref="AX76">INDEX(Properties!$D:$D,$B76+5)*(IF(AX$3=INDEX(Properties!$U:$U,$B76+5),INDEX(Properties!$P:$P,$B76+5),0))</f>
        <v>0</v>
      </c>
      <c r="AY76" s="123" cm="1">
        <f t="array" ref="AY76">INDEX(Properties!$D:$D,$B76+5)*(IF(AY$3=INDEX(Properties!$U:$U,$B76+5),INDEX(Properties!$P:$P,$B76+5),0))</f>
        <v>0</v>
      </c>
      <c r="AZ76" s="123" cm="1">
        <f t="array" ref="AZ76">INDEX(Properties!$D:$D,$B76+5)*(IF(AZ$3=INDEX(Properties!$U:$U,$B76+5),INDEX(Properties!$P:$P,$B76+5),0))</f>
        <v>0</v>
      </c>
      <c r="BA76" s="123" cm="1">
        <f t="array" ref="BA76">INDEX(Properties!$D:$D,$B76+5)*(IF(BA$3=INDEX(Properties!$U:$U,$B76+5),INDEX(Properties!$P:$P,$B76+5),0))</f>
        <v>0</v>
      </c>
      <c r="BB76" s="123" cm="1">
        <f t="array" ref="BB76">INDEX(Properties!$D:$D,$B76+5)*(IF(BB$3=INDEX(Properties!$U:$U,$B76+5),INDEX(Properties!$P:$P,$B76+5),0))</f>
        <v>0</v>
      </c>
      <c r="BC76" s="123" cm="1">
        <f t="array" ref="BC76">INDEX(Properties!$D:$D,$B76+5)*(IF(BC$3=INDEX(Properties!$U:$U,$B76+5),INDEX(Properties!$P:$P,$B76+5),0))</f>
        <v>0</v>
      </c>
      <c r="BD76" s="123" cm="1">
        <f t="array" ref="BD76">INDEX(Properties!$D:$D,$B76+5)*(IF(BD$3=INDEX(Properties!$U:$U,$B76+5),INDEX(Properties!$P:$P,$B76+5),0))</f>
        <v>0</v>
      </c>
      <c r="BE76" s="123" cm="1">
        <f t="array" ref="BE76">INDEX(Properties!$D:$D,$B76+5)*(IF(BE$3=INDEX(Properties!$U:$U,$B76+5),INDEX(Properties!$P:$P,$B76+5),0))</f>
        <v>0</v>
      </c>
      <c r="BF76" s="123" cm="1">
        <f t="array" ref="BF76">INDEX(Properties!$D:$D,$B76+5)*(IF(BF$3=INDEX(Properties!$U:$U,$B76+5),INDEX(Properties!$P:$P,$B76+5),0))</f>
        <v>0</v>
      </c>
      <c r="BG76" s="123" cm="1">
        <f t="array" ref="BG76">INDEX(Properties!$D:$D,$B76+5)*(IF(BG$3=INDEX(Properties!$U:$U,$B76+5),INDEX(Properties!$P:$P,$B76+5),0))</f>
        <v>0</v>
      </c>
      <c r="BH76" s="123" cm="1">
        <f t="array" ref="BH76">INDEX(Properties!$D:$D,$B76+5)*(IF(BH$3=INDEX(Properties!$U:$U,$B76+5),INDEX(Properties!$P:$P,$B76+5),0))</f>
        <v>0</v>
      </c>
      <c r="BI76" s="123" cm="1">
        <f t="array" ref="BI76">INDEX(Properties!$D:$D,$B76+5)*(IF(BI$3=INDEX(Properties!$U:$U,$B76+5),INDEX(Properties!$P:$P,$B76+5),0))</f>
        <v>0</v>
      </c>
      <c r="BJ76" s="123" cm="1">
        <f t="array" ref="BJ76">INDEX(Properties!$D:$D,$B76+5)*(IF(BJ$3=INDEX(Properties!$U:$U,$B76+5),INDEX(Properties!$P:$P,$B76+5),0))</f>
        <v>0</v>
      </c>
      <c r="BK76" s="123" cm="1">
        <f t="array" ref="BK76">INDEX(Properties!$D:$D,$B76+5)*(IF(BK$3=INDEX(Properties!$U:$U,$B76+5),INDEX(Properties!$P:$P,$B76+5),0))</f>
        <v>0</v>
      </c>
      <c r="BL76" s="123" cm="1">
        <f t="array" ref="BL76">INDEX(Properties!$D:$D,$B76+5)*(IF(BL$3=INDEX(Properties!$U:$U,$B76+5),INDEX(Properties!$P:$P,$B76+5),0))</f>
        <v>0</v>
      </c>
      <c r="BM76" s="123" cm="1">
        <f t="array" ref="BM76">INDEX(Properties!$D:$D,$B76+5)*(IF(BM$3=INDEX(Properties!$U:$U,$B76+5),INDEX(Properties!$P:$P,$B76+5),0))</f>
        <v>0</v>
      </c>
      <c r="BN76" s="123" cm="1">
        <f t="array" ref="BN76">INDEX(Properties!$D:$D,$B76+5)*(IF(BN$3=INDEX(Properties!$U:$U,$B76+5),INDEX(Properties!$P:$P,$B76+5),0))</f>
        <v>0</v>
      </c>
      <c r="BO76" s="123" cm="1">
        <f t="array" ref="BO76">INDEX(Properties!$D:$D,$B76+5)*(IF(BO$3=INDEX(Properties!$U:$U,$B76+5),INDEX(Properties!$P:$P,$B76+5),0))</f>
        <v>0</v>
      </c>
      <c r="BP76" s="123" cm="1">
        <f t="array" ref="BP76">INDEX(Properties!$D:$D,$B76+5)*(IF(BP$3=INDEX(Properties!$U:$U,$B76+5),INDEX(Properties!$P:$P,$B76+5),0))</f>
        <v>0</v>
      </c>
      <c r="BQ76" s="123" cm="1">
        <f t="array" ref="BQ76">INDEX(Properties!$D:$D,$B76+5)*(IF(BQ$3=INDEX(Properties!$U:$U,$B76+5),INDEX(Properties!$P:$P,$B76+5),0))</f>
        <v>0</v>
      </c>
      <c r="BR76" s="123" cm="1">
        <f t="array" ref="BR76">INDEX(Properties!$D:$D,$B76+5)*(IF(BR$3=INDEX(Properties!$U:$U,$B76+5),INDEX(Properties!$P:$P,$B76+5),0))</f>
        <v>0</v>
      </c>
      <c r="BS76" s="123" cm="1">
        <f t="array" ref="BS76">INDEX(Properties!$D:$D,$B76+5)*(IF(BS$3=INDEX(Properties!$U:$U,$B76+5),INDEX(Properties!$P:$P,$B76+5),0))</f>
        <v>0</v>
      </c>
      <c r="BT76" s="123" cm="1">
        <f t="array" ref="BT76">INDEX(Properties!$D:$D,$B76+5)*(IF(BT$3=INDEX(Properties!$U:$U,$B76+5),INDEX(Properties!$P:$P,$B76+5),0))</f>
        <v>0</v>
      </c>
      <c r="BU76" s="123" cm="1">
        <f t="array" ref="BU76">INDEX(Properties!$D:$D,$B76+5)*(IF(BU$3=INDEX(Properties!$U:$U,$B76+5),INDEX(Properties!$P:$P,$B76+5),0))</f>
        <v>0</v>
      </c>
      <c r="BV76" s="123" cm="1">
        <f t="array" ref="BV76">INDEX(Properties!$D:$D,$B76+5)*(IF(BV$3=INDEX(Properties!$U:$U,$B76+5),INDEX(Properties!$P:$P,$B76+5),0))</f>
        <v>0</v>
      </c>
      <c r="BW76" s="123" cm="1">
        <f t="array" ref="BW76">INDEX(Properties!$D:$D,$B76+5)*(IF(BW$3=INDEX(Properties!$U:$U,$B76+5),INDEX(Properties!$P:$P,$B76+5),0))</f>
        <v>0</v>
      </c>
      <c r="BX76" s="123" cm="1">
        <f t="array" ref="BX76">INDEX(Properties!$D:$D,$B76+5)*(IF(BX$3=INDEX(Properties!$U:$U,$B76+5),INDEX(Properties!$P:$P,$B76+5),0))</f>
        <v>0</v>
      </c>
      <c r="BY76" s="123" cm="1">
        <f t="array" ref="BY76">INDEX(Properties!$D:$D,$B76+5)*(IF(BY$3=INDEX(Properties!$U:$U,$B76+5),INDEX(Properties!$P:$P,$B76+5),0))</f>
        <v>0</v>
      </c>
      <c r="BZ76" s="123" cm="1">
        <f t="array" ref="BZ76">INDEX(Properties!$D:$D,$B76+5)*(IF(BZ$3=INDEX(Properties!$U:$U,$B76+5),INDEX(Properties!$P:$P,$B76+5),0))</f>
        <v>0</v>
      </c>
      <c r="CA76" s="123" cm="1">
        <f t="array" ref="CA76">INDEX(Properties!$D:$D,$B76+5)*(IF(CA$3=INDEX(Properties!$U:$U,$B76+5),INDEX(Properties!$P:$P,$B76+5),0))</f>
        <v>0</v>
      </c>
      <c r="CB76" s="123" cm="1">
        <f t="array" ref="CB76">INDEX(Properties!$D:$D,$B76+5)*(IF(CB$3=INDEX(Properties!$U:$U,$B76+5),INDEX(Properties!$P:$P,$B76+5),0))</f>
        <v>0</v>
      </c>
      <c r="CC76" s="123" cm="1">
        <f t="array" ref="CC76">INDEX(Properties!$D:$D,$B76+5)*(IF(CC$3=INDEX(Properties!$U:$U,$B76+5),INDEX(Properties!$P:$P,$B76+5),0))</f>
        <v>0</v>
      </c>
      <c r="CD76" s="123" cm="1">
        <f t="array" ref="CD76">INDEX(Properties!$D:$D,$B76+5)*(IF(CD$3=INDEX(Properties!$U:$U,$B76+5),INDEX(Properties!$P:$P,$B76+5),0))</f>
        <v>0</v>
      </c>
      <c r="CE76" s="123" cm="1">
        <f t="array" ref="CE76">INDEX(Properties!$D:$D,$B76+5)*(IF(CE$3=INDEX(Properties!$U:$U,$B76+5),INDEX(Properties!$P:$P,$B76+5),0))</f>
        <v>0</v>
      </c>
      <c r="CF76" s="123" cm="1">
        <f t="array" ref="CF76">INDEX(Properties!$D:$D,$B76+5)*(IF(CF$3=INDEX(Properties!$U:$U,$B76+5),INDEX(Properties!$P:$P,$B76+5),0))</f>
        <v>0</v>
      </c>
      <c r="CG76" s="123" cm="1">
        <f t="array" ref="CG76">INDEX(Properties!$D:$D,$B76+5)*(IF(CG$3=INDEX(Properties!$U:$U,$B76+5),INDEX(Properties!$P:$P,$B76+5),0))</f>
        <v>0</v>
      </c>
      <c r="CH76" s="123" cm="1">
        <f t="array" ref="CH76">INDEX(Properties!$D:$D,$B76+5)*(IF(CH$3=INDEX(Properties!$U:$U,$B76+5),INDEX(Properties!$P:$P,$B76+5),0))</f>
        <v>0</v>
      </c>
      <c r="CI76" s="123" cm="1">
        <f t="array" ref="CI76">INDEX(Properties!$D:$D,$B76+5)*(IF(CI$3=INDEX(Properties!$U:$U,$B76+5),INDEX(Properties!$P:$P,$B76+5),0))</f>
        <v>0</v>
      </c>
      <c r="CJ76" s="123" cm="1">
        <f t="array" ref="CJ76">INDEX(Properties!$D:$D,$B76+5)*(IF(CJ$3=INDEX(Properties!$U:$U,$B76+5),INDEX(Properties!$P:$P,$B76+5),0))</f>
        <v>0</v>
      </c>
      <c r="CK76" s="123" cm="1">
        <f t="array" ref="CK76">INDEX(Properties!$D:$D,$B76+5)*(IF(CK$3=INDEX(Properties!$U:$U,$B76+5),INDEX(Properties!$P:$P,$B76+5),0))</f>
        <v>0</v>
      </c>
      <c r="CL76" s="123" cm="1">
        <f t="array" ref="CL76">INDEX(Properties!$D:$D,$B76+5)*(IF(CL$3=INDEX(Properties!$U:$U,$B76+5),INDEX(Properties!$P:$P,$B76+5),0))</f>
        <v>0</v>
      </c>
      <c r="CM76" s="123" cm="1">
        <f t="array" ref="CM76">INDEX(Properties!$D:$D,$B76+5)*(IF(CM$3=INDEX(Properties!$U:$U,$B76+5),INDEX(Properties!$P:$P,$B76+5),0))</f>
        <v>0</v>
      </c>
      <c r="CN76" s="123" cm="1">
        <f t="array" ref="CN76">INDEX(Properties!$D:$D,$B76+5)*(IF(CN$3=INDEX(Properties!$U:$U,$B76+5),INDEX(Properties!$P:$P,$B76+5),0))</f>
        <v>0</v>
      </c>
      <c r="CO76" s="123" cm="1">
        <f t="array" ref="CO76">INDEX(Properties!$D:$D,$B76+5)*(IF(CO$3=INDEX(Properties!$U:$U,$B76+5),INDEX(Properties!$P:$P,$B76+5),0))</f>
        <v>0</v>
      </c>
      <c r="CP76" s="123" cm="1">
        <f t="array" ref="CP76">INDEX(Properties!$D:$D,$B76+5)*(IF(CP$3=INDEX(Properties!$U:$U,$B76+5),INDEX(Properties!$P:$P,$B76+5),0))</f>
        <v>0</v>
      </c>
      <c r="CQ76" s="123" cm="1">
        <f t="array" ref="CQ76">INDEX(Properties!$D:$D,$B76+5)*(IF(CQ$3=INDEX(Properties!$U:$U,$B76+5),INDEX(Properties!$P:$P,$B76+5),0))</f>
        <v>0</v>
      </c>
      <c r="CR76" s="123" cm="1">
        <f t="array" ref="CR76">INDEX(Properties!$D:$D,$B76+5)*(IF(CR$3=INDEX(Properties!$U:$U,$B76+5),INDEX(Properties!$P:$P,$B76+5),0))</f>
        <v>0</v>
      </c>
      <c r="CS76" s="123" cm="1">
        <f t="array" ref="CS76">INDEX(Properties!$D:$D,$B76+5)*(IF(CS$3=INDEX(Properties!$U:$U,$B76+5),INDEX(Properties!$P:$P,$B76+5),0))</f>
        <v>0</v>
      </c>
      <c r="CT76" s="123" cm="1">
        <f t="array" ref="CT76">INDEX(Properties!$D:$D,$B76+5)*(IF(CT$3=INDEX(Properties!$U:$U,$B76+5),INDEX(Properties!$P:$P,$B76+5),0))</f>
        <v>0</v>
      </c>
      <c r="CU76" s="123" cm="1">
        <f t="array" ref="CU76">INDEX(Properties!$D:$D,$B76+5)*(IF(CU$3=INDEX(Properties!$U:$U,$B76+5),INDEX(Properties!$P:$P,$B76+5),0))</f>
        <v>0</v>
      </c>
      <c r="CV76" s="123" cm="1">
        <f t="array" ref="CV76">INDEX(Properties!$D:$D,$B76+5)*(IF(CV$3=INDEX(Properties!$U:$U,$B76+5),INDEX(Properties!$P:$P,$B76+5),0))</f>
        <v>0</v>
      </c>
      <c r="CW76" s="123" cm="1">
        <f t="array" ref="CW76">INDEX(Properties!$D:$D,$B76+5)*(IF(CW$3=INDEX(Properties!$U:$U,$B76+5),INDEX(Properties!$P:$P,$B76+5),0))</f>
        <v>0</v>
      </c>
      <c r="CX76" s="123" cm="1">
        <f t="array" ref="CX76">INDEX(Properties!$D:$D,$B76+5)*(IF(CX$3=INDEX(Properties!$U:$U,$B76+5),INDEX(Properties!$P:$P,$B76+5),0))</f>
        <v>0</v>
      </c>
      <c r="CY76" s="123" cm="1">
        <f t="array" ref="CY76">INDEX(Properties!$D:$D,$B76+5)*(IF(CY$3=INDEX(Properties!$U:$U,$B76+5),INDEX(Properties!$P:$P,$B76+5),0))</f>
        <v>0</v>
      </c>
      <c r="CZ76" s="123" cm="1">
        <f t="array" ref="CZ76">INDEX(Properties!$D:$D,$B76+5)*(IF(CZ$3=INDEX(Properties!$U:$U,$B76+5),INDEX(Properties!$P:$P,$B76+5),0))</f>
        <v>0</v>
      </c>
      <c r="DA76" s="123" cm="1">
        <f t="array" ref="DA76">INDEX(Properties!$D:$D,$B76+5)*(IF(DA$3=INDEX(Properties!$U:$U,$B76+5),INDEX(Properties!$P:$P,$B76+5),0))</f>
        <v>0</v>
      </c>
      <c r="DB76" s="123" cm="1">
        <f t="array" ref="DB76">INDEX(Properties!$D:$D,$B76+5)*(IF(DB$3=INDEX(Properties!$U:$U,$B76+5),INDEX(Properties!$P:$P,$B76+5),0))</f>
        <v>0</v>
      </c>
      <c r="DC76" s="123" cm="1">
        <f t="array" ref="DC76">INDEX(Properties!$D:$D,$B76+5)*(IF(DC$3=INDEX(Properties!$U:$U,$B76+5),INDEX(Properties!$P:$P,$B76+5),0))</f>
        <v>0</v>
      </c>
      <c r="DD76" s="123" cm="1">
        <f t="array" ref="DD76">INDEX(Properties!$D:$D,$B76+5)*(IF(DD$3=INDEX(Properties!$U:$U,$B76+5),INDEX(Properties!$P:$P,$B76+5),0))</f>
        <v>0</v>
      </c>
      <c r="DE76" s="123" cm="1">
        <f t="array" ref="DE76">INDEX(Properties!$D:$D,$B76+5)*(IF(DE$3=INDEX(Properties!$U:$U,$B76+5),INDEX(Properties!$P:$P,$B76+5),0))</f>
        <v>0</v>
      </c>
      <c r="DF76" s="123" cm="1">
        <f t="array" ref="DF76">INDEX(Properties!$D:$D,$B76+5)*(IF(DF$3=INDEX(Properties!$U:$U,$B76+5),INDEX(Properties!$P:$P,$B76+5),0))</f>
        <v>0</v>
      </c>
      <c r="DG76" s="123" cm="1">
        <f t="array" ref="DG76">INDEX(Properties!$D:$D,$B76+5)*(IF(DG$3=INDEX(Properties!$U:$U,$B76+5),INDEX(Properties!$P:$P,$B76+5),0))</f>
        <v>0</v>
      </c>
      <c r="DH76" s="123" cm="1">
        <f t="array" ref="DH76">INDEX(Properties!$D:$D,$B76+5)*(IF(DH$3=INDEX(Properties!$U:$U,$B76+5),INDEX(Properties!$P:$P,$B76+5),0))</f>
        <v>0</v>
      </c>
      <c r="DI76" s="123" cm="1">
        <f t="array" ref="DI76">INDEX(Properties!$D:$D,$B76+5)*(IF(DI$3=INDEX(Properties!$U:$U,$B76+5),INDEX(Properties!$P:$P,$B76+5),0))</f>
        <v>0</v>
      </c>
      <c r="DJ76" s="123" cm="1">
        <f t="array" ref="DJ76">INDEX(Properties!$D:$D,$B76+5)*(IF(DJ$3=INDEX(Properties!$U:$U,$B76+5),INDEX(Properties!$P:$P,$B76+5),0))</f>
        <v>0</v>
      </c>
      <c r="DK76" s="123" cm="1">
        <f t="array" ref="DK76">INDEX(Properties!$D:$D,$B76+5)*(IF(DK$3=INDEX(Properties!$U:$U,$B76+5),INDEX(Properties!$P:$P,$B76+5),0))</f>
        <v>0</v>
      </c>
      <c r="DL76" s="123" cm="1">
        <f t="array" ref="DL76">INDEX(Properties!$D:$D,$B76+5)*(IF(DL$3=INDEX(Properties!$U:$U,$B76+5),INDEX(Properties!$P:$P,$B76+5),0))</f>
        <v>0</v>
      </c>
      <c r="DM76" s="123" cm="1">
        <f t="array" ref="DM76">INDEX(Properties!$D:$D,$B76+5)*(IF(DM$3=INDEX(Properties!$U:$U,$B76+5),INDEX(Properties!$P:$P,$B76+5),0))</f>
        <v>0</v>
      </c>
      <c r="DN76" s="123" cm="1">
        <f t="array" ref="DN76">INDEX(Properties!$D:$D,$B76+5)*(IF(DN$3=INDEX(Properties!$U:$U,$B76+5),INDEX(Properties!$P:$P,$B76+5),0))</f>
        <v>0</v>
      </c>
      <c r="DO76" s="123" cm="1">
        <f t="array" ref="DO76">INDEX(Properties!$D:$D,$B76+5)*(IF(DO$3=INDEX(Properties!$U:$U,$B76+5),INDEX(Properties!$P:$P,$B76+5),0))</f>
        <v>0</v>
      </c>
      <c r="DP76" s="123" cm="1">
        <f t="array" ref="DP76">INDEX(Properties!$D:$D,$B76+5)*(IF(DP$3=INDEX(Properties!$U:$U,$B76+5),INDEX(Properties!$P:$P,$B76+5),0))</f>
        <v>0</v>
      </c>
      <c r="DQ76" s="123" cm="1">
        <f t="array" ref="DQ76">INDEX(Properties!$D:$D,$B76+5)*(IF(DQ$3=INDEX(Properties!$U:$U,$B76+5),INDEX(Properties!$P:$P,$B76+5),0))</f>
        <v>0</v>
      </c>
      <c r="DR76" s="123" cm="1">
        <f t="array" ref="DR76">INDEX(Properties!$D:$D,$B76+5)*(IF(DR$3=INDEX(Properties!$U:$U,$B76+5),INDEX(Properties!$P:$P,$B76+5),0))</f>
        <v>0</v>
      </c>
    </row>
    <row r="77" spans="1:122" ht="16.05" customHeight="1" x14ac:dyDescent="0.3">
      <c r="A77" s="148" t="str" cm="1">
        <f t="array" ref="A77">INDEX(Properties!$E:$E,$B77+5)</f>
        <v>Casa Monte Sereno</v>
      </c>
      <c r="B77" s="1">
        <v>5</v>
      </c>
      <c r="C77" s="123" cm="1">
        <f t="array" ref="C77">INDEX(Properties!$D:$D,$B77+5)*(IF(C$3=INDEX(Properties!$U:$U,$B77+5),INDEX(Properties!$P:$P,$B77+5),0))</f>
        <v>0</v>
      </c>
      <c r="D77" s="123" cm="1">
        <f t="array" ref="D77">INDEX(Properties!$D:$D,$B77+5)*(IF(D$3=INDEX(Properties!$U:$U,$B77+5),INDEX(Properties!$P:$P,$B77+5),0))</f>
        <v>0</v>
      </c>
      <c r="E77" s="123" cm="1">
        <f t="array" ref="E77">INDEX(Properties!$D:$D,$B77+5)*(IF(E$3=INDEX(Properties!$U:$U,$B77+5),INDEX(Properties!$P:$P,$B77+5),0))</f>
        <v>0</v>
      </c>
      <c r="F77" s="123" cm="1">
        <f t="array" ref="F77">INDEX(Properties!$D:$D,$B77+5)*(IF(F$3=INDEX(Properties!$U:$U,$B77+5),INDEX(Properties!$P:$P,$B77+5),0))</f>
        <v>0</v>
      </c>
      <c r="G77" s="123" cm="1">
        <f t="array" ref="G77">INDEX(Properties!$D:$D,$B77+5)*(IF(G$3=INDEX(Properties!$U:$U,$B77+5),INDEX(Properties!$P:$P,$B77+5),0))</f>
        <v>0</v>
      </c>
      <c r="H77" s="123" cm="1">
        <f t="array" ref="H77">INDEX(Properties!$D:$D,$B77+5)*(IF(H$3=INDEX(Properties!$U:$U,$B77+5),INDEX(Properties!$P:$P,$B77+5),0))</f>
        <v>0</v>
      </c>
      <c r="I77" s="123" cm="1">
        <f t="array" ref="I77">INDEX(Properties!$D:$D,$B77+5)*(IF(I$3=INDEX(Properties!$U:$U,$B77+5),INDEX(Properties!$P:$P,$B77+5),0))</f>
        <v>0</v>
      </c>
      <c r="J77" s="123" cm="1">
        <f t="array" ref="J77">INDEX(Properties!$D:$D,$B77+5)*(IF(J$3=INDEX(Properties!$U:$U,$B77+5),INDEX(Properties!$P:$P,$B77+5),0))</f>
        <v>0</v>
      </c>
      <c r="K77" s="123" cm="1">
        <f t="array" ref="K77">INDEX(Properties!$D:$D,$B77+5)*(IF(K$3=INDEX(Properties!$U:$U,$B77+5),INDEX(Properties!$P:$P,$B77+5),0))</f>
        <v>0</v>
      </c>
      <c r="L77" s="123" cm="1">
        <f t="array" ref="L77">INDEX(Properties!$D:$D,$B77+5)*(IF(L$3=INDEX(Properties!$U:$U,$B77+5),INDEX(Properties!$P:$P,$B77+5),0))</f>
        <v>0</v>
      </c>
      <c r="M77" s="123" cm="1">
        <f t="array" ref="M77">INDEX(Properties!$D:$D,$B77+5)*(IF(M$3=INDEX(Properties!$U:$U,$B77+5),INDEX(Properties!$P:$P,$B77+5),0))</f>
        <v>0</v>
      </c>
      <c r="N77" s="123" cm="1">
        <f t="array" ref="N77">INDEX(Properties!$D:$D,$B77+5)*(IF(N$3=INDEX(Properties!$U:$U,$B77+5),INDEX(Properties!$P:$P,$B77+5),0))</f>
        <v>0</v>
      </c>
      <c r="O77" s="123" cm="1">
        <f t="array" ref="O77">INDEX(Properties!$D:$D,$B77+5)*(IF(O$3=INDEX(Properties!$U:$U,$B77+5),INDEX(Properties!$P:$P,$B77+5),0))</f>
        <v>0</v>
      </c>
      <c r="P77" s="123" cm="1">
        <f t="array" ref="P77">INDEX(Properties!$D:$D,$B77+5)*(IF(P$3=INDEX(Properties!$U:$U,$B77+5),INDEX(Properties!$P:$P,$B77+5),0))</f>
        <v>0</v>
      </c>
      <c r="Q77" s="123" cm="1">
        <f t="array" ref="Q77">INDEX(Properties!$D:$D,$B77+5)*(IF(Q$3=INDEX(Properties!$U:$U,$B77+5),INDEX(Properties!$P:$P,$B77+5),0))</f>
        <v>0</v>
      </c>
      <c r="R77" s="123" cm="1">
        <f t="array" ref="R77">INDEX(Properties!$D:$D,$B77+5)*(IF(R$3=INDEX(Properties!$U:$U,$B77+5),INDEX(Properties!$P:$P,$B77+5),0))</f>
        <v>0</v>
      </c>
      <c r="S77" s="123" cm="1">
        <f t="array" ref="S77">INDEX(Properties!$D:$D,$B77+5)*(IF(S$3=INDEX(Properties!$U:$U,$B77+5),INDEX(Properties!$P:$P,$B77+5),0))</f>
        <v>0</v>
      </c>
      <c r="T77" s="123" cm="1">
        <f t="array" ref="T77">INDEX(Properties!$D:$D,$B77+5)*(IF(T$3=INDEX(Properties!$U:$U,$B77+5),INDEX(Properties!$P:$P,$B77+5),0))</f>
        <v>0</v>
      </c>
      <c r="U77" s="123" cm="1">
        <f t="array" ref="U77">INDEX(Properties!$D:$D,$B77+5)*(IF(U$3=INDEX(Properties!$U:$U,$B77+5),INDEX(Properties!$P:$P,$B77+5),0))</f>
        <v>0</v>
      </c>
      <c r="V77" s="123" cm="1">
        <f t="array" ref="V77">INDEX(Properties!$D:$D,$B77+5)*(IF(V$3=INDEX(Properties!$U:$U,$B77+5),INDEX(Properties!$P:$P,$B77+5),0))</f>
        <v>0</v>
      </c>
      <c r="W77" s="123" cm="1">
        <f t="array" ref="W77">INDEX(Properties!$D:$D,$B77+5)*(IF(W$3=INDEX(Properties!$U:$U,$B77+5),INDEX(Properties!$P:$P,$B77+5),0))</f>
        <v>0</v>
      </c>
      <c r="X77" s="123" cm="1">
        <f t="array" ref="X77">INDEX(Properties!$D:$D,$B77+5)*(IF(X$3=INDEX(Properties!$U:$U,$B77+5),INDEX(Properties!$P:$P,$B77+5),0))</f>
        <v>0</v>
      </c>
      <c r="Y77" s="123" cm="1">
        <f t="array" ref="Y77">INDEX(Properties!$D:$D,$B77+5)*(IF(Y$3=INDEX(Properties!$U:$U,$B77+5),INDEX(Properties!$P:$P,$B77+5),0))</f>
        <v>0</v>
      </c>
      <c r="Z77" s="123" cm="1">
        <f t="array" ref="Z77">INDEX(Properties!$D:$D,$B77+5)*(IF(Z$3=INDEX(Properties!$U:$U,$B77+5),INDEX(Properties!$P:$P,$B77+5),0))</f>
        <v>0</v>
      </c>
      <c r="AA77" s="123" cm="1">
        <f t="array" ref="AA77">INDEX(Properties!$D:$D,$B77+5)*(IF(AA$3=INDEX(Properties!$U:$U,$B77+5),INDEX(Properties!$P:$P,$B77+5),0))</f>
        <v>0</v>
      </c>
      <c r="AB77" s="123" cm="1">
        <f t="array" ref="AB77">INDEX(Properties!$D:$D,$B77+5)*(IF(AB$3=INDEX(Properties!$U:$U,$B77+5),INDEX(Properties!$P:$P,$B77+5),0))</f>
        <v>0</v>
      </c>
      <c r="AC77" s="123" cm="1">
        <f t="array" ref="AC77">INDEX(Properties!$D:$D,$B77+5)*(IF(AC$3=INDEX(Properties!$U:$U,$B77+5),INDEX(Properties!$P:$P,$B77+5),0))</f>
        <v>0</v>
      </c>
      <c r="AD77" s="123" cm="1">
        <f t="array" ref="AD77">INDEX(Properties!$D:$D,$B77+5)*(IF(AD$3=INDEX(Properties!$U:$U,$B77+5),INDEX(Properties!$P:$P,$B77+5),0))</f>
        <v>0</v>
      </c>
      <c r="AE77" s="123" cm="1">
        <f t="array" ref="AE77">INDEX(Properties!$D:$D,$B77+5)*(IF(AE$3=INDEX(Properties!$U:$U,$B77+5),INDEX(Properties!$P:$P,$B77+5),0))</f>
        <v>0</v>
      </c>
      <c r="AF77" s="123" cm="1">
        <f t="array" ref="AF77">INDEX(Properties!$D:$D,$B77+5)*(IF(AF$3=INDEX(Properties!$U:$U,$B77+5),INDEX(Properties!$P:$P,$B77+5),0))</f>
        <v>0</v>
      </c>
      <c r="AG77" s="123" cm="1">
        <f t="array" ref="AG77">INDEX(Properties!$D:$D,$B77+5)*(IF(AG$3=INDEX(Properties!$U:$U,$B77+5),INDEX(Properties!$P:$P,$B77+5),0))</f>
        <v>0</v>
      </c>
      <c r="AH77" s="123" cm="1">
        <f t="array" ref="AH77">INDEX(Properties!$D:$D,$B77+5)*(IF(AH$3=INDEX(Properties!$U:$U,$B77+5),INDEX(Properties!$P:$P,$B77+5),0))</f>
        <v>0</v>
      </c>
      <c r="AI77" s="123" cm="1">
        <f t="array" ref="AI77">INDEX(Properties!$D:$D,$B77+5)*(IF(AI$3=INDEX(Properties!$U:$U,$B77+5),INDEX(Properties!$P:$P,$B77+5),0))</f>
        <v>0</v>
      </c>
      <c r="AJ77" s="123" cm="1">
        <f t="array" ref="AJ77">INDEX(Properties!$D:$D,$B77+5)*(IF(AJ$3=INDEX(Properties!$U:$U,$B77+5),INDEX(Properties!$P:$P,$B77+5),0))</f>
        <v>0</v>
      </c>
      <c r="AK77" s="123" cm="1">
        <f t="array" ref="AK77">INDEX(Properties!$D:$D,$B77+5)*(IF(AK$3=INDEX(Properties!$U:$U,$B77+5),INDEX(Properties!$P:$P,$B77+5),0))</f>
        <v>0</v>
      </c>
      <c r="AL77" s="123" cm="1">
        <f t="array" ref="AL77">INDEX(Properties!$D:$D,$B77+5)*(IF(AL$3=INDEX(Properties!$U:$U,$B77+5),INDEX(Properties!$P:$P,$B77+5),0))</f>
        <v>0</v>
      </c>
      <c r="AM77" s="123" cm="1">
        <f t="array" ref="AM77">INDEX(Properties!$D:$D,$B77+5)*(IF(AM$3=INDEX(Properties!$U:$U,$B77+5),INDEX(Properties!$P:$P,$B77+5),0))</f>
        <v>1650485.4368932038</v>
      </c>
      <c r="AN77" s="123" cm="1">
        <f t="array" ref="AN77">INDEX(Properties!$D:$D,$B77+5)*(IF(AN$3=INDEX(Properties!$U:$U,$B77+5),INDEX(Properties!$P:$P,$B77+5),0))</f>
        <v>0</v>
      </c>
      <c r="AO77" s="123" cm="1">
        <f t="array" ref="AO77">INDEX(Properties!$D:$D,$B77+5)*(IF(AO$3=INDEX(Properties!$U:$U,$B77+5),INDEX(Properties!$P:$P,$B77+5),0))</f>
        <v>0</v>
      </c>
      <c r="AP77" s="123" cm="1">
        <f t="array" ref="AP77">INDEX(Properties!$D:$D,$B77+5)*(IF(AP$3=INDEX(Properties!$U:$U,$B77+5),INDEX(Properties!$P:$P,$B77+5),0))</f>
        <v>0</v>
      </c>
      <c r="AQ77" s="123" cm="1">
        <f t="array" ref="AQ77">INDEX(Properties!$D:$D,$B77+5)*(IF(AQ$3=INDEX(Properties!$U:$U,$B77+5),INDEX(Properties!$P:$P,$B77+5),0))</f>
        <v>0</v>
      </c>
      <c r="AR77" s="123" cm="1">
        <f t="array" ref="AR77">INDEX(Properties!$D:$D,$B77+5)*(IF(AR$3=INDEX(Properties!$U:$U,$B77+5),INDEX(Properties!$P:$P,$B77+5),0))</f>
        <v>0</v>
      </c>
      <c r="AS77" s="123" cm="1">
        <f t="array" ref="AS77">INDEX(Properties!$D:$D,$B77+5)*(IF(AS$3=INDEX(Properties!$U:$U,$B77+5),INDEX(Properties!$P:$P,$B77+5),0))</f>
        <v>0</v>
      </c>
      <c r="AT77" s="123" cm="1">
        <f t="array" ref="AT77">INDEX(Properties!$D:$D,$B77+5)*(IF(AT$3=INDEX(Properties!$U:$U,$B77+5),INDEX(Properties!$P:$P,$B77+5),0))</f>
        <v>0</v>
      </c>
      <c r="AU77" s="123" cm="1">
        <f t="array" ref="AU77">INDEX(Properties!$D:$D,$B77+5)*(IF(AU$3=INDEX(Properties!$U:$U,$B77+5),INDEX(Properties!$P:$P,$B77+5),0))</f>
        <v>0</v>
      </c>
      <c r="AV77" s="123" cm="1">
        <f t="array" ref="AV77">INDEX(Properties!$D:$D,$B77+5)*(IF(AV$3=INDEX(Properties!$U:$U,$B77+5),INDEX(Properties!$P:$P,$B77+5),0))</f>
        <v>0</v>
      </c>
      <c r="AW77" s="123" cm="1">
        <f t="array" ref="AW77">INDEX(Properties!$D:$D,$B77+5)*(IF(AW$3=INDEX(Properties!$U:$U,$B77+5),INDEX(Properties!$P:$P,$B77+5),0))</f>
        <v>0</v>
      </c>
      <c r="AX77" s="123" cm="1">
        <f t="array" ref="AX77">INDEX(Properties!$D:$D,$B77+5)*(IF(AX$3=INDEX(Properties!$U:$U,$B77+5),INDEX(Properties!$P:$P,$B77+5),0))</f>
        <v>0</v>
      </c>
      <c r="AY77" s="123" cm="1">
        <f t="array" ref="AY77">INDEX(Properties!$D:$D,$B77+5)*(IF(AY$3=INDEX(Properties!$U:$U,$B77+5),INDEX(Properties!$P:$P,$B77+5),0))</f>
        <v>0</v>
      </c>
      <c r="AZ77" s="123" cm="1">
        <f t="array" ref="AZ77">INDEX(Properties!$D:$D,$B77+5)*(IF(AZ$3=INDEX(Properties!$U:$U,$B77+5),INDEX(Properties!$P:$P,$B77+5),0))</f>
        <v>0</v>
      </c>
      <c r="BA77" s="123" cm="1">
        <f t="array" ref="BA77">INDEX(Properties!$D:$D,$B77+5)*(IF(BA$3=INDEX(Properties!$U:$U,$B77+5),INDEX(Properties!$P:$P,$B77+5),0))</f>
        <v>0</v>
      </c>
      <c r="BB77" s="123" cm="1">
        <f t="array" ref="BB77">INDEX(Properties!$D:$D,$B77+5)*(IF(BB$3=INDEX(Properties!$U:$U,$B77+5),INDEX(Properties!$P:$P,$B77+5),0))</f>
        <v>0</v>
      </c>
      <c r="BC77" s="123" cm="1">
        <f t="array" ref="BC77">INDEX(Properties!$D:$D,$B77+5)*(IF(BC$3=INDEX(Properties!$U:$U,$B77+5),INDEX(Properties!$P:$P,$B77+5),0))</f>
        <v>0</v>
      </c>
      <c r="BD77" s="123" cm="1">
        <f t="array" ref="BD77">INDEX(Properties!$D:$D,$B77+5)*(IF(BD$3=INDEX(Properties!$U:$U,$B77+5),INDEX(Properties!$P:$P,$B77+5),0))</f>
        <v>0</v>
      </c>
      <c r="BE77" s="123" cm="1">
        <f t="array" ref="BE77">INDEX(Properties!$D:$D,$B77+5)*(IF(BE$3=INDEX(Properties!$U:$U,$B77+5),INDEX(Properties!$P:$P,$B77+5),0))</f>
        <v>0</v>
      </c>
      <c r="BF77" s="123" cm="1">
        <f t="array" ref="BF77">INDEX(Properties!$D:$D,$B77+5)*(IF(BF$3=INDEX(Properties!$U:$U,$B77+5),INDEX(Properties!$P:$P,$B77+5),0))</f>
        <v>0</v>
      </c>
      <c r="BG77" s="123" cm="1">
        <f t="array" ref="BG77">INDEX(Properties!$D:$D,$B77+5)*(IF(BG$3=INDEX(Properties!$U:$U,$B77+5),INDEX(Properties!$P:$P,$B77+5),0))</f>
        <v>0</v>
      </c>
      <c r="BH77" s="123" cm="1">
        <f t="array" ref="BH77">INDEX(Properties!$D:$D,$B77+5)*(IF(BH$3=INDEX(Properties!$U:$U,$B77+5),INDEX(Properties!$P:$P,$B77+5),0))</f>
        <v>0</v>
      </c>
      <c r="BI77" s="123" cm="1">
        <f t="array" ref="BI77">INDEX(Properties!$D:$D,$B77+5)*(IF(BI$3=INDEX(Properties!$U:$U,$B77+5),INDEX(Properties!$P:$P,$B77+5),0))</f>
        <v>0</v>
      </c>
      <c r="BJ77" s="123" cm="1">
        <f t="array" ref="BJ77">INDEX(Properties!$D:$D,$B77+5)*(IF(BJ$3=INDEX(Properties!$U:$U,$B77+5),INDEX(Properties!$P:$P,$B77+5),0))</f>
        <v>0</v>
      </c>
      <c r="BK77" s="123" cm="1">
        <f t="array" ref="BK77">INDEX(Properties!$D:$D,$B77+5)*(IF(BK$3=INDEX(Properties!$U:$U,$B77+5),INDEX(Properties!$P:$P,$B77+5),0))</f>
        <v>0</v>
      </c>
      <c r="BL77" s="123" cm="1">
        <f t="array" ref="BL77">INDEX(Properties!$D:$D,$B77+5)*(IF(BL$3=INDEX(Properties!$U:$U,$B77+5),INDEX(Properties!$P:$P,$B77+5),0))</f>
        <v>0</v>
      </c>
      <c r="BM77" s="123" cm="1">
        <f t="array" ref="BM77">INDEX(Properties!$D:$D,$B77+5)*(IF(BM$3=INDEX(Properties!$U:$U,$B77+5),INDEX(Properties!$P:$P,$B77+5),0))</f>
        <v>0</v>
      </c>
      <c r="BN77" s="123" cm="1">
        <f t="array" ref="BN77">INDEX(Properties!$D:$D,$B77+5)*(IF(BN$3=INDEX(Properties!$U:$U,$B77+5),INDEX(Properties!$P:$P,$B77+5),0))</f>
        <v>0</v>
      </c>
      <c r="BO77" s="123" cm="1">
        <f t="array" ref="BO77">INDEX(Properties!$D:$D,$B77+5)*(IF(BO$3=INDEX(Properties!$U:$U,$B77+5),INDEX(Properties!$P:$P,$B77+5),0))</f>
        <v>0</v>
      </c>
      <c r="BP77" s="123" cm="1">
        <f t="array" ref="BP77">INDEX(Properties!$D:$D,$B77+5)*(IF(BP$3=INDEX(Properties!$U:$U,$B77+5),INDEX(Properties!$P:$P,$B77+5),0))</f>
        <v>0</v>
      </c>
      <c r="BQ77" s="123" cm="1">
        <f t="array" ref="BQ77">INDEX(Properties!$D:$D,$B77+5)*(IF(BQ$3=INDEX(Properties!$U:$U,$B77+5),INDEX(Properties!$P:$P,$B77+5),0))</f>
        <v>0</v>
      </c>
      <c r="BR77" s="123" cm="1">
        <f t="array" ref="BR77">INDEX(Properties!$D:$D,$B77+5)*(IF(BR$3=INDEX(Properties!$U:$U,$B77+5),INDEX(Properties!$P:$P,$B77+5),0))</f>
        <v>0</v>
      </c>
      <c r="BS77" s="123" cm="1">
        <f t="array" ref="BS77">INDEX(Properties!$D:$D,$B77+5)*(IF(BS$3=INDEX(Properties!$U:$U,$B77+5),INDEX(Properties!$P:$P,$B77+5),0))</f>
        <v>0</v>
      </c>
      <c r="BT77" s="123" cm="1">
        <f t="array" ref="BT77">INDEX(Properties!$D:$D,$B77+5)*(IF(BT$3=INDEX(Properties!$U:$U,$B77+5),INDEX(Properties!$P:$P,$B77+5),0))</f>
        <v>0</v>
      </c>
      <c r="BU77" s="123" cm="1">
        <f t="array" ref="BU77">INDEX(Properties!$D:$D,$B77+5)*(IF(BU$3=INDEX(Properties!$U:$U,$B77+5),INDEX(Properties!$P:$P,$B77+5),0))</f>
        <v>0</v>
      </c>
      <c r="BV77" s="123" cm="1">
        <f t="array" ref="BV77">INDEX(Properties!$D:$D,$B77+5)*(IF(BV$3=INDEX(Properties!$U:$U,$B77+5),INDEX(Properties!$P:$P,$B77+5),0))</f>
        <v>0</v>
      </c>
      <c r="BW77" s="123" cm="1">
        <f t="array" ref="BW77">INDEX(Properties!$D:$D,$B77+5)*(IF(BW$3=INDEX(Properties!$U:$U,$B77+5),INDEX(Properties!$P:$P,$B77+5),0))</f>
        <v>0</v>
      </c>
      <c r="BX77" s="123" cm="1">
        <f t="array" ref="BX77">INDEX(Properties!$D:$D,$B77+5)*(IF(BX$3=INDEX(Properties!$U:$U,$B77+5),INDEX(Properties!$P:$P,$B77+5),0))</f>
        <v>0</v>
      </c>
      <c r="BY77" s="123" cm="1">
        <f t="array" ref="BY77">INDEX(Properties!$D:$D,$B77+5)*(IF(BY$3=INDEX(Properties!$U:$U,$B77+5),INDEX(Properties!$P:$P,$B77+5),0))</f>
        <v>0</v>
      </c>
      <c r="BZ77" s="123" cm="1">
        <f t="array" ref="BZ77">INDEX(Properties!$D:$D,$B77+5)*(IF(BZ$3=INDEX(Properties!$U:$U,$B77+5),INDEX(Properties!$P:$P,$B77+5),0))</f>
        <v>0</v>
      </c>
      <c r="CA77" s="123" cm="1">
        <f t="array" ref="CA77">INDEX(Properties!$D:$D,$B77+5)*(IF(CA$3=INDEX(Properties!$U:$U,$B77+5),INDEX(Properties!$P:$P,$B77+5),0))</f>
        <v>0</v>
      </c>
      <c r="CB77" s="123" cm="1">
        <f t="array" ref="CB77">INDEX(Properties!$D:$D,$B77+5)*(IF(CB$3=INDEX(Properties!$U:$U,$B77+5),INDEX(Properties!$P:$P,$B77+5),0))</f>
        <v>0</v>
      </c>
      <c r="CC77" s="123" cm="1">
        <f t="array" ref="CC77">INDEX(Properties!$D:$D,$B77+5)*(IF(CC$3=INDEX(Properties!$U:$U,$B77+5),INDEX(Properties!$P:$P,$B77+5),0))</f>
        <v>0</v>
      </c>
      <c r="CD77" s="123" cm="1">
        <f t="array" ref="CD77">INDEX(Properties!$D:$D,$B77+5)*(IF(CD$3=INDEX(Properties!$U:$U,$B77+5),INDEX(Properties!$P:$P,$B77+5),0))</f>
        <v>0</v>
      </c>
      <c r="CE77" s="123" cm="1">
        <f t="array" ref="CE77">INDEX(Properties!$D:$D,$B77+5)*(IF(CE$3=INDEX(Properties!$U:$U,$B77+5),INDEX(Properties!$P:$P,$B77+5),0))</f>
        <v>0</v>
      </c>
      <c r="CF77" s="123" cm="1">
        <f t="array" ref="CF77">INDEX(Properties!$D:$D,$B77+5)*(IF(CF$3=INDEX(Properties!$U:$U,$B77+5),INDEX(Properties!$P:$P,$B77+5),0))</f>
        <v>0</v>
      </c>
      <c r="CG77" s="123" cm="1">
        <f t="array" ref="CG77">INDEX(Properties!$D:$D,$B77+5)*(IF(CG$3=INDEX(Properties!$U:$U,$B77+5),INDEX(Properties!$P:$P,$B77+5),0))</f>
        <v>0</v>
      </c>
      <c r="CH77" s="123" cm="1">
        <f t="array" ref="CH77">INDEX(Properties!$D:$D,$B77+5)*(IF(CH$3=INDEX(Properties!$U:$U,$B77+5),INDEX(Properties!$P:$P,$B77+5),0))</f>
        <v>0</v>
      </c>
      <c r="CI77" s="123" cm="1">
        <f t="array" ref="CI77">INDEX(Properties!$D:$D,$B77+5)*(IF(CI$3=INDEX(Properties!$U:$U,$B77+5),INDEX(Properties!$P:$P,$B77+5),0))</f>
        <v>0</v>
      </c>
      <c r="CJ77" s="123" cm="1">
        <f t="array" ref="CJ77">INDEX(Properties!$D:$D,$B77+5)*(IF(CJ$3=INDEX(Properties!$U:$U,$B77+5),INDEX(Properties!$P:$P,$B77+5),0))</f>
        <v>0</v>
      </c>
      <c r="CK77" s="123" cm="1">
        <f t="array" ref="CK77">INDEX(Properties!$D:$D,$B77+5)*(IF(CK$3=INDEX(Properties!$U:$U,$B77+5),INDEX(Properties!$P:$P,$B77+5),0))</f>
        <v>0</v>
      </c>
      <c r="CL77" s="123" cm="1">
        <f t="array" ref="CL77">INDEX(Properties!$D:$D,$B77+5)*(IF(CL$3=INDEX(Properties!$U:$U,$B77+5),INDEX(Properties!$P:$P,$B77+5),0))</f>
        <v>0</v>
      </c>
      <c r="CM77" s="123" cm="1">
        <f t="array" ref="CM77">INDEX(Properties!$D:$D,$B77+5)*(IF(CM$3=INDEX(Properties!$U:$U,$B77+5),INDEX(Properties!$P:$P,$B77+5),0))</f>
        <v>0</v>
      </c>
      <c r="CN77" s="123" cm="1">
        <f t="array" ref="CN77">INDEX(Properties!$D:$D,$B77+5)*(IF(CN$3=INDEX(Properties!$U:$U,$B77+5),INDEX(Properties!$P:$P,$B77+5),0))</f>
        <v>0</v>
      </c>
      <c r="CO77" s="123" cm="1">
        <f t="array" ref="CO77">INDEX(Properties!$D:$D,$B77+5)*(IF(CO$3=INDEX(Properties!$U:$U,$B77+5),INDEX(Properties!$P:$P,$B77+5),0))</f>
        <v>0</v>
      </c>
      <c r="CP77" s="123" cm="1">
        <f t="array" ref="CP77">INDEX(Properties!$D:$D,$B77+5)*(IF(CP$3=INDEX(Properties!$U:$U,$B77+5),INDEX(Properties!$P:$P,$B77+5),0))</f>
        <v>0</v>
      </c>
      <c r="CQ77" s="123" cm="1">
        <f t="array" ref="CQ77">INDEX(Properties!$D:$D,$B77+5)*(IF(CQ$3=INDEX(Properties!$U:$U,$B77+5),INDEX(Properties!$P:$P,$B77+5),0))</f>
        <v>0</v>
      </c>
      <c r="CR77" s="123" cm="1">
        <f t="array" ref="CR77">INDEX(Properties!$D:$D,$B77+5)*(IF(CR$3=INDEX(Properties!$U:$U,$B77+5),INDEX(Properties!$P:$P,$B77+5),0))</f>
        <v>0</v>
      </c>
      <c r="CS77" s="123" cm="1">
        <f t="array" ref="CS77">INDEX(Properties!$D:$D,$B77+5)*(IF(CS$3=INDEX(Properties!$U:$U,$B77+5),INDEX(Properties!$P:$P,$B77+5),0))</f>
        <v>0</v>
      </c>
      <c r="CT77" s="123" cm="1">
        <f t="array" ref="CT77">INDEX(Properties!$D:$D,$B77+5)*(IF(CT$3=INDEX(Properties!$U:$U,$B77+5),INDEX(Properties!$P:$P,$B77+5),0))</f>
        <v>0</v>
      </c>
      <c r="CU77" s="123" cm="1">
        <f t="array" ref="CU77">INDEX(Properties!$D:$D,$B77+5)*(IF(CU$3=INDEX(Properties!$U:$U,$B77+5),INDEX(Properties!$P:$P,$B77+5),0))</f>
        <v>0</v>
      </c>
      <c r="CV77" s="123" cm="1">
        <f t="array" ref="CV77">INDEX(Properties!$D:$D,$B77+5)*(IF(CV$3=INDEX(Properties!$U:$U,$B77+5),INDEX(Properties!$P:$P,$B77+5),0))</f>
        <v>0</v>
      </c>
      <c r="CW77" s="123" cm="1">
        <f t="array" ref="CW77">INDEX(Properties!$D:$D,$B77+5)*(IF(CW$3=INDEX(Properties!$U:$U,$B77+5),INDEX(Properties!$P:$P,$B77+5),0))</f>
        <v>0</v>
      </c>
      <c r="CX77" s="123" cm="1">
        <f t="array" ref="CX77">INDEX(Properties!$D:$D,$B77+5)*(IF(CX$3=INDEX(Properties!$U:$U,$B77+5),INDEX(Properties!$P:$P,$B77+5),0))</f>
        <v>0</v>
      </c>
      <c r="CY77" s="123" cm="1">
        <f t="array" ref="CY77">INDEX(Properties!$D:$D,$B77+5)*(IF(CY$3=INDEX(Properties!$U:$U,$B77+5),INDEX(Properties!$P:$P,$B77+5),0))</f>
        <v>0</v>
      </c>
      <c r="CZ77" s="123" cm="1">
        <f t="array" ref="CZ77">INDEX(Properties!$D:$D,$B77+5)*(IF(CZ$3=INDEX(Properties!$U:$U,$B77+5),INDEX(Properties!$P:$P,$B77+5),0))</f>
        <v>0</v>
      </c>
      <c r="DA77" s="123" cm="1">
        <f t="array" ref="DA77">INDEX(Properties!$D:$D,$B77+5)*(IF(DA$3=INDEX(Properties!$U:$U,$B77+5),INDEX(Properties!$P:$P,$B77+5),0))</f>
        <v>0</v>
      </c>
      <c r="DB77" s="123" cm="1">
        <f t="array" ref="DB77">INDEX(Properties!$D:$D,$B77+5)*(IF(DB$3=INDEX(Properties!$U:$U,$B77+5),INDEX(Properties!$P:$P,$B77+5),0))</f>
        <v>0</v>
      </c>
      <c r="DC77" s="123" cm="1">
        <f t="array" ref="DC77">INDEX(Properties!$D:$D,$B77+5)*(IF(DC$3=INDEX(Properties!$U:$U,$B77+5),INDEX(Properties!$P:$P,$B77+5),0))</f>
        <v>0</v>
      </c>
      <c r="DD77" s="123" cm="1">
        <f t="array" ref="DD77">INDEX(Properties!$D:$D,$B77+5)*(IF(DD$3=INDEX(Properties!$U:$U,$B77+5),INDEX(Properties!$P:$P,$B77+5),0))</f>
        <v>0</v>
      </c>
      <c r="DE77" s="123" cm="1">
        <f t="array" ref="DE77">INDEX(Properties!$D:$D,$B77+5)*(IF(DE$3=INDEX(Properties!$U:$U,$B77+5),INDEX(Properties!$P:$P,$B77+5),0))</f>
        <v>0</v>
      </c>
      <c r="DF77" s="123" cm="1">
        <f t="array" ref="DF77">INDEX(Properties!$D:$D,$B77+5)*(IF(DF$3=INDEX(Properties!$U:$U,$B77+5),INDEX(Properties!$P:$P,$B77+5),0))</f>
        <v>0</v>
      </c>
      <c r="DG77" s="123" cm="1">
        <f t="array" ref="DG77">INDEX(Properties!$D:$D,$B77+5)*(IF(DG$3=INDEX(Properties!$U:$U,$B77+5),INDEX(Properties!$P:$P,$B77+5),0))</f>
        <v>0</v>
      </c>
      <c r="DH77" s="123" cm="1">
        <f t="array" ref="DH77">INDEX(Properties!$D:$D,$B77+5)*(IF(DH$3=INDEX(Properties!$U:$U,$B77+5),INDEX(Properties!$P:$P,$B77+5),0))</f>
        <v>0</v>
      </c>
      <c r="DI77" s="123" cm="1">
        <f t="array" ref="DI77">INDEX(Properties!$D:$D,$B77+5)*(IF(DI$3=INDEX(Properties!$U:$U,$B77+5),INDEX(Properties!$P:$P,$B77+5),0))</f>
        <v>0</v>
      </c>
      <c r="DJ77" s="123" cm="1">
        <f t="array" ref="DJ77">INDEX(Properties!$D:$D,$B77+5)*(IF(DJ$3=INDEX(Properties!$U:$U,$B77+5),INDEX(Properties!$P:$P,$B77+5),0))</f>
        <v>0</v>
      </c>
      <c r="DK77" s="123" cm="1">
        <f t="array" ref="DK77">INDEX(Properties!$D:$D,$B77+5)*(IF(DK$3=INDEX(Properties!$U:$U,$B77+5),INDEX(Properties!$P:$P,$B77+5),0))</f>
        <v>0</v>
      </c>
      <c r="DL77" s="123" cm="1">
        <f t="array" ref="DL77">INDEX(Properties!$D:$D,$B77+5)*(IF(DL$3=INDEX(Properties!$U:$U,$B77+5),INDEX(Properties!$P:$P,$B77+5),0))</f>
        <v>0</v>
      </c>
      <c r="DM77" s="123" cm="1">
        <f t="array" ref="DM77">INDEX(Properties!$D:$D,$B77+5)*(IF(DM$3=INDEX(Properties!$U:$U,$B77+5),INDEX(Properties!$P:$P,$B77+5),0))</f>
        <v>0</v>
      </c>
      <c r="DN77" s="123" cm="1">
        <f t="array" ref="DN77">INDEX(Properties!$D:$D,$B77+5)*(IF(DN$3=INDEX(Properties!$U:$U,$B77+5),INDEX(Properties!$P:$P,$B77+5),0))</f>
        <v>0</v>
      </c>
      <c r="DO77" s="123" cm="1">
        <f t="array" ref="DO77">INDEX(Properties!$D:$D,$B77+5)*(IF(DO$3=INDEX(Properties!$U:$U,$B77+5),INDEX(Properties!$P:$P,$B77+5),0))</f>
        <v>0</v>
      </c>
      <c r="DP77" s="123" cm="1">
        <f t="array" ref="DP77">INDEX(Properties!$D:$D,$B77+5)*(IF(DP$3=INDEX(Properties!$U:$U,$B77+5),INDEX(Properties!$P:$P,$B77+5),0))</f>
        <v>0</v>
      </c>
      <c r="DQ77" s="123" cm="1">
        <f t="array" ref="DQ77">INDEX(Properties!$D:$D,$B77+5)*(IF(DQ$3=INDEX(Properties!$U:$U,$B77+5),INDEX(Properties!$P:$P,$B77+5),0))</f>
        <v>0</v>
      </c>
      <c r="DR77" s="123" cm="1">
        <f t="array" ref="DR77">INDEX(Properties!$D:$D,$B77+5)*(IF(DR$3=INDEX(Properties!$U:$U,$B77+5),INDEX(Properties!$P:$P,$B77+5),0))</f>
        <v>0</v>
      </c>
    </row>
    <row r="78" spans="1:122" ht="16.05" customHeight="1" x14ac:dyDescent="0.3">
      <c r="A78" s="148" cm="1">
        <f t="array" ref="A78">INDEX(Properties!$E:$E,$B78+5)</f>
        <v>0</v>
      </c>
      <c r="B78" s="1">
        <v>6</v>
      </c>
      <c r="C78" s="123" cm="1">
        <f t="array" ref="C78">INDEX(Properties!$D:$D,$B78+5)*(IF(C$3=INDEX(Properties!$U:$U,$B78+5),INDEX(Properties!$P:$P,$B78+5),0))</f>
        <v>0</v>
      </c>
      <c r="D78" s="123" cm="1">
        <f t="array" ref="D78">INDEX(Properties!$D:$D,$B78+5)*(IF(D$3=INDEX(Properties!$U:$U,$B78+5),INDEX(Properties!$P:$P,$B78+5),0))</f>
        <v>0</v>
      </c>
      <c r="E78" s="123" cm="1">
        <f t="array" ref="E78">INDEX(Properties!$D:$D,$B78+5)*(IF(E$3=INDEX(Properties!$U:$U,$B78+5),INDEX(Properties!$P:$P,$B78+5),0))</f>
        <v>0</v>
      </c>
      <c r="F78" s="123" cm="1">
        <f t="array" ref="F78">INDEX(Properties!$D:$D,$B78+5)*(IF(F$3=INDEX(Properties!$U:$U,$B78+5),INDEX(Properties!$P:$P,$B78+5),0))</f>
        <v>0</v>
      </c>
      <c r="G78" s="123" cm="1">
        <f t="array" ref="G78">INDEX(Properties!$D:$D,$B78+5)*(IF(G$3=INDEX(Properties!$U:$U,$B78+5),INDEX(Properties!$P:$P,$B78+5),0))</f>
        <v>0</v>
      </c>
      <c r="H78" s="123" cm="1">
        <f t="array" ref="H78">INDEX(Properties!$D:$D,$B78+5)*(IF(H$3=INDEX(Properties!$U:$U,$B78+5),INDEX(Properties!$P:$P,$B78+5),0))</f>
        <v>0</v>
      </c>
      <c r="I78" s="123" cm="1">
        <f t="array" ref="I78">INDEX(Properties!$D:$D,$B78+5)*(IF(I$3=INDEX(Properties!$U:$U,$B78+5),INDEX(Properties!$P:$P,$B78+5),0))</f>
        <v>0</v>
      </c>
      <c r="J78" s="123" cm="1">
        <f t="array" ref="J78">INDEX(Properties!$D:$D,$B78+5)*(IF(J$3=INDEX(Properties!$U:$U,$B78+5),INDEX(Properties!$P:$P,$B78+5),0))</f>
        <v>0</v>
      </c>
      <c r="K78" s="123" cm="1">
        <f t="array" ref="K78">INDEX(Properties!$D:$D,$B78+5)*(IF(K$3=INDEX(Properties!$U:$U,$B78+5),INDEX(Properties!$P:$P,$B78+5),0))</f>
        <v>0</v>
      </c>
      <c r="L78" s="123" cm="1">
        <f t="array" ref="L78">INDEX(Properties!$D:$D,$B78+5)*(IF(L$3=INDEX(Properties!$U:$U,$B78+5),INDEX(Properties!$P:$P,$B78+5),0))</f>
        <v>0</v>
      </c>
      <c r="M78" s="123" cm="1">
        <f t="array" ref="M78">INDEX(Properties!$D:$D,$B78+5)*(IF(M$3=INDEX(Properties!$U:$U,$B78+5),INDEX(Properties!$P:$P,$B78+5),0))</f>
        <v>0</v>
      </c>
      <c r="N78" s="123" cm="1">
        <f t="array" ref="N78">INDEX(Properties!$D:$D,$B78+5)*(IF(N$3=INDEX(Properties!$U:$U,$B78+5),INDEX(Properties!$P:$P,$B78+5),0))</f>
        <v>0</v>
      </c>
      <c r="O78" s="123" cm="1">
        <f t="array" ref="O78">INDEX(Properties!$D:$D,$B78+5)*(IF(O$3=INDEX(Properties!$U:$U,$B78+5),INDEX(Properties!$P:$P,$B78+5),0))</f>
        <v>0</v>
      </c>
      <c r="P78" s="123" cm="1">
        <f t="array" ref="P78">INDEX(Properties!$D:$D,$B78+5)*(IF(P$3=INDEX(Properties!$U:$U,$B78+5),INDEX(Properties!$P:$P,$B78+5),0))</f>
        <v>0</v>
      </c>
      <c r="Q78" s="123" cm="1">
        <f t="array" ref="Q78">INDEX(Properties!$D:$D,$B78+5)*(IF(Q$3=INDEX(Properties!$U:$U,$B78+5),INDEX(Properties!$P:$P,$B78+5),0))</f>
        <v>0</v>
      </c>
      <c r="R78" s="123" cm="1">
        <f t="array" ref="R78">INDEX(Properties!$D:$D,$B78+5)*(IF(R$3=INDEX(Properties!$U:$U,$B78+5),INDEX(Properties!$P:$P,$B78+5),0))</f>
        <v>0</v>
      </c>
      <c r="S78" s="123" cm="1">
        <f t="array" ref="S78">INDEX(Properties!$D:$D,$B78+5)*(IF(S$3=INDEX(Properties!$U:$U,$B78+5),INDEX(Properties!$P:$P,$B78+5),0))</f>
        <v>0</v>
      </c>
      <c r="T78" s="123" cm="1">
        <f t="array" ref="T78">INDEX(Properties!$D:$D,$B78+5)*(IF(T$3=INDEX(Properties!$U:$U,$B78+5),INDEX(Properties!$P:$P,$B78+5),0))</f>
        <v>0</v>
      </c>
      <c r="U78" s="123" cm="1">
        <f t="array" ref="U78">INDEX(Properties!$D:$D,$B78+5)*(IF(U$3=INDEX(Properties!$U:$U,$B78+5),INDEX(Properties!$P:$P,$B78+5),0))</f>
        <v>0</v>
      </c>
      <c r="V78" s="123" cm="1">
        <f t="array" ref="V78">INDEX(Properties!$D:$D,$B78+5)*(IF(V$3=INDEX(Properties!$U:$U,$B78+5),INDEX(Properties!$P:$P,$B78+5),0))</f>
        <v>0</v>
      </c>
      <c r="W78" s="123" cm="1">
        <f t="array" ref="W78">INDEX(Properties!$D:$D,$B78+5)*(IF(W$3=INDEX(Properties!$U:$U,$B78+5),INDEX(Properties!$P:$P,$B78+5),0))</f>
        <v>0</v>
      </c>
      <c r="X78" s="123" cm="1">
        <f t="array" ref="X78">INDEX(Properties!$D:$D,$B78+5)*(IF(X$3=INDEX(Properties!$U:$U,$B78+5),INDEX(Properties!$P:$P,$B78+5),0))</f>
        <v>0</v>
      </c>
      <c r="Y78" s="123" cm="1">
        <f t="array" ref="Y78">INDEX(Properties!$D:$D,$B78+5)*(IF(Y$3=INDEX(Properties!$U:$U,$B78+5),INDEX(Properties!$P:$P,$B78+5),0))</f>
        <v>0</v>
      </c>
      <c r="Z78" s="123" cm="1">
        <f t="array" ref="Z78">INDEX(Properties!$D:$D,$B78+5)*(IF(Z$3=INDEX(Properties!$U:$U,$B78+5),INDEX(Properties!$P:$P,$B78+5),0))</f>
        <v>0</v>
      </c>
      <c r="AA78" s="123" cm="1">
        <f t="array" ref="AA78">INDEX(Properties!$D:$D,$B78+5)*(IF(AA$3=INDEX(Properties!$U:$U,$B78+5),INDEX(Properties!$P:$P,$B78+5),0))</f>
        <v>0</v>
      </c>
      <c r="AB78" s="123" cm="1">
        <f t="array" ref="AB78">INDEX(Properties!$D:$D,$B78+5)*(IF(AB$3=INDEX(Properties!$U:$U,$B78+5),INDEX(Properties!$P:$P,$B78+5),0))</f>
        <v>0</v>
      </c>
      <c r="AC78" s="123" cm="1">
        <f t="array" ref="AC78">INDEX(Properties!$D:$D,$B78+5)*(IF(AC$3=INDEX(Properties!$U:$U,$B78+5),INDEX(Properties!$P:$P,$B78+5),0))</f>
        <v>0</v>
      </c>
      <c r="AD78" s="123" cm="1">
        <f t="array" ref="AD78">INDEX(Properties!$D:$D,$B78+5)*(IF(AD$3=INDEX(Properties!$U:$U,$B78+5),INDEX(Properties!$P:$P,$B78+5),0))</f>
        <v>0</v>
      </c>
      <c r="AE78" s="123" cm="1">
        <f t="array" ref="AE78">INDEX(Properties!$D:$D,$B78+5)*(IF(AE$3=INDEX(Properties!$U:$U,$B78+5),INDEX(Properties!$P:$P,$B78+5),0))</f>
        <v>0</v>
      </c>
      <c r="AF78" s="123" cm="1">
        <f t="array" ref="AF78">INDEX(Properties!$D:$D,$B78+5)*(IF(AF$3=INDEX(Properties!$U:$U,$B78+5),INDEX(Properties!$P:$P,$B78+5),0))</f>
        <v>0</v>
      </c>
      <c r="AG78" s="123" cm="1">
        <f t="array" ref="AG78">INDEX(Properties!$D:$D,$B78+5)*(IF(AG$3=INDEX(Properties!$U:$U,$B78+5),INDEX(Properties!$P:$P,$B78+5),0))</f>
        <v>0</v>
      </c>
      <c r="AH78" s="123" cm="1">
        <f t="array" ref="AH78">INDEX(Properties!$D:$D,$B78+5)*(IF(AH$3=INDEX(Properties!$U:$U,$B78+5),INDEX(Properties!$P:$P,$B78+5),0))</f>
        <v>0</v>
      </c>
      <c r="AI78" s="123" cm="1">
        <f t="array" ref="AI78">INDEX(Properties!$D:$D,$B78+5)*(IF(AI$3=INDEX(Properties!$U:$U,$B78+5),INDEX(Properties!$P:$P,$B78+5),0))</f>
        <v>0</v>
      </c>
      <c r="AJ78" s="123" cm="1">
        <f t="array" ref="AJ78">INDEX(Properties!$D:$D,$B78+5)*(IF(AJ$3=INDEX(Properties!$U:$U,$B78+5),INDEX(Properties!$P:$P,$B78+5),0))</f>
        <v>0</v>
      </c>
      <c r="AK78" s="123" cm="1">
        <f t="array" ref="AK78">INDEX(Properties!$D:$D,$B78+5)*(IF(AK$3=INDEX(Properties!$U:$U,$B78+5),INDEX(Properties!$P:$P,$B78+5),0))</f>
        <v>0</v>
      </c>
      <c r="AL78" s="123" cm="1">
        <f t="array" ref="AL78">INDEX(Properties!$D:$D,$B78+5)*(IF(AL$3=INDEX(Properties!$U:$U,$B78+5),INDEX(Properties!$P:$P,$B78+5),0))</f>
        <v>0</v>
      </c>
      <c r="AM78" s="123" cm="1">
        <f t="array" ref="AM78">INDEX(Properties!$D:$D,$B78+5)*(IF(AM$3=INDEX(Properties!$U:$U,$B78+5),INDEX(Properties!$P:$P,$B78+5),0))</f>
        <v>0</v>
      </c>
      <c r="AN78" s="123" cm="1">
        <f t="array" ref="AN78">INDEX(Properties!$D:$D,$B78+5)*(IF(AN$3=INDEX(Properties!$U:$U,$B78+5),INDEX(Properties!$P:$P,$B78+5),0))</f>
        <v>0</v>
      </c>
      <c r="AO78" s="123" cm="1">
        <f t="array" ref="AO78">INDEX(Properties!$D:$D,$B78+5)*(IF(AO$3=INDEX(Properties!$U:$U,$B78+5),INDEX(Properties!$P:$P,$B78+5),0))</f>
        <v>0</v>
      </c>
      <c r="AP78" s="123" cm="1">
        <f t="array" ref="AP78">INDEX(Properties!$D:$D,$B78+5)*(IF(AP$3=INDEX(Properties!$U:$U,$B78+5),INDEX(Properties!$P:$P,$B78+5),0))</f>
        <v>0</v>
      </c>
      <c r="AQ78" s="123" cm="1">
        <f t="array" ref="AQ78">INDEX(Properties!$D:$D,$B78+5)*(IF(AQ$3=INDEX(Properties!$U:$U,$B78+5),INDEX(Properties!$P:$P,$B78+5),0))</f>
        <v>0</v>
      </c>
      <c r="AR78" s="123" cm="1">
        <f t="array" ref="AR78">INDEX(Properties!$D:$D,$B78+5)*(IF(AR$3=INDEX(Properties!$U:$U,$B78+5),INDEX(Properties!$P:$P,$B78+5),0))</f>
        <v>0</v>
      </c>
      <c r="AS78" s="123" cm="1">
        <f t="array" ref="AS78">INDEX(Properties!$D:$D,$B78+5)*(IF(AS$3=INDEX(Properties!$U:$U,$B78+5),INDEX(Properties!$P:$P,$B78+5),0))</f>
        <v>0</v>
      </c>
      <c r="AT78" s="123" cm="1">
        <f t="array" ref="AT78">INDEX(Properties!$D:$D,$B78+5)*(IF(AT$3=INDEX(Properties!$U:$U,$B78+5),INDEX(Properties!$P:$P,$B78+5),0))</f>
        <v>0</v>
      </c>
      <c r="AU78" s="123" cm="1">
        <f t="array" ref="AU78">INDEX(Properties!$D:$D,$B78+5)*(IF(AU$3=INDEX(Properties!$U:$U,$B78+5),INDEX(Properties!$P:$P,$B78+5),0))</f>
        <v>0</v>
      </c>
      <c r="AV78" s="123" cm="1">
        <f t="array" ref="AV78">INDEX(Properties!$D:$D,$B78+5)*(IF(AV$3=INDEX(Properties!$U:$U,$B78+5),INDEX(Properties!$P:$P,$B78+5),0))</f>
        <v>0</v>
      </c>
      <c r="AW78" s="123" cm="1">
        <f t="array" ref="AW78">INDEX(Properties!$D:$D,$B78+5)*(IF(AW$3=INDEX(Properties!$U:$U,$B78+5),INDEX(Properties!$P:$P,$B78+5),0))</f>
        <v>0</v>
      </c>
      <c r="AX78" s="123" cm="1">
        <f t="array" ref="AX78">INDEX(Properties!$D:$D,$B78+5)*(IF(AX$3=INDEX(Properties!$U:$U,$B78+5),INDEX(Properties!$P:$P,$B78+5),0))</f>
        <v>0</v>
      </c>
      <c r="AY78" s="123" cm="1">
        <f t="array" ref="AY78">INDEX(Properties!$D:$D,$B78+5)*(IF(AY$3=INDEX(Properties!$U:$U,$B78+5),INDEX(Properties!$P:$P,$B78+5),0))</f>
        <v>0</v>
      </c>
      <c r="AZ78" s="123" cm="1">
        <f t="array" ref="AZ78">INDEX(Properties!$D:$D,$B78+5)*(IF(AZ$3=INDEX(Properties!$U:$U,$B78+5),INDEX(Properties!$P:$P,$B78+5),0))</f>
        <v>0</v>
      </c>
      <c r="BA78" s="123" cm="1">
        <f t="array" ref="BA78">INDEX(Properties!$D:$D,$B78+5)*(IF(BA$3=INDEX(Properties!$U:$U,$B78+5),INDEX(Properties!$P:$P,$B78+5),0))</f>
        <v>0</v>
      </c>
      <c r="BB78" s="123" cm="1">
        <f t="array" ref="BB78">INDEX(Properties!$D:$D,$B78+5)*(IF(BB$3=INDEX(Properties!$U:$U,$B78+5),INDEX(Properties!$P:$P,$B78+5),0))</f>
        <v>0</v>
      </c>
      <c r="BC78" s="123" cm="1">
        <f t="array" ref="BC78">INDEX(Properties!$D:$D,$B78+5)*(IF(BC$3=INDEX(Properties!$U:$U,$B78+5),INDEX(Properties!$P:$P,$B78+5),0))</f>
        <v>0</v>
      </c>
      <c r="BD78" s="123" cm="1">
        <f t="array" ref="BD78">INDEX(Properties!$D:$D,$B78+5)*(IF(BD$3=INDEX(Properties!$U:$U,$B78+5),INDEX(Properties!$P:$P,$B78+5),0))</f>
        <v>0</v>
      </c>
      <c r="BE78" s="123" cm="1">
        <f t="array" ref="BE78">INDEX(Properties!$D:$D,$B78+5)*(IF(BE$3=INDEX(Properties!$U:$U,$B78+5),INDEX(Properties!$P:$P,$B78+5),0))</f>
        <v>0</v>
      </c>
      <c r="BF78" s="123" cm="1">
        <f t="array" ref="BF78">INDEX(Properties!$D:$D,$B78+5)*(IF(BF$3=INDEX(Properties!$U:$U,$B78+5),INDEX(Properties!$P:$P,$B78+5),0))</f>
        <v>0</v>
      </c>
      <c r="BG78" s="123" cm="1">
        <f t="array" ref="BG78">INDEX(Properties!$D:$D,$B78+5)*(IF(BG$3=INDEX(Properties!$U:$U,$B78+5),INDEX(Properties!$P:$P,$B78+5),0))</f>
        <v>0</v>
      </c>
      <c r="BH78" s="123" cm="1">
        <f t="array" ref="BH78">INDEX(Properties!$D:$D,$B78+5)*(IF(BH$3=INDEX(Properties!$U:$U,$B78+5),INDEX(Properties!$P:$P,$B78+5),0))</f>
        <v>0</v>
      </c>
      <c r="BI78" s="123" cm="1">
        <f t="array" ref="BI78">INDEX(Properties!$D:$D,$B78+5)*(IF(BI$3=INDEX(Properties!$U:$U,$B78+5),INDEX(Properties!$P:$P,$B78+5),0))</f>
        <v>0</v>
      </c>
      <c r="BJ78" s="123" cm="1">
        <f t="array" ref="BJ78">INDEX(Properties!$D:$D,$B78+5)*(IF(BJ$3=INDEX(Properties!$U:$U,$B78+5),INDEX(Properties!$P:$P,$B78+5),0))</f>
        <v>0</v>
      </c>
      <c r="BK78" s="123" cm="1">
        <f t="array" ref="BK78">INDEX(Properties!$D:$D,$B78+5)*(IF(BK$3=INDEX(Properties!$U:$U,$B78+5),INDEX(Properties!$P:$P,$B78+5),0))</f>
        <v>0</v>
      </c>
      <c r="BL78" s="123" cm="1">
        <f t="array" ref="BL78">INDEX(Properties!$D:$D,$B78+5)*(IF(BL$3=INDEX(Properties!$U:$U,$B78+5),INDEX(Properties!$P:$P,$B78+5),0))</f>
        <v>0</v>
      </c>
      <c r="BM78" s="123" cm="1">
        <f t="array" ref="BM78">INDEX(Properties!$D:$D,$B78+5)*(IF(BM$3=INDEX(Properties!$U:$U,$B78+5),INDEX(Properties!$P:$P,$B78+5),0))</f>
        <v>0</v>
      </c>
      <c r="BN78" s="123" cm="1">
        <f t="array" ref="BN78">INDEX(Properties!$D:$D,$B78+5)*(IF(BN$3=INDEX(Properties!$U:$U,$B78+5),INDEX(Properties!$P:$P,$B78+5),0))</f>
        <v>0</v>
      </c>
      <c r="BO78" s="123" cm="1">
        <f t="array" ref="BO78">INDEX(Properties!$D:$D,$B78+5)*(IF(BO$3=INDEX(Properties!$U:$U,$B78+5),INDEX(Properties!$P:$P,$B78+5),0))</f>
        <v>0</v>
      </c>
      <c r="BP78" s="123" cm="1">
        <f t="array" ref="BP78">INDEX(Properties!$D:$D,$B78+5)*(IF(BP$3=INDEX(Properties!$U:$U,$B78+5),INDEX(Properties!$P:$P,$B78+5),0))</f>
        <v>0</v>
      </c>
      <c r="BQ78" s="123" cm="1">
        <f t="array" ref="BQ78">INDEX(Properties!$D:$D,$B78+5)*(IF(BQ$3=INDEX(Properties!$U:$U,$B78+5),INDEX(Properties!$P:$P,$B78+5),0))</f>
        <v>0</v>
      </c>
      <c r="BR78" s="123" cm="1">
        <f t="array" ref="BR78">INDEX(Properties!$D:$D,$B78+5)*(IF(BR$3=INDEX(Properties!$U:$U,$B78+5),INDEX(Properties!$P:$P,$B78+5),0))</f>
        <v>0</v>
      </c>
      <c r="BS78" s="123" cm="1">
        <f t="array" ref="BS78">INDEX(Properties!$D:$D,$B78+5)*(IF(BS$3=INDEX(Properties!$U:$U,$B78+5),INDEX(Properties!$P:$P,$B78+5),0))</f>
        <v>0</v>
      </c>
      <c r="BT78" s="123" cm="1">
        <f t="array" ref="BT78">INDEX(Properties!$D:$D,$B78+5)*(IF(BT$3=INDEX(Properties!$U:$U,$B78+5),INDEX(Properties!$P:$P,$B78+5),0))</f>
        <v>0</v>
      </c>
      <c r="BU78" s="123" cm="1">
        <f t="array" ref="BU78">INDEX(Properties!$D:$D,$B78+5)*(IF(BU$3=INDEX(Properties!$U:$U,$B78+5),INDEX(Properties!$P:$P,$B78+5),0))</f>
        <v>0</v>
      </c>
      <c r="BV78" s="123" cm="1">
        <f t="array" ref="BV78">INDEX(Properties!$D:$D,$B78+5)*(IF(BV$3=INDEX(Properties!$U:$U,$B78+5),INDEX(Properties!$P:$P,$B78+5),0))</f>
        <v>0</v>
      </c>
      <c r="BW78" s="123" cm="1">
        <f t="array" ref="BW78">INDEX(Properties!$D:$D,$B78+5)*(IF(BW$3=INDEX(Properties!$U:$U,$B78+5),INDEX(Properties!$P:$P,$B78+5),0))</f>
        <v>0</v>
      </c>
      <c r="BX78" s="123" cm="1">
        <f t="array" ref="BX78">INDEX(Properties!$D:$D,$B78+5)*(IF(BX$3=INDEX(Properties!$U:$U,$B78+5),INDEX(Properties!$P:$P,$B78+5),0))</f>
        <v>0</v>
      </c>
      <c r="BY78" s="123" cm="1">
        <f t="array" ref="BY78">INDEX(Properties!$D:$D,$B78+5)*(IF(BY$3=INDEX(Properties!$U:$U,$B78+5),INDEX(Properties!$P:$P,$B78+5),0))</f>
        <v>0</v>
      </c>
      <c r="BZ78" s="123" cm="1">
        <f t="array" ref="BZ78">INDEX(Properties!$D:$D,$B78+5)*(IF(BZ$3=INDEX(Properties!$U:$U,$B78+5),INDEX(Properties!$P:$P,$B78+5),0))</f>
        <v>0</v>
      </c>
      <c r="CA78" s="123" cm="1">
        <f t="array" ref="CA78">INDEX(Properties!$D:$D,$B78+5)*(IF(CA$3=INDEX(Properties!$U:$U,$B78+5),INDEX(Properties!$P:$P,$B78+5),0))</f>
        <v>0</v>
      </c>
      <c r="CB78" s="123" cm="1">
        <f t="array" ref="CB78">INDEX(Properties!$D:$D,$B78+5)*(IF(CB$3=INDEX(Properties!$U:$U,$B78+5),INDEX(Properties!$P:$P,$B78+5),0))</f>
        <v>0</v>
      </c>
      <c r="CC78" s="123" cm="1">
        <f t="array" ref="CC78">INDEX(Properties!$D:$D,$B78+5)*(IF(CC$3=INDEX(Properties!$U:$U,$B78+5),INDEX(Properties!$P:$P,$B78+5),0))</f>
        <v>0</v>
      </c>
      <c r="CD78" s="123" cm="1">
        <f t="array" ref="CD78">INDEX(Properties!$D:$D,$B78+5)*(IF(CD$3=INDEX(Properties!$U:$U,$B78+5),INDEX(Properties!$P:$P,$B78+5),0))</f>
        <v>0</v>
      </c>
      <c r="CE78" s="123" cm="1">
        <f t="array" ref="CE78">INDEX(Properties!$D:$D,$B78+5)*(IF(CE$3=INDEX(Properties!$U:$U,$B78+5),INDEX(Properties!$P:$P,$B78+5),0))</f>
        <v>0</v>
      </c>
      <c r="CF78" s="123" cm="1">
        <f t="array" ref="CF78">INDEX(Properties!$D:$D,$B78+5)*(IF(CF$3=INDEX(Properties!$U:$U,$B78+5),INDEX(Properties!$P:$P,$B78+5),0))</f>
        <v>0</v>
      </c>
      <c r="CG78" s="123" cm="1">
        <f t="array" ref="CG78">INDEX(Properties!$D:$D,$B78+5)*(IF(CG$3=INDEX(Properties!$U:$U,$B78+5),INDEX(Properties!$P:$P,$B78+5),0))</f>
        <v>0</v>
      </c>
      <c r="CH78" s="123" cm="1">
        <f t="array" ref="CH78">INDEX(Properties!$D:$D,$B78+5)*(IF(CH$3=INDEX(Properties!$U:$U,$B78+5),INDEX(Properties!$P:$P,$B78+5),0))</f>
        <v>0</v>
      </c>
      <c r="CI78" s="123" cm="1">
        <f t="array" ref="CI78">INDEX(Properties!$D:$D,$B78+5)*(IF(CI$3=INDEX(Properties!$U:$U,$B78+5),INDEX(Properties!$P:$P,$B78+5),0))</f>
        <v>0</v>
      </c>
      <c r="CJ78" s="123" cm="1">
        <f t="array" ref="CJ78">INDEX(Properties!$D:$D,$B78+5)*(IF(CJ$3=INDEX(Properties!$U:$U,$B78+5),INDEX(Properties!$P:$P,$B78+5),0))</f>
        <v>0</v>
      </c>
      <c r="CK78" s="123" cm="1">
        <f t="array" ref="CK78">INDEX(Properties!$D:$D,$B78+5)*(IF(CK$3=INDEX(Properties!$U:$U,$B78+5),INDEX(Properties!$P:$P,$B78+5),0))</f>
        <v>0</v>
      </c>
      <c r="CL78" s="123" cm="1">
        <f t="array" ref="CL78">INDEX(Properties!$D:$D,$B78+5)*(IF(CL$3=INDEX(Properties!$U:$U,$B78+5),INDEX(Properties!$P:$P,$B78+5),0))</f>
        <v>0</v>
      </c>
      <c r="CM78" s="123" cm="1">
        <f t="array" ref="CM78">INDEX(Properties!$D:$D,$B78+5)*(IF(CM$3=INDEX(Properties!$U:$U,$B78+5),INDEX(Properties!$P:$P,$B78+5),0))</f>
        <v>0</v>
      </c>
      <c r="CN78" s="123" cm="1">
        <f t="array" ref="CN78">INDEX(Properties!$D:$D,$B78+5)*(IF(CN$3=INDEX(Properties!$U:$U,$B78+5),INDEX(Properties!$P:$P,$B78+5),0))</f>
        <v>0</v>
      </c>
      <c r="CO78" s="123" cm="1">
        <f t="array" ref="CO78">INDEX(Properties!$D:$D,$B78+5)*(IF(CO$3=INDEX(Properties!$U:$U,$B78+5),INDEX(Properties!$P:$P,$B78+5),0))</f>
        <v>0</v>
      </c>
      <c r="CP78" s="123" cm="1">
        <f t="array" ref="CP78">INDEX(Properties!$D:$D,$B78+5)*(IF(CP$3=INDEX(Properties!$U:$U,$B78+5),INDEX(Properties!$P:$P,$B78+5),0))</f>
        <v>0</v>
      </c>
      <c r="CQ78" s="123" cm="1">
        <f t="array" ref="CQ78">INDEX(Properties!$D:$D,$B78+5)*(IF(CQ$3=INDEX(Properties!$U:$U,$B78+5),INDEX(Properties!$P:$P,$B78+5),0))</f>
        <v>0</v>
      </c>
      <c r="CR78" s="123" cm="1">
        <f t="array" ref="CR78">INDEX(Properties!$D:$D,$B78+5)*(IF(CR$3=INDEX(Properties!$U:$U,$B78+5),INDEX(Properties!$P:$P,$B78+5),0))</f>
        <v>0</v>
      </c>
      <c r="CS78" s="123" cm="1">
        <f t="array" ref="CS78">INDEX(Properties!$D:$D,$B78+5)*(IF(CS$3=INDEX(Properties!$U:$U,$B78+5),INDEX(Properties!$P:$P,$B78+5),0))</f>
        <v>0</v>
      </c>
      <c r="CT78" s="123" cm="1">
        <f t="array" ref="CT78">INDEX(Properties!$D:$D,$B78+5)*(IF(CT$3=INDEX(Properties!$U:$U,$B78+5),INDEX(Properties!$P:$P,$B78+5),0))</f>
        <v>0</v>
      </c>
      <c r="CU78" s="123" cm="1">
        <f t="array" ref="CU78">INDEX(Properties!$D:$D,$B78+5)*(IF(CU$3=INDEX(Properties!$U:$U,$B78+5),INDEX(Properties!$P:$P,$B78+5),0))</f>
        <v>0</v>
      </c>
      <c r="CV78" s="123" cm="1">
        <f t="array" ref="CV78">INDEX(Properties!$D:$D,$B78+5)*(IF(CV$3=INDEX(Properties!$U:$U,$B78+5),INDEX(Properties!$P:$P,$B78+5),0))</f>
        <v>0</v>
      </c>
      <c r="CW78" s="123" cm="1">
        <f t="array" ref="CW78">INDEX(Properties!$D:$D,$B78+5)*(IF(CW$3=INDEX(Properties!$U:$U,$B78+5),INDEX(Properties!$P:$P,$B78+5),0))</f>
        <v>0</v>
      </c>
      <c r="CX78" s="123" cm="1">
        <f t="array" ref="CX78">INDEX(Properties!$D:$D,$B78+5)*(IF(CX$3=INDEX(Properties!$U:$U,$B78+5),INDEX(Properties!$P:$P,$B78+5),0))</f>
        <v>0</v>
      </c>
      <c r="CY78" s="123" cm="1">
        <f t="array" ref="CY78">INDEX(Properties!$D:$D,$B78+5)*(IF(CY$3=INDEX(Properties!$U:$U,$B78+5),INDEX(Properties!$P:$P,$B78+5),0))</f>
        <v>0</v>
      </c>
      <c r="CZ78" s="123" cm="1">
        <f t="array" ref="CZ78">INDEX(Properties!$D:$D,$B78+5)*(IF(CZ$3=INDEX(Properties!$U:$U,$B78+5),INDEX(Properties!$P:$P,$B78+5),0))</f>
        <v>0</v>
      </c>
      <c r="DA78" s="123" cm="1">
        <f t="array" ref="DA78">INDEX(Properties!$D:$D,$B78+5)*(IF(DA$3=INDEX(Properties!$U:$U,$B78+5),INDEX(Properties!$P:$P,$B78+5),0))</f>
        <v>0</v>
      </c>
      <c r="DB78" s="123" cm="1">
        <f t="array" ref="DB78">INDEX(Properties!$D:$D,$B78+5)*(IF(DB$3=INDEX(Properties!$U:$U,$B78+5),INDEX(Properties!$P:$P,$B78+5),0))</f>
        <v>0</v>
      </c>
      <c r="DC78" s="123" cm="1">
        <f t="array" ref="DC78">INDEX(Properties!$D:$D,$B78+5)*(IF(DC$3=INDEX(Properties!$U:$U,$B78+5),INDEX(Properties!$P:$P,$B78+5),0))</f>
        <v>0</v>
      </c>
      <c r="DD78" s="123" cm="1">
        <f t="array" ref="DD78">INDEX(Properties!$D:$D,$B78+5)*(IF(DD$3=INDEX(Properties!$U:$U,$B78+5),INDEX(Properties!$P:$P,$B78+5),0))</f>
        <v>0</v>
      </c>
      <c r="DE78" s="123" cm="1">
        <f t="array" ref="DE78">INDEX(Properties!$D:$D,$B78+5)*(IF(DE$3=INDEX(Properties!$U:$U,$B78+5),INDEX(Properties!$P:$P,$B78+5),0))</f>
        <v>0</v>
      </c>
      <c r="DF78" s="123" cm="1">
        <f t="array" ref="DF78">INDEX(Properties!$D:$D,$B78+5)*(IF(DF$3=INDEX(Properties!$U:$U,$B78+5),INDEX(Properties!$P:$P,$B78+5),0))</f>
        <v>0</v>
      </c>
      <c r="DG78" s="123" cm="1">
        <f t="array" ref="DG78">INDEX(Properties!$D:$D,$B78+5)*(IF(DG$3=INDEX(Properties!$U:$U,$B78+5),INDEX(Properties!$P:$P,$B78+5),0))</f>
        <v>0</v>
      </c>
      <c r="DH78" s="123" cm="1">
        <f t="array" ref="DH78">INDEX(Properties!$D:$D,$B78+5)*(IF(DH$3=INDEX(Properties!$U:$U,$B78+5),INDEX(Properties!$P:$P,$B78+5),0))</f>
        <v>0</v>
      </c>
      <c r="DI78" s="123" cm="1">
        <f t="array" ref="DI78">INDEX(Properties!$D:$D,$B78+5)*(IF(DI$3=INDEX(Properties!$U:$U,$B78+5),INDEX(Properties!$P:$P,$B78+5),0))</f>
        <v>0</v>
      </c>
      <c r="DJ78" s="123" cm="1">
        <f t="array" ref="DJ78">INDEX(Properties!$D:$D,$B78+5)*(IF(DJ$3=INDEX(Properties!$U:$U,$B78+5),INDEX(Properties!$P:$P,$B78+5),0))</f>
        <v>0</v>
      </c>
      <c r="DK78" s="123" cm="1">
        <f t="array" ref="DK78">INDEX(Properties!$D:$D,$B78+5)*(IF(DK$3=INDEX(Properties!$U:$U,$B78+5),INDEX(Properties!$P:$P,$B78+5),0))</f>
        <v>0</v>
      </c>
      <c r="DL78" s="123" cm="1">
        <f t="array" ref="DL78">INDEX(Properties!$D:$D,$B78+5)*(IF(DL$3=INDEX(Properties!$U:$U,$B78+5),INDEX(Properties!$P:$P,$B78+5),0))</f>
        <v>0</v>
      </c>
      <c r="DM78" s="123" cm="1">
        <f t="array" ref="DM78">INDEX(Properties!$D:$D,$B78+5)*(IF(DM$3=INDEX(Properties!$U:$U,$B78+5),INDEX(Properties!$P:$P,$B78+5),0))</f>
        <v>0</v>
      </c>
      <c r="DN78" s="123" cm="1">
        <f t="array" ref="DN78">INDEX(Properties!$D:$D,$B78+5)*(IF(DN$3=INDEX(Properties!$U:$U,$B78+5),INDEX(Properties!$P:$P,$B78+5),0))</f>
        <v>0</v>
      </c>
      <c r="DO78" s="123" cm="1">
        <f t="array" ref="DO78">INDEX(Properties!$D:$D,$B78+5)*(IF(DO$3=INDEX(Properties!$U:$U,$B78+5),INDEX(Properties!$P:$P,$B78+5),0))</f>
        <v>0</v>
      </c>
      <c r="DP78" s="123" cm="1">
        <f t="array" ref="DP78">INDEX(Properties!$D:$D,$B78+5)*(IF(DP$3=INDEX(Properties!$U:$U,$B78+5),INDEX(Properties!$P:$P,$B78+5),0))</f>
        <v>0</v>
      </c>
      <c r="DQ78" s="123" cm="1">
        <f t="array" ref="DQ78">INDEX(Properties!$D:$D,$B78+5)*(IF(DQ$3=INDEX(Properties!$U:$U,$B78+5),INDEX(Properties!$P:$P,$B78+5),0))</f>
        <v>0</v>
      </c>
      <c r="DR78" s="123" cm="1">
        <f t="array" ref="DR78">INDEX(Properties!$D:$D,$B78+5)*(IF(DR$3=INDEX(Properties!$U:$U,$B78+5),INDEX(Properties!$P:$P,$B78+5),0))</f>
        <v>0</v>
      </c>
    </row>
    <row r="79" spans="1:122" ht="16.05" customHeight="1" x14ac:dyDescent="0.3">
      <c r="A79" s="148" cm="1">
        <f t="array" ref="A79">INDEX(Properties!$E:$E,$B79+5)</f>
        <v>0</v>
      </c>
      <c r="B79" s="1">
        <v>7</v>
      </c>
      <c r="C79" s="123" cm="1">
        <f t="array" ref="C79">INDEX(Properties!$D:$D,$B79+5)*(IF(C$3=INDEX(Properties!$U:$U,$B79+5),INDEX(Properties!$P:$P,$B79+5),0))</f>
        <v>0</v>
      </c>
      <c r="D79" s="123" cm="1">
        <f t="array" ref="D79">INDEX(Properties!$D:$D,$B79+5)*(IF(D$3=INDEX(Properties!$U:$U,$B79+5),INDEX(Properties!$P:$P,$B79+5),0))</f>
        <v>0</v>
      </c>
      <c r="E79" s="123" cm="1">
        <f t="array" ref="E79">INDEX(Properties!$D:$D,$B79+5)*(IF(E$3=INDEX(Properties!$U:$U,$B79+5),INDEX(Properties!$P:$P,$B79+5),0))</f>
        <v>0</v>
      </c>
      <c r="F79" s="123" cm="1">
        <f t="array" ref="F79">INDEX(Properties!$D:$D,$B79+5)*(IF(F$3=INDEX(Properties!$U:$U,$B79+5),INDEX(Properties!$P:$P,$B79+5),0))</f>
        <v>0</v>
      </c>
      <c r="G79" s="123" cm="1">
        <f t="array" ref="G79">INDEX(Properties!$D:$D,$B79+5)*(IF(G$3=INDEX(Properties!$U:$U,$B79+5),INDEX(Properties!$P:$P,$B79+5),0))</f>
        <v>0</v>
      </c>
      <c r="H79" s="123" cm="1">
        <f t="array" ref="H79">INDEX(Properties!$D:$D,$B79+5)*(IF(H$3=INDEX(Properties!$U:$U,$B79+5),INDEX(Properties!$P:$P,$B79+5),0))</f>
        <v>0</v>
      </c>
      <c r="I79" s="123" cm="1">
        <f t="array" ref="I79">INDEX(Properties!$D:$D,$B79+5)*(IF(I$3=INDEX(Properties!$U:$U,$B79+5),INDEX(Properties!$P:$P,$B79+5),0))</f>
        <v>0</v>
      </c>
      <c r="J79" s="123" cm="1">
        <f t="array" ref="J79">INDEX(Properties!$D:$D,$B79+5)*(IF(J$3=INDEX(Properties!$U:$U,$B79+5),INDEX(Properties!$P:$P,$B79+5),0))</f>
        <v>0</v>
      </c>
      <c r="K79" s="123" cm="1">
        <f t="array" ref="K79">INDEX(Properties!$D:$D,$B79+5)*(IF(K$3=INDEX(Properties!$U:$U,$B79+5),INDEX(Properties!$P:$P,$B79+5),0))</f>
        <v>0</v>
      </c>
      <c r="L79" s="123" cm="1">
        <f t="array" ref="L79">INDEX(Properties!$D:$D,$B79+5)*(IF(L$3=INDEX(Properties!$U:$U,$B79+5),INDEX(Properties!$P:$P,$B79+5),0))</f>
        <v>0</v>
      </c>
      <c r="M79" s="123" cm="1">
        <f t="array" ref="M79">INDEX(Properties!$D:$D,$B79+5)*(IF(M$3=INDEX(Properties!$U:$U,$B79+5),INDEX(Properties!$P:$P,$B79+5),0))</f>
        <v>0</v>
      </c>
      <c r="N79" s="123" cm="1">
        <f t="array" ref="N79">INDEX(Properties!$D:$D,$B79+5)*(IF(N$3=INDEX(Properties!$U:$U,$B79+5),INDEX(Properties!$P:$P,$B79+5),0))</f>
        <v>0</v>
      </c>
      <c r="O79" s="123" cm="1">
        <f t="array" ref="O79">INDEX(Properties!$D:$D,$B79+5)*(IF(O$3=INDEX(Properties!$U:$U,$B79+5),INDEX(Properties!$P:$P,$B79+5),0))</f>
        <v>0</v>
      </c>
      <c r="P79" s="123" cm="1">
        <f t="array" ref="P79">INDEX(Properties!$D:$D,$B79+5)*(IF(P$3=INDEX(Properties!$U:$U,$B79+5),INDEX(Properties!$P:$P,$B79+5),0))</f>
        <v>0</v>
      </c>
      <c r="Q79" s="123" cm="1">
        <f t="array" ref="Q79">INDEX(Properties!$D:$D,$B79+5)*(IF(Q$3=INDEX(Properties!$U:$U,$B79+5),INDEX(Properties!$P:$P,$B79+5),0))</f>
        <v>0</v>
      </c>
      <c r="R79" s="123" cm="1">
        <f t="array" ref="R79">INDEX(Properties!$D:$D,$B79+5)*(IF(R$3=INDEX(Properties!$U:$U,$B79+5),INDEX(Properties!$P:$P,$B79+5),0))</f>
        <v>0</v>
      </c>
      <c r="S79" s="123" cm="1">
        <f t="array" ref="S79">INDEX(Properties!$D:$D,$B79+5)*(IF(S$3=INDEX(Properties!$U:$U,$B79+5),INDEX(Properties!$P:$P,$B79+5),0))</f>
        <v>0</v>
      </c>
      <c r="T79" s="123" cm="1">
        <f t="array" ref="T79">INDEX(Properties!$D:$D,$B79+5)*(IF(T$3=INDEX(Properties!$U:$U,$B79+5),INDEX(Properties!$P:$P,$B79+5),0))</f>
        <v>0</v>
      </c>
      <c r="U79" s="123" cm="1">
        <f t="array" ref="U79">INDEX(Properties!$D:$D,$B79+5)*(IF(U$3=INDEX(Properties!$U:$U,$B79+5),INDEX(Properties!$P:$P,$B79+5),0))</f>
        <v>0</v>
      </c>
      <c r="V79" s="123" cm="1">
        <f t="array" ref="V79">INDEX(Properties!$D:$D,$B79+5)*(IF(V$3=INDEX(Properties!$U:$U,$B79+5),INDEX(Properties!$P:$P,$B79+5),0))</f>
        <v>0</v>
      </c>
      <c r="W79" s="123" cm="1">
        <f t="array" ref="W79">INDEX(Properties!$D:$D,$B79+5)*(IF(W$3=INDEX(Properties!$U:$U,$B79+5),INDEX(Properties!$P:$P,$B79+5),0))</f>
        <v>0</v>
      </c>
      <c r="X79" s="123" cm="1">
        <f t="array" ref="X79">INDEX(Properties!$D:$D,$B79+5)*(IF(X$3=INDEX(Properties!$U:$U,$B79+5),INDEX(Properties!$P:$P,$B79+5),0))</f>
        <v>0</v>
      </c>
      <c r="Y79" s="123" cm="1">
        <f t="array" ref="Y79">INDEX(Properties!$D:$D,$B79+5)*(IF(Y$3=INDEX(Properties!$U:$U,$B79+5),INDEX(Properties!$P:$P,$B79+5),0))</f>
        <v>0</v>
      </c>
      <c r="Z79" s="123" cm="1">
        <f t="array" ref="Z79">INDEX(Properties!$D:$D,$B79+5)*(IF(Z$3=INDEX(Properties!$U:$U,$B79+5),INDEX(Properties!$P:$P,$B79+5),0))</f>
        <v>0</v>
      </c>
      <c r="AA79" s="123" cm="1">
        <f t="array" ref="AA79">INDEX(Properties!$D:$D,$B79+5)*(IF(AA$3=INDEX(Properties!$U:$U,$B79+5),INDEX(Properties!$P:$P,$B79+5),0))</f>
        <v>0</v>
      </c>
      <c r="AB79" s="123" cm="1">
        <f t="array" ref="AB79">INDEX(Properties!$D:$D,$B79+5)*(IF(AB$3=INDEX(Properties!$U:$U,$B79+5),INDEX(Properties!$P:$P,$B79+5),0))</f>
        <v>0</v>
      </c>
      <c r="AC79" s="123" cm="1">
        <f t="array" ref="AC79">INDEX(Properties!$D:$D,$B79+5)*(IF(AC$3=INDEX(Properties!$U:$U,$B79+5),INDEX(Properties!$P:$P,$B79+5),0))</f>
        <v>0</v>
      </c>
      <c r="AD79" s="123" cm="1">
        <f t="array" ref="AD79">INDEX(Properties!$D:$D,$B79+5)*(IF(AD$3=INDEX(Properties!$U:$U,$B79+5),INDEX(Properties!$P:$P,$B79+5),0))</f>
        <v>0</v>
      </c>
      <c r="AE79" s="123" cm="1">
        <f t="array" ref="AE79">INDEX(Properties!$D:$D,$B79+5)*(IF(AE$3=INDEX(Properties!$U:$U,$B79+5),INDEX(Properties!$P:$P,$B79+5),0))</f>
        <v>0</v>
      </c>
      <c r="AF79" s="123" cm="1">
        <f t="array" ref="AF79">INDEX(Properties!$D:$D,$B79+5)*(IF(AF$3=INDEX(Properties!$U:$U,$B79+5),INDEX(Properties!$P:$P,$B79+5),0))</f>
        <v>0</v>
      </c>
      <c r="AG79" s="123" cm="1">
        <f t="array" ref="AG79">INDEX(Properties!$D:$D,$B79+5)*(IF(AG$3=INDEX(Properties!$U:$U,$B79+5),INDEX(Properties!$P:$P,$B79+5),0))</f>
        <v>0</v>
      </c>
      <c r="AH79" s="123" cm="1">
        <f t="array" ref="AH79">INDEX(Properties!$D:$D,$B79+5)*(IF(AH$3=INDEX(Properties!$U:$U,$B79+5),INDEX(Properties!$P:$P,$B79+5),0))</f>
        <v>0</v>
      </c>
      <c r="AI79" s="123" cm="1">
        <f t="array" ref="AI79">INDEX(Properties!$D:$D,$B79+5)*(IF(AI$3=INDEX(Properties!$U:$U,$B79+5),INDEX(Properties!$P:$P,$B79+5),0))</f>
        <v>0</v>
      </c>
      <c r="AJ79" s="123" cm="1">
        <f t="array" ref="AJ79">INDEX(Properties!$D:$D,$B79+5)*(IF(AJ$3=INDEX(Properties!$U:$U,$B79+5),INDEX(Properties!$P:$P,$B79+5),0))</f>
        <v>0</v>
      </c>
      <c r="AK79" s="123" cm="1">
        <f t="array" ref="AK79">INDEX(Properties!$D:$D,$B79+5)*(IF(AK$3=INDEX(Properties!$U:$U,$B79+5),INDEX(Properties!$P:$P,$B79+5),0))</f>
        <v>0</v>
      </c>
      <c r="AL79" s="123" cm="1">
        <f t="array" ref="AL79">INDEX(Properties!$D:$D,$B79+5)*(IF(AL$3=INDEX(Properties!$U:$U,$B79+5),INDEX(Properties!$P:$P,$B79+5),0))</f>
        <v>0</v>
      </c>
      <c r="AM79" s="123" cm="1">
        <f t="array" ref="AM79">INDEX(Properties!$D:$D,$B79+5)*(IF(AM$3=INDEX(Properties!$U:$U,$B79+5),INDEX(Properties!$P:$P,$B79+5),0))</f>
        <v>0</v>
      </c>
      <c r="AN79" s="123" cm="1">
        <f t="array" ref="AN79">INDEX(Properties!$D:$D,$B79+5)*(IF(AN$3=INDEX(Properties!$U:$U,$B79+5),INDEX(Properties!$P:$P,$B79+5),0))</f>
        <v>0</v>
      </c>
      <c r="AO79" s="123" cm="1">
        <f t="array" ref="AO79">INDEX(Properties!$D:$D,$B79+5)*(IF(AO$3=INDEX(Properties!$U:$U,$B79+5),INDEX(Properties!$P:$P,$B79+5),0))</f>
        <v>0</v>
      </c>
      <c r="AP79" s="123" cm="1">
        <f t="array" ref="AP79">INDEX(Properties!$D:$D,$B79+5)*(IF(AP$3=INDEX(Properties!$U:$U,$B79+5),INDEX(Properties!$P:$P,$B79+5),0))</f>
        <v>0</v>
      </c>
      <c r="AQ79" s="123" cm="1">
        <f t="array" ref="AQ79">INDEX(Properties!$D:$D,$B79+5)*(IF(AQ$3=INDEX(Properties!$U:$U,$B79+5),INDEX(Properties!$P:$P,$B79+5),0))</f>
        <v>0</v>
      </c>
      <c r="AR79" s="123" cm="1">
        <f t="array" ref="AR79">INDEX(Properties!$D:$D,$B79+5)*(IF(AR$3=INDEX(Properties!$U:$U,$B79+5),INDEX(Properties!$P:$P,$B79+5),0))</f>
        <v>0</v>
      </c>
      <c r="AS79" s="123" cm="1">
        <f t="array" ref="AS79">INDEX(Properties!$D:$D,$B79+5)*(IF(AS$3=INDEX(Properties!$U:$U,$B79+5),INDEX(Properties!$P:$P,$B79+5),0))</f>
        <v>0</v>
      </c>
      <c r="AT79" s="123" cm="1">
        <f t="array" ref="AT79">INDEX(Properties!$D:$D,$B79+5)*(IF(AT$3=INDEX(Properties!$U:$U,$B79+5),INDEX(Properties!$P:$P,$B79+5),0))</f>
        <v>0</v>
      </c>
      <c r="AU79" s="123" cm="1">
        <f t="array" ref="AU79">INDEX(Properties!$D:$D,$B79+5)*(IF(AU$3=INDEX(Properties!$U:$U,$B79+5),INDEX(Properties!$P:$P,$B79+5),0))</f>
        <v>0</v>
      </c>
      <c r="AV79" s="123" cm="1">
        <f t="array" ref="AV79">INDEX(Properties!$D:$D,$B79+5)*(IF(AV$3=INDEX(Properties!$U:$U,$B79+5),INDEX(Properties!$P:$P,$B79+5),0))</f>
        <v>0</v>
      </c>
      <c r="AW79" s="123" cm="1">
        <f t="array" ref="AW79">INDEX(Properties!$D:$D,$B79+5)*(IF(AW$3=INDEX(Properties!$U:$U,$B79+5),INDEX(Properties!$P:$P,$B79+5),0))</f>
        <v>0</v>
      </c>
      <c r="AX79" s="123" cm="1">
        <f t="array" ref="AX79">INDEX(Properties!$D:$D,$B79+5)*(IF(AX$3=INDEX(Properties!$U:$U,$B79+5),INDEX(Properties!$P:$P,$B79+5),0))</f>
        <v>0</v>
      </c>
      <c r="AY79" s="123" cm="1">
        <f t="array" ref="AY79">INDEX(Properties!$D:$D,$B79+5)*(IF(AY$3=INDEX(Properties!$U:$U,$B79+5),INDEX(Properties!$P:$P,$B79+5),0))</f>
        <v>0</v>
      </c>
      <c r="AZ79" s="123" cm="1">
        <f t="array" ref="AZ79">INDEX(Properties!$D:$D,$B79+5)*(IF(AZ$3=INDEX(Properties!$U:$U,$B79+5),INDEX(Properties!$P:$P,$B79+5),0))</f>
        <v>0</v>
      </c>
      <c r="BA79" s="123" cm="1">
        <f t="array" ref="BA79">INDEX(Properties!$D:$D,$B79+5)*(IF(BA$3=INDEX(Properties!$U:$U,$B79+5),INDEX(Properties!$P:$P,$B79+5),0))</f>
        <v>0</v>
      </c>
      <c r="BB79" s="123" cm="1">
        <f t="array" ref="BB79">INDEX(Properties!$D:$D,$B79+5)*(IF(BB$3=INDEX(Properties!$U:$U,$B79+5),INDEX(Properties!$P:$P,$B79+5),0))</f>
        <v>0</v>
      </c>
      <c r="BC79" s="123" cm="1">
        <f t="array" ref="BC79">INDEX(Properties!$D:$D,$B79+5)*(IF(BC$3=INDEX(Properties!$U:$U,$B79+5),INDEX(Properties!$P:$P,$B79+5),0))</f>
        <v>0</v>
      </c>
      <c r="BD79" s="123" cm="1">
        <f t="array" ref="BD79">INDEX(Properties!$D:$D,$B79+5)*(IF(BD$3=INDEX(Properties!$U:$U,$B79+5),INDEX(Properties!$P:$P,$B79+5),0))</f>
        <v>0</v>
      </c>
      <c r="BE79" s="123" cm="1">
        <f t="array" ref="BE79">INDEX(Properties!$D:$D,$B79+5)*(IF(BE$3=INDEX(Properties!$U:$U,$B79+5),INDEX(Properties!$P:$P,$B79+5),0))</f>
        <v>0</v>
      </c>
      <c r="BF79" s="123" cm="1">
        <f t="array" ref="BF79">INDEX(Properties!$D:$D,$B79+5)*(IF(BF$3=INDEX(Properties!$U:$U,$B79+5),INDEX(Properties!$P:$P,$B79+5),0))</f>
        <v>0</v>
      </c>
      <c r="BG79" s="123" cm="1">
        <f t="array" ref="BG79">INDEX(Properties!$D:$D,$B79+5)*(IF(BG$3=INDEX(Properties!$U:$U,$B79+5),INDEX(Properties!$P:$P,$B79+5),0))</f>
        <v>0</v>
      </c>
      <c r="BH79" s="123" cm="1">
        <f t="array" ref="BH79">INDEX(Properties!$D:$D,$B79+5)*(IF(BH$3=INDEX(Properties!$U:$U,$B79+5),INDEX(Properties!$P:$P,$B79+5),0))</f>
        <v>0</v>
      </c>
      <c r="BI79" s="123" cm="1">
        <f t="array" ref="BI79">INDEX(Properties!$D:$D,$B79+5)*(IF(BI$3=INDEX(Properties!$U:$U,$B79+5),INDEX(Properties!$P:$P,$B79+5),0))</f>
        <v>0</v>
      </c>
      <c r="BJ79" s="123" cm="1">
        <f t="array" ref="BJ79">INDEX(Properties!$D:$D,$B79+5)*(IF(BJ$3=INDEX(Properties!$U:$U,$B79+5),INDEX(Properties!$P:$P,$B79+5),0))</f>
        <v>0</v>
      </c>
      <c r="BK79" s="123" cm="1">
        <f t="array" ref="BK79">INDEX(Properties!$D:$D,$B79+5)*(IF(BK$3=INDEX(Properties!$U:$U,$B79+5),INDEX(Properties!$P:$P,$B79+5),0))</f>
        <v>0</v>
      </c>
      <c r="BL79" s="123" cm="1">
        <f t="array" ref="BL79">INDEX(Properties!$D:$D,$B79+5)*(IF(BL$3=INDEX(Properties!$U:$U,$B79+5),INDEX(Properties!$P:$P,$B79+5),0))</f>
        <v>0</v>
      </c>
      <c r="BM79" s="123" cm="1">
        <f t="array" ref="BM79">INDEX(Properties!$D:$D,$B79+5)*(IF(BM$3=INDEX(Properties!$U:$U,$B79+5),INDEX(Properties!$P:$P,$B79+5),0))</f>
        <v>0</v>
      </c>
      <c r="BN79" s="123" cm="1">
        <f t="array" ref="BN79">INDEX(Properties!$D:$D,$B79+5)*(IF(BN$3=INDEX(Properties!$U:$U,$B79+5),INDEX(Properties!$P:$P,$B79+5),0))</f>
        <v>0</v>
      </c>
      <c r="BO79" s="123" cm="1">
        <f t="array" ref="BO79">INDEX(Properties!$D:$D,$B79+5)*(IF(BO$3=INDEX(Properties!$U:$U,$B79+5),INDEX(Properties!$P:$P,$B79+5),0))</f>
        <v>0</v>
      </c>
      <c r="BP79" s="123" cm="1">
        <f t="array" ref="BP79">INDEX(Properties!$D:$D,$B79+5)*(IF(BP$3=INDEX(Properties!$U:$U,$B79+5),INDEX(Properties!$P:$P,$B79+5),0))</f>
        <v>0</v>
      </c>
      <c r="BQ79" s="123" cm="1">
        <f t="array" ref="BQ79">INDEX(Properties!$D:$D,$B79+5)*(IF(BQ$3=INDEX(Properties!$U:$U,$B79+5),INDEX(Properties!$P:$P,$B79+5),0))</f>
        <v>0</v>
      </c>
      <c r="BR79" s="123" cm="1">
        <f t="array" ref="BR79">INDEX(Properties!$D:$D,$B79+5)*(IF(BR$3=INDEX(Properties!$U:$U,$B79+5),INDEX(Properties!$P:$P,$B79+5),0))</f>
        <v>0</v>
      </c>
      <c r="BS79" s="123" cm="1">
        <f t="array" ref="BS79">INDEX(Properties!$D:$D,$B79+5)*(IF(BS$3=INDEX(Properties!$U:$U,$B79+5),INDEX(Properties!$P:$P,$B79+5),0))</f>
        <v>0</v>
      </c>
      <c r="BT79" s="123" cm="1">
        <f t="array" ref="BT79">INDEX(Properties!$D:$D,$B79+5)*(IF(BT$3=INDEX(Properties!$U:$U,$B79+5),INDEX(Properties!$P:$P,$B79+5),0))</f>
        <v>0</v>
      </c>
      <c r="BU79" s="123" cm="1">
        <f t="array" ref="BU79">INDEX(Properties!$D:$D,$B79+5)*(IF(BU$3=INDEX(Properties!$U:$U,$B79+5),INDEX(Properties!$P:$P,$B79+5),0))</f>
        <v>0</v>
      </c>
      <c r="BV79" s="123" cm="1">
        <f t="array" ref="BV79">INDEX(Properties!$D:$D,$B79+5)*(IF(BV$3=INDEX(Properties!$U:$U,$B79+5),INDEX(Properties!$P:$P,$B79+5),0))</f>
        <v>0</v>
      </c>
      <c r="BW79" s="123" cm="1">
        <f t="array" ref="BW79">INDEX(Properties!$D:$D,$B79+5)*(IF(BW$3=INDEX(Properties!$U:$U,$B79+5),INDEX(Properties!$P:$P,$B79+5),0))</f>
        <v>0</v>
      </c>
      <c r="BX79" s="123" cm="1">
        <f t="array" ref="BX79">INDEX(Properties!$D:$D,$B79+5)*(IF(BX$3=INDEX(Properties!$U:$U,$B79+5),INDEX(Properties!$P:$P,$B79+5),0))</f>
        <v>0</v>
      </c>
      <c r="BY79" s="123" cm="1">
        <f t="array" ref="BY79">INDEX(Properties!$D:$D,$B79+5)*(IF(BY$3=INDEX(Properties!$U:$U,$B79+5),INDEX(Properties!$P:$P,$B79+5),0))</f>
        <v>0</v>
      </c>
      <c r="BZ79" s="123" cm="1">
        <f t="array" ref="BZ79">INDEX(Properties!$D:$D,$B79+5)*(IF(BZ$3=INDEX(Properties!$U:$U,$B79+5),INDEX(Properties!$P:$P,$B79+5),0))</f>
        <v>0</v>
      </c>
      <c r="CA79" s="123" cm="1">
        <f t="array" ref="CA79">INDEX(Properties!$D:$D,$B79+5)*(IF(CA$3=INDEX(Properties!$U:$U,$B79+5),INDEX(Properties!$P:$P,$B79+5),0))</f>
        <v>0</v>
      </c>
      <c r="CB79" s="123" cm="1">
        <f t="array" ref="CB79">INDEX(Properties!$D:$D,$B79+5)*(IF(CB$3=INDEX(Properties!$U:$U,$B79+5),INDEX(Properties!$P:$P,$B79+5),0))</f>
        <v>0</v>
      </c>
      <c r="CC79" s="123" cm="1">
        <f t="array" ref="CC79">INDEX(Properties!$D:$D,$B79+5)*(IF(CC$3=INDEX(Properties!$U:$U,$B79+5),INDEX(Properties!$P:$P,$B79+5),0))</f>
        <v>0</v>
      </c>
      <c r="CD79" s="123" cm="1">
        <f t="array" ref="CD79">INDEX(Properties!$D:$D,$B79+5)*(IF(CD$3=INDEX(Properties!$U:$U,$B79+5),INDEX(Properties!$P:$P,$B79+5),0))</f>
        <v>0</v>
      </c>
      <c r="CE79" s="123" cm="1">
        <f t="array" ref="CE79">INDEX(Properties!$D:$D,$B79+5)*(IF(CE$3=INDEX(Properties!$U:$U,$B79+5),INDEX(Properties!$P:$P,$B79+5),0))</f>
        <v>0</v>
      </c>
      <c r="CF79" s="123" cm="1">
        <f t="array" ref="CF79">INDEX(Properties!$D:$D,$B79+5)*(IF(CF$3=INDEX(Properties!$U:$U,$B79+5),INDEX(Properties!$P:$P,$B79+5),0))</f>
        <v>0</v>
      </c>
      <c r="CG79" s="123" cm="1">
        <f t="array" ref="CG79">INDEX(Properties!$D:$D,$B79+5)*(IF(CG$3=INDEX(Properties!$U:$U,$B79+5),INDEX(Properties!$P:$P,$B79+5),0))</f>
        <v>0</v>
      </c>
      <c r="CH79" s="123" cm="1">
        <f t="array" ref="CH79">INDEX(Properties!$D:$D,$B79+5)*(IF(CH$3=INDEX(Properties!$U:$U,$B79+5),INDEX(Properties!$P:$P,$B79+5),0))</f>
        <v>0</v>
      </c>
      <c r="CI79" s="123" cm="1">
        <f t="array" ref="CI79">INDEX(Properties!$D:$D,$B79+5)*(IF(CI$3=INDEX(Properties!$U:$U,$B79+5),INDEX(Properties!$P:$P,$B79+5),0))</f>
        <v>0</v>
      </c>
      <c r="CJ79" s="123" cm="1">
        <f t="array" ref="CJ79">INDEX(Properties!$D:$D,$B79+5)*(IF(CJ$3=INDEX(Properties!$U:$U,$B79+5),INDEX(Properties!$P:$P,$B79+5),0))</f>
        <v>0</v>
      </c>
      <c r="CK79" s="123" cm="1">
        <f t="array" ref="CK79">INDEX(Properties!$D:$D,$B79+5)*(IF(CK$3=INDEX(Properties!$U:$U,$B79+5),INDEX(Properties!$P:$P,$B79+5),0))</f>
        <v>0</v>
      </c>
      <c r="CL79" s="123" cm="1">
        <f t="array" ref="CL79">INDEX(Properties!$D:$D,$B79+5)*(IF(CL$3=INDEX(Properties!$U:$U,$B79+5),INDEX(Properties!$P:$P,$B79+5),0))</f>
        <v>0</v>
      </c>
      <c r="CM79" s="123" cm="1">
        <f t="array" ref="CM79">INDEX(Properties!$D:$D,$B79+5)*(IF(CM$3=INDEX(Properties!$U:$U,$B79+5),INDEX(Properties!$P:$P,$B79+5),0))</f>
        <v>0</v>
      </c>
      <c r="CN79" s="123" cm="1">
        <f t="array" ref="CN79">INDEX(Properties!$D:$D,$B79+5)*(IF(CN$3=INDEX(Properties!$U:$U,$B79+5),INDEX(Properties!$P:$P,$B79+5),0))</f>
        <v>0</v>
      </c>
      <c r="CO79" s="123" cm="1">
        <f t="array" ref="CO79">INDEX(Properties!$D:$D,$B79+5)*(IF(CO$3=INDEX(Properties!$U:$U,$B79+5),INDEX(Properties!$P:$P,$B79+5),0))</f>
        <v>0</v>
      </c>
      <c r="CP79" s="123" cm="1">
        <f t="array" ref="CP79">INDEX(Properties!$D:$D,$B79+5)*(IF(CP$3=INDEX(Properties!$U:$U,$B79+5),INDEX(Properties!$P:$P,$B79+5),0))</f>
        <v>0</v>
      </c>
      <c r="CQ79" s="123" cm="1">
        <f t="array" ref="CQ79">INDEX(Properties!$D:$D,$B79+5)*(IF(CQ$3=INDEX(Properties!$U:$U,$B79+5),INDEX(Properties!$P:$P,$B79+5),0))</f>
        <v>0</v>
      </c>
      <c r="CR79" s="123" cm="1">
        <f t="array" ref="CR79">INDEX(Properties!$D:$D,$B79+5)*(IF(CR$3=INDEX(Properties!$U:$U,$B79+5),INDEX(Properties!$P:$P,$B79+5),0))</f>
        <v>0</v>
      </c>
      <c r="CS79" s="123" cm="1">
        <f t="array" ref="CS79">INDEX(Properties!$D:$D,$B79+5)*(IF(CS$3=INDEX(Properties!$U:$U,$B79+5),INDEX(Properties!$P:$P,$B79+5),0))</f>
        <v>0</v>
      </c>
      <c r="CT79" s="123" cm="1">
        <f t="array" ref="CT79">INDEX(Properties!$D:$D,$B79+5)*(IF(CT$3=INDEX(Properties!$U:$U,$B79+5),INDEX(Properties!$P:$P,$B79+5),0))</f>
        <v>0</v>
      </c>
      <c r="CU79" s="123" cm="1">
        <f t="array" ref="CU79">INDEX(Properties!$D:$D,$B79+5)*(IF(CU$3=INDEX(Properties!$U:$U,$B79+5),INDEX(Properties!$P:$P,$B79+5),0))</f>
        <v>0</v>
      </c>
      <c r="CV79" s="123" cm="1">
        <f t="array" ref="CV79">INDEX(Properties!$D:$D,$B79+5)*(IF(CV$3=INDEX(Properties!$U:$U,$B79+5),INDEX(Properties!$P:$P,$B79+5),0))</f>
        <v>0</v>
      </c>
      <c r="CW79" s="123" cm="1">
        <f t="array" ref="CW79">INDEX(Properties!$D:$D,$B79+5)*(IF(CW$3=INDEX(Properties!$U:$U,$B79+5),INDEX(Properties!$P:$P,$B79+5),0))</f>
        <v>0</v>
      </c>
      <c r="CX79" s="123" cm="1">
        <f t="array" ref="CX79">INDEX(Properties!$D:$D,$B79+5)*(IF(CX$3=INDEX(Properties!$U:$U,$B79+5),INDEX(Properties!$P:$P,$B79+5),0))</f>
        <v>0</v>
      </c>
      <c r="CY79" s="123" cm="1">
        <f t="array" ref="CY79">INDEX(Properties!$D:$D,$B79+5)*(IF(CY$3=INDEX(Properties!$U:$U,$B79+5),INDEX(Properties!$P:$P,$B79+5),0))</f>
        <v>0</v>
      </c>
      <c r="CZ79" s="123" cm="1">
        <f t="array" ref="CZ79">INDEX(Properties!$D:$D,$B79+5)*(IF(CZ$3=INDEX(Properties!$U:$U,$B79+5),INDEX(Properties!$P:$P,$B79+5),0))</f>
        <v>0</v>
      </c>
      <c r="DA79" s="123" cm="1">
        <f t="array" ref="DA79">INDEX(Properties!$D:$D,$B79+5)*(IF(DA$3=INDEX(Properties!$U:$U,$B79+5),INDEX(Properties!$P:$P,$B79+5),0))</f>
        <v>0</v>
      </c>
      <c r="DB79" s="123" cm="1">
        <f t="array" ref="DB79">INDEX(Properties!$D:$D,$B79+5)*(IF(DB$3=INDEX(Properties!$U:$U,$B79+5),INDEX(Properties!$P:$P,$B79+5),0))</f>
        <v>0</v>
      </c>
      <c r="DC79" s="123" cm="1">
        <f t="array" ref="DC79">INDEX(Properties!$D:$D,$B79+5)*(IF(DC$3=INDEX(Properties!$U:$U,$B79+5),INDEX(Properties!$P:$P,$B79+5),0))</f>
        <v>0</v>
      </c>
      <c r="DD79" s="123" cm="1">
        <f t="array" ref="DD79">INDEX(Properties!$D:$D,$B79+5)*(IF(DD$3=INDEX(Properties!$U:$U,$B79+5),INDEX(Properties!$P:$P,$B79+5),0))</f>
        <v>0</v>
      </c>
      <c r="DE79" s="123" cm="1">
        <f t="array" ref="DE79">INDEX(Properties!$D:$D,$B79+5)*(IF(DE$3=INDEX(Properties!$U:$U,$B79+5),INDEX(Properties!$P:$P,$B79+5),0))</f>
        <v>0</v>
      </c>
      <c r="DF79" s="123" cm="1">
        <f t="array" ref="DF79">INDEX(Properties!$D:$D,$B79+5)*(IF(DF$3=INDEX(Properties!$U:$U,$B79+5),INDEX(Properties!$P:$P,$B79+5),0))</f>
        <v>0</v>
      </c>
      <c r="DG79" s="123" cm="1">
        <f t="array" ref="DG79">INDEX(Properties!$D:$D,$B79+5)*(IF(DG$3=INDEX(Properties!$U:$U,$B79+5),INDEX(Properties!$P:$P,$B79+5),0))</f>
        <v>0</v>
      </c>
      <c r="DH79" s="123" cm="1">
        <f t="array" ref="DH79">INDEX(Properties!$D:$D,$B79+5)*(IF(DH$3=INDEX(Properties!$U:$U,$B79+5),INDEX(Properties!$P:$P,$B79+5),0))</f>
        <v>0</v>
      </c>
      <c r="DI79" s="123" cm="1">
        <f t="array" ref="DI79">INDEX(Properties!$D:$D,$B79+5)*(IF(DI$3=INDEX(Properties!$U:$U,$B79+5),INDEX(Properties!$P:$P,$B79+5),0))</f>
        <v>0</v>
      </c>
      <c r="DJ79" s="123" cm="1">
        <f t="array" ref="DJ79">INDEX(Properties!$D:$D,$B79+5)*(IF(DJ$3=INDEX(Properties!$U:$U,$B79+5),INDEX(Properties!$P:$P,$B79+5),0))</f>
        <v>0</v>
      </c>
      <c r="DK79" s="123" cm="1">
        <f t="array" ref="DK79">INDEX(Properties!$D:$D,$B79+5)*(IF(DK$3=INDEX(Properties!$U:$U,$B79+5),INDEX(Properties!$P:$P,$B79+5),0))</f>
        <v>0</v>
      </c>
      <c r="DL79" s="123" cm="1">
        <f t="array" ref="DL79">INDEX(Properties!$D:$D,$B79+5)*(IF(DL$3=INDEX(Properties!$U:$U,$B79+5),INDEX(Properties!$P:$P,$B79+5),0))</f>
        <v>0</v>
      </c>
      <c r="DM79" s="123" cm="1">
        <f t="array" ref="DM79">INDEX(Properties!$D:$D,$B79+5)*(IF(DM$3=INDEX(Properties!$U:$U,$B79+5),INDEX(Properties!$P:$P,$B79+5),0))</f>
        <v>0</v>
      </c>
      <c r="DN79" s="123" cm="1">
        <f t="array" ref="DN79">INDEX(Properties!$D:$D,$B79+5)*(IF(DN$3=INDEX(Properties!$U:$U,$B79+5),INDEX(Properties!$P:$P,$B79+5),0))</f>
        <v>0</v>
      </c>
      <c r="DO79" s="123" cm="1">
        <f t="array" ref="DO79">INDEX(Properties!$D:$D,$B79+5)*(IF(DO$3=INDEX(Properties!$U:$U,$B79+5),INDEX(Properties!$P:$P,$B79+5),0))</f>
        <v>0</v>
      </c>
      <c r="DP79" s="123" cm="1">
        <f t="array" ref="DP79">INDEX(Properties!$D:$D,$B79+5)*(IF(DP$3=INDEX(Properties!$U:$U,$B79+5),INDEX(Properties!$P:$P,$B79+5),0))</f>
        <v>0</v>
      </c>
      <c r="DQ79" s="123" cm="1">
        <f t="array" ref="DQ79">INDEX(Properties!$D:$D,$B79+5)*(IF(DQ$3=INDEX(Properties!$U:$U,$B79+5),INDEX(Properties!$P:$P,$B79+5),0))</f>
        <v>0</v>
      </c>
      <c r="DR79" s="123" cm="1">
        <f t="array" ref="DR79">INDEX(Properties!$D:$D,$B79+5)*(IF(DR$3=INDEX(Properties!$U:$U,$B79+5),INDEX(Properties!$P:$P,$B79+5),0))</f>
        <v>0</v>
      </c>
    </row>
    <row r="80" spans="1:122" ht="16.05" customHeight="1" x14ac:dyDescent="0.3">
      <c r="A80" s="148" cm="1">
        <f t="array" ref="A80">INDEX(Properties!$E:$E,$B80+5)</f>
        <v>0</v>
      </c>
      <c r="B80" s="1">
        <v>9</v>
      </c>
      <c r="C80" s="123" cm="1">
        <f t="array" ref="C80">INDEX(Properties!$D:$D,$B80+5)*(IF(C$3=INDEX(Properties!$U:$U,$B80+5),INDEX(Properties!$P:$P,$B80+5),0))</f>
        <v>0</v>
      </c>
      <c r="D80" s="123" cm="1">
        <f t="array" ref="D80">INDEX(Properties!$D:$D,$B80+5)*(IF(D$3=INDEX(Properties!$U:$U,$B80+5),INDEX(Properties!$P:$P,$B80+5),0))</f>
        <v>0</v>
      </c>
      <c r="E80" s="123" cm="1">
        <f t="array" ref="E80">INDEX(Properties!$D:$D,$B80+5)*(IF(E$3=INDEX(Properties!$U:$U,$B80+5),INDEX(Properties!$P:$P,$B80+5),0))</f>
        <v>0</v>
      </c>
      <c r="F80" s="123" cm="1">
        <f t="array" ref="F80">INDEX(Properties!$D:$D,$B80+5)*(IF(F$3=INDEX(Properties!$U:$U,$B80+5),INDEX(Properties!$P:$P,$B80+5),0))</f>
        <v>0</v>
      </c>
      <c r="G80" s="123" cm="1">
        <f t="array" ref="G80">INDEX(Properties!$D:$D,$B80+5)*(IF(G$3=INDEX(Properties!$U:$U,$B80+5),INDEX(Properties!$P:$P,$B80+5),0))</f>
        <v>0</v>
      </c>
      <c r="H80" s="123" cm="1">
        <f t="array" ref="H80">INDEX(Properties!$D:$D,$B80+5)*(IF(H$3=INDEX(Properties!$U:$U,$B80+5),INDEX(Properties!$P:$P,$B80+5),0))</f>
        <v>0</v>
      </c>
      <c r="I80" s="123" cm="1">
        <f t="array" ref="I80">INDEX(Properties!$D:$D,$B80+5)*(IF(I$3=INDEX(Properties!$U:$U,$B80+5),INDEX(Properties!$P:$P,$B80+5),0))</f>
        <v>0</v>
      </c>
      <c r="J80" s="123" cm="1">
        <f t="array" ref="J80">INDEX(Properties!$D:$D,$B80+5)*(IF(J$3=INDEX(Properties!$U:$U,$B80+5),INDEX(Properties!$P:$P,$B80+5),0))</f>
        <v>0</v>
      </c>
      <c r="K80" s="123" cm="1">
        <f t="array" ref="K80">INDEX(Properties!$D:$D,$B80+5)*(IF(K$3=INDEX(Properties!$U:$U,$B80+5),INDEX(Properties!$P:$P,$B80+5),0))</f>
        <v>0</v>
      </c>
      <c r="L80" s="123" cm="1">
        <f t="array" ref="L80">INDEX(Properties!$D:$D,$B80+5)*(IF(L$3=INDEX(Properties!$U:$U,$B80+5),INDEX(Properties!$P:$P,$B80+5),0))</f>
        <v>0</v>
      </c>
      <c r="M80" s="123" cm="1">
        <f t="array" ref="M80">INDEX(Properties!$D:$D,$B80+5)*(IF(M$3=INDEX(Properties!$U:$U,$B80+5),INDEX(Properties!$P:$P,$B80+5),0))</f>
        <v>0</v>
      </c>
      <c r="N80" s="123" cm="1">
        <f t="array" ref="N80">INDEX(Properties!$D:$D,$B80+5)*(IF(N$3=INDEX(Properties!$U:$U,$B80+5),INDEX(Properties!$P:$P,$B80+5),0))</f>
        <v>0</v>
      </c>
      <c r="O80" s="123" cm="1">
        <f t="array" ref="O80">INDEX(Properties!$D:$D,$B80+5)*(IF(O$3=INDEX(Properties!$U:$U,$B80+5),INDEX(Properties!$P:$P,$B80+5),0))</f>
        <v>0</v>
      </c>
      <c r="P80" s="123" cm="1">
        <f t="array" ref="P80">INDEX(Properties!$D:$D,$B80+5)*(IF(P$3=INDEX(Properties!$U:$U,$B80+5),INDEX(Properties!$P:$P,$B80+5),0))</f>
        <v>0</v>
      </c>
      <c r="Q80" s="123" cm="1">
        <f t="array" ref="Q80">INDEX(Properties!$D:$D,$B80+5)*(IF(Q$3=INDEX(Properties!$U:$U,$B80+5),INDEX(Properties!$P:$P,$B80+5),0))</f>
        <v>0</v>
      </c>
      <c r="R80" s="123" cm="1">
        <f t="array" ref="R80">INDEX(Properties!$D:$D,$B80+5)*(IF(R$3=INDEX(Properties!$U:$U,$B80+5),INDEX(Properties!$P:$P,$B80+5),0))</f>
        <v>0</v>
      </c>
      <c r="S80" s="123" cm="1">
        <f t="array" ref="S80">INDEX(Properties!$D:$D,$B80+5)*(IF(S$3=INDEX(Properties!$U:$U,$B80+5),INDEX(Properties!$P:$P,$B80+5),0))</f>
        <v>0</v>
      </c>
      <c r="T80" s="123" cm="1">
        <f t="array" ref="T80">INDEX(Properties!$D:$D,$B80+5)*(IF(T$3=INDEX(Properties!$U:$U,$B80+5),INDEX(Properties!$P:$P,$B80+5),0))</f>
        <v>0</v>
      </c>
      <c r="U80" s="123" cm="1">
        <f t="array" ref="U80">INDEX(Properties!$D:$D,$B80+5)*(IF(U$3=INDEX(Properties!$U:$U,$B80+5),INDEX(Properties!$P:$P,$B80+5),0))</f>
        <v>0</v>
      </c>
      <c r="V80" s="123" cm="1">
        <f t="array" ref="V80">INDEX(Properties!$D:$D,$B80+5)*(IF(V$3=INDEX(Properties!$U:$U,$B80+5),INDEX(Properties!$P:$P,$B80+5),0))</f>
        <v>0</v>
      </c>
      <c r="W80" s="123" cm="1">
        <f t="array" ref="W80">INDEX(Properties!$D:$D,$B80+5)*(IF(W$3=INDEX(Properties!$U:$U,$B80+5),INDEX(Properties!$P:$P,$B80+5),0))</f>
        <v>0</v>
      </c>
      <c r="X80" s="123" cm="1">
        <f t="array" ref="X80">INDEX(Properties!$D:$D,$B80+5)*(IF(X$3=INDEX(Properties!$U:$U,$B80+5),INDEX(Properties!$P:$P,$B80+5),0))</f>
        <v>0</v>
      </c>
      <c r="Y80" s="123" cm="1">
        <f t="array" ref="Y80">INDEX(Properties!$D:$D,$B80+5)*(IF(Y$3=INDEX(Properties!$U:$U,$B80+5),INDEX(Properties!$P:$P,$B80+5),0))</f>
        <v>0</v>
      </c>
      <c r="Z80" s="123" cm="1">
        <f t="array" ref="Z80">INDEX(Properties!$D:$D,$B80+5)*(IF(Z$3=INDEX(Properties!$U:$U,$B80+5),INDEX(Properties!$P:$P,$B80+5),0))</f>
        <v>0</v>
      </c>
      <c r="AA80" s="123" cm="1">
        <f t="array" ref="AA80">INDEX(Properties!$D:$D,$B80+5)*(IF(AA$3=INDEX(Properties!$U:$U,$B80+5),INDEX(Properties!$P:$P,$B80+5),0))</f>
        <v>0</v>
      </c>
      <c r="AB80" s="123" cm="1">
        <f t="array" ref="AB80">INDEX(Properties!$D:$D,$B80+5)*(IF(AB$3=INDEX(Properties!$U:$U,$B80+5),INDEX(Properties!$P:$P,$B80+5),0))</f>
        <v>0</v>
      </c>
      <c r="AC80" s="123" cm="1">
        <f t="array" ref="AC80">INDEX(Properties!$D:$D,$B80+5)*(IF(AC$3=INDEX(Properties!$U:$U,$B80+5),INDEX(Properties!$P:$P,$B80+5),0))</f>
        <v>0</v>
      </c>
      <c r="AD80" s="123" cm="1">
        <f t="array" ref="AD80">INDEX(Properties!$D:$D,$B80+5)*(IF(AD$3=INDEX(Properties!$U:$U,$B80+5),INDEX(Properties!$P:$P,$B80+5),0))</f>
        <v>0</v>
      </c>
      <c r="AE80" s="123" cm="1">
        <f t="array" ref="AE80">INDEX(Properties!$D:$D,$B80+5)*(IF(AE$3=INDEX(Properties!$U:$U,$B80+5),INDEX(Properties!$P:$P,$B80+5),0))</f>
        <v>0</v>
      </c>
      <c r="AF80" s="123" cm="1">
        <f t="array" ref="AF80">INDEX(Properties!$D:$D,$B80+5)*(IF(AF$3=INDEX(Properties!$U:$U,$B80+5),INDEX(Properties!$P:$P,$B80+5),0))</f>
        <v>0</v>
      </c>
      <c r="AG80" s="123" cm="1">
        <f t="array" ref="AG80">INDEX(Properties!$D:$D,$B80+5)*(IF(AG$3=INDEX(Properties!$U:$U,$B80+5),INDEX(Properties!$P:$P,$B80+5),0))</f>
        <v>0</v>
      </c>
      <c r="AH80" s="123" cm="1">
        <f t="array" ref="AH80">INDEX(Properties!$D:$D,$B80+5)*(IF(AH$3=INDEX(Properties!$U:$U,$B80+5),INDEX(Properties!$P:$P,$B80+5),0))</f>
        <v>0</v>
      </c>
      <c r="AI80" s="123" cm="1">
        <f t="array" ref="AI80">INDEX(Properties!$D:$D,$B80+5)*(IF(AI$3=INDEX(Properties!$U:$U,$B80+5),INDEX(Properties!$P:$P,$B80+5),0))</f>
        <v>0</v>
      </c>
      <c r="AJ80" s="123" cm="1">
        <f t="array" ref="AJ80">INDEX(Properties!$D:$D,$B80+5)*(IF(AJ$3=INDEX(Properties!$U:$U,$B80+5),INDEX(Properties!$P:$P,$B80+5),0))</f>
        <v>0</v>
      </c>
      <c r="AK80" s="123" cm="1">
        <f t="array" ref="AK80">INDEX(Properties!$D:$D,$B80+5)*(IF(AK$3=INDEX(Properties!$U:$U,$B80+5),INDEX(Properties!$P:$P,$B80+5),0))</f>
        <v>0</v>
      </c>
      <c r="AL80" s="123" cm="1">
        <f t="array" ref="AL80">INDEX(Properties!$D:$D,$B80+5)*(IF(AL$3=INDEX(Properties!$U:$U,$B80+5),INDEX(Properties!$P:$P,$B80+5),0))</f>
        <v>0</v>
      </c>
      <c r="AM80" s="123" cm="1">
        <f t="array" ref="AM80">INDEX(Properties!$D:$D,$B80+5)*(IF(AM$3=INDEX(Properties!$U:$U,$B80+5),INDEX(Properties!$P:$P,$B80+5),0))</f>
        <v>0</v>
      </c>
      <c r="AN80" s="123" cm="1">
        <f t="array" ref="AN80">INDEX(Properties!$D:$D,$B80+5)*(IF(AN$3=INDEX(Properties!$U:$U,$B80+5),INDEX(Properties!$P:$P,$B80+5),0))</f>
        <v>0</v>
      </c>
      <c r="AO80" s="123" cm="1">
        <f t="array" ref="AO80">INDEX(Properties!$D:$D,$B80+5)*(IF(AO$3=INDEX(Properties!$U:$U,$B80+5),INDEX(Properties!$P:$P,$B80+5),0))</f>
        <v>0</v>
      </c>
      <c r="AP80" s="123" cm="1">
        <f t="array" ref="AP80">INDEX(Properties!$D:$D,$B80+5)*(IF(AP$3=INDEX(Properties!$U:$U,$B80+5),INDEX(Properties!$P:$P,$B80+5),0))</f>
        <v>0</v>
      </c>
      <c r="AQ80" s="123" cm="1">
        <f t="array" ref="AQ80">INDEX(Properties!$D:$D,$B80+5)*(IF(AQ$3=INDEX(Properties!$U:$U,$B80+5),INDEX(Properties!$P:$P,$B80+5),0))</f>
        <v>0</v>
      </c>
      <c r="AR80" s="123" cm="1">
        <f t="array" ref="AR80">INDEX(Properties!$D:$D,$B80+5)*(IF(AR$3=INDEX(Properties!$U:$U,$B80+5),INDEX(Properties!$P:$P,$B80+5),0))</f>
        <v>0</v>
      </c>
      <c r="AS80" s="123" cm="1">
        <f t="array" ref="AS80">INDEX(Properties!$D:$D,$B80+5)*(IF(AS$3=INDEX(Properties!$U:$U,$B80+5),INDEX(Properties!$P:$P,$B80+5),0))</f>
        <v>0</v>
      </c>
      <c r="AT80" s="123" cm="1">
        <f t="array" ref="AT80">INDEX(Properties!$D:$D,$B80+5)*(IF(AT$3=INDEX(Properties!$U:$U,$B80+5),INDEX(Properties!$P:$P,$B80+5),0))</f>
        <v>0</v>
      </c>
      <c r="AU80" s="123" cm="1">
        <f t="array" ref="AU80">INDEX(Properties!$D:$D,$B80+5)*(IF(AU$3=INDEX(Properties!$U:$U,$B80+5),INDEX(Properties!$P:$P,$B80+5),0))</f>
        <v>0</v>
      </c>
      <c r="AV80" s="123" cm="1">
        <f t="array" ref="AV80">INDEX(Properties!$D:$D,$B80+5)*(IF(AV$3=INDEX(Properties!$U:$U,$B80+5),INDEX(Properties!$P:$P,$B80+5),0))</f>
        <v>0</v>
      </c>
      <c r="AW80" s="123" cm="1">
        <f t="array" ref="AW80">INDEX(Properties!$D:$D,$B80+5)*(IF(AW$3=INDEX(Properties!$U:$U,$B80+5),INDEX(Properties!$P:$P,$B80+5),0))</f>
        <v>0</v>
      </c>
      <c r="AX80" s="123" cm="1">
        <f t="array" ref="AX80">INDEX(Properties!$D:$D,$B80+5)*(IF(AX$3=INDEX(Properties!$U:$U,$B80+5),INDEX(Properties!$P:$P,$B80+5),0))</f>
        <v>0</v>
      </c>
      <c r="AY80" s="123" cm="1">
        <f t="array" ref="AY80">INDEX(Properties!$D:$D,$B80+5)*(IF(AY$3=INDEX(Properties!$U:$U,$B80+5),INDEX(Properties!$P:$P,$B80+5),0))</f>
        <v>0</v>
      </c>
      <c r="AZ80" s="123" cm="1">
        <f t="array" ref="AZ80">INDEX(Properties!$D:$D,$B80+5)*(IF(AZ$3=INDEX(Properties!$U:$U,$B80+5),INDEX(Properties!$P:$P,$B80+5),0))</f>
        <v>0</v>
      </c>
      <c r="BA80" s="123" cm="1">
        <f t="array" ref="BA80">INDEX(Properties!$D:$D,$B80+5)*(IF(BA$3=INDEX(Properties!$U:$U,$B80+5),INDEX(Properties!$P:$P,$B80+5),0))</f>
        <v>0</v>
      </c>
      <c r="BB80" s="123" cm="1">
        <f t="array" ref="BB80">INDEX(Properties!$D:$D,$B80+5)*(IF(BB$3=INDEX(Properties!$U:$U,$B80+5),INDEX(Properties!$P:$P,$B80+5),0))</f>
        <v>0</v>
      </c>
      <c r="BC80" s="123" cm="1">
        <f t="array" ref="BC80">INDEX(Properties!$D:$D,$B80+5)*(IF(BC$3=INDEX(Properties!$U:$U,$B80+5),INDEX(Properties!$P:$P,$B80+5),0))</f>
        <v>0</v>
      </c>
      <c r="BD80" s="123" cm="1">
        <f t="array" ref="BD80">INDEX(Properties!$D:$D,$B80+5)*(IF(BD$3=INDEX(Properties!$U:$U,$B80+5),INDEX(Properties!$P:$P,$B80+5),0))</f>
        <v>0</v>
      </c>
      <c r="BE80" s="123" cm="1">
        <f t="array" ref="BE80">INDEX(Properties!$D:$D,$B80+5)*(IF(BE$3=INDEX(Properties!$U:$U,$B80+5),INDEX(Properties!$P:$P,$B80+5),0))</f>
        <v>0</v>
      </c>
      <c r="BF80" s="123" cm="1">
        <f t="array" ref="BF80">INDEX(Properties!$D:$D,$B80+5)*(IF(BF$3=INDEX(Properties!$U:$U,$B80+5),INDEX(Properties!$P:$P,$B80+5),0))</f>
        <v>0</v>
      </c>
      <c r="BG80" s="123" cm="1">
        <f t="array" ref="BG80">INDEX(Properties!$D:$D,$B80+5)*(IF(BG$3=INDEX(Properties!$U:$U,$B80+5),INDEX(Properties!$P:$P,$B80+5),0))</f>
        <v>0</v>
      </c>
      <c r="BH80" s="123" cm="1">
        <f t="array" ref="BH80">INDEX(Properties!$D:$D,$B80+5)*(IF(BH$3=INDEX(Properties!$U:$U,$B80+5),INDEX(Properties!$P:$P,$B80+5),0))</f>
        <v>0</v>
      </c>
      <c r="BI80" s="123" cm="1">
        <f t="array" ref="BI80">INDEX(Properties!$D:$D,$B80+5)*(IF(BI$3=INDEX(Properties!$U:$U,$B80+5),INDEX(Properties!$P:$P,$B80+5),0))</f>
        <v>0</v>
      </c>
      <c r="BJ80" s="123" cm="1">
        <f t="array" ref="BJ80">INDEX(Properties!$D:$D,$B80+5)*(IF(BJ$3=INDEX(Properties!$U:$U,$B80+5),INDEX(Properties!$P:$P,$B80+5),0))</f>
        <v>0</v>
      </c>
      <c r="BK80" s="123" cm="1">
        <f t="array" ref="BK80">INDEX(Properties!$D:$D,$B80+5)*(IF(BK$3=INDEX(Properties!$U:$U,$B80+5),INDEX(Properties!$P:$P,$B80+5),0))</f>
        <v>0</v>
      </c>
      <c r="BL80" s="123" cm="1">
        <f t="array" ref="BL80">INDEX(Properties!$D:$D,$B80+5)*(IF(BL$3=INDEX(Properties!$U:$U,$B80+5),INDEX(Properties!$P:$P,$B80+5),0))</f>
        <v>0</v>
      </c>
      <c r="BM80" s="123" cm="1">
        <f t="array" ref="BM80">INDEX(Properties!$D:$D,$B80+5)*(IF(BM$3=INDEX(Properties!$U:$U,$B80+5),INDEX(Properties!$P:$P,$B80+5),0))</f>
        <v>0</v>
      </c>
      <c r="BN80" s="123" cm="1">
        <f t="array" ref="BN80">INDEX(Properties!$D:$D,$B80+5)*(IF(BN$3=INDEX(Properties!$U:$U,$B80+5),INDEX(Properties!$P:$P,$B80+5),0))</f>
        <v>0</v>
      </c>
      <c r="BO80" s="123" cm="1">
        <f t="array" ref="BO80">INDEX(Properties!$D:$D,$B80+5)*(IF(BO$3=INDEX(Properties!$U:$U,$B80+5),INDEX(Properties!$P:$P,$B80+5),0))</f>
        <v>0</v>
      </c>
      <c r="BP80" s="123" cm="1">
        <f t="array" ref="BP80">INDEX(Properties!$D:$D,$B80+5)*(IF(BP$3=INDEX(Properties!$U:$U,$B80+5),INDEX(Properties!$P:$P,$B80+5),0))</f>
        <v>0</v>
      </c>
      <c r="BQ80" s="123" cm="1">
        <f t="array" ref="BQ80">INDEX(Properties!$D:$D,$B80+5)*(IF(BQ$3=INDEX(Properties!$U:$U,$B80+5),INDEX(Properties!$P:$P,$B80+5),0))</f>
        <v>0</v>
      </c>
      <c r="BR80" s="123" cm="1">
        <f t="array" ref="BR80">INDEX(Properties!$D:$D,$B80+5)*(IF(BR$3=INDEX(Properties!$U:$U,$B80+5),INDEX(Properties!$P:$P,$B80+5),0))</f>
        <v>0</v>
      </c>
      <c r="BS80" s="123" cm="1">
        <f t="array" ref="BS80">INDEX(Properties!$D:$D,$B80+5)*(IF(BS$3=INDEX(Properties!$U:$U,$B80+5),INDEX(Properties!$P:$P,$B80+5),0))</f>
        <v>0</v>
      </c>
      <c r="BT80" s="123" cm="1">
        <f t="array" ref="BT80">INDEX(Properties!$D:$D,$B80+5)*(IF(BT$3=INDEX(Properties!$U:$U,$B80+5),INDEX(Properties!$P:$P,$B80+5),0))</f>
        <v>0</v>
      </c>
      <c r="BU80" s="123" cm="1">
        <f t="array" ref="BU80">INDEX(Properties!$D:$D,$B80+5)*(IF(BU$3=INDEX(Properties!$U:$U,$B80+5),INDEX(Properties!$P:$P,$B80+5),0))</f>
        <v>0</v>
      </c>
      <c r="BV80" s="123" cm="1">
        <f t="array" ref="BV80">INDEX(Properties!$D:$D,$B80+5)*(IF(BV$3=INDEX(Properties!$U:$U,$B80+5),INDEX(Properties!$P:$P,$B80+5),0))</f>
        <v>0</v>
      </c>
      <c r="BW80" s="123" cm="1">
        <f t="array" ref="BW80">INDEX(Properties!$D:$D,$B80+5)*(IF(BW$3=INDEX(Properties!$U:$U,$B80+5),INDEX(Properties!$P:$P,$B80+5),0))</f>
        <v>0</v>
      </c>
      <c r="BX80" s="123" cm="1">
        <f t="array" ref="BX80">INDEX(Properties!$D:$D,$B80+5)*(IF(BX$3=INDEX(Properties!$U:$U,$B80+5),INDEX(Properties!$P:$P,$B80+5),0))</f>
        <v>0</v>
      </c>
      <c r="BY80" s="123" cm="1">
        <f t="array" ref="BY80">INDEX(Properties!$D:$D,$B80+5)*(IF(BY$3=INDEX(Properties!$U:$U,$B80+5),INDEX(Properties!$P:$P,$B80+5),0))</f>
        <v>0</v>
      </c>
      <c r="BZ80" s="123" cm="1">
        <f t="array" ref="BZ80">INDEX(Properties!$D:$D,$B80+5)*(IF(BZ$3=INDEX(Properties!$U:$U,$B80+5),INDEX(Properties!$P:$P,$B80+5),0))</f>
        <v>0</v>
      </c>
      <c r="CA80" s="123" cm="1">
        <f t="array" ref="CA80">INDEX(Properties!$D:$D,$B80+5)*(IF(CA$3=INDEX(Properties!$U:$U,$B80+5),INDEX(Properties!$P:$P,$B80+5),0))</f>
        <v>0</v>
      </c>
      <c r="CB80" s="123" cm="1">
        <f t="array" ref="CB80">INDEX(Properties!$D:$D,$B80+5)*(IF(CB$3=INDEX(Properties!$U:$U,$B80+5),INDEX(Properties!$P:$P,$B80+5),0))</f>
        <v>0</v>
      </c>
      <c r="CC80" s="123" cm="1">
        <f t="array" ref="CC80">INDEX(Properties!$D:$D,$B80+5)*(IF(CC$3=INDEX(Properties!$U:$U,$B80+5),INDEX(Properties!$P:$P,$B80+5),0))</f>
        <v>0</v>
      </c>
      <c r="CD80" s="123" cm="1">
        <f t="array" ref="CD80">INDEX(Properties!$D:$D,$B80+5)*(IF(CD$3=INDEX(Properties!$U:$U,$B80+5),INDEX(Properties!$P:$P,$B80+5),0))</f>
        <v>0</v>
      </c>
      <c r="CE80" s="123" cm="1">
        <f t="array" ref="CE80">INDEX(Properties!$D:$D,$B80+5)*(IF(CE$3=INDEX(Properties!$U:$U,$B80+5),INDEX(Properties!$P:$P,$B80+5),0))</f>
        <v>0</v>
      </c>
      <c r="CF80" s="123" cm="1">
        <f t="array" ref="CF80">INDEX(Properties!$D:$D,$B80+5)*(IF(CF$3=INDEX(Properties!$U:$U,$B80+5),INDEX(Properties!$P:$P,$B80+5),0))</f>
        <v>0</v>
      </c>
      <c r="CG80" s="123" cm="1">
        <f t="array" ref="CG80">INDEX(Properties!$D:$D,$B80+5)*(IF(CG$3=INDEX(Properties!$U:$U,$B80+5),INDEX(Properties!$P:$P,$B80+5),0))</f>
        <v>0</v>
      </c>
      <c r="CH80" s="123" cm="1">
        <f t="array" ref="CH80">INDEX(Properties!$D:$D,$B80+5)*(IF(CH$3=INDEX(Properties!$U:$U,$B80+5),INDEX(Properties!$P:$P,$B80+5),0))</f>
        <v>0</v>
      </c>
      <c r="CI80" s="123" cm="1">
        <f t="array" ref="CI80">INDEX(Properties!$D:$D,$B80+5)*(IF(CI$3=INDEX(Properties!$U:$U,$B80+5),INDEX(Properties!$P:$P,$B80+5),0))</f>
        <v>0</v>
      </c>
      <c r="CJ80" s="123" cm="1">
        <f t="array" ref="CJ80">INDEX(Properties!$D:$D,$B80+5)*(IF(CJ$3=INDEX(Properties!$U:$U,$B80+5),INDEX(Properties!$P:$P,$B80+5),0))</f>
        <v>0</v>
      </c>
      <c r="CK80" s="123" cm="1">
        <f t="array" ref="CK80">INDEX(Properties!$D:$D,$B80+5)*(IF(CK$3=INDEX(Properties!$U:$U,$B80+5),INDEX(Properties!$P:$P,$B80+5),0))</f>
        <v>0</v>
      </c>
      <c r="CL80" s="123" cm="1">
        <f t="array" ref="CL80">INDEX(Properties!$D:$D,$B80+5)*(IF(CL$3=INDEX(Properties!$U:$U,$B80+5),INDEX(Properties!$P:$P,$B80+5),0))</f>
        <v>0</v>
      </c>
      <c r="CM80" s="123" cm="1">
        <f t="array" ref="CM80">INDEX(Properties!$D:$D,$B80+5)*(IF(CM$3=INDEX(Properties!$U:$U,$B80+5),INDEX(Properties!$P:$P,$B80+5),0))</f>
        <v>0</v>
      </c>
      <c r="CN80" s="123" cm="1">
        <f t="array" ref="CN80">INDEX(Properties!$D:$D,$B80+5)*(IF(CN$3=INDEX(Properties!$U:$U,$B80+5),INDEX(Properties!$P:$P,$B80+5),0))</f>
        <v>0</v>
      </c>
      <c r="CO80" s="123" cm="1">
        <f t="array" ref="CO80">INDEX(Properties!$D:$D,$B80+5)*(IF(CO$3=INDEX(Properties!$U:$U,$B80+5),INDEX(Properties!$P:$P,$B80+5),0))</f>
        <v>0</v>
      </c>
      <c r="CP80" s="123" cm="1">
        <f t="array" ref="CP80">INDEX(Properties!$D:$D,$B80+5)*(IF(CP$3=INDEX(Properties!$U:$U,$B80+5),INDEX(Properties!$P:$P,$B80+5),0))</f>
        <v>0</v>
      </c>
      <c r="CQ80" s="123" cm="1">
        <f t="array" ref="CQ80">INDEX(Properties!$D:$D,$B80+5)*(IF(CQ$3=INDEX(Properties!$U:$U,$B80+5),INDEX(Properties!$P:$P,$B80+5),0))</f>
        <v>0</v>
      </c>
      <c r="CR80" s="123" cm="1">
        <f t="array" ref="CR80">INDEX(Properties!$D:$D,$B80+5)*(IF(CR$3=INDEX(Properties!$U:$U,$B80+5),INDEX(Properties!$P:$P,$B80+5),0))</f>
        <v>0</v>
      </c>
      <c r="CS80" s="123" cm="1">
        <f t="array" ref="CS80">INDEX(Properties!$D:$D,$B80+5)*(IF(CS$3=INDEX(Properties!$U:$U,$B80+5),INDEX(Properties!$P:$P,$B80+5),0))</f>
        <v>0</v>
      </c>
      <c r="CT80" s="123" cm="1">
        <f t="array" ref="CT80">INDEX(Properties!$D:$D,$B80+5)*(IF(CT$3=INDEX(Properties!$U:$U,$B80+5),INDEX(Properties!$P:$P,$B80+5),0))</f>
        <v>0</v>
      </c>
      <c r="CU80" s="123" cm="1">
        <f t="array" ref="CU80">INDEX(Properties!$D:$D,$B80+5)*(IF(CU$3=INDEX(Properties!$U:$U,$B80+5),INDEX(Properties!$P:$P,$B80+5),0))</f>
        <v>0</v>
      </c>
      <c r="CV80" s="123" cm="1">
        <f t="array" ref="CV80">INDEX(Properties!$D:$D,$B80+5)*(IF(CV$3=INDEX(Properties!$U:$U,$B80+5),INDEX(Properties!$P:$P,$B80+5),0))</f>
        <v>0</v>
      </c>
      <c r="CW80" s="123" cm="1">
        <f t="array" ref="CW80">INDEX(Properties!$D:$D,$B80+5)*(IF(CW$3=INDEX(Properties!$U:$U,$B80+5),INDEX(Properties!$P:$P,$B80+5),0))</f>
        <v>0</v>
      </c>
      <c r="CX80" s="123" cm="1">
        <f t="array" ref="CX80">INDEX(Properties!$D:$D,$B80+5)*(IF(CX$3=INDEX(Properties!$U:$U,$B80+5),INDEX(Properties!$P:$P,$B80+5),0))</f>
        <v>0</v>
      </c>
      <c r="CY80" s="123" cm="1">
        <f t="array" ref="CY80">INDEX(Properties!$D:$D,$B80+5)*(IF(CY$3=INDEX(Properties!$U:$U,$B80+5),INDEX(Properties!$P:$P,$B80+5),0))</f>
        <v>0</v>
      </c>
      <c r="CZ80" s="123" cm="1">
        <f t="array" ref="CZ80">INDEX(Properties!$D:$D,$B80+5)*(IF(CZ$3=INDEX(Properties!$U:$U,$B80+5),INDEX(Properties!$P:$P,$B80+5),0))</f>
        <v>0</v>
      </c>
      <c r="DA80" s="123" cm="1">
        <f t="array" ref="DA80">INDEX(Properties!$D:$D,$B80+5)*(IF(DA$3=INDEX(Properties!$U:$U,$B80+5),INDEX(Properties!$P:$P,$B80+5),0))</f>
        <v>0</v>
      </c>
      <c r="DB80" s="123" cm="1">
        <f t="array" ref="DB80">INDEX(Properties!$D:$D,$B80+5)*(IF(DB$3=INDEX(Properties!$U:$U,$B80+5),INDEX(Properties!$P:$P,$B80+5),0))</f>
        <v>0</v>
      </c>
      <c r="DC80" s="123" cm="1">
        <f t="array" ref="DC80">INDEX(Properties!$D:$D,$B80+5)*(IF(DC$3=INDEX(Properties!$U:$U,$B80+5),INDEX(Properties!$P:$P,$B80+5),0))</f>
        <v>0</v>
      </c>
      <c r="DD80" s="123" cm="1">
        <f t="array" ref="DD80">INDEX(Properties!$D:$D,$B80+5)*(IF(DD$3=INDEX(Properties!$U:$U,$B80+5),INDEX(Properties!$P:$P,$B80+5),0))</f>
        <v>0</v>
      </c>
      <c r="DE80" s="123" cm="1">
        <f t="array" ref="DE80">INDEX(Properties!$D:$D,$B80+5)*(IF(DE$3=INDEX(Properties!$U:$U,$B80+5),INDEX(Properties!$P:$P,$B80+5),0))</f>
        <v>0</v>
      </c>
      <c r="DF80" s="123" cm="1">
        <f t="array" ref="DF80">INDEX(Properties!$D:$D,$B80+5)*(IF(DF$3=INDEX(Properties!$U:$U,$B80+5),INDEX(Properties!$P:$P,$B80+5),0))</f>
        <v>0</v>
      </c>
      <c r="DG80" s="123" cm="1">
        <f t="array" ref="DG80">INDEX(Properties!$D:$D,$B80+5)*(IF(DG$3=INDEX(Properties!$U:$U,$B80+5),INDEX(Properties!$P:$P,$B80+5),0))</f>
        <v>0</v>
      </c>
      <c r="DH80" s="123" cm="1">
        <f t="array" ref="DH80">INDEX(Properties!$D:$D,$B80+5)*(IF(DH$3=INDEX(Properties!$U:$U,$B80+5),INDEX(Properties!$P:$P,$B80+5),0))</f>
        <v>0</v>
      </c>
      <c r="DI80" s="123" cm="1">
        <f t="array" ref="DI80">INDEX(Properties!$D:$D,$B80+5)*(IF(DI$3=INDEX(Properties!$U:$U,$B80+5),INDEX(Properties!$P:$P,$B80+5),0))</f>
        <v>0</v>
      </c>
      <c r="DJ80" s="123" cm="1">
        <f t="array" ref="DJ80">INDEX(Properties!$D:$D,$B80+5)*(IF(DJ$3=INDEX(Properties!$U:$U,$B80+5),INDEX(Properties!$P:$P,$B80+5),0))</f>
        <v>0</v>
      </c>
      <c r="DK80" s="123" cm="1">
        <f t="array" ref="DK80">INDEX(Properties!$D:$D,$B80+5)*(IF(DK$3=INDEX(Properties!$U:$U,$B80+5),INDEX(Properties!$P:$P,$B80+5),0))</f>
        <v>0</v>
      </c>
      <c r="DL80" s="123" cm="1">
        <f t="array" ref="DL80">INDEX(Properties!$D:$D,$B80+5)*(IF(DL$3=INDEX(Properties!$U:$U,$B80+5),INDEX(Properties!$P:$P,$B80+5),0))</f>
        <v>0</v>
      </c>
      <c r="DM80" s="123" cm="1">
        <f t="array" ref="DM80">INDEX(Properties!$D:$D,$B80+5)*(IF(DM$3=INDEX(Properties!$U:$U,$B80+5),INDEX(Properties!$P:$P,$B80+5),0))</f>
        <v>0</v>
      </c>
      <c r="DN80" s="123" cm="1">
        <f t="array" ref="DN80">INDEX(Properties!$D:$D,$B80+5)*(IF(DN$3=INDEX(Properties!$U:$U,$B80+5),INDEX(Properties!$P:$P,$B80+5),0))</f>
        <v>0</v>
      </c>
      <c r="DO80" s="123" cm="1">
        <f t="array" ref="DO80">INDEX(Properties!$D:$D,$B80+5)*(IF(DO$3=INDEX(Properties!$U:$U,$B80+5),INDEX(Properties!$P:$P,$B80+5),0))</f>
        <v>0</v>
      </c>
      <c r="DP80" s="123" cm="1">
        <f t="array" ref="DP80">INDEX(Properties!$D:$D,$B80+5)*(IF(DP$3=INDEX(Properties!$U:$U,$B80+5),INDEX(Properties!$P:$P,$B80+5),0))</f>
        <v>0</v>
      </c>
      <c r="DQ80" s="123" cm="1">
        <f t="array" ref="DQ80">INDEX(Properties!$D:$D,$B80+5)*(IF(DQ$3=INDEX(Properties!$U:$U,$B80+5),INDEX(Properties!$P:$P,$B80+5),0))</f>
        <v>0</v>
      </c>
      <c r="DR80" s="123" cm="1">
        <f t="array" ref="DR80">INDEX(Properties!$D:$D,$B80+5)*(IF(DR$3=INDEX(Properties!$U:$U,$B80+5),INDEX(Properties!$P:$P,$B80+5),0))</f>
        <v>0</v>
      </c>
    </row>
    <row r="81" spans="1:122" ht="16.05" customHeight="1" x14ac:dyDescent="0.3">
      <c r="A81" s="148" cm="1">
        <f t="array" ref="A81">INDEX(Properties!$E:$E,$B81+5)</f>
        <v>0</v>
      </c>
      <c r="B81" s="1">
        <v>10</v>
      </c>
      <c r="C81" s="123" cm="1">
        <f t="array" ref="C81">INDEX(Properties!$D:$D,$B81+5)*(IF(C$3=INDEX(Properties!$U:$U,$B81+5),INDEX(Properties!$P:$P,$B81+5),0))</f>
        <v>0</v>
      </c>
      <c r="D81" s="123" cm="1">
        <f t="array" ref="D81">INDEX(Properties!$D:$D,$B81+5)*(IF(D$3=INDEX(Properties!$U:$U,$B81+5),INDEX(Properties!$P:$P,$B81+5),0))</f>
        <v>0</v>
      </c>
      <c r="E81" s="123" cm="1">
        <f t="array" ref="E81">INDEX(Properties!$D:$D,$B81+5)*(IF(E$3=INDEX(Properties!$U:$U,$B81+5),INDEX(Properties!$P:$P,$B81+5),0))</f>
        <v>0</v>
      </c>
      <c r="F81" s="123" cm="1">
        <f t="array" ref="F81">INDEX(Properties!$D:$D,$B81+5)*(IF(F$3=INDEX(Properties!$U:$U,$B81+5),INDEX(Properties!$P:$P,$B81+5),0))</f>
        <v>0</v>
      </c>
      <c r="G81" s="123" cm="1">
        <f t="array" ref="G81">INDEX(Properties!$D:$D,$B81+5)*(IF(G$3=INDEX(Properties!$U:$U,$B81+5),INDEX(Properties!$P:$P,$B81+5),0))</f>
        <v>0</v>
      </c>
      <c r="H81" s="123" cm="1">
        <f t="array" ref="H81">INDEX(Properties!$D:$D,$B81+5)*(IF(H$3=INDEX(Properties!$U:$U,$B81+5),INDEX(Properties!$P:$P,$B81+5),0))</f>
        <v>0</v>
      </c>
      <c r="I81" s="123" cm="1">
        <f t="array" ref="I81">INDEX(Properties!$D:$D,$B81+5)*(IF(I$3=INDEX(Properties!$U:$U,$B81+5),INDEX(Properties!$P:$P,$B81+5),0))</f>
        <v>0</v>
      </c>
      <c r="J81" s="123" cm="1">
        <f t="array" ref="J81">INDEX(Properties!$D:$D,$B81+5)*(IF(J$3=INDEX(Properties!$U:$U,$B81+5),INDEX(Properties!$P:$P,$B81+5),0))</f>
        <v>0</v>
      </c>
      <c r="K81" s="123" cm="1">
        <f t="array" ref="K81">INDEX(Properties!$D:$D,$B81+5)*(IF(K$3=INDEX(Properties!$U:$U,$B81+5),INDEX(Properties!$P:$P,$B81+5),0))</f>
        <v>0</v>
      </c>
      <c r="L81" s="123" cm="1">
        <f t="array" ref="L81">INDEX(Properties!$D:$D,$B81+5)*(IF(L$3=INDEX(Properties!$U:$U,$B81+5),INDEX(Properties!$P:$P,$B81+5),0))</f>
        <v>0</v>
      </c>
      <c r="M81" s="123" cm="1">
        <f t="array" ref="M81">INDEX(Properties!$D:$D,$B81+5)*(IF(M$3=INDEX(Properties!$U:$U,$B81+5),INDEX(Properties!$P:$P,$B81+5),0))</f>
        <v>0</v>
      </c>
      <c r="N81" s="123" cm="1">
        <f t="array" ref="N81">INDEX(Properties!$D:$D,$B81+5)*(IF(N$3=INDEX(Properties!$U:$U,$B81+5),INDEX(Properties!$P:$P,$B81+5),0))</f>
        <v>0</v>
      </c>
      <c r="O81" s="123" cm="1">
        <f t="array" ref="O81">INDEX(Properties!$D:$D,$B81+5)*(IF(O$3=INDEX(Properties!$U:$U,$B81+5),INDEX(Properties!$P:$P,$B81+5),0))</f>
        <v>0</v>
      </c>
      <c r="P81" s="123" cm="1">
        <f t="array" ref="P81">INDEX(Properties!$D:$D,$B81+5)*(IF(P$3=INDEX(Properties!$U:$U,$B81+5),INDEX(Properties!$P:$P,$B81+5),0))</f>
        <v>0</v>
      </c>
      <c r="Q81" s="123" cm="1">
        <f t="array" ref="Q81">INDEX(Properties!$D:$D,$B81+5)*(IF(Q$3=INDEX(Properties!$U:$U,$B81+5),INDEX(Properties!$P:$P,$B81+5),0))</f>
        <v>0</v>
      </c>
      <c r="R81" s="123" cm="1">
        <f t="array" ref="R81">INDEX(Properties!$D:$D,$B81+5)*(IF(R$3=INDEX(Properties!$U:$U,$B81+5),INDEX(Properties!$P:$P,$B81+5),0))</f>
        <v>0</v>
      </c>
      <c r="S81" s="123" cm="1">
        <f t="array" ref="S81">INDEX(Properties!$D:$D,$B81+5)*(IF(S$3=INDEX(Properties!$U:$U,$B81+5),INDEX(Properties!$P:$P,$B81+5),0))</f>
        <v>0</v>
      </c>
      <c r="T81" s="123" cm="1">
        <f t="array" ref="T81">INDEX(Properties!$D:$D,$B81+5)*(IF(T$3=INDEX(Properties!$U:$U,$B81+5),INDEX(Properties!$P:$P,$B81+5),0))</f>
        <v>0</v>
      </c>
      <c r="U81" s="123" cm="1">
        <f t="array" ref="U81">INDEX(Properties!$D:$D,$B81+5)*(IF(U$3=INDEX(Properties!$U:$U,$B81+5),INDEX(Properties!$P:$P,$B81+5),0))</f>
        <v>0</v>
      </c>
      <c r="V81" s="123" cm="1">
        <f t="array" ref="V81">INDEX(Properties!$D:$D,$B81+5)*(IF(V$3=INDEX(Properties!$U:$U,$B81+5),INDEX(Properties!$P:$P,$B81+5),0))</f>
        <v>0</v>
      </c>
      <c r="W81" s="123" cm="1">
        <f t="array" ref="W81">INDEX(Properties!$D:$D,$B81+5)*(IF(W$3=INDEX(Properties!$U:$U,$B81+5),INDEX(Properties!$P:$P,$B81+5),0))</f>
        <v>0</v>
      </c>
      <c r="X81" s="123" cm="1">
        <f t="array" ref="X81">INDEX(Properties!$D:$D,$B81+5)*(IF(X$3=INDEX(Properties!$U:$U,$B81+5),INDEX(Properties!$P:$P,$B81+5),0))</f>
        <v>0</v>
      </c>
      <c r="Y81" s="123" cm="1">
        <f t="array" ref="Y81">INDEX(Properties!$D:$D,$B81+5)*(IF(Y$3=INDEX(Properties!$U:$U,$B81+5),INDEX(Properties!$P:$P,$B81+5),0))</f>
        <v>0</v>
      </c>
      <c r="Z81" s="123" cm="1">
        <f t="array" ref="Z81">INDEX(Properties!$D:$D,$B81+5)*(IF(Z$3=INDEX(Properties!$U:$U,$B81+5),INDEX(Properties!$P:$P,$B81+5),0))</f>
        <v>0</v>
      </c>
      <c r="AA81" s="123" cm="1">
        <f t="array" ref="AA81">INDEX(Properties!$D:$D,$B81+5)*(IF(AA$3=INDEX(Properties!$U:$U,$B81+5),INDEX(Properties!$P:$P,$B81+5),0))</f>
        <v>0</v>
      </c>
      <c r="AB81" s="123" cm="1">
        <f t="array" ref="AB81">INDEX(Properties!$D:$D,$B81+5)*(IF(AB$3=INDEX(Properties!$U:$U,$B81+5),INDEX(Properties!$P:$P,$B81+5),0))</f>
        <v>0</v>
      </c>
      <c r="AC81" s="123" cm="1">
        <f t="array" ref="AC81">INDEX(Properties!$D:$D,$B81+5)*(IF(AC$3=INDEX(Properties!$U:$U,$B81+5),INDEX(Properties!$P:$P,$B81+5),0))</f>
        <v>0</v>
      </c>
      <c r="AD81" s="123" cm="1">
        <f t="array" ref="AD81">INDEX(Properties!$D:$D,$B81+5)*(IF(AD$3=INDEX(Properties!$U:$U,$B81+5),INDEX(Properties!$P:$P,$B81+5),0))</f>
        <v>0</v>
      </c>
      <c r="AE81" s="123" cm="1">
        <f t="array" ref="AE81">INDEX(Properties!$D:$D,$B81+5)*(IF(AE$3=INDEX(Properties!$U:$U,$B81+5),INDEX(Properties!$P:$P,$B81+5),0))</f>
        <v>0</v>
      </c>
      <c r="AF81" s="123" cm="1">
        <f t="array" ref="AF81">INDEX(Properties!$D:$D,$B81+5)*(IF(AF$3=INDEX(Properties!$U:$U,$B81+5),INDEX(Properties!$P:$P,$B81+5),0))</f>
        <v>0</v>
      </c>
      <c r="AG81" s="123" cm="1">
        <f t="array" ref="AG81">INDEX(Properties!$D:$D,$B81+5)*(IF(AG$3=INDEX(Properties!$U:$U,$B81+5),INDEX(Properties!$P:$P,$B81+5),0))</f>
        <v>0</v>
      </c>
      <c r="AH81" s="123" cm="1">
        <f t="array" ref="AH81">INDEX(Properties!$D:$D,$B81+5)*(IF(AH$3=INDEX(Properties!$U:$U,$B81+5),INDEX(Properties!$P:$P,$B81+5),0))</f>
        <v>0</v>
      </c>
      <c r="AI81" s="123" cm="1">
        <f t="array" ref="AI81">INDEX(Properties!$D:$D,$B81+5)*(IF(AI$3=INDEX(Properties!$U:$U,$B81+5),INDEX(Properties!$P:$P,$B81+5),0))</f>
        <v>0</v>
      </c>
      <c r="AJ81" s="123" cm="1">
        <f t="array" ref="AJ81">INDEX(Properties!$D:$D,$B81+5)*(IF(AJ$3=INDEX(Properties!$U:$U,$B81+5),INDEX(Properties!$P:$P,$B81+5),0))</f>
        <v>0</v>
      </c>
      <c r="AK81" s="123" cm="1">
        <f t="array" ref="AK81">INDEX(Properties!$D:$D,$B81+5)*(IF(AK$3=INDEX(Properties!$U:$U,$B81+5),INDEX(Properties!$P:$P,$B81+5),0))</f>
        <v>0</v>
      </c>
      <c r="AL81" s="123" cm="1">
        <f t="array" ref="AL81">INDEX(Properties!$D:$D,$B81+5)*(IF(AL$3=INDEX(Properties!$U:$U,$B81+5),INDEX(Properties!$P:$P,$B81+5),0))</f>
        <v>0</v>
      </c>
      <c r="AM81" s="123" cm="1">
        <f t="array" ref="AM81">INDEX(Properties!$D:$D,$B81+5)*(IF(AM$3=INDEX(Properties!$U:$U,$B81+5),INDEX(Properties!$P:$P,$B81+5),0))</f>
        <v>0</v>
      </c>
      <c r="AN81" s="123" cm="1">
        <f t="array" ref="AN81">INDEX(Properties!$D:$D,$B81+5)*(IF(AN$3=INDEX(Properties!$U:$U,$B81+5),INDEX(Properties!$P:$P,$B81+5),0))</f>
        <v>0</v>
      </c>
      <c r="AO81" s="123" cm="1">
        <f t="array" ref="AO81">INDEX(Properties!$D:$D,$B81+5)*(IF(AO$3=INDEX(Properties!$U:$U,$B81+5),INDEX(Properties!$P:$P,$B81+5),0))</f>
        <v>0</v>
      </c>
      <c r="AP81" s="123" cm="1">
        <f t="array" ref="AP81">INDEX(Properties!$D:$D,$B81+5)*(IF(AP$3=INDEX(Properties!$U:$U,$B81+5),INDEX(Properties!$P:$P,$B81+5),0))</f>
        <v>0</v>
      </c>
      <c r="AQ81" s="123" cm="1">
        <f t="array" ref="AQ81">INDEX(Properties!$D:$D,$B81+5)*(IF(AQ$3=INDEX(Properties!$U:$U,$B81+5),INDEX(Properties!$P:$P,$B81+5),0))</f>
        <v>0</v>
      </c>
      <c r="AR81" s="123" cm="1">
        <f t="array" ref="AR81">INDEX(Properties!$D:$D,$B81+5)*(IF(AR$3=INDEX(Properties!$U:$U,$B81+5),INDEX(Properties!$P:$P,$B81+5),0))</f>
        <v>0</v>
      </c>
      <c r="AS81" s="123" cm="1">
        <f t="array" ref="AS81">INDEX(Properties!$D:$D,$B81+5)*(IF(AS$3=INDEX(Properties!$U:$U,$B81+5),INDEX(Properties!$P:$P,$B81+5),0))</f>
        <v>0</v>
      </c>
      <c r="AT81" s="123" cm="1">
        <f t="array" ref="AT81">INDEX(Properties!$D:$D,$B81+5)*(IF(AT$3=INDEX(Properties!$U:$U,$B81+5),INDEX(Properties!$P:$P,$B81+5),0))</f>
        <v>0</v>
      </c>
      <c r="AU81" s="123" cm="1">
        <f t="array" ref="AU81">INDEX(Properties!$D:$D,$B81+5)*(IF(AU$3=INDEX(Properties!$U:$U,$B81+5),INDEX(Properties!$P:$P,$B81+5),0))</f>
        <v>0</v>
      </c>
      <c r="AV81" s="123" cm="1">
        <f t="array" ref="AV81">INDEX(Properties!$D:$D,$B81+5)*(IF(AV$3=INDEX(Properties!$U:$U,$B81+5),INDEX(Properties!$P:$P,$B81+5),0))</f>
        <v>0</v>
      </c>
      <c r="AW81" s="123" cm="1">
        <f t="array" ref="AW81">INDEX(Properties!$D:$D,$B81+5)*(IF(AW$3=INDEX(Properties!$U:$U,$B81+5),INDEX(Properties!$P:$P,$B81+5),0))</f>
        <v>0</v>
      </c>
      <c r="AX81" s="123" cm="1">
        <f t="array" ref="AX81">INDEX(Properties!$D:$D,$B81+5)*(IF(AX$3=INDEX(Properties!$U:$U,$B81+5),INDEX(Properties!$P:$P,$B81+5),0))</f>
        <v>0</v>
      </c>
      <c r="AY81" s="123" cm="1">
        <f t="array" ref="AY81">INDEX(Properties!$D:$D,$B81+5)*(IF(AY$3=INDEX(Properties!$U:$U,$B81+5),INDEX(Properties!$P:$P,$B81+5),0))</f>
        <v>0</v>
      </c>
      <c r="AZ81" s="123" cm="1">
        <f t="array" ref="AZ81">INDEX(Properties!$D:$D,$B81+5)*(IF(AZ$3=INDEX(Properties!$U:$U,$B81+5),INDEX(Properties!$P:$P,$B81+5),0))</f>
        <v>0</v>
      </c>
      <c r="BA81" s="123" cm="1">
        <f t="array" ref="BA81">INDEX(Properties!$D:$D,$B81+5)*(IF(BA$3=INDEX(Properties!$U:$U,$B81+5),INDEX(Properties!$P:$P,$B81+5),0))</f>
        <v>0</v>
      </c>
      <c r="BB81" s="123" cm="1">
        <f t="array" ref="BB81">INDEX(Properties!$D:$D,$B81+5)*(IF(BB$3=INDEX(Properties!$U:$U,$B81+5),INDEX(Properties!$P:$P,$B81+5),0))</f>
        <v>0</v>
      </c>
      <c r="BC81" s="123" cm="1">
        <f t="array" ref="BC81">INDEX(Properties!$D:$D,$B81+5)*(IF(BC$3=INDEX(Properties!$U:$U,$B81+5),INDEX(Properties!$P:$P,$B81+5),0))</f>
        <v>0</v>
      </c>
      <c r="BD81" s="123" cm="1">
        <f t="array" ref="BD81">INDEX(Properties!$D:$D,$B81+5)*(IF(BD$3=INDEX(Properties!$U:$U,$B81+5),INDEX(Properties!$P:$P,$B81+5),0))</f>
        <v>0</v>
      </c>
      <c r="BE81" s="123" cm="1">
        <f t="array" ref="BE81">INDEX(Properties!$D:$D,$B81+5)*(IF(BE$3=INDEX(Properties!$U:$U,$B81+5),INDEX(Properties!$P:$P,$B81+5),0))</f>
        <v>0</v>
      </c>
      <c r="BF81" s="123" cm="1">
        <f t="array" ref="BF81">INDEX(Properties!$D:$D,$B81+5)*(IF(BF$3=INDEX(Properties!$U:$U,$B81+5),INDEX(Properties!$P:$P,$B81+5),0))</f>
        <v>0</v>
      </c>
      <c r="BG81" s="123" cm="1">
        <f t="array" ref="BG81">INDEX(Properties!$D:$D,$B81+5)*(IF(BG$3=INDEX(Properties!$U:$U,$B81+5),INDEX(Properties!$P:$P,$B81+5),0))</f>
        <v>0</v>
      </c>
      <c r="BH81" s="123" cm="1">
        <f t="array" ref="BH81">INDEX(Properties!$D:$D,$B81+5)*(IF(BH$3=INDEX(Properties!$U:$U,$B81+5),INDEX(Properties!$P:$P,$B81+5),0))</f>
        <v>0</v>
      </c>
      <c r="BI81" s="123" cm="1">
        <f t="array" ref="BI81">INDEX(Properties!$D:$D,$B81+5)*(IF(BI$3=INDEX(Properties!$U:$U,$B81+5),INDEX(Properties!$P:$P,$B81+5),0))</f>
        <v>0</v>
      </c>
      <c r="BJ81" s="123" cm="1">
        <f t="array" ref="BJ81">INDEX(Properties!$D:$D,$B81+5)*(IF(BJ$3=INDEX(Properties!$U:$U,$B81+5),INDEX(Properties!$P:$P,$B81+5),0))</f>
        <v>0</v>
      </c>
      <c r="BK81" s="123" cm="1">
        <f t="array" ref="BK81">INDEX(Properties!$D:$D,$B81+5)*(IF(BK$3=INDEX(Properties!$U:$U,$B81+5),INDEX(Properties!$P:$P,$B81+5),0))</f>
        <v>0</v>
      </c>
      <c r="BL81" s="123" cm="1">
        <f t="array" ref="BL81">INDEX(Properties!$D:$D,$B81+5)*(IF(BL$3=INDEX(Properties!$U:$U,$B81+5),INDEX(Properties!$P:$P,$B81+5),0))</f>
        <v>0</v>
      </c>
      <c r="BM81" s="123" cm="1">
        <f t="array" ref="BM81">INDEX(Properties!$D:$D,$B81+5)*(IF(BM$3=INDEX(Properties!$U:$U,$B81+5),INDEX(Properties!$P:$P,$B81+5),0))</f>
        <v>0</v>
      </c>
      <c r="BN81" s="123" cm="1">
        <f t="array" ref="BN81">INDEX(Properties!$D:$D,$B81+5)*(IF(BN$3=INDEX(Properties!$U:$U,$B81+5),INDEX(Properties!$P:$P,$B81+5),0))</f>
        <v>0</v>
      </c>
      <c r="BO81" s="123" cm="1">
        <f t="array" ref="BO81">INDEX(Properties!$D:$D,$B81+5)*(IF(BO$3=INDEX(Properties!$U:$U,$B81+5),INDEX(Properties!$P:$P,$B81+5),0))</f>
        <v>0</v>
      </c>
      <c r="BP81" s="123" cm="1">
        <f t="array" ref="BP81">INDEX(Properties!$D:$D,$B81+5)*(IF(BP$3=INDEX(Properties!$U:$U,$B81+5),INDEX(Properties!$P:$P,$B81+5),0))</f>
        <v>0</v>
      </c>
      <c r="BQ81" s="123" cm="1">
        <f t="array" ref="BQ81">INDEX(Properties!$D:$D,$B81+5)*(IF(BQ$3=INDEX(Properties!$U:$U,$B81+5),INDEX(Properties!$P:$P,$B81+5),0))</f>
        <v>0</v>
      </c>
      <c r="BR81" s="123" cm="1">
        <f t="array" ref="BR81">INDEX(Properties!$D:$D,$B81+5)*(IF(BR$3=INDEX(Properties!$U:$U,$B81+5),INDEX(Properties!$P:$P,$B81+5),0))</f>
        <v>0</v>
      </c>
      <c r="BS81" s="123" cm="1">
        <f t="array" ref="BS81">INDEX(Properties!$D:$D,$B81+5)*(IF(BS$3=INDEX(Properties!$U:$U,$B81+5),INDEX(Properties!$P:$P,$B81+5),0))</f>
        <v>0</v>
      </c>
      <c r="BT81" s="123" cm="1">
        <f t="array" ref="BT81">INDEX(Properties!$D:$D,$B81+5)*(IF(BT$3=INDEX(Properties!$U:$U,$B81+5),INDEX(Properties!$P:$P,$B81+5),0))</f>
        <v>0</v>
      </c>
      <c r="BU81" s="123" cm="1">
        <f t="array" ref="BU81">INDEX(Properties!$D:$D,$B81+5)*(IF(BU$3=INDEX(Properties!$U:$U,$B81+5),INDEX(Properties!$P:$P,$B81+5),0))</f>
        <v>0</v>
      </c>
      <c r="BV81" s="123" cm="1">
        <f t="array" ref="BV81">INDEX(Properties!$D:$D,$B81+5)*(IF(BV$3=INDEX(Properties!$U:$U,$B81+5),INDEX(Properties!$P:$P,$B81+5),0))</f>
        <v>0</v>
      </c>
      <c r="BW81" s="123" cm="1">
        <f t="array" ref="BW81">INDEX(Properties!$D:$D,$B81+5)*(IF(BW$3=INDEX(Properties!$U:$U,$B81+5),INDEX(Properties!$P:$P,$B81+5),0))</f>
        <v>0</v>
      </c>
      <c r="BX81" s="123" cm="1">
        <f t="array" ref="BX81">INDEX(Properties!$D:$D,$B81+5)*(IF(BX$3=INDEX(Properties!$U:$U,$B81+5),INDEX(Properties!$P:$P,$B81+5),0))</f>
        <v>0</v>
      </c>
      <c r="BY81" s="123" cm="1">
        <f t="array" ref="BY81">INDEX(Properties!$D:$D,$B81+5)*(IF(BY$3=INDEX(Properties!$U:$U,$B81+5),INDEX(Properties!$P:$P,$B81+5),0))</f>
        <v>0</v>
      </c>
      <c r="BZ81" s="123" cm="1">
        <f t="array" ref="BZ81">INDEX(Properties!$D:$D,$B81+5)*(IF(BZ$3=INDEX(Properties!$U:$U,$B81+5),INDEX(Properties!$P:$P,$B81+5),0))</f>
        <v>0</v>
      </c>
      <c r="CA81" s="123" cm="1">
        <f t="array" ref="CA81">INDEX(Properties!$D:$D,$B81+5)*(IF(CA$3=INDEX(Properties!$U:$U,$B81+5),INDEX(Properties!$P:$P,$B81+5),0))</f>
        <v>0</v>
      </c>
      <c r="CB81" s="123" cm="1">
        <f t="array" ref="CB81">INDEX(Properties!$D:$D,$B81+5)*(IF(CB$3=INDEX(Properties!$U:$U,$B81+5),INDEX(Properties!$P:$P,$B81+5),0))</f>
        <v>0</v>
      </c>
      <c r="CC81" s="123" cm="1">
        <f t="array" ref="CC81">INDEX(Properties!$D:$D,$B81+5)*(IF(CC$3=INDEX(Properties!$U:$U,$B81+5),INDEX(Properties!$P:$P,$B81+5),0))</f>
        <v>0</v>
      </c>
      <c r="CD81" s="123" cm="1">
        <f t="array" ref="CD81">INDEX(Properties!$D:$D,$B81+5)*(IF(CD$3=INDEX(Properties!$U:$U,$B81+5),INDEX(Properties!$P:$P,$B81+5),0))</f>
        <v>0</v>
      </c>
      <c r="CE81" s="123" cm="1">
        <f t="array" ref="CE81">INDEX(Properties!$D:$D,$B81+5)*(IF(CE$3=INDEX(Properties!$U:$U,$B81+5),INDEX(Properties!$P:$P,$B81+5),0))</f>
        <v>0</v>
      </c>
      <c r="CF81" s="123" cm="1">
        <f t="array" ref="CF81">INDEX(Properties!$D:$D,$B81+5)*(IF(CF$3=INDEX(Properties!$U:$U,$B81+5),INDEX(Properties!$P:$P,$B81+5),0))</f>
        <v>0</v>
      </c>
      <c r="CG81" s="123" cm="1">
        <f t="array" ref="CG81">INDEX(Properties!$D:$D,$B81+5)*(IF(CG$3=INDEX(Properties!$U:$U,$B81+5),INDEX(Properties!$P:$P,$B81+5),0))</f>
        <v>0</v>
      </c>
      <c r="CH81" s="123" cm="1">
        <f t="array" ref="CH81">INDEX(Properties!$D:$D,$B81+5)*(IF(CH$3=INDEX(Properties!$U:$U,$B81+5),INDEX(Properties!$P:$P,$B81+5),0))</f>
        <v>0</v>
      </c>
      <c r="CI81" s="123" cm="1">
        <f t="array" ref="CI81">INDEX(Properties!$D:$D,$B81+5)*(IF(CI$3=INDEX(Properties!$U:$U,$B81+5),INDEX(Properties!$P:$P,$B81+5),0))</f>
        <v>0</v>
      </c>
      <c r="CJ81" s="123" cm="1">
        <f t="array" ref="CJ81">INDEX(Properties!$D:$D,$B81+5)*(IF(CJ$3=INDEX(Properties!$U:$U,$B81+5),INDEX(Properties!$P:$P,$B81+5),0))</f>
        <v>0</v>
      </c>
      <c r="CK81" s="123" cm="1">
        <f t="array" ref="CK81">INDEX(Properties!$D:$D,$B81+5)*(IF(CK$3=INDEX(Properties!$U:$U,$B81+5),INDEX(Properties!$P:$P,$B81+5),0))</f>
        <v>0</v>
      </c>
      <c r="CL81" s="123" cm="1">
        <f t="array" ref="CL81">INDEX(Properties!$D:$D,$B81+5)*(IF(CL$3=INDEX(Properties!$U:$U,$B81+5),INDEX(Properties!$P:$P,$B81+5),0))</f>
        <v>0</v>
      </c>
      <c r="CM81" s="123" cm="1">
        <f t="array" ref="CM81">INDEX(Properties!$D:$D,$B81+5)*(IF(CM$3=INDEX(Properties!$U:$U,$B81+5),INDEX(Properties!$P:$P,$B81+5),0))</f>
        <v>0</v>
      </c>
      <c r="CN81" s="123" cm="1">
        <f t="array" ref="CN81">INDEX(Properties!$D:$D,$B81+5)*(IF(CN$3=INDEX(Properties!$U:$U,$B81+5),INDEX(Properties!$P:$P,$B81+5),0))</f>
        <v>0</v>
      </c>
      <c r="CO81" s="123" cm="1">
        <f t="array" ref="CO81">INDEX(Properties!$D:$D,$B81+5)*(IF(CO$3=INDEX(Properties!$U:$U,$B81+5),INDEX(Properties!$P:$P,$B81+5),0))</f>
        <v>0</v>
      </c>
      <c r="CP81" s="123" cm="1">
        <f t="array" ref="CP81">INDEX(Properties!$D:$D,$B81+5)*(IF(CP$3=INDEX(Properties!$U:$U,$B81+5),INDEX(Properties!$P:$P,$B81+5),0))</f>
        <v>0</v>
      </c>
      <c r="CQ81" s="123" cm="1">
        <f t="array" ref="CQ81">INDEX(Properties!$D:$D,$B81+5)*(IF(CQ$3=INDEX(Properties!$U:$U,$B81+5),INDEX(Properties!$P:$P,$B81+5),0))</f>
        <v>0</v>
      </c>
      <c r="CR81" s="123" cm="1">
        <f t="array" ref="CR81">INDEX(Properties!$D:$D,$B81+5)*(IF(CR$3=INDEX(Properties!$U:$U,$B81+5),INDEX(Properties!$P:$P,$B81+5),0))</f>
        <v>0</v>
      </c>
      <c r="CS81" s="123" cm="1">
        <f t="array" ref="CS81">INDEX(Properties!$D:$D,$B81+5)*(IF(CS$3=INDEX(Properties!$U:$U,$B81+5),INDEX(Properties!$P:$P,$B81+5),0))</f>
        <v>0</v>
      </c>
      <c r="CT81" s="123" cm="1">
        <f t="array" ref="CT81">INDEX(Properties!$D:$D,$B81+5)*(IF(CT$3=INDEX(Properties!$U:$U,$B81+5),INDEX(Properties!$P:$P,$B81+5),0))</f>
        <v>0</v>
      </c>
      <c r="CU81" s="123" cm="1">
        <f t="array" ref="CU81">INDEX(Properties!$D:$D,$B81+5)*(IF(CU$3=INDEX(Properties!$U:$U,$B81+5),INDEX(Properties!$P:$P,$B81+5),0))</f>
        <v>0</v>
      </c>
      <c r="CV81" s="123" cm="1">
        <f t="array" ref="CV81">INDEX(Properties!$D:$D,$B81+5)*(IF(CV$3=INDEX(Properties!$U:$U,$B81+5),INDEX(Properties!$P:$P,$B81+5),0))</f>
        <v>0</v>
      </c>
      <c r="CW81" s="123" cm="1">
        <f t="array" ref="CW81">INDEX(Properties!$D:$D,$B81+5)*(IF(CW$3=INDEX(Properties!$U:$U,$B81+5),INDEX(Properties!$P:$P,$B81+5),0))</f>
        <v>0</v>
      </c>
      <c r="CX81" s="123" cm="1">
        <f t="array" ref="CX81">INDEX(Properties!$D:$D,$B81+5)*(IF(CX$3=INDEX(Properties!$U:$U,$B81+5),INDEX(Properties!$P:$P,$B81+5),0))</f>
        <v>0</v>
      </c>
      <c r="CY81" s="123" cm="1">
        <f t="array" ref="CY81">INDEX(Properties!$D:$D,$B81+5)*(IF(CY$3=INDEX(Properties!$U:$U,$B81+5),INDEX(Properties!$P:$P,$B81+5),0))</f>
        <v>0</v>
      </c>
      <c r="CZ81" s="123" cm="1">
        <f t="array" ref="CZ81">INDEX(Properties!$D:$D,$B81+5)*(IF(CZ$3=INDEX(Properties!$U:$U,$B81+5),INDEX(Properties!$P:$P,$B81+5),0))</f>
        <v>0</v>
      </c>
      <c r="DA81" s="123" cm="1">
        <f t="array" ref="DA81">INDEX(Properties!$D:$D,$B81+5)*(IF(DA$3=INDEX(Properties!$U:$U,$B81+5),INDEX(Properties!$P:$P,$B81+5),0))</f>
        <v>0</v>
      </c>
      <c r="DB81" s="123" cm="1">
        <f t="array" ref="DB81">INDEX(Properties!$D:$D,$B81+5)*(IF(DB$3=INDEX(Properties!$U:$U,$B81+5),INDEX(Properties!$P:$P,$B81+5),0))</f>
        <v>0</v>
      </c>
      <c r="DC81" s="123" cm="1">
        <f t="array" ref="DC81">INDEX(Properties!$D:$D,$B81+5)*(IF(DC$3=INDEX(Properties!$U:$U,$B81+5),INDEX(Properties!$P:$P,$B81+5),0))</f>
        <v>0</v>
      </c>
      <c r="DD81" s="123" cm="1">
        <f t="array" ref="DD81">INDEX(Properties!$D:$D,$B81+5)*(IF(DD$3=INDEX(Properties!$U:$U,$B81+5),INDEX(Properties!$P:$P,$B81+5),0))</f>
        <v>0</v>
      </c>
      <c r="DE81" s="123" cm="1">
        <f t="array" ref="DE81">INDEX(Properties!$D:$D,$B81+5)*(IF(DE$3=INDEX(Properties!$U:$U,$B81+5),INDEX(Properties!$P:$P,$B81+5),0))</f>
        <v>0</v>
      </c>
      <c r="DF81" s="123" cm="1">
        <f t="array" ref="DF81">INDEX(Properties!$D:$D,$B81+5)*(IF(DF$3=INDEX(Properties!$U:$U,$B81+5),INDEX(Properties!$P:$P,$B81+5),0))</f>
        <v>0</v>
      </c>
      <c r="DG81" s="123" cm="1">
        <f t="array" ref="DG81">INDEX(Properties!$D:$D,$B81+5)*(IF(DG$3=INDEX(Properties!$U:$U,$B81+5),INDEX(Properties!$P:$P,$B81+5),0))</f>
        <v>0</v>
      </c>
      <c r="DH81" s="123" cm="1">
        <f t="array" ref="DH81">INDEX(Properties!$D:$D,$B81+5)*(IF(DH$3=INDEX(Properties!$U:$U,$B81+5),INDEX(Properties!$P:$P,$B81+5),0))</f>
        <v>0</v>
      </c>
      <c r="DI81" s="123" cm="1">
        <f t="array" ref="DI81">INDEX(Properties!$D:$D,$B81+5)*(IF(DI$3=INDEX(Properties!$U:$U,$B81+5),INDEX(Properties!$P:$P,$B81+5),0))</f>
        <v>0</v>
      </c>
      <c r="DJ81" s="123" cm="1">
        <f t="array" ref="DJ81">INDEX(Properties!$D:$D,$B81+5)*(IF(DJ$3=INDEX(Properties!$U:$U,$B81+5),INDEX(Properties!$P:$P,$B81+5),0))</f>
        <v>0</v>
      </c>
      <c r="DK81" s="123" cm="1">
        <f t="array" ref="DK81">INDEX(Properties!$D:$D,$B81+5)*(IF(DK$3=INDEX(Properties!$U:$U,$B81+5),INDEX(Properties!$P:$P,$B81+5),0))</f>
        <v>0</v>
      </c>
      <c r="DL81" s="123" cm="1">
        <f t="array" ref="DL81">INDEX(Properties!$D:$D,$B81+5)*(IF(DL$3=INDEX(Properties!$U:$U,$B81+5),INDEX(Properties!$P:$P,$B81+5),0))</f>
        <v>0</v>
      </c>
      <c r="DM81" s="123" cm="1">
        <f t="array" ref="DM81">INDEX(Properties!$D:$D,$B81+5)*(IF(DM$3=INDEX(Properties!$U:$U,$B81+5),INDEX(Properties!$P:$P,$B81+5),0))</f>
        <v>0</v>
      </c>
      <c r="DN81" s="123" cm="1">
        <f t="array" ref="DN81">INDEX(Properties!$D:$D,$B81+5)*(IF(DN$3=INDEX(Properties!$U:$U,$B81+5),INDEX(Properties!$P:$P,$B81+5),0))</f>
        <v>0</v>
      </c>
      <c r="DO81" s="123" cm="1">
        <f t="array" ref="DO81">INDEX(Properties!$D:$D,$B81+5)*(IF(DO$3=INDEX(Properties!$U:$U,$B81+5),INDEX(Properties!$P:$P,$B81+5),0))</f>
        <v>0</v>
      </c>
      <c r="DP81" s="123" cm="1">
        <f t="array" ref="DP81">INDEX(Properties!$D:$D,$B81+5)*(IF(DP$3=INDEX(Properties!$U:$U,$B81+5),INDEX(Properties!$P:$P,$B81+5),0))</f>
        <v>0</v>
      </c>
      <c r="DQ81" s="123" cm="1">
        <f t="array" ref="DQ81">INDEX(Properties!$D:$D,$B81+5)*(IF(DQ$3=INDEX(Properties!$U:$U,$B81+5),INDEX(Properties!$P:$P,$B81+5),0))</f>
        <v>0</v>
      </c>
      <c r="DR81" s="123" cm="1">
        <f t="array" ref="DR81">INDEX(Properties!$D:$D,$B81+5)*(IF(DR$3=INDEX(Properties!$U:$U,$B81+5),INDEX(Properties!$P:$P,$B81+5),0))</f>
        <v>0</v>
      </c>
    </row>
    <row r="82" spans="1:122" ht="16.05" customHeight="1" x14ac:dyDescent="0.3">
      <c r="A82" s="148" cm="1">
        <f t="array" ref="A82">INDEX(Properties!$E:$E,$B82+5)</f>
        <v>0</v>
      </c>
      <c r="B82" s="1">
        <v>8</v>
      </c>
      <c r="C82" s="123" cm="1">
        <f t="array" ref="C82">INDEX(Properties!$D:$D,$B82+5)*(IF(C$3=INDEX(Properties!$U:$U,$B82+5),INDEX(Properties!$P:$P,$B82+5),0))</f>
        <v>0</v>
      </c>
      <c r="D82" s="123" cm="1">
        <f t="array" ref="D82">INDEX(Properties!$D:$D,$B82+5)*(IF(D$3=INDEX(Properties!$U:$U,$B82+5),INDEX(Properties!$P:$P,$B82+5),0))</f>
        <v>0</v>
      </c>
      <c r="E82" s="123" cm="1">
        <f t="array" ref="E82">INDEX(Properties!$D:$D,$B82+5)*(IF(E$3=INDEX(Properties!$U:$U,$B82+5),INDEX(Properties!$P:$P,$B82+5),0))</f>
        <v>0</v>
      </c>
      <c r="F82" s="123" cm="1">
        <f t="array" ref="F82">INDEX(Properties!$D:$D,$B82+5)*(IF(F$3=INDEX(Properties!$U:$U,$B82+5),INDEX(Properties!$P:$P,$B82+5),0))</f>
        <v>0</v>
      </c>
      <c r="G82" s="123" cm="1">
        <f t="array" ref="G82">INDEX(Properties!$D:$D,$B82+5)*(IF(G$3=INDEX(Properties!$U:$U,$B82+5),INDEX(Properties!$P:$P,$B82+5),0))</f>
        <v>0</v>
      </c>
      <c r="H82" s="123" cm="1">
        <f t="array" ref="H82">INDEX(Properties!$D:$D,$B82+5)*(IF(H$3=INDEX(Properties!$U:$U,$B82+5),INDEX(Properties!$P:$P,$B82+5),0))</f>
        <v>0</v>
      </c>
      <c r="I82" s="123" cm="1">
        <f t="array" ref="I82">INDEX(Properties!$D:$D,$B82+5)*(IF(I$3=INDEX(Properties!$U:$U,$B82+5),INDEX(Properties!$P:$P,$B82+5),0))</f>
        <v>0</v>
      </c>
      <c r="J82" s="123" cm="1">
        <f t="array" ref="J82">INDEX(Properties!$D:$D,$B82+5)*(IF(J$3=INDEX(Properties!$U:$U,$B82+5),INDEX(Properties!$P:$P,$B82+5),0))</f>
        <v>0</v>
      </c>
      <c r="K82" s="123" cm="1">
        <f t="array" ref="K82">INDEX(Properties!$D:$D,$B82+5)*(IF(K$3=INDEX(Properties!$U:$U,$B82+5),INDEX(Properties!$P:$P,$B82+5),0))</f>
        <v>0</v>
      </c>
      <c r="L82" s="123" cm="1">
        <f t="array" ref="L82">INDEX(Properties!$D:$D,$B82+5)*(IF(L$3=INDEX(Properties!$U:$U,$B82+5),INDEX(Properties!$P:$P,$B82+5),0))</f>
        <v>0</v>
      </c>
      <c r="M82" s="123" cm="1">
        <f t="array" ref="M82">INDEX(Properties!$D:$D,$B82+5)*(IF(M$3=INDEX(Properties!$U:$U,$B82+5),INDEX(Properties!$P:$P,$B82+5),0))</f>
        <v>0</v>
      </c>
      <c r="N82" s="123" cm="1">
        <f t="array" ref="N82">INDEX(Properties!$D:$D,$B82+5)*(IF(N$3=INDEX(Properties!$U:$U,$B82+5),INDEX(Properties!$P:$P,$B82+5),0))</f>
        <v>0</v>
      </c>
      <c r="O82" s="123" cm="1">
        <f t="array" ref="O82">INDEX(Properties!$D:$D,$B82+5)*(IF(O$3=INDEX(Properties!$U:$U,$B82+5),INDEX(Properties!$P:$P,$B82+5),0))</f>
        <v>0</v>
      </c>
      <c r="P82" s="123" cm="1">
        <f t="array" ref="P82">INDEX(Properties!$D:$D,$B82+5)*(IF(P$3=INDEX(Properties!$U:$U,$B82+5),INDEX(Properties!$P:$P,$B82+5),0))</f>
        <v>0</v>
      </c>
      <c r="Q82" s="123" cm="1">
        <f t="array" ref="Q82">INDEX(Properties!$D:$D,$B82+5)*(IF(Q$3=INDEX(Properties!$U:$U,$B82+5),INDEX(Properties!$P:$P,$B82+5),0))</f>
        <v>0</v>
      </c>
      <c r="R82" s="123" cm="1">
        <f t="array" ref="R82">INDEX(Properties!$D:$D,$B82+5)*(IF(R$3=INDEX(Properties!$U:$U,$B82+5),INDEX(Properties!$P:$P,$B82+5),0))</f>
        <v>0</v>
      </c>
      <c r="S82" s="123" cm="1">
        <f t="array" ref="S82">INDEX(Properties!$D:$D,$B82+5)*(IF(S$3=INDEX(Properties!$U:$U,$B82+5),INDEX(Properties!$P:$P,$B82+5),0))</f>
        <v>0</v>
      </c>
      <c r="T82" s="123" cm="1">
        <f t="array" ref="T82">INDEX(Properties!$D:$D,$B82+5)*(IF(T$3=INDEX(Properties!$U:$U,$B82+5),INDEX(Properties!$P:$P,$B82+5),0))</f>
        <v>0</v>
      </c>
      <c r="U82" s="123" cm="1">
        <f t="array" ref="U82">INDEX(Properties!$D:$D,$B82+5)*(IF(U$3=INDEX(Properties!$U:$U,$B82+5),INDEX(Properties!$P:$P,$B82+5),0))</f>
        <v>0</v>
      </c>
      <c r="V82" s="123" cm="1">
        <f t="array" ref="V82">INDEX(Properties!$D:$D,$B82+5)*(IF(V$3=INDEX(Properties!$U:$U,$B82+5),INDEX(Properties!$P:$P,$B82+5),0))</f>
        <v>0</v>
      </c>
      <c r="W82" s="123" cm="1">
        <f t="array" ref="W82">INDEX(Properties!$D:$D,$B82+5)*(IF(W$3=INDEX(Properties!$U:$U,$B82+5),INDEX(Properties!$P:$P,$B82+5),0))</f>
        <v>0</v>
      </c>
      <c r="X82" s="123" cm="1">
        <f t="array" ref="X82">INDEX(Properties!$D:$D,$B82+5)*(IF(X$3=INDEX(Properties!$U:$U,$B82+5),INDEX(Properties!$P:$P,$B82+5),0))</f>
        <v>0</v>
      </c>
      <c r="Y82" s="123" cm="1">
        <f t="array" ref="Y82">INDEX(Properties!$D:$D,$B82+5)*(IF(Y$3=INDEX(Properties!$U:$U,$B82+5),INDEX(Properties!$P:$P,$B82+5),0))</f>
        <v>0</v>
      </c>
      <c r="Z82" s="123" cm="1">
        <f t="array" ref="Z82">INDEX(Properties!$D:$D,$B82+5)*(IF(Z$3=INDEX(Properties!$U:$U,$B82+5),INDEX(Properties!$P:$P,$B82+5),0))</f>
        <v>0</v>
      </c>
      <c r="AA82" s="123" cm="1">
        <f t="array" ref="AA82">INDEX(Properties!$D:$D,$B82+5)*(IF(AA$3=INDEX(Properties!$U:$U,$B82+5),INDEX(Properties!$P:$P,$B82+5),0))</f>
        <v>0</v>
      </c>
      <c r="AB82" s="123" cm="1">
        <f t="array" ref="AB82">INDEX(Properties!$D:$D,$B82+5)*(IF(AB$3=INDEX(Properties!$U:$U,$B82+5),INDEX(Properties!$P:$P,$B82+5),0))</f>
        <v>0</v>
      </c>
      <c r="AC82" s="123" cm="1">
        <f t="array" ref="AC82">INDEX(Properties!$D:$D,$B82+5)*(IF(AC$3=INDEX(Properties!$U:$U,$B82+5),INDEX(Properties!$P:$P,$B82+5),0))</f>
        <v>0</v>
      </c>
      <c r="AD82" s="123" cm="1">
        <f t="array" ref="AD82">INDEX(Properties!$D:$D,$B82+5)*(IF(AD$3=INDEX(Properties!$U:$U,$B82+5),INDEX(Properties!$P:$P,$B82+5),0))</f>
        <v>0</v>
      </c>
      <c r="AE82" s="123" cm="1">
        <f t="array" ref="AE82">INDEX(Properties!$D:$D,$B82+5)*(IF(AE$3=INDEX(Properties!$U:$U,$B82+5),INDEX(Properties!$P:$P,$B82+5),0))</f>
        <v>0</v>
      </c>
      <c r="AF82" s="123" cm="1">
        <f t="array" ref="AF82">INDEX(Properties!$D:$D,$B82+5)*(IF(AF$3=INDEX(Properties!$U:$U,$B82+5),INDEX(Properties!$P:$P,$B82+5),0))</f>
        <v>0</v>
      </c>
      <c r="AG82" s="123" cm="1">
        <f t="array" ref="AG82">INDEX(Properties!$D:$D,$B82+5)*(IF(AG$3=INDEX(Properties!$U:$U,$B82+5),INDEX(Properties!$P:$P,$B82+5),0))</f>
        <v>0</v>
      </c>
      <c r="AH82" s="123" cm="1">
        <f t="array" ref="AH82">INDEX(Properties!$D:$D,$B82+5)*(IF(AH$3=INDEX(Properties!$U:$U,$B82+5),INDEX(Properties!$P:$P,$B82+5),0))</f>
        <v>0</v>
      </c>
      <c r="AI82" s="123" cm="1">
        <f t="array" ref="AI82">INDEX(Properties!$D:$D,$B82+5)*(IF(AI$3=INDEX(Properties!$U:$U,$B82+5),INDEX(Properties!$P:$P,$B82+5),0))</f>
        <v>0</v>
      </c>
      <c r="AJ82" s="123" cm="1">
        <f t="array" ref="AJ82">INDEX(Properties!$D:$D,$B82+5)*(IF(AJ$3=INDEX(Properties!$U:$U,$B82+5),INDEX(Properties!$P:$P,$B82+5),0))</f>
        <v>0</v>
      </c>
      <c r="AK82" s="123" cm="1">
        <f t="array" ref="AK82">INDEX(Properties!$D:$D,$B82+5)*(IF(AK$3=INDEX(Properties!$U:$U,$B82+5),INDEX(Properties!$P:$P,$B82+5),0))</f>
        <v>0</v>
      </c>
      <c r="AL82" s="123" cm="1">
        <f t="array" ref="AL82">INDEX(Properties!$D:$D,$B82+5)*(IF(AL$3=INDEX(Properties!$U:$U,$B82+5),INDEX(Properties!$P:$P,$B82+5),0))</f>
        <v>0</v>
      </c>
      <c r="AM82" s="123" cm="1">
        <f t="array" ref="AM82">INDEX(Properties!$D:$D,$B82+5)*(IF(AM$3=INDEX(Properties!$U:$U,$B82+5),INDEX(Properties!$P:$P,$B82+5),0))</f>
        <v>0</v>
      </c>
      <c r="AN82" s="123" cm="1">
        <f t="array" ref="AN82">INDEX(Properties!$D:$D,$B82+5)*(IF(AN$3=INDEX(Properties!$U:$U,$B82+5),INDEX(Properties!$P:$P,$B82+5),0))</f>
        <v>0</v>
      </c>
      <c r="AO82" s="123" cm="1">
        <f t="array" ref="AO82">INDEX(Properties!$D:$D,$B82+5)*(IF(AO$3=INDEX(Properties!$U:$U,$B82+5),INDEX(Properties!$P:$P,$B82+5),0))</f>
        <v>0</v>
      </c>
      <c r="AP82" s="123" cm="1">
        <f t="array" ref="AP82">INDEX(Properties!$D:$D,$B82+5)*(IF(AP$3=INDEX(Properties!$U:$U,$B82+5),INDEX(Properties!$P:$P,$B82+5),0))</f>
        <v>0</v>
      </c>
      <c r="AQ82" s="123" cm="1">
        <f t="array" ref="AQ82">INDEX(Properties!$D:$D,$B82+5)*(IF(AQ$3=INDEX(Properties!$U:$U,$B82+5),INDEX(Properties!$P:$P,$B82+5),0))</f>
        <v>0</v>
      </c>
      <c r="AR82" s="123" cm="1">
        <f t="array" ref="AR82">INDEX(Properties!$D:$D,$B82+5)*(IF(AR$3=INDEX(Properties!$U:$U,$B82+5),INDEX(Properties!$P:$P,$B82+5),0))</f>
        <v>0</v>
      </c>
      <c r="AS82" s="123" cm="1">
        <f t="array" ref="AS82">INDEX(Properties!$D:$D,$B82+5)*(IF(AS$3=INDEX(Properties!$U:$U,$B82+5),INDEX(Properties!$P:$P,$B82+5),0))</f>
        <v>0</v>
      </c>
      <c r="AT82" s="123" cm="1">
        <f t="array" ref="AT82">INDEX(Properties!$D:$D,$B82+5)*(IF(AT$3=INDEX(Properties!$U:$U,$B82+5),INDEX(Properties!$P:$P,$B82+5),0))</f>
        <v>0</v>
      </c>
      <c r="AU82" s="123" cm="1">
        <f t="array" ref="AU82">INDEX(Properties!$D:$D,$B82+5)*(IF(AU$3=INDEX(Properties!$U:$U,$B82+5),INDEX(Properties!$P:$P,$B82+5),0))</f>
        <v>0</v>
      </c>
      <c r="AV82" s="123" cm="1">
        <f t="array" ref="AV82">INDEX(Properties!$D:$D,$B82+5)*(IF(AV$3=INDEX(Properties!$U:$U,$B82+5),INDEX(Properties!$P:$P,$B82+5),0))</f>
        <v>0</v>
      </c>
      <c r="AW82" s="123" cm="1">
        <f t="array" ref="AW82">INDEX(Properties!$D:$D,$B82+5)*(IF(AW$3=INDEX(Properties!$U:$U,$B82+5),INDEX(Properties!$P:$P,$B82+5),0))</f>
        <v>0</v>
      </c>
      <c r="AX82" s="123" cm="1">
        <f t="array" ref="AX82">INDEX(Properties!$D:$D,$B82+5)*(IF(AX$3=INDEX(Properties!$U:$U,$B82+5),INDEX(Properties!$P:$P,$B82+5),0))</f>
        <v>0</v>
      </c>
      <c r="AY82" s="123" cm="1">
        <f t="array" ref="AY82">INDEX(Properties!$D:$D,$B82+5)*(IF(AY$3=INDEX(Properties!$U:$U,$B82+5),INDEX(Properties!$P:$P,$B82+5),0))</f>
        <v>0</v>
      </c>
      <c r="AZ82" s="123" cm="1">
        <f t="array" ref="AZ82">INDEX(Properties!$D:$D,$B82+5)*(IF(AZ$3=INDEX(Properties!$U:$U,$B82+5),INDEX(Properties!$P:$P,$B82+5),0))</f>
        <v>0</v>
      </c>
      <c r="BA82" s="123" cm="1">
        <f t="array" ref="BA82">INDEX(Properties!$D:$D,$B82+5)*(IF(BA$3=INDEX(Properties!$U:$U,$B82+5),INDEX(Properties!$P:$P,$B82+5),0))</f>
        <v>0</v>
      </c>
      <c r="BB82" s="123" cm="1">
        <f t="array" ref="BB82">INDEX(Properties!$D:$D,$B82+5)*(IF(BB$3=INDEX(Properties!$U:$U,$B82+5),INDEX(Properties!$P:$P,$B82+5),0))</f>
        <v>0</v>
      </c>
      <c r="BC82" s="123" cm="1">
        <f t="array" ref="BC82">INDEX(Properties!$D:$D,$B82+5)*(IF(BC$3=INDEX(Properties!$U:$U,$B82+5),INDEX(Properties!$P:$P,$B82+5),0))</f>
        <v>0</v>
      </c>
      <c r="BD82" s="123" cm="1">
        <f t="array" ref="BD82">INDEX(Properties!$D:$D,$B82+5)*(IF(BD$3=INDEX(Properties!$U:$U,$B82+5),INDEX(Properties!$P:$P,$B82+5),0))</f>
        <v>0</v>
      </c>
      <c r="BE82" s="123" cm="1">
        <f t="array" ref="BE82">INDEX(Properties!$D:$D,$B82+5)*(IF(BE$3=INDEX(Properties!$U:$U,$B82+5),INDEX(Properties!$P:$P,$B82+5),0))</f>
        <v>0</v>
      </c>
      <c r="BF82" s="123" cm="1">
        <f t="array" ref="BF82">INDEX(Properties!$D:$D,$B82+5)*(IF(BF$3=INDEX(Properties!$U:$U,$B82+5),INDEX(Properties!$P:$P,$B82+5),0))</f>
        <v>0</v>
      </c>
      <c r="BG82" s="123" cm="1">
        <f t="array" ref="BG82">INDEX(Properties!$D:$D,$B82+5)*(IF(BG$3=INDEX(Properties!$U:$U,$B82+5),INDEX(Properties!$P:$P,$B82+5),0))</f>
        <v>0</v>
      </c>
      <c r="BH82" s="123" cm="1">
        <f t="array" ref="BH82">INDEX(Properties!$D:$D,$B82+5)*(IF(BH$3=INDEX(Properties!$U:$U,$B82+5),INDEX(Properties!$P:$P,$B82+5),0))</f>
        <v>0</v>
      </c>
      <c r="BI82" s="123" cm="1">
        <f t="array" ref="BI82">INDEX(Properties!$D:$D,$B82+5)*(IF(BI$3=INDEX(Properties!$U:$U,$B82+5),INDEX(Properties!$P:$P,$B82+5),0))</f>
        <v>0</v>
      </c>
      <c r="BJ82" s="123" cm="1">
        <f t="array" ref="BJ82">INDEX(Properties!$D:$D,$B82+5)*(IF(BJ$3=INDEX(Properties!$U:$U,$B82+5),INDEX(Properties!$P:$P,$B82+5),0))</f>
        <v>0</v>
      </c>
      <c r="BK82" s="123" cm="1">
        <f t="array" ref="BK82">INDEX(Properties!$D:$D,$B82+5)*(IF(BK$3=INDEX(Properties!$U:$U,$B82+5),INDEX(Properties!$P:$P,$B82+5),0))</f>
        <v>0</v>
      </c>
      <c r="BL82" s="123" cm="1">
        <f t="array" ref="BL82">INDEX(Properties!$D:$D,$B82+5)*(IF(BL$3=INDEX(Properties!$U:$U,$B82+5),INDEX(Properties!$P:$P,$B82+5),0))</f>
        <v>0</v>
      </c>
      <c r="BM82" s="123" cm="1">
        <f t="array" ref="BM82">INDEX(Properties!$D:$D,$B82+5)*(IF(BM$3=INDEX(Properties!$U:$U,$B82+5),INDEX(Properties!$P:$P,$B82+5),0))</f>
        <v>0</v>
      </c>
      <c r="BN82" s="123" cm="1">
        <f t="array" ref="BN82">INDEX(Properties!$D:$D,$B82+5)*(IF(BN$3=INDEX(Properties!$U:$U,$B82+5),INDEX(Properties!$P:$P,$B82+5),0))</f>
        <v>0</v>
      </c>
      <c r="BO82" s="123" cm="1">
        <f t="array" ref="BO82">INDEX(Properties!$D:$D,$B82+5)*(IF(BO$3=INDEX(Properties!$U:$U,$B82+5),INDEX(Properties!$P:$P,$B82+5),0))</f>
        <v>0</v>
      </c>
      <c r="BP82" s="123" cm="1">
        <f t="array" ref="BP82">INDEX(Properties!$D:$D,$B82+5)*(IF(BP$3=INDEX(Properties!$U:$U,$B82+5),INDEX(Properties!$P:$P,$B82+5),0))</f>
        <v>0</v>
      </c>
      <c r="BQ82" s="123" cm="1">
        <f t="array" ref="BQ82">INDEX(Properties!$D:$D,$B82+5)*(IF(BQ$3=INDEX(Properties!$U:$U,$B82+5),INDEX(Properties!$P:$P,$B82+5),0))</f>
        <v>0</v>
      </c>
      <c r="BR82" s="123" cm="1">
        <f t="array" ref="BR82">INDEX(Properties!$D:$D,$B82+5)*(IF(BR$3=INDEX(Properties!$U:$U,$B82+5),INDEX(Properties!$P:$P,$B82+5),0))</f>
        <v>0</v>
      </c>
      <c r="BS82" s="123" cm="1">
        <f t="array" ref="BS82">INDEX(Properties!$D:$D,$B82+5)*(IF(BS$3=INDEX(Properties!$U:$U,$B82+5),INDEX(Properties!$P:$P,$B82+5),0))</f>
        <v>0</v>
      </c>
      <c r="BT82" s="123" cm="1">
        <f t="array" ref="BT82">INDEX(Properties!$D:$D,$B82+5)*(IF(BT$3=INDEX(Properties!$U:$U,$B82+5),INDEX(Properties!$P:$P,$B82+5),0))</f>
        <v>0</v>
      </c>
      <c r="BU82" s="123" cm="1">
        <f t="array" ref="BU82">INDEX(Properties!$D:$D,$B82+5)*(IF(BU$3=INDEX(Properties!$U:$U,$B82+5),INDEX(Properties!$P:$P,$B82+5),0))</f>
        <v>0</v>
      </c>
      <c r="BV82" s="123" cm="1">
        <f t="array" ref="BV82">INDEX(Properties!$D:$D,$B82+5)*(IF(BV$3=INDEX(Properties!$U:$U,$B82+5),INDEX(Properties!$P:$P,$B82+5),0))</f>
        <v>0</v>
      </c>
      <c r="BW82" s="123" cm="1">
        <f t="array" ref="BW82">INDEX(Properties!$D:$D,$B82+5)*(IF(BW$3=INDEX(Properties!$U:$U,$B82+5),INDEX(Properties!$P:$P,$B82+5),0))</f>
        <v>0</v>
      </c>
      <c r="BX82" s="123" cm="1">
        <f t="array" ref="BX82">INDEX(Properties!$D:$D,$B82+5)*(IF(BX$3=INDEX(Properties!$U:$U,$B82+5),INDEX(Properties!$P:$P,$B82+5),0))</f>
        <v>0</v>
      </c>
      <c r="BY82" s="123" cm="1">
        <f t="array" ref="BY82">INDEX(Properties!$D:$D,$B82+5)*(IF(BY$3=INDEX(Properties!$U:$U,$B82+5),INDEX(Properties!$P:$P,$B82+5),0))</f>
        <v>0</v>
      </c>
      <c r="BZ82" s="123" cm="1">
        <f t="array" ref="BZ82">INDEX(Properties!$D:$D,$B82+5)*(IF(BZ$3=INDEX(Properties!$U:$U,$B82+5),INDEX(Properties!$P:$P,$B82+5),0))</f>
        <v>0</v>
      </c>
      <c r="CA82" s="123" cm="1">
        <f t="array" ref="CA82">INDEX(Properties!$D:$D,$B82+5)*(IF(CA$3=INDEX(Properties!$U:$U,$B82+5),INDEX(Properties!$P:$P,$B82+5),0))</f>
        <v>0</v>
      </c>
      <c r="CB82" s="123" cm="1">
        <f t="array" ref="CB82">INDEX(Properties!$D:$D,$B82+5)*(IF(CB$3=INDEX(Properties!$U:$U,$B82+5),INDEX(Properties!$P:$P,$B82+5),0))</f>
        <v>0</v>
      </c>
      <c r="CC82" s="123" cm="1">
        <f t="array" ref="CC82">INDEX(Properties!$D:$D,$B82+5)*(IF(CC$3=INDEX(Properties!$U:$U,$B82+5),INDEX(Properties!$P:$P,$B82+5),0))</f>
        <v>0</v>
      </c>
      <c r="CD82" s="123" cm="1">
        <f t="array" ref="CD82">INDEX(Properties!$D:$D,$B82+5)*(IF(CD$3=INDEX(Properties!$U:$U,$B82+5),INDEX(Properties!$P:$P,$B82+5),0))</f>
        <v>0</v>
      </c>
      <c r="CE82" s="123" cm="1">
        <f t="array" ref="CE82">INDEX(Properties!$D:$D,$B82+5)*(IF(CE$3=INDEX(Properties!$U:$U,$B82+5),INDEX(Properties!$P:$P,$B82+5),0))</f>
        <v>0</v>
      </c>
      <c r="CF82" s="123" cm="1">
        <f t="array" ref="CF82">INDEX(Properties!$D:$D,$B82+5)*(IF(CF$3=INDEX(Properties!$U:$U,$B82+5),INDEX(Properties!$P:$P,$B82+5),0))</f>
        <v>0</v>
      </c>
      <c r="CG82" s="123" cm="1">
        <f t="array" ref="CG82">INDEX(Properties!$D:$D,$B82+5)*(IF(CG$3=INDEX(Properties!$U:$U,$B82+5),INDEX(Properties!$P:$P,$B82+5),0))</f>
        <v>0</v>
      </c>
      <c r="CH82" s="123" cm="1">
        <f t="array" ref="CH82">INDEX(Properties!$D:$D,$B82+5)*(IF(CH$3=INDEX(Properties!$U:$U,$B82+5),INDEX(Properties!$P:$P,$B82+5),0))</f>
        <v>0</v>
      </c>
      <c r="CI82" s="123" cm="1">
        <f t="array" ref="CI82">INDEX(Properties!$D:$D,$B82+5)*(IF(CI$3=INDEX(Properties!$U:$U,$B82+5),INDEX(Properties!$P:$P,$B82+5),0))</f>
        <v>0</v>
      </c>
      <c r="CJ82" s="123" cm="1">
        <f t="array" ref="CJ82">INDEX(Properties!$D:$D,$B82+5)*(IF(CJ$3=INDEX(Properties!$U:$U,$B82+5),INDEX(Properties!$P:$P,$B82+5),0))</f>
        <v>0</v>
      </c>
      <c r="CK82" s="123" cm="1">
        <f t="array" ref="CK82">INDEX(Properties!$D:$D,$B82+5)*(IF(CK$3=INDEX(Properties!$U:$U,$B82+5),INDEX(Properties!$P:$P,$B82+5),0))</f>
        <v>0</v>
      </c>
      <c r="CL82" s="123" cm="1">
        <f t="array" ref="CL82">INDEX(Properties!$D:$D,$B82+5)*(IF(CL$3=INDEX(Properties!$U:$U,$B82+5),INDEX(Properties!$P:$P,$B82+5),0))</f>
        <v>0</v>
      </c>
      <c r="CM82" s="123" cm="1">
        <f t="array" ref="CM82">INDEX(Properties!$D:$D,$B82+5)*(IF(CM$3=INDEX(Properties!$U:$U,$B82+5),INDEX(Properties!$P:$P,$B82+5),0))</f>
        <v>0</v>
      </c>
      <c r="CN82" s="123" cm="1">
        <f t="array" ref="CN82">INDEX(Properties!$D:$D,$B82+5)*(IF(CN$3=INDEX(Properties!$U:$U,$B82+5),INDEX(Properties!$P:$P,$B82+5),0))</f>
        <v>0</v>
      </c>
      <c r="CO82" s="123" cm="1">
        <f t="array" ref="CO82">INDEX(Properties!$D:$D,$B82+5)*(IF(CO$3=INDEX(Properties!$U:$U,$B82+5),INDEX(Properties!$P:$P,$B82+5),0))</f>
        <v>0</v>
      </c>
      <c r="CP82" s="123" cm="1">
        <f t="array" ref="CP82">INDEX(Properties!$D:$D,$B82+5)*(IF(CP$3=INDEX(Properties!$U:$U,$B82+5),INDEX(Properties!$P:$P,$B82+5),0))</f>
        <v>0</v>
      </c>
      <c r="CQ82" s="123" cm="1">
        <f t="array" ref="CQ82">INDEX(Properties!$D:$D,$B82+5)*(IF(CQ$3=INDEX(Properties!$U:$U,$B82+5),INDEX(Properties!$P:$P,$B82+5),0))</f>
        <v>0</v>
      </c>
      <c r="CR82" s="123" cm="1">
        <f t="array" ref="CR82">INDEX(Properties!$D:$D,$B82+5)*(IF(CR$3=INDEX(Properties!$U:$U,$B82+5),INDEX(Properties!$P:$P,$B82+5),0))</f>
        <v>0</v>
      </c>
      <c r="CS82" s="123" cm="1">
        <f t="array" ref="CS82">INDEX(Properties!$D:$D,$B82+5)*(IF(CS$3=INDEX(Properties!$U:$U,$B82+5),INDEX(Properties!$P:$P,$B82+5),0))</f>
        <v>0</v>
      </c>
      <c r="CT82" s="123" cm="1">
        <f t="array" ref="CT82">INDEX(Properties!$D:$D,$B82+5)*(IF(CT$3=INDEX(Properties!$U:$U,$B82+5),INDEX(Properties!$P:$P,$B82+5),0))</f>
        <v>0</v>
      </c>
      <c r="CU82" s="123" cm="1">
        <f t="array" ref="CU82">INDEX(Properties!$D:$D,$B82+5)*(IF(CU$3=INDEX(Properties!$U:$U,$B82+5),INDEX(Properties!$P:$P,$B82+5),0))</f>
        <v>0</v>
      </c>
      <c r="CV82" s="123" cm="1">
        <f t="array" ref="CV82">INDEX(Properties!$D:$D,$B82+5)*(IF(CV$3=INDEX(Properties!$U:$U,$B82+5),INDEX(Properties!$P:$P,$B82+5),0))</f>
        <v>0</v>
      </c>
      <c r="CW82" s="123" cm="1">
        <f t="array" ref="CW82">INDEX(Properties!$D:$D,$B82+5)*(IF(CW$3=INDEX(Properties!$U:$U,$B82+5),INDEX(Properties!$P:$P,$B82+5),0))</f>
        <v>0</v>
      </c>
      <c r="CX82" s="123" cm="1">
        <f t="array" ref="CX82">INDEX(Properties!$D:$D,$B82+5)*(IF(CX$3=INDEX(Properties!$U:$U,$B82+5),INDEX(Properties!$P:$P,$B82+5),0))</f>
        <v>0</v>
      </c>
      <c r="CY82" s="123" cm="1">
        <f t="array" ref="CY82">INDEX(Properties!$D:$D,$B82+5)*(IF(CY$3=INDEX(Properties!$U:$U,$B82+5),INDEX(Properties!$P:$P,$B82+5),0))</f>
        <v>0</v>
      </c>
      <c r="CZ82" s="123" cm="1">
        <f t="array" ref="CZ82">INDEX(Properties!$D:$D,$B82+5)*(IF(CZ$3=INDEX(Properties!$U:$U,$B82+5),INDEX(Properties!$P:$P,$B82+5),0))</f>
        <v>0</v>
      </c>
      <c r="DA82" s="123" cm="1">
        <f t="array" ref="DA82">INDEX(Properties!$D:$D,$B82+5)*(IF(DA$3=INDEX(Properties!$U:$U,$B82+5),INDEX(Properties!$P:$P,$B82+5),0))</f>
        <v>0</v>
      </c>
      <c r="DB82" s="123" cm="1">
        <f t="array" ref="DB82">INDEX(Properties!$D:$D,$B82+5)*(IF(DB$3=INDEX(Properties!$U:$U,$B82+5),INDEX(Properties!$P:$P,$B82+5),0))</f>
        <v>0</v>
      </c>
      <c r="DC82" s="123" cm="1">
        <f t="array" ref="DC82">INDEX(Properties!$D:$D,$B82+5)*(IF(DC$3=INDEX(Properties!$U:$U,$B82+5),INDEX(Properties!$P:$P,$B82+5),0))</f>
        <v>0</v>
      </c>
      <c r="DD82" s="123" cm="1">
        <f t="array" ref="DD82">INDEX(Properties!$D:$D,$B82+5)*(IF(DD$3=INDEX(Properties!$U:$U,$B82+5),INDEX(Properties!$P:$P,$B82+5),0))</f>
        <v>0</v>
      </c>
      <c r="DE82" s="123" cm="1">
        <f t="array" ref="DE82">INDEX(Properties!$D:$D,$B82+5)*(IF(DE$3=INDEX(Properties!$U:$U,$B82+5),INDEX(Properties!$P:$P,$B82+5),0))</f>
        <v>0</v>
      </c>
      <c r="DF82" s="123" cm="1">
        <f t="array" ref="DF82">INDEX(Properties!$D:$D,$B82+5)*(IF(DF$3=INDEX(Properties!$U:$U,$B82+5),INDEX(Properties!$P:$P,$B82+5),0))</f>
        <v>0</v>
      </c>
      <c r="DG82" s="123" cm="1">
        <f t="array" ref="DG82">INDEX(Properties!$D:$D,$B82+5)*(IF(DG$3=INDEX(Properties!$U:$U,$B82+5),INDEX(Properties!$P:$P,$B82+5),0))</f>
        <v>0</v>
      </c>
      <c r="DH82" s="123" cm="1">
        <f t="array" ref="DH82">INDEX(Properties!$D:$D,$B82+5)*(IF(DH$3=INDEX(Properties!$U:$U,$B82+5),INDEX(Properties!$P:$P,$B82+5),0))</f>
        <v>0</v>
      </c>
      <c r="DI82" s="123" cm="1">
        <f t="array" ref="DI82">INDEX(Properties!$D:$D,$B82+5)*(IF(DI$3=INDEX(Properties!$U:$U,$B82+5),INDEX(Properties!$P:$P,$B82+5),0))</f>
        <v>0</v>
      </c>
      <c r="DJ82" s="123" cm="1">
        <f t="array" ref="DJ82">INDEX(Properties!$D:$D,$B82+5)*(IF(DJ$3=INDEX(Properties!$U:$U,$B82+5),INDEX(Properties!$P:$P,$B82+5),0))</f>
        <v>0</v>
      </c>
      <c r="DK82" s="123" cm="1">
        <f t="array" ref="DK82">INDEX(Properties!$D:$D,$B82+5)*(IF(DK$3=INDEX(Properties!$U:$U,$B82+5),INDEX(Properties!$P:$P,$B82+5),0))</f>
        <v>0</v>
      </c>
      <c r="DL82" s="123" cm="1">
        <f t="array" ref="DL82">INDEX(Properties!$D:$D,$B82+5)*(IF(DL$3=INDEX(Properties!$U:$U,$B82+5),INDEX(Properties!$P:$P,$B82+5),0))</f>
        <v>0</v>
      </c>
      <c r="DM82" s="123" cm="1">
        <f t="array" ref="DM82">INDEX(Properties!$D:$D,$B82+5)*(IF(DM$3=INDEX(Properties!$U:$U,$B82+5),INDEX(Properties!$P:$P,$B82+5),0))</f>
        <v>0</v>
      </c>
      <c r="DN82" s="123" cm="1">
        <f t="array" ref="DN82">INDEX(Properties!$D:$D,$B82+5)*(IF(DN$3=INDEX(Properties!$U:$U,$B82+5),INDEX(Properties!$P:$P,$B82+5),0))</f>
        <v>0</v>
      </c>
      <c r="DO82" s="123" cm="1">
        <f t="array" ref="DO82">INDEX(Properties!$D:$D,$B82+5)*(IF(DO$3=INDEX(Properties!$U:$U,$B82+5),INDEX(Properties!$P:$P,$B82+5),0))</f>
        <v>0</v>
      </c>
      <c r="DP82" s="123" cm="1">
        <f t="array" ref="DP82">INDEX(Properties!$D:$D,$B82+5)*(IF(DP$3=INDEX(Properties!$U:$U,$B82+5),INDEX(Properties!$P:$P,$B82+5),0))</f>
        <v>0</v>
      </c>
      <c r="DQ82" s="123" cm="1">
        <f t="array" ref="DQ82">INDEX(Properties!$D:$D,$B82+5)*(IF(DQ$3=INDEX(Properties!$U:$U,$B82+5),INDEX(Properties!$P:$P,$B82+5),0))</f>
        <v>0</v>
      </c>
      <c r="DR82" s="123" cm="1">
        <f t="array" ref="DR82">INDEX(Properties!$D:$D,$B82+5)*(IF(DR$3=INDEX(Properties!$U:$U,$B82+5),INDEX(Properties!$P:$P,$B82+5),0))</f>
        <v>0</v>
      </c>
    </row>
    <row r="83" spans="1:122" ht="16.05" customHeight="1" x14ac:dyDescent="0.3">
      <c r="A83" s="5" t="s">
        <v>64</v>
      </c>
      <c r="B83" s="1"/>
      <c r="C83" s="243">
        <f t="shared" ref="C83:AH83" si="24">SUM(C73:C82)</f>
        <v>0</v>
      </c>
      <c r="D83" s="243">
        <f t="shared" si="24"/>
        <v>0</v>
      </c>
      <c r="E83" s="243">
        <f t="shared" si="24"/>
        <v>0</v>
      </c>
      <c r="F83" s="243">
        <f t="shared" si="24"/>
        <v>0</v>
      </c>
      <c r="G83" s="243">
        <f t="shared" si="24"/>
        <v>0</v>
      </c>
      <c r="H83" s="243">
        <f t="shared" si="24"/>
        <v>0</v>
      </c>
      <c r="I83" s="243">
        <f t="shared" si="24"/>
        <v>0</v>
      </c>
      <c r="J83" s="243">
        <f t="shared" si="24"/>
        <v>0</v>
      </c>
      <c r="K83" s="243">
        <f t="shared" si="24"/>
        <v>0</v>
      </c>
      <c r="L83" s="243">
        <f t="shared" si="24"/>
        <v>0</v>
      </c>
      <c r="M83" s="243">
        <f t="shared" si="24"/>
        <v>0</v>
      </c>
      <c r="N83" s="243">
        <f t="shared" si="24"/>
        <v>0</v>
      </c>
      <c r="O83" s="243">
        <f t="shared" si="24"/>
        <v>0</v>
      </c>
      <c r="P83" s="243">
        <f t="shared" si="24"/>
        <v>0</v>
      </c>
      <c r="Q83" s="243">
        <f t="shared" si="24"/>
        <v>0</v>
      </c>
      <c r="R83" s="243">
        <f t="shared" si="24"/>
        <v>0</v>
      </c>
      <c r="S83" s="243">
        <f t="shared" si="24"/>
        <v>0</v>
      </c>
      <c r="T83" s="243">
        <f t="shared" si="24"/>
        <v>0</v>
      </c>
      <c r="U83" s="243">
        <f t="shared" si="24"/>
        <v>0</v>
      </c>
      <c r="V83" s="243">
        <f t="shared" si="24"/>
        <v>0</v>
      </c>
      <c r="W83" s="243">
        <f t="shared" si="24"/>
        <v>0</v>
      </c>
      <c r="X83" s="243">
        <f t="shared" si="24"/>
        <v>0</v>
      </c>
      <c r="Y83" s="243">
        <f t="shared" si="24"/>
        <v>0</v>
      </c>
      <c r="Z83" s="243">
        <f t="shared" si="24"/>
        <v>0</v>
      </c>
      <c r="AA83" s="243">
        <f t="shared" si="24"/>
        <v>0</v>
      </c>
      <c r="AB83" s="243">
        <f t="shared" si="24"/>
        <v>0</v>
      </c>
      <c r="AC83" s="243">
        <f t="shared" si="24"/>
        <v>0</v>
      </c>
      <c r="AD83" s="243">
        <f t="shared" si="24"/>
        <v>747370.55016181234</v>
      </c>
      <c r="AE83" s="243">
        <f t="shared" si="24"/>
        <v>0</v>
      </c>
      <c r="AF83" s="243">
        <f t="shared" si="24"/>
        <v>1168770.2265372169</v>
      </c>
      <c r="AG83" s="243">
        <f t="shared" si="24"/>
        <v>1290857.6051779937</v>
      </c>
      <c r="AH83" s="243">
        <f t="shared" si="24"/>
        <v>0</v>
      </c>
      <c r="AI83" s="243">
        <f t="shared" ref="AI83:BN83" si="25">SUM(AI73:AI82)</f>
        <v>0</v>
      </c>
      <c r="AJ83" s="243">
        <f t="shared" si="25"/>
        <v>0</v>
      </c>
      <c r="AK83" s="243">
        <f t="shared" si="25"/>
        <v>0</v>
      </c>
      <c r="AL83" s="243">
        <f t="shared" si="25"/>
        <v>0</v>
      </c>
      <c r="AM83" s="243">
        <f t="shared" si="25"/>
        <v>1650485.4368932038</v>
      </c>
      <c r="AN83" s="243">
        <f t="shared" si="25"/>
        <v>0</v>
      </c>
      <c r="AO83" s="243">
        <f t="shared" si="25"/>
        <v>0</v>
      </c>
      <c r="AP83" s="243">
        <f t="shared" si="25"/>
        <v>0</v>
      </c>
      <c r="AQ83" s="243">
        <f t="shared" si="25"/>
        <v>0</v>
      </c>
      <c r="AR83" s="243">
        <f t="shared" si="25"/>
        <v>0</v>
      </c>
      <c r="AS83" s="243">
        <f t="shared" si="25"/>
        <v>1714482.2006472494</v>
      </c>
      <c r="AT83" s="243">
        <f t="shared" si="25"/>
        <v>0</v>
      </c>
      <c r="AU83" s="243">
        <f t="shared" si="25"/>
        <v>0</v>
      </c>
      <c r="AV83" s="243">
        <f t="shared" si="25"/>
        <v>0</v>
      </c>
      <c r="AW83" s="243">
        <f t="shared" si="25"/>
        <v>0</v>
      </c>
      <c r="AX83" s="243">
        <f t="shared" si="25"/>
        <v>0</v>
      </c>
      <c r="AY83" s="243">
        <f t="shared" si="25"/>
        <v>0</v>
      </c>
      <c r="AZ83" s="243">
        <f t="shared" si="25"/>
        <v>0</v>
      </c>
      <c r="BA83" s="243">
        <f t="shared" si="25"/>
        <v>0</v>
      </c>
      <c r="BB83" s="243">
        <f t="shared" si="25"/>
        <v>0</v>
      </c>
      <c r="BC83" s="243">
        <f t="shared" si="25"/>
        <v>0</v>
      </c>
      <c r="BD83" s="243">
        <f t="shared" si="25"/>
        <v>0</v>
      </c>
      <c r="BE83" s="243">
        <f t="shared" si="25"/>
        <v>0</v>
      </c>
      <c r="BF83" s="243">
        <f t="shared" si="25"/>
        <v>0</v>
      </c>
      <c r="BG83" s="243">
        <f t="shared" si="25"/>
        <v>0</v>
      </c>
      <c r="BH83" s="243">
        <f t="shared" si="25"/>
        <v>0</v>
      </c>
      <c r="BI83" s="243">
        <f t="shared" si="25"/>
        <v>0</v>
      </c>
      <c r="BJ83" s="243">
        <f t="shared" si="25"/>
        <v>0</v>
      </c>
      <c r="BK83" s="243">
        <f t="shared" si="25"/>
        <v>0</v>
      </c>
      <c r="BL83" s="243">
        <f t="shared" si="25"/>
        <v>0</v>
      </c>
      <c r="BM83" s="243">
        <f t="shared" si="25"/>
        <v>0</v>
      </c>
      <c r="BN83" s="243">
        <f t="shared" si="25"/>
        <v>0</v>
      </c>
      <c r="BO83" s="243">
        <f t="shared" ref="BO83:CT83" si="26">SUM(BO73:BO82)</f>
        <v>0</v>
      </c>
      <c r="BP83" s="243">
        <f t="shared" si="26"/>
        <v>0</v>
      </c>
      <c r="BQ83" s="243">
        <f t="shared" si="26"/>
        <v>0</v>
      </c>
      <c r="BR83" s="243">
        <f t="shared" si="26"/>
        <v>0</v>
      </c>
      <c r="BS83" s="243">
        <f t="shared" si="26"/>
        <v>0</v>
      </c>
      <c r="BT83" s="243">
        <f t="shared" si="26"/>
        <v>0</v>
      </c>
      <c r="BU83" s="243">
        <f t="shared" si="26"/>
        <v>0</v>
      </c>
      <c r="BV83" s="243">
        <f t="shared" si="26"/>
        <v>0</v>
      </c>
      <c r="BW83" s="243">
        <f t="shared" si="26"/>
        <v>0</v>
      </c>
      <c r="BX83" s="243">
        <f t="shared" si="26"/>
        <v>0</v>
      </c>
      <c r="BY83" s="243">
        <f t="shared" si="26"/>
        <v>0</v>
      </c>
      <c r="BZ83" s="243">
        <f t="shared" si="26"/>
        <v>0</v>
      </c>
      <c r="CA83" s="243">
        <f t="shared" si="26"/>
        <v>0</v>
      </c>
      <c r="CB83" s="243">
        <f t="shared" si="26"/>
        <v>0</v>
      </c>
      <c r="CC83" s="243">
        <f t="shared" si="26"/>
        <v>0</v>
      </c>
      <c r="CD83" s="243">
        <f t="shared" si="26"/>
        <v>0</v>
      </c>
      <c r="CE83" s="243">
        <f t="shared" si="26"/>
        <v>0</v>
      </c>
      <c r="CF83" s="243">
        <f t="shared" si="26"/>
        <v>0</v>
      </c>
      <c r="CG83" s="243">
        <f t="shared" si="26"/>
        <v>0</v>
      </c>
      <c r="CH83" s="243">
        <f t="shared" si="26"/>
        <v>0</v>
      </c>
      <c r="CI83" s="243">
        <f t="shared" si="26"/>
        <v>0</v>
      </c>
      <c r="CJ83" s="243">
        <f t="shared" si="26"/>
        <v>0</v>
      </c>
      <c r="CK83" s="243">
        <f t="shared" si="26"/>
        <v>0</v>
      </c>
      <c r="CL83" s="243">
        <f t="shared" si="26"/>
        <v>0</v>
      </c>
      <c r="CM83" s="243">
        <f t="shared" si="26"/>
        <v>0</v>
      </c>
      <c r="CN83" s="243">
        <f t="shared" si="26"/>
        <v>0</v>
      </c>
      <c r="CO83" s="243">
        <f t="shared" si="26"/>
        <v>0</v>
      </c>
      <c r="CP83" s="243">
        <f t="shared" si="26"/>
        <v>0</v>
      </c>
      <c r="CQ83" s="243">
        <f t="shared" si="26"/>
        <v>0</v>
      </c>
      <c r="CR83" s="243">
        <f t="shared" si="26"/>
        <v>0</v>
      </c>
      <c r="CS83" s="243">
        <f t="shared" si="26"/>
        <v>0</v>
      </c>
      <c r="CT83" s="243">
        <f t="shared" si="26"/>
        <v>0</v>
      </c>
      <c r="CU83" s="243">
        <f t="shared" ref="CU83:DR83" si="27">SUM(CU73:CU82)</f>
        <v>0</v>
      </c>
      <c r="CV83" s="243">
        <f t="shared" si="27"/>
        <v>0</v>
      </c>
      <c r="CW83" s="243">
        <f t="shared" si="27"/>
        <v>0</v>
      </c>
      <c r="CX83" s="243">
        <f t="shared" si="27"/>
        <v>0</v>
      </c>
      <c r="CY83" s="243">
        <f t="shared" si="27"/>
        <v>0</v>
      </c>
      <c r="CZ83" s="243">
        <f t="shared" si="27"/>
        <v>0</v>
      </c>
      <c r="DA83" s="243">
        <f t="shared" si="27"/>
        <v>0</v>
      </c>
      <c r="DB83" s="243">
        <f t="shared" si="27"/>
        <v>0</v>
      </c>
      <c r="DC83" s="243">
        <f t="shared" si="27"/>
        <v>0</v>
      </c>
      <c r="DD83" s="243">
        <f t="shared" si="27"/>
        <v>0</v>
      </c>
      <c r="DE83" s="243">
        <f t="shared" si="27"/>
        <v>0</v>
      </c>
      <c r="DF83" s="243">
        <f t="shared" si="27"/>
        <v>0</v>
      </c>
      <c r="DG83" s="243">
        <f t="shared" si="27"/>
        <v>0</v>
      </c>
      <c r="DH83" s="243">
        <f t="shared" si="27"/>
        <v>0</v>
      </c>
      <c r="DI83" s="243">
        <f t="shared" si="27"/>
        <v>0</v>
      </c>
      <c r="DJ83" s="243">
        <f t="shared" si="27"/>
        <v>0</v>
      </c>
      <c r="DK83" s="243">
        <f t="shared" si="27"/>
        <v>0</v>
      </c>
      <c r="DL83" s="243">
        <f t="shared" si="27"/>
        <v>0</v>
      </c>
      <c r="DM83" s="243">
        <f t="shared" si="27"/>
        <v>0</v>
      </c>
      <c r="DN83" s="243">
        <f t="shared" si="27"/>
        <v>0</v>
      </c>
      <c r="DO83" s="243">
        <f t="shared" si="27"/>
        <v>0</v>
      </c>
      <c r="DP83" s="243">
        <f t="shared" si="27"/>
        <v>0</v>
      </c>
      <c r="DQ83" s="243">
        <f t="shared" si="27"/>
        <v>0</v>
      </c>
      <c r="DR83" s="243">
        <f t="shared" si="27"/>
        <v>0</v>
      </c>
    </row>
    <row r="84" spans="1:122" ht="16.05" customHeight="1" x14ac:dyDescent="0.3">
      <c r="A84" s="1"/>
      <c r="B84" s="1"/>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123"/>
      <c r="AD84" s="123"/>
      <c r="AE84" s="123"/>
      <c r="AF84" s="123"/>
      <c r="AG84" s="123"/>
      <c r="AH84" s="123"/>
      <c r="AI84" s="123"/>
      <c r="AJ84" s="123"/>
      <c r="AK84" s="123"/>
      <c r="AL84" s="123"/>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3"/>
      <c r="BQ84" s="123"/>
      <c r="BR84" s="123"/>
      <c r="BS84" s="123"/>
      <c r="BT84" s="123"/>
      <c r="BU84" s="123"/>
      <c r="BV84" s="123"/>
      <c r="BW84" s="123"/>
      <c r="BX84" s="123"/>
      <c r="BY84" s="123"/>
      <c r="BZ84" s="123"/>
      <c r="CA84" s="123"/>
      <c r="CB84" s="123"/>
      <c r="CC84" s="123"/>
      <c r="CD84" s="123"/>
      <c r="CE84" s="123"/>
      <c r="CF84" s="123"/>
      <c r="CG84" s="123"/>
      <c r="CH84" s="123"/>
      <c r="CI84" s="123"/>
      <c r="CJ84" s="123"/>
      <c r="CK84" s="123"/>
      <c r="CL84" s="123"/>
      <c r="CM84" s="123"/>
      <c r="CN84" s="123"/>
      <c r="CO84" s="123"/>
      <c r="CP84" s="123"/>
      <c r="CQ84" s="123"/>
      <c r="CR84" s="123"/>
      <c r="CS84" s="123"/>
      <c r="CT84" s="123"/>
      <c r="CU84" s="123"/>
      <c r="CV84" s="123"/>
      <c r="CW84" s="123"/>
      <c r="CX84" s="123"/>
      <c r="CY84" s="123"/>
      <c r="CZ84" s="123"/>
      <c r="DA84" s="123"/>
      <c r="DB84" s="123"/>
      <c r="DC84" s="123"/>
      <c r="DD84" s="123"/>
      <c r="DE84" s="123"/>
      <c r="DF84" s="123"/>
      <c r="DG84" s="123"/>
      <c r="DH84" s="123"/>
      <c r="DI84" s="123"/>
      <c r="DJ84" s="123"/>
      <c r="DK84" s="123"/>
      <c r="DL84" s="123"/>
      <c r="DM84" s="123"/>
      <c r="DN84" s="123"/>
      <c r="DO84" s="123"/>
      <c r="DP84" s="123"/>
      <c r="DQ84" s="123"/>
      <c r="DR84" s="123"/>
    </row>
    <row r="85" spans="1:122" ht="19.95" customHeight="1" x14ac:dyDescent="0.3">
      <c r="A85" s="126" t="s">
        <v>1061</v>
      </c>
      <c r="B85" s="126"/>
      <c r="C85" s="246"/>
      <c r="D85" s="246"/>
      <c r="E85" s="246"/>
      <c r="F85" s="246"/>
      <c r="G85" s="246"/>
      <c r="H85" s="246"/>
      <c r="I85" s="246"/>
      <c r="J85" s="246"/>
      <c r="K85" s="246"/>
      <c r="L85" s="246"/>
      <c r="M85" s="246"/>
      <c r="N85" s="246"/>
      <c r="O85" s="246"/>
      <c r="P85" s="246"/>
      <c r="Q85" s="246"/>
      <c r="R85" s="246"/>
      <c r="S85" s="246"/>
      <c r="T85" s="246"/>
      <c r="U85" s="246"/>
      <c r="V85" s="246"/>
      <c r="W85" s="246"/>
      <c r="X85" s="246"/>
      <c r="Y85" s="246"/>
      <c r="Z85" s="246"/>
      <c r="AA85" s="246"/>
      <c r="AB85" s="246"/>
      <c r="AC85" s="246"/>
      <c r="AD85" s="246"/>
      <c r="AE85" s="246"/>
      <c r="AF85" s="246"/>
      <c r="AG85" s="246"/>
      <c r="AH85" s="246"/>
      <c r="AI85" s="246"/>
      <c r="AJ85" s="246"/>
      <c r="AK85" s="246"/>
      <c r="AL85" s="246"/>
      <c r="AM85" s="246"/>
      <c r="AN85" s="246"/>
      <c r="AO85" s="246"/>
      <c r="AP85" s="246"/>
      <c r="AQ85" s="246"/>
      <c r="AR85" s="246"/>
      <c r="AS85" s="246"/>
      <c r="AT85" s="246"/>
      <c r="AU85" s="246"/>
      <c r="AV85" s="246"/>
      <c r="AW85" s="246"/>
      <c r="AX85" s="246"/>
      <c r="AY85" s="246"/>
      <c r="AZ85" s="246"/>
      <c r="BA85" s="246"/>
      <c r="BB85" s="246"/>
      <c r="BC85" s="246"/>
      <c r="BD85" s="246"/>
      <c r="BE85" s="246"/>
      <c r="BF85" s="246"/>
      <c r="BG85" s="246"/>
      <c r="BH85" s="246"/>
      <c r="BI85" s="246"/>
      <c r="BJ85" s="246"/>
      <c r="BK85" s="246"/>
      <c r="BL85" s="246"/>
      <c r="BM85" s="246"/>
      <c r="BN85" s="246"/>
      <c r="BO85" s="246"/>
      <c r="BP85" s="246"/>
      <c r="BQ85" s="246"/>
      <c r="BR85" s="246"/>
      <c r="BS85" s="246"/>
      <c r="BT85" s="246"/>
      <c r="BU85" s="246"/>
      <c r="BV85" s="246"/>
      <c r="BW85" s="246"/>
      <c r="BX85" s="246"/>
      <c r="BY85" s="246"/>
      <c r="BZ85" s="246"/>
      <c r="CA85" s="246"/>
      <c r="CB85" s="246"/>
      <c r="CC85" s="246"/>
      <c r="CD85" s="246"/>
      <c r="CE85" s="246"/>
      <c r="CF85" s="246"/>
      <c r="CG85" s="246"/>
      <c r="CH85" s="246"/>
      <c r="CI85" s="246"/>
      <c r="CJ85" s="246"/>
      <c r="CK85" s="246"/>
      <c r="CL85" s="246"/>
      <c r="CM85" s="246"/>
      <c r="CN85" s="246"/>
      <c r="CO85" s="246"/>
      <c r="CP85" s="246"/>
      <c r="CQ85" s="246"/>
      <c r="CR85" s="246"/>
      <c r="CS85" s="246"/>
      <c r="CT85" s="246"/>
      <c r="CU85" s="246"/>
      <c r="CV85" s="246"/>
      <c r="CW85" s="246"/>
      <c r="CX85" s="246"/>
      <c r="CY85" s="246"/>
      <c r="CZ85" s="246"/>
      <c r="DA85" s="246"/>
      <c r="DB85" s="246"/>
      <c r="DC85" s="246"/>
      <c r="DD85" s="246"/>
      <c r="DE85" s="246"/>
      <c r="DF85" s="246"/>
      <c r="DG85" s="246"/>
      <c r="DH85" s="246"/>
      <c r="DI85" s="246"/>
      <c r="DJ85" s="246"/>
      <c r="DK85" s="246"/>
      <c r="DL85" s="246"/>
      <c r="DM85" s="246"/>
      <c r="DN85" s="246"/>
      <c r="DO85" s="246"/>
      <c r="DP85" s="246"/>
      <c r="DQ85" s="246"/>
      <c r="DR85" s="246"/>
    </row>
    <row r="86" spans="1:122" ht="16.05" customHeight="1" x14ac:dyDescent="0.3">
      <c r="A86" s="148" t="str" cm="1">
        <f t="array" ref="A86">INDEX(Properties!$E:$E,$B86+5)</f>
        <v>Aires de Campestre Apto 801 (Penthouse)</v>
      </c>
      <c r="B86" s="1">
        <v>1</v>
      </c>
      <c r="C86" s="247" cm="1">
        <f t="array" ref="C86">INDEX(Properties!$D:$D,$B86+5)*(IF(AND(C$3&gt;=INDEX(Properties!$Q:$Q,$B86+5),C$3&lt;INDEX(Properties!$U:$U,$B86+5)),1,0))</f>
        <v>0</v>
      </c>
      <c r="D86" s="247" cm="1">
        <f t="array" ref="D86">INDEX(Properties!$D:$D,$B86+5)*(IF(AND(D$3&gt;=INDEX(Properties!$Q:$Q,$B86+5),D$3&lt;INDEX(Properties!$U:$U,$B86+5)),1,0))</f>
        <v>1</v>
      </c>
      <c r="E86" s="247" cm="1">
        <f t="array" ref="E86">INDEX(Properties!$D:$D,$B86+5)*(IF(AND(E$3&gt;=INDEX(Properties!$Q:$Q,$B86+5),E$3&lt;INDEX(Properties!$U:$U,$B86+5)),1,0))</f>
        <v>1</v>
      </c>
      <c r="F86" s="247" cm="1">
        <f t="array" ref="F86">INDEX(Properties!$D:$D,$B86+5)*(IF(AND(F$3&gt;=INDEX(Properties!$Q:$Q,$B86+5),F$3&lt;INDEX(Properties!$U:$U,$B86+5)),1,0))</f>
        <v>1</v>
      </c>
      <c r="G86" s="247" cm="1">
        <f t="array" ref="G86">INDEX(Properties!$D:$D,$B86+5)*(IF(AND(G$3&gt;=INDEX(Properties!$Q:$Q,$B86+5),G$3&lt;INDEX(Properties!$U:$U,$B86+5)),1,0))</f>
        <v>1</v>
      </c>
      <c r="H86" s="247" cm="1">
        <f t="array" ref="H86">INDEX(Properties!$D:$D,$B86+5)*(IF(AND(H$3&gt;=INDEX(Properties!$Q:$Q,$B86+5),H$3&lt;INDEX(Properties!$U:$U,$B86+5)),1,0))</f>
        <v>1</v>
      </c>
      <c r="I86" s="247" cm="1">
        <f t="array" ref="I86">INDEX(Properties!$D:$D,$B86+5)*(IF(AND(I$3&gt;=INDEX(Properties!$Q:$Q,$B86+5),I$3&lt;INDEX(Properties!$U:$U,$B86+5)),1,0))</f>
        <v>1</v>
      </c>
      <c r="J86" s="247" cm="1">
        <f t="array" ref="J86">INDEX(Properties!$D:$D,$B86+5)*(IF(AND(J$3&gt;=INDEX(Properties!$Q:$Q,$B86+5),J$3&lt;INDEX(Properties!$U:$U,$B86+5)),1,0))</f>
        <v>1</v>
      </c>
      <c r="K86" s="247" cm="1">
        <f t="array" ref="K86">INDEX(Properties!$D:$D,$B86+5)*(IF(AND(K$3&gt;=INDEX(Properties!$Q:$Q,$B86+5),K$3&lt;INDEX(Properties!$U:$U,$B86+5)),1,0))</f>
        <v>1</v>
      </c>
      <c r="L86" s="247" cm="1">
        <f t="array" ref="L86">INDEX(Properties!$D:$D,$B86+5)*(IF(AND(L$3&gt;=INDEX(Properties!$Q:$Q,$B86+5),L$3&lt;INDEX(Properties!$U:$U,$B86+5)),1,0))</f>
        <v>1</v>
      </c>
      <c r="M86" s="247" cm="1">
        <f t="array" ref="M86">INDEX(Properties!$D:$D,$B86+5)*(IF(AND(M$3&gt;=INDEX(Properties!$Q:$Q,$B86+5),M$3&lt;INDEX(Properties!$U:$U,$B86+5)),1,0))</f>
        <v>1</v>
      </c>
      <c r="N86" s="247" cm="1">
        <f t="array" ref="N86">INDEX(Properties!$D:$D,$B86+5)*(IF(AND(N$3&gt;=INDEX(Properties!$Q:$Q,$B86+5),N$3&lt;INDEX(Properties!$U:$U,$B86+5)),1,0))</f>
        <v>1</v>
      </c>
      <c r="O86" s="247" cm="1">
        <f t="array" ref="O86">INDEX(Properties!$D:$D,$B86+5)*(IF(AND(O$3&gt;=INDEX(Properties!$Q:$Q,$B86+5),O$3&lt;INDEX(Properties!$U:$U,$B86+5)),1,0))</f>
        <v>1</v>
      </c>
      <c r="P86" s="247" cm="1">
        <f t="array" ref="P86">INDEX(Properties!$D:$D,$B86+5)*(IF(AND(P$3&gt;=INDEX(Properties!$Q:$Q,$B86+5),P$3&lt;INDEX(Properties!$U:$U,$B86+5)),1,0))</f>
        <v>1</v>
      </c>
      <c r="Q86" s="247" cm="1">
        <f t="array" ref="Q86">INDEX(Properties!$D:$D,$B86+5)*(IF(AND(Q$3&gt;=INDEX(Properties!$Q:$Q,$B86+5),Q$3&lt;INDEX(Properties!$U:$U,$B86+5)),1,0))</f>
        <v>1</v>
      </c>
      <c r="R86" s="247" cm="1">
        <f t="array" ref="R86">INDEX(Properties!$D:$D,$B86+5)*(IF(AND(R$3&gt;=INDEX(Properties!$Q:$Q,$B86+5),R$3&lt;INDEX(Properties!$U:$U,$B86+5)),1,0))</f>
        <v>1</v>
      </c>
      <c r="S86" s="247" cm="1">
        <f t="array" ref="S86">INDEX(Properties!$D:$D,$B86+5)*(IF(AND(S$3&gt;=INDEX(Properties!$Q:$Q,$B86+5),S$3&lt;INDEX(Properties!$U:$U,$B86+5)),1,0))</f>
        <v>1</v>
      </c>
      <c r="T86" s="247" cm="1">
        <f t="array" ref="T86">INDEX(Properties!$D:$D,$B86+5)*(IF(AND(T$3&gt;=INDEX(Properties!$Q:$Q,$B86+5),T$3&lt;INDEX(Properties!$U:$U,$B86+5)),1,0))</f>
        <v>1</v>
      </c>
      <c r="U86" s="247" cm="1">
        <f t="array" ref="U86">INDEX(Properties!$D:$D,$B86+5)*(IF(AND(U$3&gt;=INDEX(Properties!$Q:$Q,$B86+5),U$3&lt;INDEX(Properties!$U:$U,$B86+5)),1,0))</f>
        <v>1</v>
      </c>
      <c r="V86" s="247" cm="1">
        <f t="array" ref="V86">INDEX(Properties!$D:$D,$B86+5)*(IF(AND(V$3&gt;=INDEX(Properties!$Q:$Q,$B86+5),V$3&lt;INDEX(Properties!$U:$U,$B86+5)),1,0))</f>
        <v>1</v>
      </c>
      <c r="W86" s="247" cm="1">
        <f t="array" ref="W86">INDEX(Properties!$D:$D,$B86+5)*(IF(AND(W$3&gt;=INDEX(Properties!$Q:$Q,$B86+5),W$3&lt;INDEX(Properties!$U:$U,$B86+5)),1,0))</f>
        <v>1</v>
      </c>
      <c r="X86" s="247" cm="1">
        <f t="array" ref="X86">INDEX(Properties!$D:$D,$B86+5)*(IF(AND(X$3&gt;=INDEX(Properties!$Q:$Q,$B86+5),X$3&lt;INDEX(Properties!$U:$U,$B86+5)),1,0))</f>
        <v>1</v>
      </c>
      <c r="Y86" s="247" cm="1">
        <f t="array" ref="Y86">INDEX(Properties!$D:$D,$B86+5)*(IF(AND(Y$3&gt;=INDEX(Properties!$Q:$Q,$B86+5),Y$3&lt;INDEX(Properties!$U:$U,$B86+5)),1,0))</f>
        <v>1</v>
      </c>
      <c r="Z86" s="247" cm="1">
        <f t="array" ref="Z86">INDEX(Properties!$D:$D,$B86+5)*(IF(AND(Z$3&gt;=INDEX(Properties!$Q:$Q,$B86+5),Z$3&lt;INDEX(Properties!$U:$U,$B86+5)),1,0))</f>
        <v>1</v>
      </c>
      <c r="AA86" s="247" cm="1">
        <f t="array" ref="AA86">INDEX(Properties!$D:$D,$B86+5)*(IF(AND(AA$3&gt;=INDEX(Properties!$Q:$Q,$B86+5),AA$3&lt;INDEX(Properties!$U:$U,$B86+5)),1,0))</f>
        <v>1</v>
      </c>
      <c r="AB86" s="247" cm="1">
        <f t="array" ref="AB86">INDEX(Properties!$D:$D,$B86+5)*(IF(AND(AB$3&gt;=INDEX(Properties!$Q:$Q,$B86+5),AB$3&lt;INDEX(Properties!$U:$U,$B86+5)),1,0))</f>
        <v>1</v>
      </c>
      <c r="AC86" s="247" cm="1">
        <f t="array" ref="AC86">INDEX(Properties!$D:$D,$B86+5)*(IF(AND(AC$3&gt;=INDEX(Properties!$Q:$Q,$B86+5),AC$3&lt;INDEX(Properties!$U:$U,$B86+5)),1,0))</f>
        <v>1</v>
      </c>
      <c r="AD86" s="247" cm="1">
        <f t="array" ref="AD86">INDEX(Properties!$D:$D,$B86+5)*(IF(AND(AD$3&gt;=INDEX(Properties!$Q:$Q,$B86+5),AD$3&lt;INDEX(Properties!$U:$U,$B86+5)),1,0))</f>
        <v>1</v>
      </c>
      <c r="AE86" s="247" cm="1">
        <f t="array" ref="AE86">INDEX(Properties!$D:$D,$B86+5)*(IF(AND(AE$3&gt;=INDEX(Properties!$Q:$Q,$B86+5),AE$3&lt;INDEX(Properties!$U:$U,$B86+5)),1,0))</f>
        <v>1</v>
      </c>
      <c r="AF86" s="247" cm="1">
        <f t="array" ref="AF86">INDEX(Properties!$D:$D,$B86+5)*(IF(AND(AF$3&gt;=INDEX(Properties!$Q:$Q,$B86+5),AF$3&lt;INDEX(Properties!$U:$U,$B86+5)),1,0))</f>
        <v>0</v>
      </c>
      <c r="AG86" s="247" cm="1">
        <f t="array" ref="AG86">INDEX(Properties!$D:$D,$B86+5)*(IF(AND(AG$3&gt;=INDEX(Properties!$Q:$Q,$B86+5),AG$3&lt;INDEX(Properties!$U:$U,$B86+5)),1,0))</f>
        <v>0</v>
      </c>
      <c r="AH86" s="247" cm="1">
        <f t="array" ref="AH86">INDEX(Properties!$D:$D,$B86+5)*(IF(AND(AH$3&gt;=INDEX(Properties!$Q:$Q,$B86+5),AH$3&lt;INDEX(Properties!$U:$U,$B86+5)),1,0))</f>
        <v>0</v>
      </c>
      <c r="AI86" s="247" cm="1">
        <f t="array" ref="AI86">INDEX(Properties!$D:$D,$B86+5)*(IF(AND(AI$3&gt;=INDEX(Properties!$Q:$Q,$B86+5),AI$3&lt;INDEX(Properties!$U:$U,$B86+5)),1,0))</f>
        <v>0</v>
      </c>
      <c r="AJ86" s="247" cm="1">
        <f t="array" ref="AJ86">INDEX(Properties!$D:$D,$B86+5)*(IF(AND(AJ$3&gt;=INDEX(Properties!$Q:$Q,$B86+5),AJ$3&lt;INDEX(Properties!$U:$U,$B86+5)),1,0))</f>
        <v>0</v>
      </c>
      <c r="AK86" s="247" cm="1">
        <f t="array" ref="AK86">INDEX(Properties!$D:$D,$B86+5)*(IF(AND(AK$3&gt;=INDEX(Properties!$Q:$Q,$B86+5),AK$3&lt;INDEX(Properties!$U:$U,$B86+5)),1,0))</f>
        <v>0</v>
      </c>
      <c r="AL86" s="247" cm="1">
        <f t="array" ref="AL86">INDEX(Properties!$D:$D,$B86+5)*(IF(AND(AL$3&gt;=INDEX(Properties!$Q:$Q,$B86+5),AL$3&lt;INDEX(Properties!$U:$U,$B86+5)),1,0))</f>
        <v>0</v>
      </c>
      <c r="AM86" s="247" cm="1">
        <f t="array" ref="AM86">INDEX(Properties!$D:$D,$B86+5)*(IF(AND(AM$3&gt;=INDEX(Properties!$Q:$Q,$B86+5),AM$3&lt;INDEX(Properties!$U:$U,$B86+5)),1,0))</f>
        <v>0</v>
      </c>
      <c r="AN86" s="247" cm="1">
        <f t="array" ref="AN86">INDEX(Properties!$D:$D,$B86+5)*(IF(AND(AN$3&gt;=INDEX(Properties!$Q:$Q,$B86+5),AN$3&lt;INDEX(Properties!$U:$U,$B86+5)),1,0))</f>
        <v>0</v>
      </c>
      <c r="AO86" s="247" cm="1">
        <f t="array" ref="AO86">INDEX(Properties!$D:$D,$B86+5)*(IF(AND(AO$3&gt;=INDEX(Properties!$Q:$Q,$B86+5),AO$3&lt;INDEX(Properties!$U:$U,$B86+5)),1,0))</f>
        <v>0</v>
      </c>
      <c r="AP86" s="247" cm="1">
        <f t="array" ref="AP86">INDEX(Properties!$D:$D,$B86+5)*(IF(AND(AP$3&gt;=INDEX(Properties!$Q:$Q,$B86+5),AP$3&lt;INDEX(Properties!$U:$U,$B86+5)),1,0))</f>
        <v>0</v>
      </c>
      <c r="AQ86" s="247" cm="1">
        <f t="array" ref="AQ86">INDEX(Properties!$D:$D,$B86+5)*(IF(AND(AQ$3&gt;=INDEX(Properties!$Q:$Q,$B86+5),AQ$3&lt;INDEX(Properties!$U:$U,$B86+5)),1,0))</f>
        <v>0</v>
      </c>
      <c r="AR86" s="247" cm="1">
        <f t="array" ref="AR86">INDEX(Properties!$D:$D,$B86+5)*(IF(AND(AR$3&gt;=INDEX(Properties!$Q:$Q,$B86+5),AR$3&lt;INDEX(Properties!$U:$U,$B86+5)),1,0))</f>
        <v>0</v>
      </c>
      <c r="AS86" s="247" cm="1">
        <f t="array" ref="AS86">INDEX(Properties!$D:$D,$B86+5)*(IF(AND(AS$3&gt;=INDEX(Properties!$Q:$Q,$B86+5),AS$3&lt;INDEX(Properties!$U:$U,$B86+5)),1,0))</f>
        <v>0</v>
      </c>
      <c r="AT86" s="247" cm="1">
        <f t="array" ref="AT86">INDEX(Properties!$D:$D,$B86+5)*(IF(AND(AT$3&gt;=INDEX(Properties!$Q:$Q,$B86+5),AT$3&lt;INDEX(Properties!$U:$U,$B86+5)),1,0))</f>
        <v>0</v>
      </c>
      <c r="AU86" s="247" cm="1">
        <f t="array" ref="AU86">INDEX(Properties!$D:$D,$B86+5)*(IF(AND(AU$3&gt;=INDEX(Properties!$Q:$Q,$B86+5),AU$3&lt;INDEX(Properties!$U:$U,$B86+5)),1,0))</f>
        <v>0</v>
      </c>
      <c r="AV86" s="247" cm="1">
        <f t="array" ref="AV86">INDEX(Properties!$D:$D,$B86+5)*(IF(AND(AV$3&gt;=INDEX(Properties!$Q:$Q,$B86+5),AV$3&lt;INDEX(Properties!$U:$U,$B86+5)),1,0))</f>
        <v>0</v>
      </c>
      <c r="AW86" s="247" cm="1">
        <f t="array" ref="AW86">INDEX(Properties!$D:$D,$B86+5)*(IF(AND(AW$3&gt;=INDEX(Properties!$Q:$Q,$B86+5),AW$3&lt;INDEX(Properties!$U:$U,$B86+5)),1,0))</f>
        <v>0</v>
      </c>
      <c r="AX86" s="247" cm="1">
        <f t="array" ref="AX86">INDEX(Properties!$D:$D,$B86+5)*(IF(AND(AX$3&gt;=INDEX(Properties!$Q:$Q,$B86+5),AX$3&lt;INDEX(Properties!$U:$U,$B86+5)),1,0))</f>
        <v>0</v>
      </c>
      <c r="AY86" s="247" cm="1">
        <f t="array" ref="AY86">INDEX(Properties!$D:$D,$B86+5)*(IF(AND(AY$3&gt;=INDEX(Properties!$Q:$Q,$B86+5),AY$3&lt;INDEX(Properties!$U:$U,$B86+5)),1,0))</f>
        <v>0</v>
      </c>
      <c r="AZ86" s="247" cm="1">
        <f t="array" ref="AZ86">INDEX(Properties!$D:$D,$B86+5)*(IF(AND(AZ$3&gt;=INDEX(Properties!$Q:$Q,$B86+5),AZ$3&lt;INDEX(Properties!$U:$U,$B86+5)),1,0))</f>
        <v>0</v>
      </c>
      <c r="BA86" s="247" cm="1">
        <f t="array" ref="BA86">INDEX(Properties!$D:$D,$B86+5)*(IF(AND(BA$3&gt;=INDEX(Properties!$Q:$Q,$B86+5),BA$3&lt;INDEX(Properties!$U:$U,$B86+5)),1,0))</f>
        <v>0</v>
      </c>
      <c r="BB86" s="247" cm="1">
        <f t="array" ref="BB86">INDEX(Properties!$D:$D,$B86+5)*(IF(AND(BB$3&gt;=INDEX(Properties!$Q:$Q,$B86+5),BB$3&lt;INDEX(Properties!$U:$U,$B86+5)),1,0))</f>
        <v>0</v>
      </c>
      <c r="BC86" s="247" cm="1">
        <f t="array" ref="BC86">INDEX(Properties!$D:$D,$B86+5)*(IF(AND(BC$3&gt;=INDEX(Properties!$Q:$Q,$B86+5),BC$3&lt;INDEX(Properties!$U:$U,$B86+5)),1,0))</f>
        <v>0</v>
      </c>
      <c r="BD86" s="247" cm="1">
        <f t="array" ref="BD86">INDEX(Properties!$D:$D,$B86+5)*(IF(AND(BD$3&gt;=INDEX(Properties!$Q:$Q,$B86+5),BD$3&lt;INDEX(Properties!$U:$U,$B86+5)),1,0))</f>
        <v>0</v>
      </c>
      <c r="BE86" s="247" cm="1">
        <f t="array" ref="BE86">INDEX(Properties!$D:$D,$B86+5)*(IF(AND(BE$3&gt;=INDEX(Properties!$Q:$Q,$B86+5),BE$3&lt;INDEX(Properties!$U:$U,$B86+5)),1,0))</f>
        <v>0</v>
      </c>
      <c r="BF86" s="247" cm="1">
        <f t="array" ref="BF86">INDEX(Properties!$D:$D,$B86+5)*(IF(AND(BF$3&gt;=INDEX(Properties!$Q:$Q,$B86+5),BF$3&lt;INDEX(Properties!$U:$U,$B86+5)),1,0))</f>
        <v>0</v>
      </c>
      <c r="BG86" s="247" cm="1">
        <f t="array" ref="BG86">INDEX(Properties!$D:$D,$B86+5)*(IF(AND(BG$3&gt;=INDEX(Properties!$Q:$Q,$B86+5),BG$3&lt;INDEX(Properties!$U:$U,$B86+5)),1,0))</f>
        <v>0</v>
      </c>
      <c r="BH86" s="247" cm="1">
        <f t="array" ref="BH86">INDEX(Properties!$D:$D,$B86+5)*(IF(AND(BH$3&gt;=INDEX(Properties!$Q:$Q,$B86+5),BH$3&lt;INDEX(Properties!$U:$U,$B86+5)),1,0))</f>
        <v>0</v>
      </c>
      <c r="BI86" s="247" cm="1">
        <f t="array" ref="BI86">INDEX(Properties!$D:$D,$B86+5)*(IF(AND(BI$3&gt;=INDEX(Properties!$Q:$Q,$B86+5),BI$3&lt;INDEX(Properties!$U:$U,$B86+5)),1,0))</f>
        <v>0</v>
      </c>
      <c r="BJ86" s="247" cm="1">
        <f t="array" ref="BJ86">INDEX(Properties!$D:$D,$B86+5)*(IF(AND(BJ$3&gt;=INDEX(Properties!$Q:$Q,$B86+5),BJ$3&lt;INDEX(Properties!$U:$U,$B86+5)),1,0))</f>
        <v>0</v>
      </c>
      <c r="BK86" s="247" cm="1">
        <f t="array" ref="BK86">INDEX(Properties!$D:$D,$B86+5)*(IF(AND(BK$3&gt;=INDEX(Properties!$Q:$Q,$B86+5),BK$3&lt;INDEX(Properties!$U:$U,$B86+5)),1,0))</f>
        <v>0</v>
      </c>
      <c r="BL86" s="247" cm="1">
        <f t="array" ref="BL86">INDEX(Properties!$D:$D,$B86+5)*(IF(AND(BL$3&gt;=INDEX(Properties!$Q:$Q,$B86+5),BL$3&lt;INDEX(Properties!$U:$U,$B86+5)),1,0))</f>
        <v>0</v>
      </c>
      <c r="BM86" s="247" cm="1">
        <f t="array" ref="BM86">INDEX(Properties!$D:$D,$B86+5)*(IF(AND(BM$3&gt;=INDEX(Properties!$Q:$Q,$B86+5),BM$3&lt;INDEX(Properties!$U:$U,$B86+5)),1,0))</f>
        <v>0</v>
      </c>
      <c r="BN86" s="247" cm="1">
        <f t="array" ref="BN86">INDEX(Properties!$D:$D,$B86+5)*(IF(AND(BN$3&gt;=INDEX(Properties!$Q:$Q,$B86+5),BN$3&lt;INDEX(Properties!$U:$U,$B86+5)),1,0))</f>
        <v>0</v>
      </c>
      <c r="BO86" s="247" cm="1">
        <f t="array" ref="BO86">INDEX(Properties!$D:$D,$B86+5)*(IF(AND(BO$3&gt;=INDEX(Properties!$Q:$Q,$B86+5),BO$3&lt;INDEX(Properties!$U:$U,$B86+5)),1,0))</f>
        <v>0</v>
      </c>
      <c r="BP86" s="247" cm="1">
        <f t="array" ref="BP86">INDEX(Properties!$D:$D,$B86+5)*(IF(AND(BP$3&gt;=INDEX(Properties!$Q:$Q,$B86+5),BP$3&lt;INDEX(Properties!$U:$U,$B86+5)),1,0))</f>
        <v>0</v>
      </c>
      <c r="BQ86" s="247" cm="1">
        <f t="array" ref="BQ86">INDEX(Properties!$D:$D,$B86+5)*(IF(AND(BQ$3&gt;=INDEX(Properties!$Q:$Q,$B86+5),BQ$3&lt;INDEX(Properties!$U:$U,$B86+5)),1,0))</f>
        <v>0</v>
      </c>
      <c r="BR86" s="247" cm="1">
        <f t="array" ref="BR86">INDEX(Properties!$D:$D,$B86+5)*(IF(AND(BR$3&gt;=INDEX(Properties!$Q:$Q,$B86+5),BR$3&lt;INDEX(Properties!$U:$U,$B86+5)),1,0))</f>
        <v>0</v>
      </c>
      <c r="BS86" s="247" cm="1">
        <f t="array" ref="BS86">INDEX(Properties!$D:$D,$B86+5)*(IF(AND(BS$3&gt;=INDEX(Properties!$Q:$Q,$B86+5),BS$3&lt;INDEX(Properties!$U:$U,$B86+5)),1,0))</f>
        <v>0</v>
      </c>
      <c r="BT86" s="247" cm="1">
        <f t="array" ref="BT86">INDEX(Properties!$D:$D,$B86+5)*(IF(AND(BT$3&gt;=INDEX(Properties!$Q:$Q,$B86+5),BT$3&lt;INDEX(Properties!$U:$U,$B86+5)),1,0))</f>
        <v>0</v>
      </c>
      <c r="BU86" s="247" cm="1">
        <f t="array" ref="BU86">INDEX(Properties!$D:$D,$B86+5)*(IF(AND(BU$3&gt;=INDEX(Properties!$Q:$Q,$B86+5),BU$3&lt;INDEX(Properties!$U:$U,$B86+5)),1,0))</f>
        <v>0</v>
      </c>
      <c r="BV86" s="247" cm="1">
        <f t="array" ref="BV86">INDEX(Properties!$D:$D,$B86+5)*(IF(AND(BV$3&gt;=INDEX(Properties!$Q:$Q,$B86+5),BV$3&lt;INDEX(Properties!$U:$U,$B86+5)),1,0))</f>
        <v>0</v>
      </c>
      <c r="BW86" s="247" cm="1">
        <f t="array" ref="BW86">INDEX(Properties!$D:$D,$B86+5)*(IF(AND(BW$3&gt;=INDEX(Properties!$Q:$Q,$B86+5),BW$3&lt;INDEX(Properties!$U:$U,$B86+5)),1,0))</f>
        <v>0</v>
      </c>
      <c r="BX86" s="247" cm="1">
        <f t="array" ref="BX86">INDEX(Properties!$D:$D,$B86+5)*(IF(AND(BX$3&gt;=INDEX(Properties!$Q:$Q,$B86+5),BX$3&lt;INDEX(Properties!$U:$U,$B86+5)),1,0))</f>
        <v>0</v>
      </c>
      <c r="BY86" s="247" cm="1">
        <f t="array" ref="BY86">INDEX(Properties!$D:$D,$B86+5)*(IF(AND(BY$3&gt;=INDEX(Properties!$Q:$Q,$B86+5),BY$3&lt;INDEX(Properties!$U:$U,$B86+5)),1,0))</f>
        <v>0</v>
      </c>
      <c r="BZ86" s="247" cm="1">
        <f t="array" ref="BZ86">INDEX(Properties!$D:$D,$B86+5)*(IF(AND(BZ$3&gt;=INDEX(Properties!$Q:$Q,$B86+5),BZ$3&lt;INDEX(Properties!$U:$U,$B86+5)),1,0))</f>
        <v>0</v>
      </c>
      <c r="CA86" s="247" cm="1">
        <f t="array" ref="CA86">INDEX(Properties!$D:$D,$B86+5)*(IF(AND(CA$3&gt;=INDEX(Properties!$Q:$Q,$B86+5),CA$3&lt;INDEX(Properties!$U:$U,$B86+5)),1,0))</f>
        <v>0</v>
      </c>
      <c r="CB86" s="247" cm="1">
        <f t="array" ref="CB86">INDEX(Properties!$D:$D,$B86+5)*(IF(AND(CB$3&gt;=INDEX(Properties!$Q:$Q,$B86+5),CB$3&lt;INDEX(Properties!$U:$U,$B86+5)),1,0))</f>
        <v>0</v>
      </c>
      <c r="CC86" s="247" cm="1">
        <f t="array" ref="CC86">INDEX(Properties!$D:$D,$B86+5)*(IF(AND(CC$3&gt;=INDEX(Properties!$Q:$Q,$B86+5),CC$3&lt;INDEX(Properties!$U:$U,$B86+5)),1,0))</f>
        <v>0</v>
      </c>
      <c r="CD86" s="247" cm="1">
        <f t="array" ref="CD86">INDEX(Properties!$D:$D,$B86+5)*(IF(AND(CD$3&gt;=INDEX(Properties!$Q:$Q,$B86+5),CD$3&lt;INDEX(Properties!$U:$U,$B86+5)),1,0))</f>
        <v>0</v>
      </c>
      <c r="CE86" s="247" cm="1">
        <f t="array" ref="CE86">INDEX(Properties!$D:$D,$B86+5)*(IF(AND(CE$3&gt;=INDEX(Properties!$Q:$Q,$B86+5),CE$3&lt;INDEX(Properties!$U:$U,$B86+5)),1,0))</f>
        <v>0</v>
      </c>
      <c r="CF86" s="247" cm="1">
        <f t="array" ref="CF86">INDEX(Properties!$D:$D,$B86+5)*(IF(AND(CF$3&gt;=INDEX(Properties!$Q:$Q,$B86+5),CF$3&lt;INDEX(Properties!$U:$U,$B86+5)),1,0))</f>
        <v>0</v>
      </c>
      <c r="CG86" s="247" cm="1">
        <f t="array" ref="CG86">INDEX(Properties!$D:$D,$B86+5)*(IF(AND(CG$3&gt;=INDEX(Properties!$Q:$Q,$B86+5),CG$3&lt;INDEX(Properties!$U:$U,$B86+5)),1,0))</f>
        <v>0</v>
      </c>
      <c r="CH86" s="247" cm="1">
        <f t="array" ref="CH86">INDEX(Properties!$D:$D,$B86+5)*(IF(AND(CH$3&gt;=INDEX(Properties!$Q:$Q,$B86+5),CH$3&lt;INDEX(Properties!$U:$U,$B86+5)),1,0))</f>
        <v>0</v>
      </c>
      <c r="CI86" s="247" cm="1">
        <f t="array" ref="CI86">INDEX(Properties!$D:$D,$B86+5)*(IF(AND(CI$3&gt;=INDEX(Properties!$Q:$Q,$B86+5),CI$3&lt;INDEX(Properties!$U:$U,$B86+5)),1,0))</f>
        <v>0</v>
      </c>
      <c r="CJ86" s="247" cm="1">
        <f t="array" ref="CJ86">INDEX(Properties!$D:$D,$B86+5)*(IF(AND(CJ$3&gt;=INDEX(Properties!$Q:$Q,$B86+5),CJ$3&lt;INDEX(Properties!$U:$U,$B86+5)),1,0))</f>
        <v>0</v>
      </c>
      <c r="CK86" s="247" cm="1">
        <f t="array" ref="CK86">INDEX(Properties!$D:$D,$B86+5)*(IF(AND(CK$3&gt;=INDEX(Properties!$Q:$Q,$B86+5),CK$3&lt;INDEX(Properties!$U:$U,$B86+5)),1,0))</f>
        <v>0</v>
      </c>
      <c r="CL86" s="247" cm="1">
        <f t="array" ref="CL86">INDEX(Properties!$D:$D,$B86+5)*(IF(AND(CL$3&gt;=INDEX(Properties!$Q:$Q,$B86+5),CL$3&lt;INDEX(Properties!$U:$U,$B86+5)),1,0))</f>
        <v>0</v>
      </c>
      <c r="CM86" s="247" cm="1">
        <f t="array" ref="CM86">INDEX(Properties!$D:$D,$B86+5)*(IF(AND(CM$3&gt;=INDEX(Properties!$Q:$Q,$B86+5),CM$3&lt;INDEX(Properties!$U:$U,$B86+5)),1,0))</f>
        <v>0</v>
      </c>
      <c r="CN86" s="247" cm="1">
        <f t="array" ref="CN86">INDEX(Properties!$D:$D,$B86+5)*(IF(AND(CN$3&gt;=INDEX(Properties!$Q:$Q,$B86+5),CN$3&lt;INDEX(Properties!$U:$U,$B86+5)),1,0))</f>
        <v>0</v>
      </c>
      <c r="CO86" s="247" cm="1">
        <f t="array" ref="CO86">INDEX(Properties!$D:$D,$B86+5)*(IF(AND(CO$3&gt;=INDEX(Properties!$Q:$Q,$B86+5),CO$3&lt;INDEX(Properties!$U:$U,$B86+5)),1,0))</f>
        <v>0</v>
      </c>
      <c r="CP86" s="247" cm="1">
        <f t="array" ref="CP86">INDEX(Properties!$D:$D,$B86+5)*(IF(AND(CP$3&gt;=INDEX(Properties!$Q:$Q,$B86+5),CP$3&lt;INDEX(Properties!$U:$U,$B86+5)),1,0))</f>
        <v>0</v>
      </c>
      <c r="CQ86" s="247" cm="1">
        <f t="array" ref="CQ86">INDEX(Properties!$D:$D,$B86+5)*(IF(AND(CQ$3&gt;=INDEX(Properties!$Q:$Q,$B86+5),CQ$3&lt;INDEX(Properties!$U:$U,$B86+5)),1,0))</f>
        <v>0</v>
      </c>
      <c r="CR86" s="247" cm="1">
        <f t="array" ref="CR86">INDEX(Properties!$D:$D,$B86+5)*(IF(AND(CR$3&gt;=INDEX(Properties!$Q:$Q,$B86+5),CR$3&lt;INDEX(Properties!$U:$U,$B86+5)),1,0))</f>
        <v>0</v>
      </c>
      <c r="CS86" s="247" cm="1">
        <f t="array" ref="CS86">INDEX(Properties!$D:$D,$B86+5)*(IF(AND(CS$3&gt;=INDEX(Properties!$Q:$Q,$B86+5),CS$3&lt;INDEX(Properties!$U:$U,$B86+5)),1,0))</f>
        <v>0</v>
      </c>
      <c r="CT86" s="247" cm="1">
        <f t="array" ref="CT86">INDEX(Properties!$D:$D,$B86+5)*(IF(AND(CT$3&gt;=INDEX(Properties!$Q:$Q,$B86+5),CT$3&lt;INDEX(Properties!$U:$U,$B86+5)),1,0))</f>
        <v>0</v>
      </c>
      <c r="CU86" s="247" cm="1">
        <f t="array" ref="CU86">INDEX(Properties!$D:$D,$B86+5)*(IF(AND(CU$3&gt;=INDEX(Properties!$Q:$Q,$B86+5),CU$3&lt;INDEX(Properties!$U:$U,$B86+5)),1,0))</f>
        <v>0</v>
      </c>
      <c r="CV86" s="247" cm="1">
        <f t="array" ref="CV86">INDEX(Properties!$D:$D,$B86+5)*(IF(AND(CV$3&gt;=INDEX(Properties!$Q:$Q,$B86+5),CV$3&lt;INDEX(Properties!$U:$U,$B86+5)),1,0))</f>
        <v>0</v>
      </c>
      <c r="CW86" s="247" cm="1">
        <f t="array" ref="CW86">INDEX(Properties!$D:$D,$B86+5)*(IF(AND(CW$3&gt;=INDEX(Properties!$Q:$Q,$B86+5),CW$3&lt;INDEX(Properties!$U:$U,$B86+5)),1,0))</f>
        <v>0</v>
      </c>
      <c r="CX86" s="247" cm="1">
        <f t="array" ref="CX86">INDEX(Properties!$D:$D,$B86+5)*(IF(AND(CX$3&gt;=INDEX(Properties!$Q:$Q,$B86+5),CX$3&lt;INDEX(Properties!$U:$U,$B86+5)),1,0))</f>
        <v>0</v>
      </c>
      <c r="CY86" s="247" cm="1">
        <f t="array" ref="CY86">INDEX(Properties!$D:$D,$B86+5)*(IF(AND(CY$3&gt;=INDEX(Properties!$Q:$Q,$B86+5),CY$3&lt;INDEX(Properties!$U:$U,$B86+5)),1,0))</f>
        <v>0</v>
      </c>
      <c r="CZ86" s="247" cm="1">
        <f t="array" ref="CZ86">INDEX(Properties!$D:$D,$B86+5)*(IF(AND(CZ$3&gt;=INDEX(Properties!$Q:$Q,$B86+5),CZ$3&lt;INDEX(Properties!$U:$U,$B86+5)),1,0))</f>
        <v>0</v>
      </c>
      <c r="DA86" s="247" cm="1">
        <f t="array" ref="DA86">INDEX(Properties!$D:$D,$B86+5)*(IF(AND(DA$3&gt;=INDEX(Properties!$Q:$Q,$B86+5),DA$3&lt;INDEX(Properties!$U:$U,$B86+5)),1,0))</f>
        <v>0</v>
      </c>
      <c r="DB86" s="247" cm="1">
        <f t="array" ref="DB86">INDEX(Properties!$D:$D,$B86+5)*(IF(AND(DB$3&gt;=INDEX(Properties!$Q:$Q,$B86+5),DB$3&lt;INDEX(Properties!$U:$U,$B86+5)),1,0))</f>
        <v>0</v>
      </c>
      <c r="DC86" s="247" cm="1">
        <f t="array" ref="DC86">INDEX(Properties!$D:$D,$B86+5)*(IF(AND(DC$3&gt;=INDEX(Properties!$Q:$Q,$B86+5),DC$3&lt;INDEX(Properties!$U:$U,$B86+5)),1,0))</f>
        <v>0</v>
      </c>
      <c r="DD86" s="247" cm="1">
        <f t="array" ref="DD86">INDEX(Properties!$D:$D,$B86+5)*(IF(AND(DD$3&gt;=INDEX(Properties!$Q:$Q,$B86+5),DD$3&lt;INDEX(Properties!$U:$U,$B86+5)),1,0))</f>
        <v>0</v>
      </c>
      <c r="DE86" s="247" cm="1">
        <f t="array" ref="DE86">INDEX(Properties!$D:$D,$B86+5)*(IF(AND(DE$3&gt;=INDEX(Properties!$Q:$Q,$B86+5),DE$3&lt;INDEX(Properties!$U:$U,$B86+5)),1,0))</f>
        <v>0</v>
      </c>
      <c r="DF86" s="247" cm="1">
        <f t="array" ref="DF86">INDEX(Properties!$D:$D,$B86+5)*(IF(AND(DF$3&gt;=INDEX(Properties!$Q:$Q,$B86+5),DF$3&lt;INDEX(Properties!$U:$U,$B86+5)),1,0))</f>
        <v>0</v>
      </c>
      <c r="DG86" s="247" cm="1">
        <f t="array" ref="DG86">INDEX(Properties!$D:$D,$B86+5)*(IF(AND(DG$3&gt;=INDEX(Properties!$Q:$Q,$B86+5),DG$3&lt;INDEX(Properties!$U:$U,$B86+5)),1,0))</f>
        <v>0</v>
      </c>
      <c r="DH86" s="247" cm="1">
        <f t="array" ref="DH86">INDEX(Properties!$D:$D,$B86+5)*(IF(AND(DH$3&gt;=INDEX(Properties!$Q:$Q,$B86+5),DH$3&lt;INDEX(Properties!$U:$U,$B86+5)),1,0))</f>
        <v>0</v>
      </c>
      <c r="DI86" s="247" cm="1">
        <f t="array" ref="DI86">INDEX(Properties!$D:$D,$B86+5)*(IF(AND(DI$3&gt;=INDEX(Properties!$Q:$Q,$B86+5),DI$3&lt;INDEX(Properties!$U:$U,$B86+5)),1,0))</f>
        <v>0</v>
      </c>
      <c r="DJ86" s="247" cm="1">
        <f t="array" ref="DJ86">INDEX(Properties!$D:$D,$B86+5)*(IF(AND(DJ$3&gt;=INDEX(Properties!$Q:$Q,$B86+5),DJ$3&lt;INDEX(Properties!$U:$U,$B86+5)),1,0))</f>
        <v>0</v>
      </c>
      <c r="DK86" s="247" cm="1">
        <f t="array" ref="DK86">INDEX(Properties!$D:$D,$B86+5)*(IF(AND(DK$3&gt;=INDEX(Properties!$Q:$Q,$B86+5),DK$3&lt;INDEX(Properties!$U:$U,$B86+5)),1,0))</f>
        <v>0</v>
      </c>
      <c r="DL86" s="247" cm="1">
        <f t="array" ref="DL86">INDEX(Properties!$D:$D,$B86+5)*(IF(AND(DL$3&gt;=INDEX(Properties!$Q:$Q,$B86+5),DL$3&lt;INDEX(Properties!$U:$U,$B86+5)),1,0))</f>
        <v>0</v>
      </c>
      <c r="DM86" s="247" cm="1">
        <f t="array" ref="DM86">INDEX(Properties!$D:$D,$B86+5)*(IF(AND(DM$3&gt;=INDEX(Properties!$Q:$Q,$B86+5),DM$3&lt;INDEX(Properties!$U:$U,$B86+5)),1,0))</f>
        <v>0</v>
      </c>
      <c r="DN86" s="247" cm="1">
        <f t="array" ref="DN86">INDEX(Properties!$D:$D,$B86+5)*(IF(AND(DN$3&gt;=INDEX(Properties!$Q:$Q,$B86+5),DN$3&lt;INDEX(Properties!$U:$U,$B86+5)),1,0))</f>
        <v>0</v>
      </c>
      <c r="DO86" s="247" cm="1">
        <f t="array" ref="DO86">INDEX(Properties!$D:$D,$B86+5)*(IF(AND(DO$3&gt;=INDEX(Properties!$Q:$Q,$B86+5),DO$3&lt;INDEX(Properties!$U:$U,$B86+5)),1,0))</f>
        <v>0</v>
      </c>
      <c r="DP86" s="247" cm="1">
        <f t="array" ref="DP86">INDEX(Properties!$D:$D,$B86+5)*(IF(AND(DP$3&gt;=INDEX(Properties!$Q:$Q,$B86+5),DP$3&lt;INDEX(Properties!$U:$U,$B86+5)),1,0))</f>
        <v>0</v>
      </c>
      <c r="DQ86" s="247" cm="1">
        <f t="array" ref="DQ86">INDEX(Properties!$D:$D,$B86+5)*(IF(AND(DQ$3&gt;=INDEX(Properties!$Q:$Q,$B86+5),DQ$3&lt;INDEX(Properties!$U:$U,$B86+5)),1,0))</f>
        <v>0</v>
      </c>
      <c r="DR86" s="247" cm="1">
        <f t="array" ref="DR86">INDEX(Properties!$D:$D,$B86+5)*(IF(AND(DR$3&gt;=INDEX(Properties!$Q:$Q,$B86+5),DR$3&lt;INDEX(Properties!$U:$U,$B86+5)),1,0))</f>
        <v>0</v>
      </c>
    </row>
    <row r="87" spans="1:122" ht="16.05" customHeight="1" x14ac:dyDescent="0.3">
      <c r="A87" s="148" t="str" cm="1">
        <f t="array" ref="A87">INDEX(Properties!$E:$E,$B87+5)</f>
        <v>Fontanar Apto 201 (Penthouse)</v>
      </c>
      <c r="B87" s="1">
        <v>2</v>
      </c>
      <c r="C87" s="247" cm="1">
        <f t="array" ref="C87">INDEX(Properties!$D:$D,$B87+5)*(IF(AND(C$3&gt;=INDEX(Properties!$Q:$Q,$B87+5),C$3&lt;INDEX(Properties!$U:$U,$B87+5)),1,0))</f>
        <v>1</v>
      </c>
      <c r="D87" s="247" cm="1">
        <f t="array" ref="D87">INDEX(Properties!$D:$D,$B87+5)*(IF(AND(D$3&gt;=INDEX(Properties!$Q:$Q,$B87+5),D$3&lt;INDEX(Properties!$U:$U,$B87+5)),1,0))</f>
        <v>1</v>
      </c>
      <c r="E87" s="247" cm="1">
        <f t="array" ref="E87">INDEX(Properties!$D:$D,$B87+5)*(IF(AND(E$3&gt;=INDEX(Properties!$Q:$Q,$B87+5),E$3&lt;INDEX(Properties!$U:$U,$B87+5)),1,0))</f>
        <v>1</v>
      </c>
      <c r="F87" s="247" cm="1">
        <f t="array" ref="F87">INDEX(Properties!$D:$D,$B87+5)*(IF(AND(F$3&gt;=INDEX(Properties!$Q:$Q,$B87+5),F$3&lt;INDEX(Properties!$U:$U,$B87+5)),1,0))</f>
        <v>1</v>
      </c>
      <c r="G87" s="247" cm="1">
        <f t="array" ref="G87">INDEX(Properties!$D:$D,$B87+5)*(IF(AND(G$3&gt;=INDEX(Properties!$Q:$Q,$B87+5),G$3&lt;INDEX(Properties!$U:$U,$B87+5)),1,0))</f>
        <v>1</v>
      </c>
      <c r="H87" s="247" cm="1">
        <f t="array" ref="H87">INDEX(Properties!$D:$D,$B87+5)*(IF(AND(H$3&gt;=INDEX(Properties!$Q:$Q,$B87+5),H$3&lt;INDEX(Properties!$U:$U,$B87+5)),1,0))</f>
        <v>1</v>
      </c>
      <c r="I87" s="247" cm="1">
        <f t="array" ref="I87">INDEX(Properties!$D:$D,$B87+5)*(IF(AND(I$3&gt;=INDEX(Properties!$Q:$Q,$B87+5),I$3&lt;INDEX(Properties!$U:$U,$B87+5)),1,0))</f>
        <v>1</v>
      </c>
      <c r="J87" s="247" cm="1">
        <f t="array" ref="J87">INDEX(Properties!$D:$D,$B87+5)*(IF(AND(J$3&gt;=INDEX(Properties!$Q:$Q,$B87+5),J$3&lt;INDEX(Properties!$U:$U,$B87+5)),1,0))</f>
        <v>1</v>
      </c>
      <c r="K87" s="247" cm="1">
        <f t="array" ref="K87">INDEX(Properties!$D:$D,$B87+5)*(IF(AND(K$3&gt;=INDEX(Properties!$Q:$Q,$B87+5),K$3&lt;INDEX(Properties!$U:$U,$B87+5)),1,0))</f>
        <v>1</v>
      </c>
      <c r="L87" s="247" cm="1">
        <f t="array" ref="L87">INDEX(Properties!$D:$D,$B87+5)*(IF(AND(L$3&gt;=INDEX(Properties!$Q:$Q,$B87+5),L$3&lt;INDEX(Properties!$U:$U,$B87+5)),1,0))</f>
        <v>1</v>
      </c>
      <c r="M87" s="247" cm="1">
        <f t="array" ref="M87">INDEX(Properties!$D:$D,$B87+5)*(IF(AND(M$3&gt;=INDEX(Properties!$Q:$Q,$B87+5),M$3&lt;INDEX(Properties!$U:$U,$B87+5)),1,0))</f>
        <v>1</v>
      </c>
      <c r="N87" s="247" cm="1">
        <f t="array" ref="N87">INDEX(Properties!$D:$D,$B87+5)*(IF(AND(N$3&gt;=INDEX(Properties!$Q:$Q,$B87+5),N$3&lt;INDEX(Properties!$U:$U,$B87+5)),1,0))</f>
        <v>1</v>
      </c>
      <c r="O87" s="247" cm="1">
        <f t="array" ref="O87">INDEX(Properties!$D:$D,$B87+5)*(IF(AND(O$3&gt;=INDEX(Properties!$Q:$Q,$B87+5),O$3&lt;INDEX(Properties!$U:$U,$B87+5)),1,0))</f>
        <v>1</v>
      </c>
      <c r="P87" s="247" cm="1">
        <f t="array" ref="P87">INDEX(Properties!$D:$D,$B87+5)*(IF(AND(P$3&gt;=INDEX(Properties!$Q:$Q,$B87+5),P$3&lt;INDEX(Properties!$U:$U,$B87+5)),1,0))</f>
        <v>1</v>
      </c>
      <c r="Q87" s="247" cm="1">
        <f t="array" ref="Q87">INDEX(Properties!$D:$D,$B87+5)*(IF(AND(Q$3&gt;=INDEX(Properties!$Q:$Q,$B87+5),Q$3&lt;INDEX(Properties!$U:$U,$B87+5)),1,0))</f>
        <v>1</v>
      </c>
      <c r="R87" s="247" cm="1">
        <f t="array" ref="R87">INDEX(Properties!$D:$D,$B87+5)*(IF(AND(R$3&gt;=INDEX(Properties!$Q:$Q,$B87+5),R$3&lt;INDEX(Properties!$U:$U,$B87+5)),1,0))</f>
        <v>1</v>
      </c>
      <c r="S87" s="247" cm="1">
        <f t="array" ref="S87">INDEX(Properties!$D:$D,$B87+5)*(IF(AND(S$3&gt;=INDEX(Properties!$Q:$Q,$B87+5),S$3&lt;INDEX(Properties!$U:$U,$B87+5)),1,0))</f>
        <v>1</v>
      </c>
      <c r="T87" s="247" cm="1">
        <f t="array" ref="T87">INDEX(Properties!$D:$D,$B87+5)*(IF(AND(T$3&gt;=INDEX(Properties!$Q:$Q,$B87+5),T$3&lt;INDEX(Properties!$U:$U,$B87+5)),1,0))</f>
        <v>1</v>
      </c>
      <c r="U87" s="247" cm="1">
        <f t="array" ref="U87">INDEX(Properties!$D:$D,$B87+5)*(IF(AND(U$3&gt;=INDEX(Properties!$Q:$Q,$B87+5),U$3&lt;INDEX(Properties!$U:$U,$B87+5)),1,0))</f>
        <v>1</v>
      </c>
      <c r="V87" s="247" cm="1">
        <f t="array" ref="V87">INDEX(Properties!$D:$D,$B87+5)*(IF(AND(V$3&gt;=INDEX(Properties!$Q:$Q,$B87+5),V$3&lt;INDEX(Properties!$U:$U,$B87+5)),1,0))</f>
        <v>1</v>
      </c>
      <c r="W87" s="247" cm="1">
        <f t="array" ref="W87">INDEX(Properties!$D:$D,$B87+5)*(IF(AND(W$3&gt;=INDEX(Properties!$Q:$Q,$B87+5),W$3&lt;INDEX(Properties!$U:$U,$B87+5)),1,0))</f>
        <v>1</v>
      </c>
      <c r="X87" s="247" cm="1">
        <f t="array" ref="X87">INDEX(Properties!$D:$D,$B87+5)*(IF(AND(X$3&gt;=INDEX(Properties!$Q:$Q,$B87+5),X$3&lt;INDEX(Properties!$U:$U,$B87+5)),1,0))</f>
        <v>1</v>
      </c>
      <c r="Y87" s="247" cm="1">
        <f t="array" ref="Y87">INDEX(Properties!$D:$D,$B87+5)*(IF(AND(Y$3&gt;=INDEX(Properties!$Q:$Q,$B87+5),Y$3&lt;INDEX(Properties!$U:$U,$B87+5)),1,0))</f>
        <v>1</v>
      </c>
      <c r="Z87" s="247" cm="1">
        <f t="array" ref="Z87">INDEX(Properties!$D:$D,$B87+5)*(IF(AND(Z$3&gt;=INDEX(Properties!$Q:$Q,$B87+5),Z$3&lt;INDEX(Properties!$U:$U,$B87+5)),1,0))</f>
        <v>1</v>
      </c>
      <c r="AA87" s="247" cm="1">
        <f t="array" ref="AA87">INDEX(Properties!$D:$D,$B87+5)*(IF(AND(AA$3&gt;=INDEX(Properties!$Q:$Q,$B87+5),AA$3&lt;INDEX(Properties!$U:$U,$B87+5)),1,0))</f>
        <v>1</v>
      </c>
      <c r="AB87" s="247" cm="1">
        <f t="array" ref="AB87">INDEX(Properties!$D:$D,$B87+5)*(IF(AND(AB$3&gt;=INDEX(Properties!$Q:$Q,$B87+5),AB$3&lt;INDEX(Properties!$U:$U,$B87+5)),1,0))</f>
        <v>1</v>
      </c>
      <c r="AC87" s="247" cm="1">
        <f t="array" ref="AC87">INDEX(Properties!$D:$D,$B87+5)*(IF(AND(AC$3&gt;=INDEX(Properties!$Q:$Q,$B87+5),AC$3&lt;INDEX(Properties!$U:$U,$B87+5)),1,0))</f>
        <v>1</v>
      </c>
      <c r="AD87" s="247" cm="1">
        <f t="array" ref="AD87">INDEX(Properties!$D:$D,$B87+5)*(IF(AND(AD$3&gt;=INDEX(Properties!$Q:$Q,$B87+5),AD$3&lt;INDEX(Properties!$U:$U,$B87+5)),1,0))</f>
        <v>1</v>
      </c>
      <c r="AE87" s="247" cm="1">
        <f t="array" ref="AE87">INDEX(Properties!$D:$D,$B87+5)*(IF(AND(AE$3&gt;=INDEX(Properties!$Q:$Q,$B87+5),AE$3&lt;INDEX(Properties!$U:$U,$B87+5)),1,0))</f>
        <v>1</v>
      </c>
      <c r="AF87" s="247" cm="1">
        <f t="array" ref="AF87">INDEX(Properties!$D:$D,$B87+5)*(IF(AND(AF$3&gt;=INDEX(Properties!$Q:$Q,$B87+5),AF$3&lt;INDEX(Properties!$U:$U,$B87+5)),1,0))</f>
        <v>1</v>
      </c>
      <c r="AG87" s="247" cm="1">
        <f t="array" ref="AG87">INDEX(Properties!$D:$D,$B87+5)*(IF(AND(AG$3&gt;=INDEX(Properties!$Q:$Q,$B87+5),AG$3&lt;INDEX(Properties!$U:$U,$B87+5)),1,0))</f>
        <v>0</v>
      </c>
      <c r="AH87" s="247" cm="1">
        <f t="array" ref="AH87">INDEX(Properties!$D:$D,$B87+5)*(IF(AND(AH$3&gt;=INDEX(Properties!$Q:$Q,$B87+5),AH$3&lt;INDEX(Properties!$U:$U,$B87+5)),1,0))</f>
        <v>0</v>
      </c>
      <c r="AI87" s="247" cm="1">
        <f t="array" ref="AI87">INDEX(Properties!$D:$D,$B87+5)*(IF(AND(AI$3&gt;=INDEX(Properties!$Q:$Q,$B87+5),AI$3&lt;INDEX(Properties!$U:$U,$B87+5)),1,0))</f>
        <v>0</v>
      </c>
      <c r="AJ87" s="247" cm="1">
        <f t="array" ref="AJ87">INDEX(Properties!$D:$D,$B87+5)*(IF(AND(AJ$3&gt;=INDEX(Properties!$Q:$Q,$B87+5),AJ$3&lt;INDEX(Properties!$U:$U,$B87+5)),1,0))</f>
        <v>0</v>
      </c>
      <c r="AK87" s="247" cm="1">
        <f t="array" ref="AK87">INDEX(Properties!$D:$D,$B87+5)*(IF(AND(AK$3&gt;=INDEX(Properties!$Q:$Q,$B87+5),AK$3&lt;INDEX(Properties!$U:$U,$B87+5)),1,0))</f>
        <v>0</v>
      </c>
      <c r="AL87" s="247" cm="1">
        <f t="array" ref="AL87">INDEX(Properties!$D:$D,$B87+5)*(IF(AND(AL$3&gt;=INDEX(Properties!$Q:$Q,$B87+5),AL$3&lt;INDEX(Properties!$U:$U,$B87+5)),1,0))</f>
        <v>0</v>
      </c>
      <c r="AM87" s="247" cm="1">
        <f t="array" ref="AM87">INDEX(Properties!$D:$D,$B87+5)*(IF(AND(AM$3&gt;=INDEX(Properties!$Q:$Q,$B87+5),AM$3&lt;INDEX(Properties!$U:$U,$B87+5)),1,0))</f>
        <v>0</v>
      </c>
      <c r="AN87" s="247" cm="1">
        <f t="array" ref="AN87">INDEX(Properties!$D:$D,$B87+5)*(IF(AND(AN$3&gt;=INDEX(Properties!$Q:$Q,$B87+5),AN$3&lt;INDEX(Properties!$U:$U,$B87+5)),1,0))</f>
        <v>0</v>
      </c>
      <c r="AO87" s="247" cm="1">
        <f t="array" ref="AO87">INDEX(Properties!$D:$D,$B87+5)*(IF(AND(AO$3&gt;=INDEX(Properties!$Q:$Q,$B87+5),AO$3&lt;INDEX(Properties!$U:$U,$B87+5)),1,0))</f>
        <v>0</v>
      </c>
      <c r="AP87" s="247" cm="1">
        <f t="array" ref="AP87">INDEX(Properties!$D:$D,$B87+5)*(IF(AND(AP$3&gt;=INDEX(Properties!$Q:$Q,$B87+5),AP$3&lt;INDEX(Properties!$U:$U,$B87+5)),1,0))</f>
        <v>0</v>
      </c>
      <c r="AQ87" s="247" cm="1">
        <f t="array" ref="AQ87">INDEX(Properties!$D:$D,$B87+5)*(IF(AND(AQ$3&gt;=INDEX(Properties!$Q:$Q,$B87+5),AQ$3&lt;INDEX(Properties!$U:$U,$B87+5)),1,0))</f>
        <v>0</v>
      </c>
      <c r="AR87" s="247" cm="1">
        <f t="array" ref="AR87">INDEX(Properties!$D:$D,$B87+5)*(IF(AND(AR$3&gt;=INDEX(Properties!$Q:$Q,$B87+5),AR$3&lt;INDEX(Properties!$U:$U,$B87+5)),1,0))</f>
        <v>0</v>
      </c>
      <c r="AS87" s="247" cm="1">
        <f t="array" ref="AS87">INDEX(Properties!$D:$D,$B87+5)*(IF(AND(AS$3&gt;=INDEX(Properties!$Q:$Q,$B87+5),AS$3&lt;INDEX(Properties!$U:$U,$B87+5)),1,0))</f>
        <v>0</v>
      </c>
      <c r="AT87" s="247" cm="1">
        <f t="array" ref="AT87">INDEX(Properties!$D:$D,$B87+5)*(IF(AND(AT$3&gt;=INDEX(Properties!$Q:$Q,$B87+5),AT$3&lt;INDEX(Properties!$U:$U,$B87+5)),1,0))</f>
        <v>0</v>
      </c>
      <c r="AU87" s="247" cm="1">
        <f t="array" ref="AU87">INDEX(Properties!$D:$D,$B87+5)*(IF(AND(AU$3&gt;=INDEX(Properties!$Q:$Q,$B87+5),AU$3&lt;INDEX(Properties!$U:$U,$B87+5)),1,0))</f>
        <v>0</v>
      </c>
      <c r="AV87" s="247" cm="1">
        <f t="array" ref="AV87">INDEX(Properties!$D:$D,$B87+5)*(IF(AND(AV$3&gt;=INDEX(Properties!$Q:$Q,$B87+5),AV$3&lt;INDEX(Properties!$U:$U,$B87+5)),1,0))</f>
        <v>0</v>
      </c>
      <c r="AW87" s="247" cm="1">
        <f t="array" ref="AW87">INDEX(Properties!$D:$D,$B87+5)*(IF(AND(AW$3&gt;=INDEX(Properties!$Q:$Q,$B87+5),AW$3&lt;INDEX(Properties!$U:$U,$B87+5)),1,0))</f>
        <v>0</v>
      </c>
      <c r="AX87" s="247" cm="1">
        <f t="array" ref="AX87">INDEX(Properties!$D:$D,$B87+5)*(IF(AND(AX$3&gt;=INDEX(Properties!$Q:$Q,$B87+5),AX$3&lt;INDEX(Properties!$U:$U,$B87+5)),1,0))</f>
        <v>0</v>
      </c>
      <c r="AY87" s="247" cm="1">
        <f t="array" ref="AY87">INDEX(Properties!$D:$D,$B87+5)*(IF(AND(AY$3&gt;=INDEX(Properties!$Q:$Q,$B87+5),AY$3&lt;INDEX(Properties!$U:$U,$B87+5)),1,0))</f>
        <v>0</v>
      </c>
      <c r="AZ87" s="247" cm="1">
        <f t="array" ref="AZ87">INDEX(Properties!$D:$D,$B87+5)*(IF(AND(AZ$3&gt;=INDEX(Properties!$Q:$Q,$B87+5),AZ$3&lt;INDEX(Properties!$U:$U,$B87+5)),1,0))</f>
        <v>0</v>
      </c>
      <c r="BA87" s="247" cm="1">
        <f t="array" ref="BA87">INDEX(Properties!$D:$D,$B87+5)*(IF(AND(BA$3&gt;=INDEX(Properties!$Q:$Q,$B87+5),BA$3&lt;INDEX(Properties!$U:$U,$B87+5)),1,0))</f>
        <v>0</v>
      </c>
      <c r="BB87" s="247" cm="1">
        <f t="array" ref="BB87">INDEX(Properties!$D:$D,$B87+5)*(IF(AND(BB$3&gt;=INDEX(Properties!$Q:$Q,$B87+5),BB$3&lt;INDEX(Properties!$U:$U,$B87+5)),1,0))</f>
        <v>0</v>
      </c>
      <c r="BC87" s="247" cm="1">
        <f t="array" ref="BC87">INDEX(Properties!$D:$D,$B87+5)*(IF(AND(BC$3&gt;=INDEX(Properties!$Q:$Q,$B87+5),BC$3&lt;INDEX(Properties!$U:$U,$B87+5)),1,0))</f>
        <v>0</v>
      </c>
      <c r="BD87" s="247" cm="1">
        <f t="array" ref="BD87">INDEX(Properties!$D:$D,$B87+5)*(IF(AND(BD$3&gt;=INDEX(Properties!$Q:$Q,$B87+5),BD$3&lt;INDEX(Properties!$U:$U,$B87+5)),1,0))</f>
        <v>0</v>
      </c>
      <c r="BE87" s="247" cm="1">
        <f t="array" ref="BE87">INDEX(Properties!$D:$D,$B87+5)*(IF(AND(BE$3&gt;=INDEX(Properties!$Q:$Q,$B87+5),BE$3&lt;INDEX(Properties!$U:$U,$B87+5)),1,0))</f>
        <v>0</v>
      </c>
      <c r="BF87" s="247" cm="1">
        <f t="array" ref="BF87">INDEX(Properties!$D:$D,$B87+5)*(IF(AND(BF$3&gt;=INDEX(Properties!$Q:$Q,$B87+5),BF$3&lt;INDEX(Properties!$U:$U,$B87+5)),1,0))</f>
        <v>0</v>
      </c>
      <c r="BG87" s="247" cm="1">
        <f t="array" ref="BG87">INDEX(Properties!$D:$D,$B87+5)*(IF(AND(BG$3&gt;=INDEX(Properties!$Q:$Q,$B87+5),BG$3&lt;INDEX(Properties!$U:$U,$B87+5)),1,0))</f>
        <v>0</v>
      </c>
      <c r="BH87" s="247" cm="1">
        <f t="array" ref="BH87">INDEX(Properties!$D:$D,$B87+5)*(IF(AND(BH$3&gt;=INDEX(Properties!$Q:$Q,$B87+5),BH$3&lt;INDEX(Properties!$U:$U,$B87+5)),1,0))</f>
        <v>0</v>
      </c>
      <c r="BI87" s="247" cm="1">
        <f t="array" ref="BI87">INDEX(Properties!$D:$D,$B87+5)*(IF(AND(BI$3&gt;=INDEX(Properties!$Q:$Q,$B87+5),BI$3&lt;INDEX(Properties!$U:$U,$B87+5)),1,0))</f>
        <v>0</v>
      </c>
      <c r="BJ87" s="247" cm="1">
        <f t="array" ref="BJ87">INDEX(Properties!$D:$D,$B87+5)*(IF(AND(BJ$3&gt;=INDEX(Properties!$Q:$Q,$B87+5),BJ$3&lt;INDEX(Properties!$U:$U,$B87+5)),1,0))</f>
        <v>0</v>
      </c>
      <c r="BK87" s="247" cm="1">
        <f t="array" ref="BK87">INDEX(Properties!$D:$D,$B87+5)*(IF(AND(BK$3&gt;=INDEX(Properties!$Q:$Q,$B87+5),BK$3&lt;INDEX(Properties!$U:$U,$B87+5)),1,0))</f>
        <v>0</v>
      </c>
      <c r="BL87" s="247" cm="1">
        <f t="array" ref="BL87">INDEX(Properties!$D:$D,$B87+5)*(IF(AND(BL$3&gt;=INDEX(Properties!$Q:$Q,$B87+5),BL$3&lt;INDEX(Properties!$U:$U,$B87+5)),1,0))</f>
        <v>0</v>
      </c>
      <c r="BM87" s="247" cm="1">
        <f t="array" ref="BM87">INDEX(Properties!$D:$D,$B87+5)*(IF(AND(BM$3&gt;=INDEX(Properties!$Q:$Q,$B87+5),BM$3&lt;INDEX(Properties!$U:$U,$B87+5)),1,0))</f>
        <v>0</v>
      </c>
      <c r="BN87" s="247" cm="1">
        <f t="array" ref="BN87">INDEX(Properties!$D:$D,$B87+5)*(IF(AND(BN$3&gt;=INDEX(Properties!$Q:$Q,$B87+5),BN$3&lt;INDEX(Properties!$U:$U,$B87+5)),1,0))</f>
        <v>0</v>
      </c>
      <c r="BO87" s="247" cm="1">
        <f t="array" ref="BO87">INDEX(Properties!$D:$D,$B87+5)*(IF(AND(BO$3&gt;=INDEX(Properties!$Q:$Q,$B87+5),BO$3&lt;INDEX(Properties!$U:$U,$B87+5)),1,0))</f>
        <v>0</v>
      </c>
      <c r="BP87" s="247" cm="1">
        <f t="array" ref="BP87">INDEX(Properties!$D:$D,$B87+5)*(IF(AND(BP$3&gt;=INDEX(Properties!$Q:$Q,$B87+5),BP$3&lt;INDEX(Properties!$U:$U,$B87+5)),1,0))</f>
        <v>0</v>
      </c>
      <c r="BQ87" s="247" cm="1">
        <f t="array" ref="BQ87">INDEX(Properties!$D:$D,$B87+5)*(IF(AND(BQ$3&gt;=INDEX(Properties!$Q:$Q,$B87+5),BQ$3&lt;INDEX(Properties!$U:$U,$B87+5)),1,0))</f>
        <v>0</v>
      </c>
      <c r="BR87" s="247" cm="1">
        <f t="array" ref="BR87">INDEX(Properties!$D:$D,$B87+5)*(IF(AND(BR$3&gt;=INDEX(Properties!$Q:$Q,$B87+5),BR$3&lt;INDEX(Properties!$U:$U,$B87+5)),1,0))</f>
        <v>0</v>
      </c>
      <c r="BS87" s="247" cm="1">
        <f t="array" ref="BS87">INDEX(Properties!$D:$D,$B87+5)*(IF(AND(BS$3&gt;=INDEX(Properties!$Q:$Q,$B87+5),BS$3&lt;INDEX(Properties!$U:$U,$B87+5)),1,0))</f>
        <v>0</v>
      </c>
      <c r="BT87" s="247" cm="1">
        <f t="array" ref="BT87">INDEX(Properties!$D:$D,$B87+5)*(IF(AND(BT$3&gt;=INDEX(Properties!$Q:$Q,$B87+5),BT$3&lt;INDEX(Properties!$U:$U,$B87+5)),1,0))</f>
        <v>0</v>
      </c>
      <c r="BU87" s="247" cm="1">
        <f t="array" ref="BU87">INDEX(Properties!$D:$D,$B87+5)*(IF(AND(BU$3&gt;=INDEX(Properties!$Q:$Q,$B87+5),BU$3&lt;INDEX(Properties!$U:$U,$B87+5)),1,0))</f>
        <v>0</v>
      </c>
      <c r="BV87" s="247" cm="1">
        <f t="array" ref="BV87">INDEX(Properties!$D:$D,$B87+5)*(IF(AND(BV$3&gt;=INDEX(Properties!$Q:$Q,$B87+5),BV$3&lt;INDEX(Properties!$U:$U,$B87+5)),1,0))</f>
        <v>0</v>
      </c>
      <c r="BW87" s="247" cm="1">
        <f t="array" ref="BW87">INDEX(Properties!$D:$D,$B87+5)*(IF(AND(BW$3&gt;=INDEX(Properties!$Q:$Q,$B87+5),BW$3&lt;INDEX(Properties!$U:$U,$B87+5)),1,0))</f>
        <v>0</v>
      </c>
      <c r="BX87" s="247" cm="1">
        <f t="array" ref="BX87">INDEX(Properties!$D:$D,$B87+5)*(IF(AND(BX$3&gt;=INDEX(Properties!$Q:$Q,$B87+5),BX$3&lt;INDEX(Properties!$U:$U,$B87+5)),1,0))</f>
        <v>0</v>
      </c>
      <c r="BY87" s="247" cm="1">
        <f t="array" ref="BY87">INDEX(Properties!$D:$D,$B87+5)*(IF(AND(BY$3&gt;=INDEX(Properties!$Q:$Q,$B87+5),BY$3&lt;INDEX(Properties!$U:$U,$B87+5)),1,0))</f>
        <v>0</v>
      </c>
      <c r="BZ87" s="247" cm="1">
        <f t="array" ref="BZ87">INDEX(Properties!$D:$D,$B87+5)*(IF(AND(BZ$3&gt;=INDEX(Properties!$Q:$Q,$B87+5),BZ$3&lt;INDEX(Properties!$U:$U,$B87+5)),1,0))</f>
        <v>0</v>
      </c>
      <c r="CA87" s="247" cm="1">
        <f t="array" ref="CA87">INDEX(Properties!$D:$D,$B87+5)*(IF(AND(CA$3&gt;=INDEX(Properties!$Q:$Q,$B87+5),CA$3&lt;INDEX(Properties!$U:$U,$B87+5)),1,0))</f>
        <v>0</v>
      </c>
      <c r="CB87" s="247" cm="1">
        <f t="array" ref="CB87">INDEX(Properties!$D:$D,$B87+5)*(IF(AND(CB$3&gt;=INDEX(Properties!$Q:$Q,$B87+5),CB$3&lt;INDEX(Properties!$U:$U,$B87+5)),1,0))</f>
        <v>0</v>
      </c>
      <c r="CC87" s="247" cm="1">
        <f t="array" ref="CC87">INDEX(Properties!$D:$D,$B87+5)*(IF(AND(CC$3&gt;=INDEX(Properties!$Q:$Q,$B87+5),CC$3&lt;INDEX(Properties!$U:$U,$B87+5)),1,0))</f>
        <v>0</v>
      </c>
      <c r="CD87" s="247" cm="1">
        <f t="array" ref="CD87">INDEX(Properties!$D:$D,$B87+5)*(IF(AND(CD$3&gt;=INDEX(Properties!$Q:$Q,$B87+5),CD$3&lt;INDEX(Properties!$U:$U,$B87+5)),1,0))</f>
        <v>0</v>
      </c>
      <c r="CE87" s="247" cm="1">
        <f t="array" ref="CE87">INDEX(Properties!$D:$D,$B87+5)*(IF(AND(CE$3&gt;=INDEX(Properties!$Q:$Q,$B87+5),CE$3&lt;INDEX(Properties!$U:$U,$B87+5)),1,0))</f>
        <v>0</v>
      </c>
      <c r="CF87" s="247" cm="1">
        <f t="array" ref="CF87">INDEX(Properties!$D:$D,$B87+5)*(IF(AND(CF$3&gt;=INDEX(Properties!$Q:$Q,$B87+5),CF$3&lt;INDEX(Properties!$U:$U,$B87+5)),1,0))</f>
        <v>0</v>
      </c>
      <c r="CG87" s="247" cm="1">
        <f t="array" ref="CG87">INDEX(Properties!$D:$D,$B87+5)*(IF(AND(CG$3&gt;=INDEX(Properties!$Q:$Q,$B87+5),CG$3&lt;INDEX(Properties!$U:$U,$B87+5)),1,0))</f>
        <v>0</v>
      </c>
      <c r="CH87" s="247" cm="1">
        <f t="array" ref="CH87">INDEX(Properties!$D:$D,$B87+5)*(IF(AND(CH$3&gt;=INDEX(Properties!$Q:$Q,$B87+5),CH$3&lt;INDEX(Properties!$U:$U,$B87+5)),1,0))</f>
        <v>0</v>
      </c>
      <c r="CI87" s="247" cm="1">
        <f t="array" ref="CI87">INDEX(Properties!$D:$D,$B87+5)*(IF(AND(CI$3&gt;=INDEX(Properties!$Q:$Q,$B87+5),CI$3&lt;INDEX(Properties!$U:$U,$B87+5)),1,0))</f>
        <v>0</v>
      </c>
      <c r="CJ87" s="247" cm="1">
        <f t="array" ref="CJ87">INDEX(Properties!$D:$D,$B87+5)*(IF(AND(CJ$3&gt;=INDEX(Properties!$Q:$Q,$B87+5),CJ$3&lt;INDEX(Properties!$U:$U,$B87+5)),1,0))</f>
        <v>0</v>
      </c>
      <c r="CK87" s="247" cm="1">
        <f t="array" ref="CK87">INDEX(Properties!$D:$D,$B87+5)*(IF(AND(CK$3&gt;=INDEX(Properties!$Q:$Q,$B87+5),CK$3&lt;INDEX(Properties!$U:$U,$B87+5)),1,0))</f>
        <v>0</v>
      </c>
      <c r="CL87" s="247" cm="1">
        <f t="array" ref="CL87">INDEX(Properties!$D:$D,$B87+5)*(IF(AND(CL$3&gt;=INDEX(Properties!$Q:$Q,$B87+5),CL$3&lt;INDEX(Properties!$U:$U,$B87+5)),1,0))</f>
        <v>0</v>
      </c>
      <c r="CM87" s="247" cm="1">
        <f t="array" ref="CM87">INDEX(Properties!$D:$D,$B87+5)*(IF(AND(CM$3&gt;=INDEX(Properties!$Q:$Q,$B87+5),CM$3&lt;INDEX(Properties!$U:$U,$B87+5)),1,0))</f>
        <v>0</v>
      </c>
      <c r="CN87" s="247" cm="1">
        <f t="array" ref="CN87">INDEX(Properties!$D:$D,$B87+5)*(IF(AND(CN$3&gt;=INDEX(Properties!$Q:$Q,$B87+5),CN$3&lt;INDEX(Properties!$U:$U,$B87+5)),1,0))</f>
        <v>0</v>
      </c>
      <c r="CO87" s="247" cm="1">
        <f t="array" ref="CO87">INDEX(Properties!$D:$D,$B87+5)*(IF(AND(CO$3&gt;=INDEX(Properties!$Q:$Q,$B87+5),CO$3&lt;INDEX(Properties!$U:$U,$B87+5)),1,0))</f>
        <v>0</v>
      </c>
      <c r="CP87" s="247" cm="1">
        <f t="array" ref="CP87">INDEX(Properties!$D:$D,$B87+5)*(IF(AND(CP$3&gt;=INDEX(Properties!$Q:$Q,$B87+5),CP$3&lt;INDEX(Properties!$U:$U,$B87+5)),1,0))</f>
        <v>0</v>
      </c>
      <c r="CQ87" s="247" cm="1">
        <f t="array" ref="CQ87">INDEX(Properties!$D:$D,$B87+5)*(IF(AND(CQ$3&gt;=INDEX(Properties!$Q:$Q,$B87+5),CQ$3&lt;INDEX(Properties!$U:$U,$B87+5)),1,0))</f>
        <v>0</v>
      </c>
      <c r="CR87" s="247" cm="1">
        <f t="array" ref="CR87">INDEX(Properties!$D:$D,$B87+5)*(IF(AND(CR$3&gt;=INDEX(Properties!$Q:$Q,$B87+5),CR$3&lt;INDEX(Properties!$U:$U,$B87+5)),1,0))</f>
        <v>0</v>
      </c>
      <c r="CS87" s="247" cm="1">
        <f t="array" ref="CS87">INDEX(Properties!$D:$D,$B87+5)*(IF(AND(CS$3&gt;=INDEX(Properties!$Q:$Q,$B87+5),CS$3&lt;INDEX(Properties!$U:$U,$B87+5)),1,0))</f>
        <v>0</v>
      </c>
      <c r="CT87" s="247" cm="1">
        <f t="array" ref="CT87">INDEX(Properties!$D:$D,$B87+5)*(IF(AND(CT$3&gt;=INDEX(Properties!$Q:$Q,$B87+5),CT$3&lt;INDEX(Properties!$U:$U,$B87+5)),1,0))</f>
        <v>0</v>
      </c>
      <c r="CU87" s="247" cm="1">
        <f t="array" ref="CU87">INDEX(Properties!$D:$D,$B87+5)*(IF(AND(CU$3&gt;=INDEX(Properties!$Q:$Q,$B87+5),CU$3&lt;INDEX(Properties!$U:$U,$B87+5)),1,0))</f>
        <v>0</v>
      </c>
      <c r="CV87" s="247" cm="1">
        <f t="array" ref="CV87">INDEX(Properties!$D:$D,$B87+5)*(IF(AND(CV$3&gt;=INDEX(Properties!$Q:$Q,$B87+5),CV$3&lt;INDEX(Properties!$U:$U,$B87+5)),1,0))</f>
        <v>0</v>
      </c>
      <c r="CW87" s="247" cm="1">
        <f t="array" ref="CW87">INDEX(Properties!$D:$D,$B87+5)*(IF(AND(CW$3&gt;=INDEX(Properties!$Q:$Q,$B87+5),CW$3&lt;INDEX(Properties!$U:$U,$B87+5)),1,0))</f>
        <v>0</v>
      </c>
      <c r="CX87" s="247" cm="1">
        <f t="array" ref="CX87">INDEX(Properties!$D:$D,$B87+5)*(IF(AND(CX$3&gt;=INDEX(Properties!$Q:$Q,$B87+5),CX$3&lt;INDEX(Properties!$U:$U,$B87+5)),1,0))</f>
        <v>0</v>
      </c>
      <c r="CY87" s="247" cm="1">
        <f t="array" ref="CY87">INDEX(Properties!$D:$D,$B87+5)*(IF(AND(CY$3&gt;=INDEX(Properties!$Q:$Q,$B87+5),CY$3&lt;INDEX(Properties!$U:$U,$B87+5)),1,0))</f>
        <v>0</v>
      </c>
      <c r="CZ87" s="247" cm="1">
        <f t="array" ref="CZ87">INDEX(Properties!$D:$D,$B87+5)*(IF(AND(CZ$3&gt;=INDEX(Properties!$Q:$Q,$B87+5),CZ$3&lt;INDEX(Properties!$U:$U,$B87+5)),1,0))</f>
        <v>0</v>
      </c>
      <c r="DA87" s="247" cm="1">
        <f t="array" ref="DA87">INDEX(Properties!$D:$D,$B87+5)*(IF(AND(DA$3&gt;=INDEX(Properties!$Q:$Q,$B87+5),DA$3&lt;INDEX(Properties!$U:$U,$B87+5)),1,0))</f>
        <v>0</v>
      </c>
      <c r="DB87" s="247" cm="1">
        <f t="array" ref="DB87">INDEX(Properties!$D:$D,$B87+5)*(IF(AND(DB$3&gt;=INDEX(Properties!$Q:$Q,$B87+5),DB$3&lt;INDEX(Properties!$U:$U,$B87+5)),1,0))</f>
        <v>0</v>
      </c>
      <c r="DC87" s="247" cm="1">
        <f t="array" ref="DC87">INDEX(Properties!$D:$D,$B87+5)*(IF(AND(DC$3&gt;=INDEX(Properties!$Q:$Q,$B87+5),DC$3&lt;INDEX(Properties!$U:$U,$B87+5)),1,0))</f>
        <v>0</v>
      </c>
      <c r="DD87" s="247" cm="1">
        <f t="array" ref="DD87">INDEX(Properties!$D:$D,$B87+5)*(IF(AND(DD$3&gt;=INDEX(Properties!$Q:$Q,$B87+5),DD$3&lt;INDEX(Properties!$U:$U,$B87+5)),1,0))</f>
        <v>0</v>
      </c>
      <c r="DE87" s="247" cm="1">
        <f t="array" ref="DE87">INDEX(Properties!$D:$D,$B87+5)*(IF(AND(DE$3&gt;=INDEX(Properties!$Q:$Q,$B87+5),DE$3&lt;INDEX(Properties!$U:$U,$B87+5)),1,0))</f>
        <v>0</v>
      </c>
      <c r="DF87" s="247" cm="1">
        <f t="array" ref="DF87">INDEX(Properties!$D:$D,$B87+5)*(IF(AND(DF$3&gt;=INDEX(Properties!$Q:$Q,$B87+5),DF$3&lt;INDEX(Properties!$U:$U,$B87+5)),1,0))</f>
        <v>0</v>
      </c>
      <c r="DG87" s="247" cm="1">
        <f t="array" ref="DG87">INDEX(Properties!$D:$D,$B87+5)*(IF(AND(DG$3&gt;=INDEX(Properties!$Q:$Q,$B87+5),DG$3&lt;INDEX(Properties!$U:$U,$B87+5)),1,0))</f>
        <v>0</v>
      </c>
      <c r="DH87" s="247" cm="1">
        <f t="array" ref="DH87">INDEX(Properties!$D:$D,$B87+5)*(IF(AND(DH$3&gt;=INDEX(Properties!$Q:$Q,$B87+5),DH$3&lt;INDEX(Properties!$U:$U,$B87+5)),1,0))</f>
        <v>0</v>
      </c>
      <c r="DI87" s="247" cm="1">
        <f t="array" ref="DI87">INDEX(Properties!$D:$D,$B87+5)*(IF(AND(DI$3&gt;=INDEX(Properties!$Q:$Q,$B87+5),DI$3&lt;INDEX(Properties!$U:$U,$B87+5)),1,0))</f>
        <v>0</v>
      </c>
      <c r="DJ87" s="247" cm="1">
        <f t="array" ref="DJ87">INDEX(Properties!$D:$D,$B87+5)*(IF(AND(DJ$3&gt;=INDEX(Properties!$Q:$Q,$B87+5),DJ$3&lt;INDEX(Properties!$U:$U,$B87+5)),1,0))</f>
        <v>0</v>
      </c>
      <c r="DK87" s="247" cm="1">
        <f t="array" ref="DK87">INDEX(Properties!$D:$D,$B87+5)*(IF(AND(DK$3&gt;=INDEX(Properties!$Q:$Q,$B87+5),DK$3&lt;INDEX(Properties!$U:$U,$B87+5)),1,0))</f>
        <v>0</v>
      </c>
      <c r="DL87" s="247" cm="1">
        <f t="array" ref="DL87">INDEX(Properties!$D:$D,$B87+5)*(IF(AND(DL$3&gt;=INDEX(Properties!$Q:$Q,$B87+5),DL$3&lt;INDEX(Properties!$U:$U,$B87+5)),1,0))</f>
        <v>0</v>
      </c>
      <c r="DM87" s="247" cm="1">
        <f t="array" ref="DM87">INDEX(Properties!$D:$D,$B87+5)*(IF(AND(DM$3&gt;=INDEX(Properties!$Q:$Q,$B87+5),DM$3&lt;INDEX(Properties!$U:$U,$B87+5)),1,0))</f>
        <v>0</v>
      </c>
      <c r="DN87" s="247" cm="1">
        <f t="array" ref="DN87">INDEX(Properties!$D:$D,$B87+5)*(IF(AND(DN$3&gt;=INDEX(Properties!$Q:$Q,$B87+5),DN$3&lt;INDEX(Properties!$U:$U,$B87+5)),1,0))</f>
        <v>0</v>
      </c>
      <c r="DO87" s="247" cm="1">
        <f t="array" ref="DO87">INDEX(Properties!$D:$D,$B87+5)*(IF(AND(DO$3&gt;=INDEX(Properties!$Q:$Q,$B87+5),DO$3&lt;INDEX(Properties!$U:$U,$B87+5)),1,0))</f>
        <v>0</v>
      </c>
      <c r="DP87" s="247" cm="1">
        <f t="array" ref="DP87">INDEX(Properties!$D:$D,$B87+5)*(IF(AND(DP$3&gt;=INDEX(Properties!$Q:$Q,$B87+5),DP$3&lt;INDEX(Properties!$U:$U,$B87+5)),1,0))</f>
        <v>0</v>
      </c>
      <c r="DQ87" s="247" cm="1">
        <f t="array" ref="DQ87">INDEX(Properties!$D:$D,$B87+5)*(IF(AND(DQ$3&gt;=INDEX(Properties!$Q:$Q,$B87+5),DQ$3&lt;INDEX(Properties!$U:$U,$B87+5)),1,0))</f>
        <v>0</v>
      </c>
      <c r="DR87" s="247" cm="1">
        <f t="array" ref="DR87">INDEX(Properties!$D:$D,$B87+5)*(IF(AND(DR$3&gt;=INDEX(Properties!$Q:$Q,$B87+5),DR$3&lt;INDEX(Properties!$U:$U,$B87+5)),1,0))</f>
        <v>0</v>
      </c>
    </row>
    <row r="88" spans="1:122" ht="16.05" customHeight="1" x14ac:dyDescent="0.3">
      <c r="A88" s="148" t="str" cm="1">
        <f t="array" ref="A88">INDEX(Properties!$E:$E,$B88+5)</f>
        <v>San Lucas Apto 101</v>
      </c>
      <c r="B88" s="1">
        <v>3</v>
      </c>
      <c r="C88" s="247" cm="1">
        <f t="array" ref="C88">INDEX(Properties!$D:$D,$B88+5)*(IF(AND(C$3&gt;=INDEX(Properties!$Q:$Q,$B88+5),C$3&lt;INDEX(Properties!$U:$U,$B88+5)),1,0))</f>
        <v>0</v>
      </c>
      <c r="D88" s="247" cm="1">
        <f t="array" ref="D88">INDEX(Properties!$D:$D,$B88+5)*(IF(AND(D$3&gt;=INDEX(Properties!$Q:$Q,$B88+5),D$3&lt;INDEX(Properties!$U:$U,$B88+5)),1,0))</f>
        <v>0</v>
      </c>
      <c r="E88" s="247" cm="1">
        <f t="array" ref="E88">INDEX(Properties!$D:$D,$B88+5)*(IF(AND(E$3&gt;=INDEX(Properties!$Q:$Q,$B88+5),E$3&lt;INDEX(Properties!$U:$U,$B88+5)),1,0))</f>
        <v>1</v>
      </c>
      <c r="F88" s="247" cm="1">
        <f t="array" ref="F88">INDEX(Properties!$D:$D,$B88+5)*(IF(AND(F$3&gt;=INDEX(Properties!$Q:$Q,$B88+5),F$3&lt;INDEX(Properties!$U:$U,$B88+5)),1,0))</f>
        <v>1</v>
      </c>
      <c r="G88" s="247" cm="1">
        <f t="array" ref="G88">INDEX(Properties!$D:$D,$B88+5)*(IF(AND(G$3&gt;=INDEX(Properties!$Q:$Q,$B88+5),G$3&lt;INDEX(Properties!$U:$U,$B88+5)),1,0))</f>
        <v>1</v>
      </c>
      <c r="H88" s="247" cm="1">
        <f t="array" ref="H88">INDEX(Properties!$D:$D,$B88+5)*(IF(AND(H$3&gt;=INDEX(Properties!$Q:$Q,$B88+5),H$3&lt;INDEX(Properties!$U:$U,$B88+5)),1,0))</f>
        <v>1</v>
      </c>
      <c r="I88" s="247" cm="1">
        <f t="array" ref="I88">INDEX(Properties!$D:$D,$B88+5)*(IF(AND(I$3&gt;=INDEX(Properties!$Q:$Q,$B88+5),I$3&lt;INDEX(Properties!$U:$U,$B88+5)),1,0))</f>
        <v>1</v>
      </c>
      <c r="J88" s="247" cm="1">
        <f t="array" ref="J88">INDEX(Properties!$D:$D,$B88+5)*(IF(AND(J$3&gt;=INDEX(Properties!$Q:$Q,$B88+5),J$3&lt;INDEX(Properties!$U:$U,$B88+5)),1,0))</f>
        <v>1</v>
      </c>
      <c r="K88" s="247" cm="1">
        <f t="array" ref="K88">INDEX(Properties!$D:$D,$B88+5)*(IF(AND(K$3&gt;=INDEX(Properties!$Q:$Q,$B88+5),K$3&lt;INDEX(Properties!$U:$U,$B88+5)),1,0))</f>
        <v>1</v>
      </c>
      <c r="L88" s="247" cm="1">
        <f t="array" ref="L88">INDEX(Properties!$D:$D,$B88+5)*(IF(AND(L$3&gt;=INDEX(Properties!$Q:$Q,$B88+5),L$3&lt;INDEX(Properties!$U:$U,$B88+5)),1,0))</f>
        <v>1</v>
      </c>
      <c r="M88" s="247" cm="1">
        <f t="array" ref="M88">INDEX(Properties!$D:$D,$B88+5)*(IF(AND(M$3&gt;=INDEX(Properties!$Q:$Q,$B88+5),M$3&lt;INDEX(Properties!$U:$U,$B88+5)),1,0))</f>
        <v>1</v>
      </c>
      <c r="N88" s="247" cm="1">
        <f t="array" ref="N88">INDEX(Properties!$D:$D,$B88+5)*(IF(AND(N$3&gt;=INDEX(Properties!$Q:$Q,$B88+5),N$3&lt;INDEX(Properties!$U:$U,$B88+5)),1,0))</f>
        <v>1</v>
      </c>
      <c r="O88" s="247" cm="1">
        <f t="array" ref="O88">INDEX(Properties!$D:$D,$B88+5)*(IF(AND(O$3&gt;=INDEX(Properties!$Q:$Q,$B88+5),O$3&lt;INDEX(Properties!$U:$U,$B88+5)),1,0))</f>
        <v>1</v>
      </c>
      <c r="P88" s="247" cm="1">
        <f t="array" ref="P88">INDEX(Properties!$D:$D,$B88+5)*(IF(AND(P$3&gt;=INDEX(Properties!$Q:$Q,$B88+5),P$3&lt;INDEX(Properties!$U:$U,$B88+5)),1,0))</f>
        <v>1</v>
      </c>
      <c r="Q88" s="247" cm="1">
        <f t="array" ref="Q88">INDEX(Properties!$D:$D,$B88+5)*(IF(AND(Q$3&gt;=INDEX(Properties!$Q:$Q,$B88+5),Q$3&lt;INDEX(Properties!$U:$U,$B88+5)),1,0))</f>
        <v>1</v>
      </c>
      <c r="R88" s="247" cm="1">
        <f t="array" ref="R88">INDEX(Properties!$D:$D,$B88+5)*(IF(AND(R$3&gt;=INDEX(Properties!$Q:$Q,$B88+5),R$3&lt;INDEX(Properties!$U:$U,$B88+5)),1,0))</f>
        <v>1</v>
      </c>
      <c r="S88" s="247" cm="1">
        <f t="array" ref="S88">INDEX(Properties!$D:$D,$B88+5)*(IF(AND(S$3&gt;=INDEX(Properties!$Q:$Q,$B88+5),S$3&lt;INDEX(Properties!$U:$U,$B88+5)),1,0))</f>
        <v>1</v>
      </c>
      <c r="T88" s="247" cm="1">
        <f t="array" ref="T88">INDEX(Properties!$D:$D,$B88+5)*(IF(AND(T$3&gt;=INDEX(Properties!$Q:$Q,$B88+5),T$3&lt;INDEX(Properties!$U:$U,$B88+5)),1,0))</f>
        <v>1</v>
      </c>
      <c r="U88" s="247" cm="1">
        <f t="array" ref="U88">INDEX(Properties!$D:$D,$B88+5)*(IF(AND(U$3&gt;=INDEX(Properties!$Q:$Q,$B88+5),U$3&lt;INDEX(Properties!$U:$U,$B88+5)),1,0))</f>
        <v>1</v>
      </c>
      <c r="V88" s="247" cm="1">
        <f t="array" ref="V88">INDEX(Properties!$D:$D,$B88+5)*(IF(AND(V$3&gt;=INDEX(Properties!$Q:$Q,$B88+5),V$3&lt;INDEX(Properties!$U:$U,$B88+5)),1,0))</f>
        <v>1</v>
      </c>
      <c r="W88" s="247" cm="1">
        <f t="array" ref="W88">INDEX(Properties!$D:$D,$B88+5)*(IF(AND(W$3&gt;=INDEX(Properties!$Q:$Q,$B88+5),W$3&lt;INDEX(Properties!$U:$U,$B88+5)),1,0))</f>
        <v>1</v>
      </c>
      <c r="X88" s="247" cm="1">
        <f t="array" ref="X88">INDEX(Properties!$D:$D,$B88+5)*(IF(AND(X$3&gt;=INDEX(Properties!$Q:$Q,$B88+5),X$3&lt;INDEX(Properties!$U:$U,$B88+5)),1,0))</f>
        <v>1</v>
      </c>
      <c r="Y88" s="247" cm="1">
        <f t="array" ref="Y88">INDEX(Properties!$D:$D,$B88+5)*(IF(AND(Y$3&gt;=INDEX(Properties!$Q:$Q,$B88+5),Y$3&lt;INDEX(Properties!$U:$U,$B88+5)),1,0))</f>
        <v>1</v>
      </c>
      <c r="Z88" s="247" cm="1">
        <f t="array" ref="Z88">INDEX(Properties!$D:$D,$B88+5)*(IF(AND(Z$3&gt;=INDEX(Properties!$Q:$Q,$B88+5),Z$3&lt;INDEX(Properties!$U:$U,$B88+5)),1,0))</f>
        <v>1</v>
      </c>
      <c r="AA88" s="247" cm="1">
        <f t="array" ref="AA88">INDEX(Properties!$D:$D,$B88+5)*(IF(AND(AA$3&gt;=INDEX(Properties!$Q:$Q,$B88+5),AA$3&lt;INDEX(Properties!$U:$U,$B88+5)),1,0))</f>
        <v>1</v>
      </c>
      <c r="AB88" s="247" cm="1">
        <f t="array" ref="AB88">INDEX(Properties!$D:$D,$B88+5)*(IF(AND(AB$3&gt;=INDEX(Properties!$Q:$Q,$B88+5),AB$3&lt;INDEX(Properties!$U:$U,$B88+5)),1,0))</f>
        <v>1</v>
      </c>
      <c r="AC88" s="247" cm="1">
        <f t="array" ref="AC88">INDEX(Properties!$D:$D,$B88+5)*(IF(AND(AC$3&gt;=INDEX(Properties!$Q:$Q,$B88+5),AC$3&lt;INDEX(Properties!$U:$U,$B88+5)),1,0))</f>
        <v>1</v>
      </c>
      <c r="AD88" s="247" cm="1">
        <f t="array" ref="AD88">INDEX(Properties!$D:$D,$B88+5)*(IF(AND(AD$3&gt;=INDEX(Properties!$Q:$Q,$B88+5),AD$3&lt;INDEX(Properties!$U:$U,$B88+5)),1,0))</f>
        <v>0</v>
      </c>
      <c r="AE88" s="247" cm="1">
        <f t="array" ref="AE88">INDEX(Properties!$D:$D,$B88+5)*(IF(AND(AE$3&gt;=INDEX(Properties!$Q:$Q,$B88+5),AE$3&lt;INDEX(Properties!$U:$U,$B88+5)),1,0))</f>
        <v>0</v>
      </c>
      <c r="AF88" s="247" cm="1">
        <f t="array" ref="AF88">INDEX(Properties!$D:$D,$B88+5)*(IF(AND(AF$3&gt;=INDEX(Properties!$Q:$Q,$B88+5),AF$3&lt;INDEX(Properties!$U:$U,$B88+5)),1,0))</f>
        <v>0</v>
      </c>
      <c r="AG88" s="247" cm="1">
        <f t="array" ref="AG88">INDEX(Properties!$D:$D,$B88+5)*(IF(AND(AG$3&gt;=INDEX(Properties!$Q:$Q,$B88+5),AG$3&lt;INDEX(Properties!$U:$U,$B88+5)),1,0))</f>
        <v>0</v>
      </c>
      <c r="AH88" s="247" cm="1">
        <f t="array" ref="AH88">INDEX(Properties!$D:$D,$B88+5)*(IF(AND(AH$3&gt;=INDEX(Properties!$Q:$Q,$B88+5),AH$3&lt;INDEX(Properties!$U:$U,$B88+5)),1,0))</f>
        <v>0</v>
      </c>
      <c r="AI88" s="247" cm="1">
        <f t="array" ref="AI88">INDEX(Properties!$D:$D,$B88+5)*(IF(AND(AI$3&gt;=INDEX(Properties!$Q:$Q,$B88+5),AI$3&lt;INDEX(Properties!$U:$U,$B88+5)),1,0))</f>
        <v>0</v>
      </c>
      <c r="AJ88" s="247" cm="1">
        <f t="array" ref="AJ88">INDEX(Properties!$D:$D,$B88+5)*(IF(AND(AJ$3&gt;=INDEX(Properties!$Q:$Q,$B88+5),AJ$3&lt;INDEX(Properties!$U:$U,$B88+5)),1,0))</f>
        <v>0</v>
      </c>
      <c r="AK88" s="247" cm="1">
        <f t="array" ref="AK88">INDEX(Properties!$D:$D,$B88+5)*(IF(AND(AK$3&gt;=INDEX(Properties!$Q:$Q,$B88+5),AK$3&lt;INDEX(Properties!$U:$U,$B88+5)),1,0))</f>
        <v>0</v>
      </c>
      <c r="AL88" s="247" cm="1">
        <f t="array" ref="AL88">INDEX(Properties!$D:$D,$B88+5)*(IF(AND(AL$3&gt;=INDEX(Properties!$Q:$Q,$B88+5),AL$3&lt;INDEX(Properties!$U:$U,$B88+5)),1,0))</f>
        <v>0</v>
      </c>
      <c r="AM88" s="247" cm="1">
        <f t="array" ref="AM88">INDEX(Properties!$D:$D,$B88+5)*(IF(AND(AM$3&gt;=INDEX(Properties!$Q:$Q,$B88+5),AM$3&lt;INDEX(Properties!$U:$U,$B88+5)),1,0))</f>
        <v>0</v>
      </c>
      <c r="AN88" s="247" cm="1">
        <f t="array" ref="AN88">INDEX(Properties!$D:$D,$B88+5)*(IF(AND(AN$3&gt;=INDEX(Properties!$Q:$Q,$B88+5),AN$3&lt;INDEX(Properties!$U:$U,$B88+5)),1,0))</f>
        <v>0</v>
      </c>
      <c r="AO88" s="247" cm="1">
        <f t="array" ref="AO88">INDEX(Properties!$D:$D,$B88+5)*(IF(AND(AO$3&gt;=INDEX(Properties!$Q:$Q,$B88+5),AO$3&lt;INDEX(Properties!$U:$U,$B88+5)),1,0))</f>
        <v>0</v>
      </c>
      <c r="AP88" s="247" cm="1">
        <f t="array" ref="AP88">INDEX(Properties!$D:$D,$B88+5)*(IF(AND(AP$3&gt;=INDEX(Properties!$Q:$Q,$B88+5),AP$3&lt;INDEX(Properties!$U:$U,$B88+5)),1,0))</f>
        <v>0</v>
      </c>
      <c r="AQ88" s="247" cm="1">
        <f t="array" ref="AQ88">INDEX(Properties!$D:$D,$B88+5)*(IF(AND(AQ$3&gt;=INDEX(Properties!$Q:$Q,$B88+5),AQ$3&lt;INDEX(Properties!$U:$U,$B88+5)),1,0))</f>
        <v>0</v>
      </c>
      <c r="AR88" s="247" cm="1">
        <f t="array" ref="AR88">INDEX(Properties!$D:$D,$B88+5)*(IF(AND(AR$3&gt;=INDEX(Properties!$Q:$Q,$B88+5),AR$3&lt;INDEX(Properties!$U:$U,$B88+5)),1,0))</f>
        <v>0</v>
      </c>
      <c r="AS88" s="247" cm="1">
        <f t="array" ref="AS88">INDEX(Properties!$D:$D,$B88+5)*(IF(AND(AS$3&gt;=INDEX(Properties!$Q:$Q,$B88+5),AS$3&lt;INDEX(Properties!$U:$U,$B88+5)),1,0))</f>
        <v>0</v>
      </c>
      <c r="AT88" s="247" cm="1">
        <f t="array" ref="AT88">INDEX(Properties!$D:$D,$B88+5)*(IF(AND(AT$3&gt;=INDEX(Properties!$Q:$Q,$B88+5),AT$3&lt;INDEX(Properties!$U:$U,$B88+5)),1,0))</f>
        <v>0</v>
      </c>
      <c r="AU88" s="247" cm="1">
        <f t="array" ref="AU88">INDEX(Properties!$D:$D,$B88+5)*(IF(AND(AU$3&gt;=INDEX(Properties!$Q:$Q,$B88+5),AU$3&lt;INDEX(Properties!$U:$U,$B88+5)),1,0))</f>
        <v>0</v>
      </c>
      <c r="AV88" s="247" cm="1">
        <f t="array" ref="AV88">INDEX(Properties!$D:$D,$B88+5)*(IF(AND(AV$3&gt;=INDEX(Properties!$Q:$Q,$B88+5),AV$3&lt;INDEX(Properties!$U:$U,$B88+5)),1,0))</f>
        <v>0</v>
      </c>
      <c r="AW88" s="247" cm="1">
        <f t="array" ref="AW88">INDEX(Properties!$D:$D,$B88+5)*(IF(AND(AW$3&gt;=INDEX(Properties!$Q:$Q,$B88+5),AW$3&lt;INDEX(Properties!$U:$U,$B88+5)),1,0))</f>
        <v>0</v>
      </c>
      <c r="AX88" s="247" cm="1">
        <f t="array" ref="AX88">INDEX(Properties!$D:$D,$B88+5)*(IF(AND(AX$3&gt;=INDEX(Properties!$Q:$Q,$B88+5),AX$3&lt;INDEX(Properties!$U:$U,$B88+5)),1,0))</f>
        <v>0</v>
      </c>
      <c r="AY88" s="247" cm="1">
        <f t="array" ref="AY88">INDEX(Properties!$D:$D,$B88+5)*(IF(AND(AY$3&gt;=INDEX(Properties!$Q:$Q,$B88+5),AY$3&lt;INDEX(Properties!$U:$U,$B88+5)),1,0))</f>
        <v>0</v>
      </c>
      <c r="AZ88" s="247" cm="1">
        <f t="array" ref="AZ88">INDEX(Properties!$D:$D,$B88+5)*(IF(AND(AZ$3&gt;=INDEX(Properties!$Q:$Q,$B88+5),AZ$3&lt;INDEX(Properties!$U:$U,$B88+5)),1,0))</f>
        <v>0</v>
      </c>
      <c r="BA88" s="247" cm="1">
        <f t="array" ref="BA88">INDEX(Properties!$D:$D,$B88+5)*(IF(AND(BA$3&gt;=INDEX(Properties!$Q:$Q,$B88+5),BA$3&lt;INDEX(Properties!$U:$U,$B88+5)),1,0))</f>
        <v>0</v>
      </c>
      <c r="BB88" s="247" cm="1">
        <f t="array" ref="BB88">INDEX(Properties!$D:$D,$B88+5)*(IF(AND(BB$3&gt;=INDEX(Properties!$Q:$Q,$B88+5),BB$3&lt;INDEX(Properties!$U:$U,$B88+5)),1,0))</f>
        <v>0</v>
      </c>
      <c r="BC88" s="247" cm="1">
        <f t="array" ref="BC88">INDEX(Properties!$D:$D,$B88+5)*(IF(AND(BC$3&gt;=INDEX(Properties!$Q:$Q,$B88+5),BC$3&lt;INDEX(Properties!$U:$U,$B88+5)),1,0))</f>
        <v>0</v>
      </c>
      <c r="BD88" s="247" cm="1">
        <f t="array" ref="BD88">INDEX(Properties!$D:$D,$B88+5)*(IF(AND(BD$3&gt;=INDEX(Properties!$Q:$Q,$B88+5),BD$3&lt;INDEX(Properties!$U:$U,$B88+5)),1,0))</f>
        <v>0</v>
      </c>
      <c r="BE88" s="247" cm="1">
        <f t="array" ref="BE88">INDEX(Properties!$D:$D,$B88+5)*(IF(AND(BE$3&gt;=INDEX(Properties!$Q:$Q,$B88+5),BE$3&lt;INDEX(Properties!$U:$U,$B88+5)),1,0))</f>
        <v>0</v>
      </c>
      <c r="BF88" s="247" cm="1">
        <f t="array" ref="BF88">INDEX(Properties!$D:$D,$B88+5)*(IF(AND(BF$3&gt;=INDEX(Properties!$Q:$Q,$B88+5),BF$3&lt;INDEX(Properties!$U:$U,$B88+5)),1,0))</f>
        <v>0</v>
      </c>
      <c r="BG88" s="247" cm="1">
        <f t="array" ref="BG88">INDEX(Properties!$D:$D,$B88+5)*(IF(AND(BG$3&gt;=INDEX(Properties!$Q:$Q,$B88+5),BG$3&lt;INDEX(Properties!$U:$U,$B88+5)),1,0))</f>
        <v>0</v>
      </c>
      <c r="BH88" s="247" cm="1">
        <f t="array" ref="BH88">INDEX(Properties!$D:$D,$B88+5)*(IF(AND(BH$3&gt;=INDEX(Properties!$Q:$Q,$B88+5),BH$3&lt;INDEX(Properties!$U:$U,$B88+5)),1,0))</f>
        <v>0</v>
      </c>
      <c r="BI88" s="247" cm="1">
        <f t="array" ref="BI88">INDEX(Properties!$D:$D,$B88+5)*(IF(AND(BI$3&gt;=INDEX(Properties!$Q:$Q,$B88+5),BI$3&lt;INDEX(Properties!$U:$U,$B88+5)),1,0))</f>
        <v>0</v>
      </c>
      <c r="BJ88" s="247" cm="1">
        <f t="array" ref="BJ88">INDEX(Properties!$D:$D,$B88+5)*(IF(AND(BJ$3&gt;=INDEX(Properties!$Q:$Q,$B88+5),BJ$3&lt;INDEX(Properties!$U:$U,$B88+5)),1,0))</f>
        <v>0</v>
      </c>
      <c r="BK88" s="247" cm="1">
        <f t="array" ref="BK88">INDEX(Properties!$D:$D,$B88+5)*(IF(AND(BK$3&gt;=INDEX(Properties!$Q:$Q,$B88+5),BK$3&lt;INDEX(Properties!$U:$U,$B88+5)),1,0))</f>
        <v>0</v>
      </c>
      <c r="BL88" s="247" cm="1">
        <f t="array" ref="BL88">INDEX(Properties!$D:$D,$B88+5)*(IF(AND(BL$3&gt;=INDEX(Properties!$Q:$Q,$B88+5),BL$3&lt;INDEX(Properties!$U:$U,$B88+5)),1,0))</f>
        <v>0</v>
      </c>
      <c r="BM88" s="247" cm="1">
        <f t="array" ref="BM88">INDEX(Properties!$D:$D,$B88+5)*(IF(AND(BM$3&gt;=INDEX(Properties!$Q:$Q,$B88+5),BM$3&lt;INDEX(Properties!$U:$U,$B88+5)),1,0))</f>
        <v>0</v>
      </c>
      <c r="BN88" s="247" cm="1">
        <f t="array" ref="BN88">INDEX(Properties!$D:$D,$B88+5)*(IF(AND(BN$3&gt;=INDEX(Properties!$Q:$Q,$B88+5),BN$3&lt;INDEX(Properties!$U:$U,$B88+5)),1,0))</f>
        <v>0</v>
      </c>
      <c r="BO88" s="247" cm="1">
        <f t="array" ref="BO88">INDEX(Properties!$D:$D,$B88+5)*(IF(AND(BO$3&gt;=INDEX(Properties!$Q:$Q,$B88+5),BO$3&lt;INDEX(Properties!$U:$U,$B88+5)),1,0))</f>
        <v>0</v>
      </c>
      <c r="BP88" s="247" cm="1">
        <f t="array" ref="BP88">INDEX(Properties!$D:$D,$B88+5)*(IF(AND(BP$3&gt;=INDEX(Properties!$Q:$Q,$B88+5),BP$3&lt;INDEX(Properties!$U:$U,$B88+5)),1,0))</f>
        <v>0</v>
      </c>
      <c r="BQ88" s="247" cm="1">
        <f t="array" ref="BQ88">INDEX(Properties!$D:$D,$B88+5)*(IF(AND(BQ$3&gt;=INDEX(Properties!$Q:$Q,$B88+5),BQ$3&lt;INDEX(Properties!$U:$U,$B88+5)),1,0))</f>
        <v>0</v>
      </c>
      <c r="BR88" s="247" cm="1">
        <f t="array" ref="BR88">INDEX(Properties!$D:$D,$B88+5)*(IF(AND(BR$3&gt;=INDEX(Properties!$Q:$Q,$B88+5),BR$3&lt;INDEX(Properties!$U:$U,$B88+5)),1,0))</f>
        <v>0</v>
      </c>
      <c r="BS88" s="247" cm="1">
        <f t="array" ref="BS88">INDEX(Properties!$D:$D,$B88+5)*(IF(AND(BS$3&gt;=INDEX(Properties!$Q:$Q,$B88+5),BS$3&lt;INDEX(Properties!$U:$U,$B88+5)),1,0))</f>
        <v>0</v>
      </c>
      <c r="BT88" s="247" cm="1">
        <f t="array" ref="BT88">INDEX(Properties!$D:$D,$B88+5)*(IF(AND(BT$3&gt;=INDEX(Properties!$Q:$Q,$B88+5),BT$3&lt;INDEX(Properties!$U:$U,$B88+5)),1,0))</f>
        <v>0</v>
      </c>
      <c r="BU88" s="247" cm="1">
        <f t="array" ref="BU88">INDEX(Properties!$D:$D,$B88+5)*(IF(AND(BU$3&gt;=INDEX(Properties!$Q:$Q,$B88+5),BU$3&lt;INDEX(Properties!$U:$U,$B88+5)),1,0))</f>
        <v>0</v>
      </c>
      <c r="BV88" s="247" cm="1">
        <f t="array" ref="BV88">INDEX(Properties!$D:$D,$B88+5)*(IF(AND(BV$3&gt;=INDEX(Properties!$Q:$Q,$B88+5),BV$3&lt;INDEX(Properties!$U:$U,$B88+5)),1,0))</f>
        <v>0</v>
      </c>
      <c r="BW88" s="247" cm="1">
        <f t="array" ref="BW88">INDEX(Properties!$D:$D,$B88+5)*(IF(AND(BW$3&gt;=INDEX(Properties!$Q:$Q,$B88+5),BW$3&lt;INDEX(Properties!$U:$U,$B88+5)),1,0))</f>
        <v>0</v>
      </c>
      <c r="BX88" s="247" cm="1">
        <f t="array" ref="BX88">INDEX(Properties!$D:$D,$B88+5)*(IF(AND(BX$3&gt;=INDEX(Properties!$Q:$Q,$B88+5),BX$3&lt;INDEX(Properties!$U:$U,$B88+5)),1,0))</f>
        <v>0</v>
      </c>
      <c r="BY88" s="247" cm="1">
        <f t="array" ref="BY88">INDEX(Properties!$D:$D,$B88+5)*(IF(AND(BY$3&gt;=INDEX(Properties!$Q:$Q,$B88+5),BY$3&lt;INDEX(Properties!$U:$U,$B88+5)),1,0))</f>
        <v>0</v>
      </c>
      <c r="BZ88" s="247" cm="1">
        <f t="array" ref="BZ88">INDEX(Properties!$D:$D,$B88+5)*(IF(AND(BZ$3&gt;=INDEX(Properties!$Q:$Q,$B88+5),BZ$3&lt;INDEX(Properties!$U:$U,$B88+5)),1,0))</f>
        <v>0</v>
      </c>
      <c r="CA88" s="247" cm="1">
        <f t="array" ref="CA88">INDEX(Properties!$D:$D,$B88+5)*(IF(AND(CA$3&gt;=INDEX(Properties!$Q:$Q,$B88+5),CA$3&lt;INDEX(Properties!$U:$U,$B88+5)),1,0))</f>
        <v>0</v>
      </c>
      <c r="CB88" s="247" cm="1">
        <f t="array" ref="CB88">INDEX(Properties!$D:$D,$B88+5)*(IF(AND(CB$3&gt;=INDEX(Properties!$Q:$Q,$B88+5),CB$3&lt;INDEX(Properties!$U:$U,$B88+5)),1,0))</f>
        <v>0</v>
      </c>
      <c r="CC88" s="247" cm="1">
        <f t="array" ref="CC88">INDEX(Properties!$D:$D,$B88+5)*(IF(AND(CC$3&gt;=INDEX(Properties!$Q:$Q,$B88+5),CC$3&lt;INDEX(Properties!$U:$U,$B88+5)),1,0))</f>
        <v>0</v>
      </c>
      <c r="CD88" s="247" cm="1">
        <f t="array" ref="CD88">INDEX(Properties!$D:$D,$B88+5)*(IF(AND(CD$3&gt;=INDEX(Properties!$Q:$Q,$B88+5),CD$3&lt;INDEX(Properties!$U:$U,$B88+5)),1,0))</f>
        <v>0</v>
      </c>
      <c r="CE88" s="247" cm="1">
        <f t="array" ref="CE88">INDEX(Properties!$D:$D,$B88+5)*(IF(AND(CE$3&gt;=INDEX(Properties!$Q:$Q,$B88+5),CE$3&lt;INDEX(Properties!$U:$U,$B88+5)),1,0))</f>
        <v>0</v>
      </c>
      <c r="CF88" s="247" cm="1">
        <f t="array" ref="CF88">INDEX(Properties!$D:$D,$B88+5)*(IF(AND(CF$3&gt;=INDEX(Properties!$Q:$Q,$B88+5),CF$3&lt;INDEX(Properties!$U:$U,$B88+5)),1,0))</f>
        <v>0</v>
      </c>
      <c r="CG88" s="247" cm="1">
        <f t="array" ref="CG88">INDEX(Properties!$D:$D,$B88+5)*(IF(AND(CG$3&gt;=INDEX(Properties!$Q:$Q,$B88+5),CG$3&lt;INDEX(Properties!$U:$U,$B88+5)),1,0))</f>
        <v>0</v>
      </c>
      <c r="CH88" s="247" cm="1">
        <f t="array" ref="CH88">INDEX(Properties!$D:$D,$B88+5)*(IF(AND(CH$3&gt;=INDEX(Properties!$Q:$Q,$B88+5),CH$3&lt;INDEX(Properties!$U:$U,$B88+5)),1,0))</f>
        <v>0</v>
      </c>
      <c r="CI88" s="247" cm="1">
        <f t="array" ref="CI88">INDEX(Properties!$D:$D,$B88+5)*(IF(AND(CI$3&gt;=INDEX(Properties!$Q:$Q,$B88+5),CI$3&lt;INDEX(Properties!$U:$U,$B88+5)),1,0))</f>
        <v>0</v>
      </c>
      <c r="CJ88" s="247" cm="1">
        <f t="array" ref="CJ88">INDEX(Properties!$D:$D,$B88+5)*(IF(AND(CJ$3&gt;=INDEX(Properties!$Q:$Q,$B88+5),CJ$3&lt;INDEX(Properties!$U:$U,$B88+5)),1,0))</f>
        <v>0</v>
      </c>
      <c r="CK88" s="247" cm="1">
        <f t="array" ref="CK88">INDEX(Properties!$D:$D,$B88+5)*(IF(AND(CK$3&gt;=INDEX(Properties!$Q:$Q,$B88+5),CK$3&lt;INDEX(Properties!$U:$U,$B88+5)),1,0))</f>
        <v>0</v>
      </c>
      <c r="CL88" s="247" cm="1">
        <f t="array" ref="CL88">INDEX(Properties!$D:$D,$B88+5)*(IF(AND(CL$3&gt;=INDEX(Properties!$Q:$Q,$B88+5),CL$3&lt;INDEX(Properties!$U:$U,$B88+5)),1,0))</f>
        <v>0</v>
      </c>
      <c r="CM88" s="247" cm="1">
        <f t="array" ref="CM88">INDEX(Properties!$D:$D,$B88+5)*(IF(AND(CM$3&gt;=INDEX(Properties!$Q:$Q,$B88+5),CM$3&lt;INDEX(Properties!$U:$U,$B88+5)),1,0))</f>
        <v>0</v>
      </c>
      <c r="CN88" s="247" cm="1">
        <f t="array" ref="CN88">INDEX(Properties!$D:$D,$B88+5)*(IF(AND(CN$3&gt;=INDEX(Properties!$Q:$Q,$B88+5),CN$3&lt;INDEX(Properties!$U:$U,$B88+5)),1,0))</f>
        <v>0</v>
      </c>
      <c r="CO88" s="247" cm="1">
        <f t="array" ref="CO88">INDEX(Properties!$D:$D,$B88+5)*(IF(AND(CO$3&gt;=INDEX(Properties!$Q:$Q,$B88+5),CO$3&lt;INDEX(Properties!$U:$U,$B88+5)),1,0))</f>
        <v>0</v>
      </c>
      <c r="CP88" s="247" cm="1">
        <f t="array" ref="CP88">INDEX(Properties!$D:$D,$B88+5)*(IF(AND(CP$3&gt;=INDEX(Properties!$Q:$Q,$B88+5),CP$3&lt;INDEX(Properties!$U:$U,$B88+5)),1,0))</f>
        <v>0</v>
      </c>
      <c r="CQ88" s="247" cm="1">
        <f t="array" ref="CQ88">INDEX(Properties!$D:$D,$B88+5)*(IF(AND(CQ$3&gt;=INDEX(Properties!$Q:$Q,$B88+5),CQ$3&lt;INDEX(Properties!$U:$U,$B88+5)),1,0))</f>
        <v>0</v>
      </c>
      <c r="CR88" s="247" cm="1">
        <f t="array" ref="CR88">INDEX(Properties!$D:$D,$B88+5)*(IF(AND(CR$3&gt;=INDEX(Properties!$Q:$Q,$B88+5),CR$3&lt;INDEX(Properties!$U:$U,$B88+5)),1,0))</f>
        <v>0</v>
      </c>
      <c r="CS88" s="247" cm="1">
        <f t="array" ref="CS88">INDEX(Properties!$D:$D,$B88+5)*(IF(AND(CS$3&gt;=INDEX(Properties!$Q:$Q,$B88+5),CS$3&lt;INDEX(Properties!$U:$U,$B88+5)),1,0))</f>
        <v>0</v>
      </c>
      <c r="CT88" s="247" cm="1">
        <f t="array" ref="CT88">INDEX(Properties!$D:$D,$B88+5)*(IF(AND(CT$3&gt;=INDEX(Properties!$Q:$Q,$B88+5),CT$3&lt;INDEX(Properties!$U:$U,$B88+5)),1,0))</f>
        <v>0</v>
      </c>
      <c r="CU88" s="247" cm="1">
        <f t="array" ref="CU88">INDEX(Properties!$D:$D,$B88+5)*(IF(AND(CU$3&gt;=INDEX(Properties!$Q:$Q,$B88+5),CU$3&lt;INDEX(Properties!$U:$U,$B88+5)),1,0))</f>
        <v>0</v>
      </c>
      <c r="CV88" s="247" cm="1">
        <f t="array" ref="CV88">INDEX(Properties!$D:$D,$B88+5)*(IF(AND(CV$3&gt;=INDEX(Properties!$Q:$Q,$B88+5),CV$3&lt;INDEX(Properties!$U:$U,$B88+5)),1,0))</f>
        <v>0</v>
      </c>
      <c r="CW88" s="247" cm="1">
        <f t="array" ref="CW88">INDEX(Properties!$D:$D,$B88+5)*(IF(AND(CW$3&gt;=INDEX(Properties!$Q:$Q,$B88+5),CW$3&lt;INDEX(Properties!$U:$U,$B88+5)),1,0))</f>
        <v>0</v>
      </c>
      <c r="CX88" s="247" cm="1">
        <f t="array" ref="CX88">INDEX(Properties!$D:$D,$B88+5)*(IF(AND(CX$3&gt;=INDEX(Properties!$Q:$Q,$B88+5),CX$3&lt;INDEX(Properties!$U:$U,$B88+5)),1,0))</f>
        <v>0</v>
      </c>
      <c r="CY88" s="247" cm="1">
        <f t="array" ref="CY88">INDEX(Properties!$D:$D,$B88+5)*(IF(AND(CY$3&gt;=INDEX(Properties!$Q:$Q,$B88+5),CY$3&lt;INDEX(Properties!$U:$U,$B88+5)),1,0))</f>
        <v>0</v>
      </c>
      <c r="CZ88" s="247" cm="1">
        <f t="array" ref="CZ88">INDEX(Properties!$D:$D,$B88+5)*(IF(AND(CZ$3&gt;=INDEX(Properties!$Q:$Q,$B88+5),CZ$3&lt;INDEX(Properties!$U:$U,$B88+5)),1,0))</f>
        <v>0</v>
      </c>
      <c r="DA88" s="247" cm="1">
        <f t="array" ref="DA88">INDEX(Properties!$D:$D,$B88+5)*(IF(AND(DA$3&gt;=INDEX(Properties!$Q:$Q,$B88+5),DA$3&lt;INDEX(Properties!$U:$U,$B88+5)),1,0))</f>
        <v>0</v>
      </c>
      <c r="DB88" s="247" cm="1">
        <f t="array" ref="DB88">INDEX(Properties!$D:$D,$B88+5)*(IF(AND(DB$3&gt;=INDEX(Properties!$Q:$Q,$B88+5),DB$3&lt;INDEX(Properties!$U:$U,$B88+5)),1,0))</f>
        <v>0</v>
      </c>
      <c r="DC88" s="247" cm="1">
        <f t="array" ref="DC88">INDEX(Properties!$D:$D,$B88+5)*(IF(AND(DC$3&gt;=INDEX(Properties!$Q:$Q,$B88+5),DC$3&lt;INDEX(Properties!$U:$U,$B88+5)),1,0))</f>
        <v>0</v>
      </c>
      <c r="DD88" s="247" cm="1">
        <f t="array" ref="DD88">INDEX(Properties!$D:$D,$B88+5)*(IF(AND(DD$3&gt;=INDEX(Properties!$Q:$Q,$B88+5),DD$3&lt;INDEX(Properties!$U:$U,$B88+5)),1,0))</f>
        <v>0</v>
      </c>
      <c r="DE88" s="247" cm="1">
        <f t="array" ref="DE88">INDEX(Properties!$D:$D,$B88+5)*(IF(AND(DE$3&gt;=INDEX(Properties!$Q:$Q,$B88+5),DE$3&lt;INDEX(Properties!$U:$U,$B88+5)),1,0))</f>
        <v>0</v>
      </c>
      <c r="DF88" s="247" cm="1">
        <f t="array" ref="DF88">INDEX(Properties!$D:$D,$B88+5)*(IF(AND(DF$3&gt;=INDEX(Properties!$Q:$Q,$B88+5),DF$3&lt;INDEX(Properties!$U:$U,$B88+5)),1,0))</f>
        <v>0</v>
      </c>
      <c r="DG88" s="247" cm="1">
        <f t="array" ref="DG88">INDEX(Properties!$D:$D,$B88+5)*(IF(AND(DG$3&gt;=INDEX(Properties!$Q:$Q,$B88+5),DG$3&lt;INDEX(Properties!$U:$U,$B88+5)),1,0))</f>
        <v>0</v>
      </c>
      <c r="DH88" s="247" cm="1">
        <f t="array" ref="DH88">INDEX(Properties!$D:$D,$B88+5)*(IF(AND(DH$3&gt;=INDEX(Properties!$Q:$Q,$B88+5),DH$3&lt;INDEX(Properties!$U:$U,$B88+5)),1,0))</f>
        <v>0</v>
      </c>
      <c r="DI88" s="247" cm="1">
        <f t="array" ref="DI88">INDEX(Properties!$D:$D,$B88+5)*(IF(AND(DI$3&gt;=INDEX(Properties!$Q:$Q,$B88+5),DI$3&lt;INDEX(Properties!$U:$U,$B88+5)),1,0))</f>
        <v>0</v>
      </c>
      <c r="DJ88" s="247" cm="1">
        <f t="array" ref="DJ88">INDEX(Properties!$D:$D,$B88+5)*(IF(AND(DJ$3&gt;=INDEX(Properties!$Q:$Q,$B88+5),DJ$3&lt;INDEX(Properties!$U:$U,$B88+5)),1,0))</f>
        <v>0</v>
      </c>
      <c r="DK88" s="247" cm="1">
        <f t="array" ref="DK88">INDEX(Properties!$D:$D,$B88+5)*(IF(AND(DK$3&gt;=INDEX(Properties!$Q:$Q,$B88+5),DK$3&lt;INDEX(Properties!$U:$U,$B88+5)),1,0))</f>
        <v>0</v>
      </c>
      <c r="DL88" s="247" cm="1">
        <f t="array" ref="DL88">INDEX(Properties!$D:$D,$B88+5)*(IF(AND(DL$3&gt;=INDEX(Properties!$Q:$Q,$B88+5),DL$3&lt;INDEX(Properties!$U:$U,$B88+5)),1,0))</f>
        <v>0</v>
      </c>
      <c r="DM88" s="247" cm="1">
        <f t="array" ref="DM88">INDEX(Properties!$D:$D,$B88+5)*(IF(AND(DM$3&gt;=INDEX(Properties!$Q:$Q,$B88+5),DM$3&lt;INDEX(Properties!$U:$U,$B88+5)),1,0))</f>
        <v>0</v>
      </c>
      <c r="DN88" s="247" cm="1">
        <f t="array" ref="DN88">INDEX(Properties!$D:$D,$B88+5)*(IF(AND(DN$3&gt;=INDEX(Properties!$Q:$Q,$B88+5),DN$3&lt;INDEX(Properties!$U:$U,$B88+5)),1,0))</f>
        <v>0</v>
      </c>
      <c r="DO88" s="247" cm="1">
        <f t="array" ref="DO88">INDEX(Properties!$D:$D,$B88+5)*(IF(AND(DO$3&gt;=INDEX(Properties!$Q:$Q,$B88+5),DO$3&lt;INDEX(Properties!$U:$U,$B88+5)),1,0))</f>
        <v>0</v>
      </c>
      <c r="DP88" s="247" cm="1">
        <f t="array" ref="DP88">INDEX(Properties!$D:$D,$B88+5)*(IF(AND(DP$3&gt;=INDEX(Properties!$Q:$Q,$B88+5),DP$3&lt;INDEX(Properties!$U:$U,$B88+5)),1,0))</f>
        <v>0</v>
      </c>
      <c r="DQ88" s="247" cm="1">
        <f t="array" ref="DQ88">INDEX(Properties!$D:$D,$B88+5)*(IF(AND(DQ$3&gt;=INDEX(Properties!$Q:$Q,$B88+5),DQ$3&lt;INDEX(Properties!$U:$U,$B88+5)),1,0))</f>
        <v>0</v>
      </c>
      <c r="DR88" s="247" cm="1">
        <f t="array" ref="DR88">INDEX(Properties!$D:$D,$B88+5)*(IF(AND(DR$3&gt;=INDEX(Properties!$Q:$Q,$B88+5),DR$3&lt;INDEX(Properties!$U:$U,$B88+5)),1,0))</f>
        <v>0</v>
      </c>
    </row>
    <row r="89" spans="1:122" ht="16.05" customHeight="1" x14ac:dyDescent="0.3">
      <c r="A89" s="148" t="str" cm="1">
        <f t="array" ref="A89">INDEX(Properties!$E:$E,$B89+5)</f>
        <v>Casa Montana Lote 2 (Samuel Gaviria House)</v>
      </c>
      <c r="B89" s="1">
        <v>4</v>
      </c>
      <c r="C89" s="247" cm="1">
        <f t="array" ref="C89">INDEX(Properties!$D:$D,$B89+5)*(IF(AND(C$3&gt;=INDEX(Properties!$Q:$Q,$B89+5),C$3&lt;INDEX(Properties!$U:$U,$B89+5)),1,0))</f>
        <v>0</v>
      </c>
      <c r="D89" s="247" cm="1">
        <f t="array" ref="D89">INDEX(Properties!$D:$D,$B89+5)*(IF(AND(D$3&gt;=INDEX(Properties!$Q:$Q,$B89+5),D$3&lt;INDEX(Properties!$U:$U,$B89+5)),1,0))</f>
        <v>0</v>
      </c>
      <c r="E89" s="247" cm="1">
        <f t="array" ref="E89">INDEX(Properties!$D:$D,$B89+5)*(IF(AND(E$3&gt;=INDEX(Properties!$Q:$Q,$B89+5),E$3&lt;INDEX(Properties!$U:$U,$B89+5)),1,0))</f>
        <v>0</v>
      </c>
      <c r="F89" s="247" cm="1">
        <f t="array" ref="F89">INDEX(Properties!$D:$D,$B89+5)*(IF(AND(F$3&gt;=INDEX(Properties!$Q:$Q,$B89+5),F$3&lt;INDEX(Properties!$U:$U,$B89+5)),1,0))</f>
        <v>0</v>
      </c>
      <c r="G89" s="247" cm="1">
        <f t="array" ref="G89">INDEX(Properties!$D:$D,$B89+5)*(IF(AND(G$3&gt;=INDEX(Properties!$Q:$Q,$B89+5),G$3&lt;INDEX(Properties!$U:$U,$B89+5)),1,0))</f>
        <v>0</v>
      </c>
      <c r="H89" s="247" cm="1">
        <f t="array" ref="H89">INDEX(Properties!$D:$D,$B89+5)*(IF(AND(H$3&gt;=INDEX(Properties!$Q:$Q,$B89+5),H$3&lt;INDEX(Properties!$U:$U,$B89+5)),1,0))</f>
        <v>0</v>
      </c>
      <c r="I89" s="247" cm="1">
        <f t="array" ref="I89">INDEX(Properties!$D:$D,$B89+5)*(IF(AND(I$3&gt;=INDEX(Properties!$Q:$Q,$B89+5),I$3&lt;INDEX(Properties!$U:$U,$B89+5)),1,0))</f>
        <v>0</v>
      </c>
      <c r="J89" s="247" cm="1">
        <f t="array" ref="J89">INDEX(Properties!$D:$D,$B89+5)*(IF(AND(J$3&gt;=INDEX(Properties!$Q:$Q,$B89+5),J$3&lt;INDEX(Properties!$U:$U,$B89+5)),1,0))</f>
        <v>1</v>
      </c>
      <c r="K89" s="247" cm="1">
        <f t="array" ref="K89">INDEX(Properties!$D:$D,$B89+5)*(IF(AND(K$3&gt;=INDEX(Properties!$Q:$Q,$B89+5),K$3&lt;INDEX(Properties!$U:$U,$B89+5)),1,0))</f>
        <v>1</v>
      </c>
      <c r="L89" s="247" cm="1">
        <f t="array" ref="L89">INDEX(Properties!$D:$D,$B89+5)*(IF(AND(L$3&gt;=INDEX(Properties!$Q:$Q,$B89+5),L$3&lt;INDEX(Properties!$U:$U,$B89+5)),1,0))</f>
        <v>1</v>
      </c>
      <c r="M89" s="247" cm="1">
        <f t="array" ref="M89">INDEX(Properties!$D:$D,$B89+5)*(IF(AND(M$3&gt;=INDEX(Properties!$Q:$Q,$B89+5),M$3&lt;INDEX(Properties!$U:$U,$B89+5)),1,0))</f>
        <v>1</v>
      </c>
      <c r="N89" s="247" cm="1">
        <f t="array" ref="N89">INDEX(Properties!$D:$D,$B89+5)*(IF(AND(N$3&gt;=INDEX(Properties!$Q:$Q,$B89+5),N$3&lt;INDEX(Properties!$U:$U,$B89+5)),1,0))</f>
        <v>1</v>
      </c>
      <c r="O89" s="247" cm="1">
        <f t="array" ref="O89">INDEX(Properties!$D:$D,$B89+5)*(IF(AND(O$3&gt;=INDEX(Properties!$Q:$Q,$B89+5),O$3&lt;INDEX(Properties!$U:$U,$B89+5)),1,0))</f>
        <v>1</v>
      </c>
      <c r="P89" s="247" cm="1">
        <f t="array" ref="P89">INDEX(Properties!$D:$D,$B89+5)*(IF(AND(P$3&gt;=INDEX(Properties!$Q:$Q,$B89+5),P$3&lt;INDEX(Properties!$U:$U,$B89+5)),1,0))</f>
        <v>1</v>
      </c>
      <c r="Q89" s="247" cm="1">
        <f t="array" ref="Q89">INDEX(Properties!$D:$D,$B89+5)*(IF(AND(Q$3&gt;=INDEX(Properties!$Q:$Q,$B89+5),Q$3&lt;INDEX(Properties!$U:$U,$B89+5)),1,0))</f>
        <v>1</v>
      </c>
      <c r="R89" s="247" cm="1">
        <f t="array" ref="R89">INDEX(Properties!$D:$D,$B89+5)*(IF(AND(R$3&gt;=INDEX(Properties!$Q:$Q,$B89+5),R$3&lt;INDEX(Properties!$U:$U,$B89+5)),1,0))</f>
        <v>1</v>
      </c>
      <c r="S89" s="247" cm="1">
        <f t="array" ref="S89">INDEX(Properties!$D:$D,$B89+5)*(IF(AND(S$3&gt;=INDEX(Properties!$Q:$Q,$B89+5),S$3&lt;INDEX(Properties!$U:$U,$B89+5)),1,0))</f>
        <v>1</v>
      </c>
      <c r="T89" s="247" cm="1">
        <f t="array" ref="T89">INDEX(Properties!$D:$D,$B89+5)*(IF(AND(T$3&gt;=INDEX(Properties!$Q:$Q,$B89+5),T$3&lt;INDEX(Properties!$U:$U,$B89+5)),1,0))</f>
        <v>1</v>
      </c>
      <c r="U89" s="247" cm="1">
        <f t="array" ref="U89">INDEX(Properties!$D:$D,$B89+5)*(IF(AND(U$3&gt;=INDEX(Properties!$Q:$Q,$B89+5),U$3&lt;INDEX(Properties!$U:$U,$B89+5)),1,0))</f>
        <v>1</v>
      </c>
      <c r="V89" s="247" cm="1">
        <f t="array" ref="V89">INDEX(Properties!$D:$D,$B89+5)*(IF(AND(V$3&gt;=INDEX(Properties!$Q:$Q,$B89+5),V$3&lt;INDEX(Properties!$U:$U,$B89+5)),1,0))</f>
        <v>1</v>
      </c>
      <c r="W89" s="247" cm="1">
        <f t="array" ref="W89">INDEX(Properties!$D:$D,$B89+5)*(IF(AND(W$3&gt;=INDEX(Properties!$Q:$Q,$B89+5),W$3&lt;INDEX(Properties!$U:$U,$B89+5)),1,0))</f>
        <v>1</v>
      </c>
      <c r="X89" s="247" cm="1">
        <f t="array" ref="X89">INDEX(Properties!$D:$D,$B89+5)*(IF(AND(X$3&gt;=INDEX(Properties!$Q:$Q,$B89+5),X$3&lt;INDEX(Properties!$U:$U,$B89+5)),1,0))</f>
        <v>1</v>
      </c>
      <c r="Y89" s="247" cm="1">
        <f t="array" ref="Y89">INDEX(Properties!$D:$D,$B89+5)*(IF(AND(Y$3&gt;=INDEX(Properties!$Q:$Q,$B89+5),Y$3&lt;INDEX(Properties!$U:$U,$B89+5)),1,0))</f>
        <v>1</v>
      </c>
      <c r="Z89" s="247" cm="1">
        <f t="array" ref="Z89">INDEX(Properties!$D:$D,$B89+5)*(IF(AND(Z$3&gt;=INDEX(Properties!$Q:$Q,$B89+5),Z$3&lt;INDEX(Properties!$U:$U,$B89+5)),1,0))</f>
        <v>1</v>
      </c>
      <c r="AA89" s="247" cm="1">
        <f t="array" ref="AA89">INDEX(Properties!$D:$D,$B89+5)*(IF(AND(AA$3&gt;=INDEX(Properties!$Q:$Q,$B89+5),AA$3&lt;INDEX(Properties!$U:$U,$B89+5)),1,0))</f>
        <v>1</v>
      </c>
      <c r="AB89" s="247" cm="1">
        <f t="array" ref="AB89">INDEX(Properties!$D:$D,$B89+5)*(IF(AND(AB$3&gt;=INDEX(Properties!$Q:$Q,$B89+5),AB$3&lt;INDEX(Properties!$U:$U,$B89+5)),1,0))</f>
        <v>1</v>
      </c>
      <c r="AC89" s="247" cm="1">
        <f t="array" ref="AC89">INDEX(Properties!$D:$D,$B89+5)*(IF(AND(AC$3&gt;=INDEX(Properties!$Q:$Q,$B89+5),AC$3&lt;INDEX(Properties!$U:$U,$B89+5)),1,0))</f>
        <v>1</v>
      </c>
      <c r="AD89" s="247" cm="1">
        <f t="array" ref="AD89">INDEX(Properties!$D:$D,$B89+5)*(IF(AND(AD$3&gt;=INDEX(Properties!$Q:$Q,$B89+5),AD$3&lt;INDEX(Properties!$U:$U,$B89+5)),1,0))</f>
        <v>1</v>
      </c>
      <c r="AE89" s="247" cm="1">
        <f t="array" ref="AE89">INDEX(Properties!$D:$D,$B89+5)*(IF(AND(AE$3&gt;=INDEX(Properties!$Q:$Q,$B89+5),AE$3&lt;INDEX(Properties!$U:$U,$B89+5)),1,0))</f>
        <v>1</v>
      </c>
      <c r="AF89" s="247" cm="1">
        <f t="array" ref="AF89">INDEX(Properties!$D:$D,$B89+5)*(IF(AND(AF$3&gt;=INDEX(Properties!$Q:$Q,$B89+5),AF$3&lt;INDEX(Properties!$U:$U,$B89+5)),1,0))</f>
        <v>1</v>
      </c>
      <c r="AG89" s="247" cm="1">
        <f t="array" ref="AG89">INDEX(Properties!$D:$D,$B89+5)*(IF(AND(AG$3&gt;=INDEX(Properties!$Q:$Q,$B89+5),AG$3&lt;INDEX(Properties!$U:$U,$B89+5)),1,0))</f>
        <v>1</v>
      </c>
      <c r="AH89" s="247" cm="1">
        <f t="array" ref="AH89">INDEX(Properties!$D:$D,$B89+5)*(IF(AND(AH$3&gt;=INDEX(Properties!$Q:$Q,$B89+5),AH$3&lt;INDEX(Properties!$U:$U,$B89+5)),1,0))</f>
        <v>1</v>
      </c>
      <c r="AI89" s="247" cm="1">
        <f t="array" ref="AI89">INDEX(Properties!$D:$D,$B89+5)*(IF(AND(AI$3&gt;=INDEX(Properties!$Q:$Q,$B89+5),AI$3&lt;INDEX(Properties!$U:$U,$B89+5)),1,0))</f>
        <v>1</v>
      </c>
      <c r="AJ89" s="247" cm="1">
        <f t="array" ref="AJ89">INDEX(Properties!$D:$D,$B89+5)*(IF(AND(AJ$3&gt;=INDEX(Properties!$Q:$Q,$B89+5),AJ$3&lt;INDEX(Properties!$U:$U,$B89+5)),1,0))</f>
        <v>1</v>
      </c>
      <c r="AK89" s="247" cm="1">
        <f t="array" ref="AK89">INDEX(Properties!$D:$D,$B89+5)*(IF(AND(AK$3&gt;=INDEX(Properties!$Q:$Q,$B89+5),AK$3&lt;INDEX(Properties!$U:$U,$B89+5)),1,0))</f>
        <v>1</v>
      </c>
      <c r="AL89" s="247" cm="1">
        <f t="array" ref="AL89">INDEX(Properties!$D:$D,$B89+5)*(IF(AND(AL$3&gt;=INDEX(Properties!$Q:$Q,$B89+5),AL$3&lt;INDEX(Properties!$U:$U,$B89+5)),1,0))</f>
        <v>1</v>
      </c>
      <c r="AM89" s="247" cm="1">
        <f t="array" ref="AM89">INDEX(Properties!$D:$D,$B89+5)*(IF(AND(AM$3&gt;=INDEX(Properties!$Q:$Q,$B89+5),AM$3&lt;INDEX(Properties!$U:$U,$B89+5)),1,0))</f>
        <v>1</v>
      </c>
      <c r="AN89" s="247" cm="1">
        <f t="array" ref="AN89">INDEX(Properties!$D:$D,$B89+5)*(IF(AND(AN$3&gt;=INDEX(Properties!$Q:$Q,$B89+5),AN$3&lt;INDEX(Properties!$U:$U,$B89+5)),1,0))</f>
        <v>1</v>
      </c>
      <c r="AO89" s="247" cm="1">
        <f t="array" ref="AO89">INDEX(Properties!$D:$D,$B89+5)*(IF(AND(AO$3&gt;=INDEX(Properties!$Q:$Q,$B89+5),AO$3&lt;INDEX(Properties!$U:$U,$B89+5)),1,0))</f>
        <v>1</v>
      </c>
      <c r="AP89" s="247" cm="1">
        <f t="array" ref="AP89">INDEX(Properties!$D:$D,$B89+5)*(IF(AND(AP$3&gt;=INDEX(Properties!$Q:$Q,$B89+5),AP$3&lt;INDEX(Properties!$U:$U,$B89+5)),1,0))</f>
        <v>1</v>
      </c>
      <c r="AQ89" s="247" cm="1">
        <f t="array" ref="AQ89">INDEX(Properties!$D:$D,$B89+5)*(IF(AND(AQ$3&gt;=INDEX(Properties!$Q:$Q,$B89+5),AQ$3&lt;INDEX(Properties!$U:$U,$B89+5)),1,0))</f>
        <v>1</v>
      </c>
      <c r="AR89" s="247" cm="1">
        <f t="array" ref="AR89">INDEX(Properties!$D:$D,$B89+5)*(IF(AND(AR$3&gt;=INDEX(Properties!$Q:$Q,$B89+5),AR$3&lt;INDEX(Properties!$U:$U,$B89+5)),1,0))</f>
        <v>1</v>
      </c>
      <c r="AS89" s="247" cm="1">
        <f t="array" ref="AS89">INDEX(Properties!$D:$D,$B89+5)*(IF(AND(AS$3&gt;=INDEX(Properties!$Q:$Q,$B89+5),AS$3&lt;INDEX(Properties!$U:$U,$B89+5)),1,0))</f>
        <v>0</v>
      </c>
      <c r="AT89" s="247" cm="1">
        <f t="array" ref="AT89">INDEX(Properties!$D:$D,$B89+5)*(IF(AND(AT$3&gt;=INDEX(Properties!$Q:$Q,$B89+5),AT$3&lt;INDEX(Properties!$U:$U,$B89+5)),1,0))</f>
        <v>0</v>
      </c>
      <c r="AU89" s="247" cm="1">
        <f t="array" ref="AU89">INDEX(Properties!$D:$D,$B89+5)*(IF(AND(AU$3&gt;=INDEX(Properties!$Q:$Q,$B89+5),AU$3&lt;INDEX(Properties!$U:$U,$B89+5)),1,0))</f>
        <v>0</v>
      </c>
      <c r="AV89" s="247" cm="1">
        <f t="array" ref="AV89">INDEX(Properties!$D:$D,$B89+5)*(IF(AND(AV$3&gt;=INDEX(Properties!$Q:$Q,$B89+5),AV$3&lt;INDEX(Properties!$U:$U,$B89+5)),1,0))</f>
        <v>0</v>
      </c>
      <c r="AW89" s="247" cm="1">
        <f t="array" ref="AW89">INDEX(Properties!$D:$D,$B89+5)*(IF(AND(AW$3&gt;=INDEX(Properties!$Q:$Q,$B89+5),AW$3&lt;INDEX(Properties!$U:$U,$B89+5)),1,0))</f>
        <v>0</v>
      </c>
      <c r="AX89" s="247" cm="1">
        <f t="array" ref="AX89">INDEX(Properties!$D:$D,$B89+5)*(IF(AND(AX$3&gt;=INDEX(Properties!$Q:$Q,$B89+5),AX$3&lt;INDEX(Properties!$U:$U,$B89+5)),1,0))</f>
        <v>0</v>
      </c>
      <c r="AY89" s="247" cm="1">
        <f t="array" ref="AY89">INDEX(Properties!$D:$D,$B89+5)*(IF(AND(AY$3&gt;=INDEX(Properties!$Q:$Q,$B89+5),AY$3&lt;INDEX(Properties!$U:$U,$B89+5)),1,0))</f>
        <v>0</v>
      </c>
      <c r="AZ89" s="247" cm="1">
        <f t="array" ref="AZ89">INDEX(Properties!$D:$D,$B89+5)*(IF(AND(AZ$3&gt;=INDEX(Properties!$Q:$Q,$B89+5),AZ$3&lt;INDEX(Properties!$U:$U,$B89+5)),1,0))</f>
        <v>0</v>
      </c>
      <c r="BA89" s="247" cm="1">
        <f t="array" ref="BA89">INDEX(Properties!$D:$D,$B89+5)*(IF(AND(BA$3&gt;=INDEX(Properties!$Q:$Q,$B89+5),BA$3&lt;INDEX(Properties!$U:$U,$B89+5)),1,0))</f>
        <v>0</v>
      </c>
      <c r="BB89" s="247" cm="1">
        <f t="array" ref="BB89">INDEX(Properties!$D:$D,$B89+5)*(IF(AND(BB$3&gt;=INDEX(Properties!$Q:$Q,$B89+5),BB$3&lt;INDEX(Properties!$U:$U,$B89+5)),1,0))</f>
        <v>0</v>
      </c>
      <c r="BC89" s="247" cm="1">
        <f t="array" ref="BC89">INDEX(Properties!$D:$D,$B89+5)*(IF(AND(BC$3&gt;=INDEX(Properties!$Q:$Q,$B89+5),BC$3&lt;INDEX(Properties!$U:$U,$B89+5)),1,0))</f>
        <v>0</v>
      </c>
      <c r="BD89" s="247" cm="1">
        <f t="array" ref="BD89">INDEX(Properties!$D:$D,$B89+5)*(IF(AND(BD$3&gt;=INDEX(Properties!$Q:$Q,$B89+5),BD$3&lt;INDEX(Properties!$U:$U,$B89+5)),1,0))</f>
        <v>0</v>
      </c>
      <c r="BE89" s="247" cm="1">
        <f t="array" ref="BE89">INDEX(Properties!$D:$D,$B89+5)*(IF(AND(BE$3&gt;=INDEX(Properties!$Q:$Q,$B89+5),BE$3&lt;INDEX(Properties!$U:$U,$B89+5)),1,0))</f>
        <v>0</v>
      </c>
      <c r="BF89" s="247" cm="1">
        <f t="array" ref="BF89">INDEX(Properties!$D:$D,$B89+5)*(IF(AND(BF$3&gt;=INDEX(Properties!$Q:$Q,$B89+5),BF$3&lt;INDEX(Properties!$U:$U,$B89+5)),1,0))</f>
        <v>0</v>
      </c>
      <c r="BG89" s="247" cm="1">
        <f t="array" ref="BG89">INDEX(Properties!$D:$D,$B89+5)*(IF(AND(BG$3&gt;=INDEX(Properties!$Q:$Q,$B89+5),BG$3&lt;INDEX(Properties!$U:$U,$B89+5)),1,0))</f>
        <v>0</v>
      </c>
      <c r="BH89" s="247" cm="1">
        <f t="array" ref="BH89">INDEX(Properties!$D:$D,$B89+5)*(IF(AND(BH$3&gt;=INDEX(Properties!$Q:$Q,$B89+5),BH$3&lt;INDEX(Properties!$U:$U,$B89+5)),1,0))</f>
        <v>0</v>
      </c>
      <c r="BI89" s="247" cm="1">
        <f t="array" ref="BI89">INDEX(Properties!$D:$D,$B89+5)*(IF(AND(BI$3&gt;=INDEX(Properties!$Q:$Q,$B89+5),BI$3&lt;INDEX(Properties!$U:$U,$B89+5)),1,0))</f>
        <v>0</v>
      </c>
      <c r="BJ89" s="247" cm="1">
        <f t="array" ref="BJ89">INDEX(Properties!$D:$D,$B89+5)*(IF(AND(BJ$3&gt;=INDEX(Properties!$Q:$Q,$B89+5),BJ$3&lt;INDEX(Properties!$U:$U,$B89+5)),1,0))</f>
        <v>0</v>
      </c>
      <c r="BK89" s="247" cm="1">
        <f t="array" ref="BK89">INDEX(Properties!$D:$D,$B89+5)*(IF(AND(BK$3&gt;=INDEX(Properties!$Q:$Q,$B89+5),BK$3&lt;INDEX(Properties!$U:$U,$B89+5)),1,0))</f>
        <v>0</v>
      </c>
      <c r="BL89" s="247" cm="1">
        <f t="array" ref="BL89">INDEX(Properties!$D:$D,$B89+5)*(IF(AND(BL$3&gt;=INDEX(Properties!$Q:$Q,$B89+5),BL$3&lt;INDEX(Properties!$U:$U,$B89+5)),1,0))</f>
        <v>0</v>
      </c>
      <c r="BM89" s="247" cm="1">
        <f t="array" ref="BM89">INDEX(Properties!$D:$D,$B89+5)*(IF(AND(BM$3&gt;=INDEX(Properties!$Q:$Q,$B89+5),BM$3&lt;INDEX(Properties!$U:$U,$B89+5)),1,0))</f>
        <v>0</v>
      </c>
      <c r="BN89" s="247" cm="1">
        <f t="array" ref="BN89">INDEX(Properties!$D:$D,$B89+5)*(IF(AND(BN$3&gt;=INDEX(Properties!$Q:$Q,$B89+5),BN$3&lt;INDEX(Properties!$U:$U,$B89+5)),1,0))</f>
        <v>0</v>
      </c>
      <c r="BO89" s="247" cm="1">
        <f t="array" ref="BO89">INDEX(Properties!$D:$D,$B89+5)*(IF(AND(BO$3&gt;=INDEX(Properties!$Q:$Q,$B89+5),BO$3&lt;INDEX(Properties!$U:$U,$B89+5)),1,0))</f>
        <v>0</v>
      </c>
      <c r="BP89" s="247" cm="1">
        <f t="array" ref="BP89">INDEX(Properties!$D:$D,$B89+5)*(IF(AND(BP$3&gt;=INDEX(Properties!$Q:$Q,$B89+5),BP$3&lt;INDEX(Properties!$U:$U,$B89+5)),1,0))</f>
        <v>0</v>
      </c>
      <c r="BQ89" s="247" cm="1">
        <f t="array" ref="BQ89">INDEX(Properties!$D:$D,$B89+5)*(IF(AND(BQ$3&gt;=INDEX(Properties!$Q:$Q,$B89+5),BQ$3&lt;INDEX(Properties!$U:$U,$B89+5)),1,0))</f>
        <v>0</v>
      </c>
      <c r="BR89" s="247" cm="1">
        <f t="array" ref="BR89">INDEX(Properties!$D:$D,$B89+5)*(IF(AND(BR$3&gt;=INDEX(Properties!$Q:$Q,$B89+5),BR$3&lt;INDEX(Properties!$U:$U,$B89+5)),1,0))</f>
        <v>0</v>
      </c>
      <c r="BS89" s="247" cm="1">
        <f t="array" ref="BS89">INDEX(Properties!$D:$D,$B89+5)*(IF(AND(BS$3&gt;=INDEX(Properties!$Q:$Q,$B89+5),BS$3&lt;INDEX(Properties!$U:$U,$B89+5)),1,0))</f>
        <v>0</v>
      </c>
      <c r="BT89" s="247" cm="1">
        <f t="array" ref="BT89">INDEX(Properties!$D:$D,$B89+5)*(IF(AND(BT$3&gt;=INDEX(Properties!$Q:$Q,$B89+5),BT$3&lt;INDEX(Properties!$U:$U,$B89+5)),1,0))</f>
        <v>0</v>
      </c>
      <c r="BU89" s="247" cm="1">
        <f t="array" ref="BU89">INDEX(Properties!$D:$D,$B89+5)*(IF(AND(BU$3&gt;=INDEX(Properties!$Q:$Q,$B89+5),BU$3&lt;INDEX(Properties!$U:$U,$B89+5)),1,0))</f>
        <v>0</v>
      </c>
      <c r="BV89" s="247" cm="1">
        <f t="array" ref="BV89">INDEX(Properties!$D:$D,$B89+5)*(IF(AND(BV$3&gt;=INDEX(Properties!$Q:$Q,$B89+5),BV$3&lt;INDEX(Properties!$U:$U,$B89+5)),1,0))</f>
        <v>0</v>
      </c>
      <c r="BW89" s="247" cm="1">
        <f t="array" ref="BW89">INDEX(Properties!$D:$D,$B89+5)*(IF(AND(BW$3&gt;=INDEX(Properties!$Q:$Q,$B89+5),BW$3&lt;INDEX(Properties!$U:$U,$B89+5)),1,0))</f>
        <v>0</v>
      </c>
      <c r="BX89" s="247" cm="1">
        <f t="array" ref="BX89">INDEX(Properties!$D:$D,$B89+5)*(IF(AND(BX$3&gt;=INDEX(Properties!$Q:$Q,$B89+5),BX$3&lt;INDEX(Properties!$U:$U,$B89+5)),1,0))</f>
        <v>0</v>
      </c>
      <c r="BY89" s="247" cm="1">
        <f t="array" ref="BY89">INDEX(Properties!$D:$D,$B89+5)*(IF(AND(BY$3&gt;=INDEX(Properties!$Q:$Q,$B89+5),BY$3&lt;INDEX(Properties!$U:$U,$B89+5)),1,0))</f>
        <v>0</v>
      </c>
      <c r="BZ89" s="247" cm="1">
        <f t="array" ref="BZ89">INDEX(Properties!$D:$D,$B89+5)*(IF(AND(BZ$3&gt;=INDEX(Properties!$Q:$Q,$B89+5),BZ$3&lt;INDEX(Properties!$U:$U,$B89+5)),1,0))</f>
        <v>0</v>
      </c>
      <c r="CA89" s="247" cm="1">
        <f t="array" ref="CA89">INDEX(Properties!$D:$D,$B89+5)*(IF(AND(CA$3&gt;=INDEX(Properties!$Q:$Q,$B89+5),CA$3&lt;INDEX(Properties!$U:$U,$B89+5)),1,0))</f>
        <v>0</v>
      </c>
      <c r="CB89" s="247" cm="1">
        <f t="array" ref="CB89">INDEX(Properties!$D:$D,$B89+5)*(IF(AND(CB$3&gt;=INDEX(Properties!$Q:$Q,$B89+5),CB$3&lt;INDEX(Properties!$U:$U,$B89+5)),1,0))</f>
        <v>0</v>
      </c>
      <c r="CC89" s="247" cm="1">
        <f t="array" ref="CC89">INDEX(Properties!$D:$D,$B89+5)*(IF(AND(CC$3&gt;=INDEX(Properties!$Q:$Q,$B89+5),CC$3&lt;INDEX(Properties!$U:$U,$B89+5)),1,0))</f>
        <v>0</v>
      </c>
      <c r="CD89" s="247" cm="1">
        <f t="array" ref="CD89">INDEX(Properties!$D:$D,$B89+5)*(IF(AND(CD$3&gt;=INDEX(Properties!$Q:$Q,$B89+5),CD$3&lt;INDEX(Properties!$U:$U,$B89+5)),1,0))</f>
        <v>0</v>
      </c>
      <c r="CE89" s="247" cm="1">
        <f t="array" ref="CE89">INDEX(Properties!$D:$D,$B89+5)*(IF(AND(CE$3&gt;=INDEX(Properties!$Q:$Q,$B89+5),CE$3&lt;INDEX(Properties!$U:$U,$B89+5)),1,0))</f>
        <v>0</v>
      </c>
      <c r="CF89" s="247" cm="1">
        <f t="array" ref="CF89">INDEX(Properties!$D:$D,$B89+5)*(IF(AND(CF$3&gt;=INDEX(Properties!$Q:$Q,$B89+5),CF$3&lt;INDEX(Properties!$U:$U,$B89+5)),1,0))</f>
        <v>0</v>
      </c>
      <c r="CG89" s="247" cm="1">
        <f t="array" ref="CG89">INDEX(Properties!$D:$D,$B89+5)*(IF(AND(CG$3&gt;=INDEX(Properties!$Q:$Q,$B89+5),CG$3&lt;INDEX(Properties!$U:$U,$B89+5)),1,0))</f>
        <v>0</v>
      </c>
      <c r="CH89" s="247" cm="1">
        <f t="array" ref="CH89">INDEX(Properties!$D:$D,$B89+5)*(IF(AND(CH$3&gt;=INDEX(Properties!$Q:$Q,$B89+5),CH$3&lt;INDEX(Properties!$U:$U,$B89+5)),1,0))</f>
        <v>0</v>
      </c>
      <c r="CI89" s="247" cm="1">
        <f t="array" ref="CI89">INDEX(Properties!$D:$D,$B89+5)*(IF(AND(CI$3&gt;=INDEX(Properties!$Q:$Q,$B89+5),CI$3&lt;INDEX(Properties!$U:$U,$B89+5)),1,0))</f>
        <v>0</v>
      </c>
      <c r="CJ89" s="247" cm="1">
        <f t="array" ref="CJ89">INDEX(Properties!$D:$D,$B89+5)*(IF(AND(CJ$3&gt;=INDEX(Properties!$Q:$Q,$B89+5),CJ$3&lt;INDEX(Properties!$U:$U,$B89+5)),1,0))</f>
        <v>0</v>
      </c>
      <c r="CK89" s="247" cm="1">
        <f t="array" ref="CK89">INDEX(Properties!$D:$D,$B89+5)*(IF(AND(CK$3&gt;=INDEX(Properties!$Q:$Q,$B89+5),CK$3&lt;INDEX(Properties!$U:$U,$B89+5)),1,0))</f>
        <v>0</v>
      </c>
      <c r="CL89" s="247" cm="1">
        <f t="array" ref="CL89">INDEX(Properties!$D:$D,$B89+5)*(IF(AND(CL$3&gt;=INDEX(Properties!$Q:$Q,$B89+5),CL$3&lt;INDEX(Properties!$U:$U,$B89+5)),1,0))</f>
        <v>0</v>
      </c>
      <c r="CM89" s="247" cm="1">
        <f t="array" ref="CM89">INDEX(Properties!$D:$D,$B89+5)*(IF(AND(CM$3&gt;=INDEX(Properties!$Q:$Q,$B89+5),CM$3&lt;INDEX(Properties!$U:$U,$B89+5)),1,0))</f>
        <v>0</v>
      </c>
      <c r="CN89" s="247" cm="1">
        <f t="array" ref="CN89">INDEX(Properties!$D:$D,$B89+5)*(IF(AND(CN$3&gt;=INDEX(Properties!$Q:$Q,$B89+5),CN$3&lt;INDEX(Properties!$U:$U,$B89+5)),1,0))</f>
        <v>0</v>
      </c>
      <c r="CO89" s="247" cm="1">
        <f t="array" ref="CO89">INDEX(Properties!$D:$D,$B89+5)*(IF(AND(CO$3&gt;=INDEX(Properties!$Q:$Q,$B89+5),CO$3&lt;INDEX(Properties!$U:$U,$B89+5)),1,0))</f>
        <v>0</v>
      </c>
      <c r="CP89" s="247" cm="1">
        <f t="array" ref="CP89">INDEX(Properties!$D:$D,$B89+5)*(IF(AND(CP$3&gt;=INDEX(Properties!$Q:$Q,$B89+5),CP$3&lt;INDEX(Properties!$U:$U,$B89+5)),1,0))</f>
        <v>0</v>
      </c>
      <c r="CQ89" s="247" cm="1">
        <f t="array" ref="CQ89">INDEX(Properties!$D:$D,$B89+5)*(IF(AND(CQ$3&gt;=INDEX(Properties!$Q:$Q,$B89+5),CQ$3&lt;INDEX(Properties!$U:$U,$B89+5)),1,0))</f>
        <v>0</v>
      </c>
      <c r="CR89" s="247" cm="1">
        <f t="array" ref="CR89">INDEX(Properties!$D:$D,$B89+5)*(IF(AND(CR$3&gt;=INDEX(Properties!$Q:$Q,$B89+5),CR$3&lt;INDEX(Properties!$U:$U,$B89+5)),1,0))</f>
        <v>0</v>
      </c>
      <c r="CS89" s="247" cm="1">
        <f t="array" ref="CS89">INDEX(Properties!$D:$D,$B89+5)*(IF(AND(CS$3&gt;=INDEX(Properties!$Q:$Q,$B89+5),CS$3&lt;INDEX(Properties!$U:$U,$B89+5)),1,0))</f>
        <v>0</v>
      </c>
      <c r="CT89" s="247" cm="1">
        <f t="array" ref="CT89">INDEX(Properties!$D:$D,$B89+5)*(IF(AND(CT$3&gt;=INDEX(Properties!$Q:$Q,$B89+5),CT$3&lt;INDEX(Properties!$U:$U,$B89+5)),1,0))</f>
        <v>0</v>
      </c>
      <c r="CU89" s="247" cm="1">
        <f t="array" ref="CU89">INDEX(Properties!$D:$D,$B89+5)*(IF(AND(CU$3&gt;=INDEX(Properties!$Q:$Q,$B89+5),CU$3&lt;INDEX(Properties!$U:$U,$B89+5)),1,0))</f>
        <v>0</v>
      </c>
      <c r="CV89" s="247" cm="1">
        <f t="array" ref="CV89">INDEX(Properties!$D:$D,$B89+5)*(IF(AND(CV$3&gt;=INDEX(Properties!$Q:$Q,$B89+5),CV$3&lt;INDEX(Properties!$U:$U,$B89+5)),1,0))</f>
        <v>0</v>
      </c>
      <c r="CW89" s="247" cm="1">
        <f t="array" ref="CW89">INDEX(Properties!$D:$D,$B89+5)*(IF(AND(CW$3&gt;=INDEX(Properties!$Q:$Q,$B89+5),CW$3&lt;INDEX(Properties!$U:$U,$B89+5)),1,0))</f>
        <v>0</v>
      </c>
      <c r="CX89" s="247" cm="1">
        <f t="array" ref="CX89">INDEX(Properties!$D:$D,$B89+5)*(IF(AND(CX$3&gt;=INDEX(Properties!$Q:$Q,$B89+5),CX$3&lt;INDEX(Properties!$U:$U,$B89+5)),1,0))</f>
        <v>0</v>
      </c>
      <c r="CY89" s="247" cm="1">
        <f t="array" ref="CY89">INDEX(Properties!$D:$D,$B89+5)*(IF(AND(CY$3&gt;=INDEX(Properties!$Q:$Q,$B89+5),CY$3&lt;INDEX(Properties!$U:$U,$B89+5)),1,0))</f>
        <v>0</v>
      </c>
      <c r="CZ89" s="247" cm="1">
        <f t="array" ref="CZ89">INDEX(Properties!$D:$D,$B89+5)*(IF(AND(CZ$3&gt;=INDEX(Properties!$Q:$Q,$B89+5),CZ$3&lt;INDEX(Properties!$U:$U,$B89+5)),1,0))</f>
        <v>0</v>
      </c>
      <c r="DA89" s="247" cm="1">
        <f t="array" ref="DA89">INDEX(Properties!$D:$D,$B89+5)*(IF(AND(DA$3&gt;=INDEX(Properties!$Q:$Q,$B89+5),DA$3&lt;INDEX(Properties!$U:$U,$B89+5)),1,0))</f>
        <v>0</v>
      </c>
      <c r="DB89" s="247" cm="1">
        <f t="array" ref="DB89">INDEX(Properties!$D:$D,$B89+5)*(IF(AND(DB$3&gt;=INDEX(Properties!$Q:$Q,$B89+5),DB$3&lt;INDEX(Properties!$U:$U,$B89+5)),1,0))</f>
        <v>0</v>
      </c>
      <c r="DC89" s="247" cm="1">
        <f t="array" ref="DC89">INDEX(Properties!$D:$D,$B89+5)*(IF(AND(DC$3&gt;=INDEX(Properties!$Q:$Q,$B89+5),DC$3&lt;INDEX(Properties!$U:$U,$B89+5)),1,0))</f>
        <v>0</v>
      </c>
      <c r="DD89" s="247" cm="1">
        <f t="array" ref="DD89">INDEX(Properties!$D:$D,$B89+5)*(IF(AND(DD$3&gt;=INDEX(Properties!$Q:$Q,$B89+5),DD$3&lt;INDEX(Properties!$U:$U,$B89+5)),1,0))</f>
        <v>0</v>
      </c>
      <c r="DE89" s="247" cm="1">
        <f t="array" ref="DE89">INDEX(Properties!$D:$D,$B89+5)*(IF(AND(DE$3&gt;=INDEX(Properties!$Q:$Q,$B89+5),DE$3&lt;INDEX(Properties!$U:$U,$B89+5)),1,0))</f>
        <v>0</v>
      </c>
      <c r="DF89" s="247" cm="1">
        <f t="array" ref="DF89">INDEX(Properties!$D:$D,$B89+5)*(IF(AND(DF$3&gt;=INDEX(Properties!$Q:$Q,$B89+5),DF$3&lt;INDEX(Properties!$U:$U,$B89+5)),1,0))</f>
        <v>0</v>
      </c>
      <c r="DG89" s="247" cm="1">
        <f t="array" ref="DG89">INDEX(Properties!$D:$D,$B89+5)*(IF(AND(DG$3&gt;=INDEX(Properties!$Q:$Q,$B89+5),DG$3&lt;INDEX(Properties!$U:$U,$B89+5)),1,0))</f>
        <v>0</v>
      </c>
      <c r="DH89" s="247" cm="1">
        <f t="array" ref="DH89">INDEX(Properties!$D:$D,$B89+5)*(IF(AND(DH$3&gt;=INDEX(Properties!$Q:$Q,$B89+5),DH$3&lt;INDEX(Properties!$U:$U,$B89+5)),1,0))</f>
        <v>0</v>
      </c>
      <c r="DI89" s="247" cm="1">
        <f t="array" ref="DI89">INDEX(Properties!$D:$D,$B89+5)*(IF(AND(DI$3&gt;=INDEX(Properties!$Q:$Q,$B89+5),DI$3&lt;INDEX(Properties!$U:$U,$B89+5)),1,0))</f>
        <v>0</v>
      </c>
      <c r="DJ89" s="247" cm="1">
        <f t="array" ref="DJ89">INDEX(Properties!$D:$D,$B89+5)*(IF(AND(DJ$3&gt;=INDEX(Properties!$Q:$Q,$B89+5),DJ$3&lt;INDEX(Properties!$U:$U,$B89+5)),1,0))</f>
        <v>0</v>
      </c>
      <c r="DK89" s="247" cm="1">
        <f t="array" ref="DK89">INDEX(Properties!$D:$D,$B89+5)*(IF(AND(DK$3&gt;=INDEX(Properties!$Q:$Q,$B89+5),DK$3&lt;INDEX(Properties!$U:$U,$B89+5)),1,0))</f>
        <v>0</v>
      </c>
      <c r="DL89" s="247" cm="1">
        <f t="array" ref="DL89">INDEX(Properties!$D:$D,$B89+5)*(IF(AND(DL$3&gt;=INDEX(Properties!$Q:$Q,$B89+5),DL$3&lt;INDEX(Properties!$U:$U,$B89+5)),1,0))</f>
        <v>0</v>
      </c>
      <c r="DM89" s="247" cm="1">
        <f t="array" ref="DM89">INDEX(Properties!$D:$D,$B89+5)*(IF(AND(DM$3&gt;=INDEX(Properties!$Q:$Q,$B89+5),DM$3&lt;INDEX(Properties!$U:$U,$B89+5)),1,0))</f>
        <v>0</v>
      </c>
      <c r="DN89" s="247" cm="1">
        <f t="array" ref="DN89">INDEX(Properties!$D:$D,$B89+5)*(IF(AND(DN$3&gt;=INDEX(Properties!$Q:$Q,$B89+5),DN$3&lt;INDEX(Properties!$U:$U,$B89+5)),1,0))</f>
        <v>0</v>
      </c>
      <c r="DO89" s="247" cm="1">
        <f t="array" ref="DO89">INDEX(Properties!$D:$D,$B89+5)*(IF(AND(DO$3&gt;=INDEX(Properties!$Q:$Q,$B89+5),DO$3&lt;INDEX(Properties!$U:$U,$B89+5)),1,0))</f>
        <v>0</v>
      </c>
      <c r="DP89" s="247" cm="1">
        <f t="array" ref="DP89">INDEX(Properties!$D:$D,$B89+5)*(IF(AND(DP$3&gt;=INDEX(Properties!$Q:$Q,$B89+5),DP$3&lt;INDEX(Properties!$U:$U,$B89+5)),1,0))</f>
        <v>0</v>
      </c>
      <c r="DQ89" s="247" cm="1">
        <f t="array" ref="DQ89">INDEX(Properties!$D:$D,$B89+5)*(IF(AND(DQ$3&gt;=INDEX(Properties!$Q:$Q,$B89+5),DQ$3&lt;INDEX(Properties!$U:$U,$B89+5)),1,0))</f>
        <v>0</v>
      </c>
      <c r="DR89" s="247" cm="1">
        <f t="array" ref="DR89">INDEX(Properties!$D:$D,$B89+5)*(IF(AND(DR$3&gt;=INDEX(Properties!$Q:$Q,$B89+5),DR$3&lt;INDEX(Properties!$U:$U,$B89+5)),1,0))</f>
        <v>0</v>
      </c>
    </row>
    <row r="90" spans="1:122" ht="16.05" customHeight="1" x14ac:dyDescent="0.3">
      <c r="A90" s="148" t="str" cm="1">
        <f t="array" ref="A90">INDEX(Properties!$E:$E,$B90+5)</f>
        <v>Casa Monte Sereno</v>
      </c>
      <c r="B90" s="1">
        <v>5</v>
      </c>
      <c r="C90" s="247" cm="1">
        <f t="array" ref="C90">INDEX(Properties!$D:$D,$B90+5)*(IF(AND(C$3&gt;=INDEX(Properties!$Q:$Q,$B90+5),C$3&lt;INDEX(Properties!$U:$U,$B90+5)),1,0))</f>
        <v>0</v>
      </c>
      <c r="D90" s="247" cm="1">
        <f t="array" ref="D90">INDEX(Properties!$D:$D,$B90+5)*(IF(AND(D$3&gt;=INDEX(Properties!$Q:$Q,$B90+5),D$3&lt;INDEX(Properties!$U:$U,$B90+5)),1,0))</f>
        <v>0</v>
      </c>
      <c r="E90" s="247" cm="1">
        <f t="array" ref="E90">INDEX(Properties!$D:$D,$B90+5)*(IF(AND(E$3&gt;=INDEX(Properties!$Q:$Q,$B90+5),E$3&lt;INDEX(Properties!$U:$U,$B90+5)),1,0))</f>
        <v>0</v>
      </c>
      <c r="F90" s="247" cm="1">
        <f t="array" ref="F90">INDEX(Properties!$D:$D,$B90+5)*(IF(AND(F$3&gt;=INDEX(Properties!$Q:$Q,$B90+5),F$3&lt;INDEX(Properties!$U:$U,$B90+5)),1,0))</f>
        <v>0</v>
      </c>
      <c r="G90" s="247" cm="1">
        <f t="array" ref="G90">INDEX(Properties!$D:$D,$B90+5)*(IF(AND(G$3&gt;=INDEX(Properties!$Q:$Q,$B90+5),G$3&lt;INDEX(Properties!$U:$U,$B90+5)),1,0))</f>
        <v>1</v>
      </c>
      <c r="H90" s="247" cm="1">
        <f t="array" ref="H90">INDEX(Properties!$D:$D,$B90+5)*(IF(AND(H$3&gt;=INDEX(Properties!$Q:$Q,$B90+5),H$3&lt;INDEX(Properties!$U:$U,$B90+5)),1,0))</f>
        <v>1</v>
      </c>
      <c r="I90" s="247" cm="1">
        <f t="array" ref="I90">INDEX(Properties!$D:$D,$B90+5)*(IF(AND(I$3&gt;=INDEX(Properties!$Q:$Q,$B90+5),I$3&lt;INDEX(Properties!$U:$U,$B90+5)),1,0))</f>
        <v>1</v>
      </c>
      <c r="J90" s="247" cm="1">
        <f t="array" ref="J90">INDEX(Properties!$D:$D,$B90+5)*(IF(AND(J$3&gt;=INDEX(Properties!$Q:$Q,$B90+5),J$3&lt;INDEX(Properties!$U:$U,$B90+5)),1,0))</f>
        <v>1</v>
      </c>
      <c r="K90" s="247" cm="1">
        <f t="array" ref="K90">INDEX(Properties!$D:$D,$B90+5)*(IF(AND(K$3&gt;=INDEX(Properties!$Q:$Q,$B90+5),K$3&lt;INDEX(Properties!$U:$U,$B90+5)),1,0))</f>
        <v>1</v>
      </c>
      <c r="L90" s="247" cm="1">
        <f t="array" ref="L90">INDEX(Properties!$D:$D,$B90+5)*(IF(AND(L$3&gt;=INDEX(Properties!$Q:$Q,$B90+5),L$3&lt;INDEX(Properties!$U:$U,$B90+5)),1,0))</f>
        <v>1</v>
      </c>
      <c r="M90" s="247" cm="1">
        <f t="array" ref="M90">INDEX(Properties!$D:$D,$B90+5)*(IF(AND(M$3&gt;=INDEX(Properties!$Q:$Q,$B90+5),M$3&lt;INDEX(Properties!$U:$U,$B90+5)),1,0))</f>
        <v>1</v>
      </c>
      <c r="N90" s="247" cm="1">
        <f t="array" ref="N90">INDEX(Properties!$D:$D,$B90+5)*(IF(AND(N$3&gt;=INDEX(Properties!$Q:$Q,$B90+5),N$3&lt;INDEX(Properties!$U:$U,$B90+5)),1,0))</f>
        <v>1</v>
      </c>
      <c r="O90" s="247" cm="1">
        <f t="array" ref="O90">INDEX(Properties!$D:$D,$B90+5)*(IF(AND(O$3&gt;=INDEX(Properties!$Q:$Q,$B90+5),O$3&lt;INDEX(Properties!$U:$U,$B90+5)),1,0))</f>
        <v>1</v>
      </c>
      <c r="P90" s="247" cm="1">
        <f t="array" ref="P90">INDEX(Properties!$D:$D,$B90+5)*(IF(AND(P$3&gt;=INDEX(Properties!$Q:$Q,$B90+5),P$3&lt;INDEX(Properties!$U:$U,$B90+5)),1,0))</f>
        <v>1</v>
      </c>
      <c r="Q90" s="247" cm="1">
        <f t="array" ref="Q90">INDEX(Properties!$D:$D,$B90+5)*(IF(AND(Q$3&gt;=INDEX(Properties!$Q:$Q,$B90+5),Q$3&lt;INDEX(Properties!$U:$U,$B90+5)),1,0))</f>
        <v>1</v>
      </c>
      <c r="R90" s="247" cm="1">
        <f t="array" ref="R90">INDEX(Properties!$D:$D,$B90+5)*(IF(AND(R$3&gt;=INDEX(Properties!$Q:$Q,$B90+5),R$3&lt;INDEX(Properties!$U:$U,$B90+5)),1,0))</f>
        <v>1</v>
      </c>
      <c r="S90" s="247" cm="1">
        <f t="array" ref="S90">INDEX(Properties!$D:$D,$B90+5)*(IF(AND(S$3&gt;=INDEX(Properties!$Q:$Q,$B90+5),S$3&lt;INDEX(Properties!$U:$U,$B90+5)),1,0))</f>
        <v>1</v>
      </c>
      <c r="T90" s="247" cm="1">
        <f t="array" ref="T90">INDEX(Properties!$D:$D,$B90+5)*(IF(AND(T$3&gt;=INDEX(Properties!$Q:$Q,$B90+5),T$3&lt;INDEX(Properties!$U:$U,$B90+5)),1,0))</f>
        <v>1</v>
      </c>
      <c r="U90" s="247" cm="1">
        <f t="array" ref="U90">INDEX(Properties!$D:$D,$B90+5)*(IF(AND(U$3&gt;=INDEX(Properties!$Q:$Q,$B90+5),U$3&lt;INDEX(Properties!$U:$U,$B90+5)),1,0))</f>
        <v>1</v>
      </c>
      <c r="V90" s="247" cm="1">
        <f t="array" ref="V90">INDEX(Properties!$D:$D,$B90+5)*(IF(AND(V$3&gt;=INDEX(Properties!$Q:$Q,$B90+5),V$3&lt;INDEX(Properties!$U:$U,$B90+5)),1,0))</f>
        <v>1</v>
      </c>
      <c r="W90" s="247" cm="1">
        <f t="array" ref="W90">INDEX(Properties!$D:$D,$B90+5)*(IF(AND(W$3&gt;=INDEX(Properties!$Q:$Q,$B90+5),W$3&lt;INDEX(Properties!$U:$U,$B90+5)),1,0))</f>
        <v>1</v>
      </c>
      <c r="X90" s="247" cm="1">
        <f t="array" ref="X90">INDEX(Properties!$D:$D,$B90+5)*(IF(AND(X$3&gt;=INDEX(Properties!$Q:$Q,$B90+5),X$3&lt;INDEX(Properties!$U:$U,$B90+5)),1,0))</f>
        <v>1</v>
      </c>
      <c r="Y90" s="247" cm="1">
        <f t="array" ref="Y90">INDEX(Properties!$D:$D,$B90+5)*(IF(AND(Y$3&gt;=INDEX(Properties!$Q:$Q,$B90+5),Y$3&lt;INDEX(Properties!$U:$U,$B90+5)),1,0))</f>
        <v>1</v>
      </c>
      <c r="Z90" s="247" cm="1">
        <f t="array" ref="Z90">INDEX(Properties!$D:$D,$B90+5)*(IF(AND(Z$3&gt;=INDEX(Properties!$Q:$Q,$B90+5),Z$3&lt;INDEX(Properties!$U:$U,$B90+5)),1,0))</f>
        <v>1</v>
      </c>
      <c r="AA90" s="247" cm="1">
        <f t="array" ref="AA90">INDEX(Properties!$D:$D,$B90+5)*(IF(AND(AA$3&gt;=INDEX(Properties!$Q:$Q,$B90+5),AA$3&lt;INDEX(Properties!$U:$U,$B90+5)),1,0))</f>
        <v>1</v>
      </c>
      <c r="AB90" s="247" cm="1">
        <f t="array" ref="AB90">INDEX(Properties!$D:$D,$B90+5)*(IF(AND(AB$3&gt;=INDEX(Properties!$Q:$Q,$B90+5),AB$3&lt;INDEX(Properties!$U:$U,$B90+5)),1,0))</f>
        <v>1</v>
      </c>
      <c r="AC90" s="247" cm="1">
        <f t="array" ref="AC90">INDEX(Properties!$D:$D,$B90+5)*(IF(AND(AC$3&gt;=INDEX(Properties!$Q:$Q,$B90+5),AC$3&lt;INDEX(Properties!$U:$U,$B90+5)),1,0))</f>
        <v>1</v>
      </c>
      <c r="AD90" s="247" cm="1">
        <f t="array" ref="AD90">INDEX(Properties!$D:$D,$B90+5)*(IF(AND(AD$3&gt;=INDEX(Properties!$Q:$Q,$B90+5),AD$3&lt;INDEX(Properties!$U:$U,$B90+5)),1,0))</f>
        <v>1</v>
      </c>
      <c r="AE90" s="247" cm="1">
        <f t="array" ref="AE90">INDEX(Properties!$D:$D,$B90+5)*(IF(AND(AE$3&gt;=INDEX(Properties!$Q:$Q,$B90+5),AE$3&lt;INDEX(Properties!$U:$U,$B90+5)),1,0))</f>
        <v>1</v>
      </c>
      <c r="AF90" s="247" cm="1">
        <f t="array" ref="AF90">INDEX(Properties!$D:$D,$B90+5)*(IF(AND(AF$3&gt;=INDEX(Properties!$Q:$Q,$B90+5),AF$3&lt;INDEX(Properties!$U:$U,$B90+5)),1,0))</f>
        <v>1</v>
      </c>
      <c r="AG90" s="247" cm="1">
        <f t="array" ref="AG90">INDEX(Properties!$D:$D,$B90+5)*(IF(AND(AG$3&gt;=INDEX(Properties!$Q:$Q,$B90+5),AG$3&lt;INDEX(Properties!$U:$U,$B90+5)),1,0))</f>
        <v>1</v>
      </c>
      <c r="AH90" s="247" cm="1">
        <f t="array" ref="AH90">INDEX(Properties!$D:$D,$B90+5)*(IF(AND(AH$3&gt;=INDEX(Properties!$Q:$Q,$B90+5),AH$3&lt;INDEX(Properties!$U:$U,$B90+5)),1,0))</f>
        <v>1</v>
      </c>
      <c r="AI90" s="247" cm="1">
        <f t="array" ref="AI90">INDEX(Properties!$D:$D,$B90+5)*(IF(AND(AI$3&gt;=INDEX(Properties!$Q:$Q,$B90+5),AI$3&lt;INDEX(Properties!$U:$U,$B90+5)),1,0))</f>
        <v>1</v>
      </c>
      <c r="AJ90" s="247" cm="1">
        <f t="array" ref="AJ90">INDEX(Properties!$D:$D,$B90+5)*(IF(AND(AJ$3&gt;=INDEX(Properties!$Q:$Q,$B90+5),AJ$3&lt;INDEX(Properties!$U:$U,$B90+5)),1,0))</f>
        <v>1</v>
      </c>
      <c r="AK90" s="247" cm="1">
        <f t="array" ref="AK90">INDEX(Properties!$D:$D,$B90+5)*(IF(AND(AK$3&gt;=INDEX(Properties!$Q:$Q,$B90+5),AK$3&lt;INDEX(Properties!$U:$U,$B90+5)),1,0))</f>
        <v>1</v>
      </c>
      <c r="AL90" s="247" cm="1">
        <f t="array" ref="AL90">INDEX(Properties!$D:$D,$B90+5)*(IF(AND(AL$3&gt;=INDEX(Properties!$Q:$Q,$B90+5),AL$3&lt;INDEX(Properties!$U:$U,$B90+5)),1,0))</f>
        <v>1</v>
      </c>
      <c r="AM90" s="247" cm="1">
        <f t="array" ref="AM90">INDEX(Properties!$D:$D,$B90+5)*(IF(AND(AM$3&gt;=INDEX(Properties!$Q:$Q,$B90+5),AM$3&lt;INDEX(Properties!$U:$U,$B90+5)),1,0))</f>
        <v>0</v>
      </c>
      <c r="AN90" s="247" cm="1">
        <f t="array" ref="AN90">INDEX(Properties!$D:$D,$B90+5)*(IF(AND(AN$3&gt;=INDEX(Properties!$Q:$Q,$B90+5),AN$3&lt;INDEX(Properties!$U:$U,$B90+5)),1,0))</f>
        <v>0</v>
      </c>
      <c r="AO90" s="247" cm="1">
        <f t="array" ref="AO90">INDEX(Properties!$D:$D,$B90+5)*(IF(AND(AO$3&gt;=INDEX(Properties!$Q:$Q,$B90+5),AO$3&lt;INDEX(Properties!$U:$U,$B90+5)),1,0))</f>
        <v>0</v>
      </c>
      <c r="AP90" s="247" cm="1">
        <f t="array" ref="AP90">INDEX(Properties!$D:$D,$B90+5)*(IF(AND(AP$3&gt;=INDEX(Properties!$Q:$Q,$B90+5),AP$3&lt;INDEX(Properties!$U:$U,$B90+5)),1,0))</f>
        <v>0</v>
      </c>
      <c r="AQ90" s="247" cm="1">
        <f t="array" ref="AQ90">INDEX(Properties!$D:$D,$B90+5)*(IF(AND(AQ$3&gt;=INDEX(Properties!$Q:$Q,$B90+5),AQ$3&lt;INDEX(Properties!$U:$U,$B90+5)),1,0))</f>
        <v>0</v>
      </c>
      <c r="AR90" s="247" cm="1">
        <f t="array" ref="AR90">INDEX(Properties!$D:$D,$B90+5)*(IF(AND(AR$3&gt;=INDEX(Properties!$Q:$Q,$B90+5),AR$3&lt;INDEX(Properties!$U:$U,$B90+5)),1,0))</f>
        <v>0</v>
      </c>
      <c r="AS90" s="247" cm="1">
        <f t="array" ref="AS90">INDEX(Properties!$D:$D,$B90+5)*(IF(AND(AS$3&gt;=INDEX(Properties!$Q:$Q,$B90+5),AS$3&lt;INDEX(Properties!$U:$U,$B90+5)),1,0))</f>
        <v>0</v>
      </c>
      <c r="AT90" s="247" cm="1">
        <f t="array" ref="AT90">INDEX(Properties!$D:$D,$B90+5)*(IF(AND(AT$3&gt;=INDEX(Properties!$Q:$Q,$B90+5),AT$3&lt;INDEX(Properties!$U:$U,$B90+5)),1,0))</f>
        <v>0</v>
      </c>
      <c r="AU90" s="247" cm="1">
        <f t="array" ref="AU90">INDEX(Properties!$D:$D,$B90+5)*(IF(AND(AU$3&gt;=INDEX(Properties!$Q:$Q,$B90+5),AU$3&lt;INDEX(Properties!$U:$U,$B90+5)),1,0))</f>
        <v>0</v>
      </c>
      <c r="AV90" s="247" cm="1">
        <f t="array" ref="AV90">INDEX(Properties!$D:$D,$B90+5)*(IF(AND(AV$3&gt;=INDEX(Properties!$Q:$Q,$B90+5),AV$3&lt;INDEX(Properties!$U:$U,$B90+5)),1,0))</f>
        <v>0</v>
      </c>
      <c r="AW90" s="247" cm="1">
        <f t="array" ref="AW90">INDEX(Properties!$D:$D,$B90+5)*(IF(AND(AW$3&gt;=INDEX(Properties!$Q:$Q,$B90+5),AW$3&lt;INDEX(Properties!$U:$U,$B90+5)),1,0))</f>
        <v>0</v>
      </c>
      <c r="AX90" s="247" cm="1">
        <f t="array" ref="AX90">INDEX(Properties!$D:$D,$B90+5)*(IF(AND(AX$3&gt;=INDEX(Properties!$Q:$Q,$B90+5),AX$3&lt;INDEX(Properties!$U:$U,$B90+5)),1,0))</f>
        <v>0</v>
      </c>
      <c r="AY90" s="247" cm="1">
        <f t="array" ref="AY90">INDEX(Properties!$D:$D,$B90+5)*(IF(AND(AY$3&gt;=INDEX(Properties!$Q:$Q,$B90+5),AY$3&lt;INDEX(Properties!$U:$U,$B90+5)),1,0))</f>
        <v>0</v>
      </c>
      <c r="AZ90" s="247" cm="1">
        <f t="array" ref="AZ90">INDEX(Properties!$D:$D,$B90+5)*(IF(AND(AZ$3&gt;=INDEX(Properties!$Q:$Q,$B90+5),AZ$3&lt;INDEX(Properties!$U:$U,$B90+5)),1,0))</f>
        <v>0</v>
      </c>
      <c r="BA90" s="247" cm="1">
        <f t="array" ref="BA90">INDEX(Properties!$D:$D,$B90+5)*(IF(AND(BA$3&gt;=INDEX(Properties!$Q:$Q,$B90+5),BA$3&lt;INDEX(Properties!$U:$U,$B90+5)),1,0))</f>
        <v>0</v>
      </c>
      <c r="BB90" s="247" cm="1">
        <f t="array" ref="BB90">INDEX(Properties!$D:$D,$B90+5)*(IF(AND(BB$3&gt;=INDEX(Properties!$Q:$Q,$B90+5),BB$3&lt;INDEX(Properties!$U:$U,$B90+5)),1,0))</f>
        <v>0</v>
      </c>
      <c r="BC90" s="247" cm="1">
        <f t="array" ref="BC90">INDEX(Properties!$D:$D,$B90+5)*(IF(AND(BC$3&gt;=INDEX(Properties!$Q:$Q,$B90+5),BC$3&lt;INDEX(Properties!$U:$U,$B90+5)),1,0))</f>
        <v>0</v>
      </c>
      <c r="BD90" s="247" cm="1">
        <f t="array" ref="BD90">INDEX(Properties!$D:$D,$B90+5)*(IF(AND(BD$3&gt;=INDEX(Properties!$Q:$Q,$B90+5),BD$3&lt;INDEX(Properties!$U:$U,$B90+5)),1,0))</f>
        <v>0</v>
      </c>
      <c r="BE90" s="247" cm="1">
        <f t="array" ref="BE90">INDEX(Properties!$D:$D,$B90+5)*(IF(AND(BE$3&gt;=INDEX(Properties!$Q:$Q,$B90+5),BE$3&lt;INDEX(Properties!$U:$U,$B90+5)),1,0))</f>
        <v>0</v>
      </c>
      <c r="BF90" s="247" cm="1">
        <f t="array" ref="BF90">INDEX(Properties!$D:$D,$B90+5)*(IF(AND(BF$3&gt;=INDEX(Properties!$Q:$Q,$B90+5),BF$3&lt;INDEX(Properties!$U:$U,$B90+5)),1,0))</f>
        <v>0</v>
      </c>
      <c r="BG90" s="247" cm="1">
        <f t="array" ref="BG90">INDEX(Properties!$D:$D,$B90+5)*(IF(AND(BG$3&gt;=INDEX(Properties!$Q:$Q,$B90+5),BG$3&lt;INDEX(Properties!$U:$U,$B90+5)),1,0))</f>
        <v>0</v>
      </c>
      <c r="BH90" s="247" cm="1">
        <f t="array" ref="BH90">INDEX(Properties!$D:$D,$B90+5)*(IF(AND(BH$3&gt;=INDEX(Properties!$Q:$Q,$B90+5),BH$3&lt;INDEX(Properties!$U:$U,$B90+5)),1,0))</f>
        <v>0</v>
      </c>
      <c r="BI90" s="247" cm="1">
        <f t="array" ref="BI90">INDEX(Properties!$D:$D,$B90+5)*(IF(AND(BI$3&gt;=INDEX(Properties!$Q:$Q,$B90+5),BI$3&lt;INDEX(Properties!$U:$U,$B90+5)),1,0))</f>
        <v>0</v>
      </c>
      <c r="BJ90" s="247" cm="1">
        <f t="array" ref="BJ90">INDEX(Properties!$D:$D,$B90+5)*(IF(AND(BJ$3&gt;=INDEX(Properties!$Q:$Q,$B90+5),BJ$3&lt;INDEX(Properties!$U:$U,$B90+5)),1,0))</f>
        <v>0</v>
      </c>
      <c r="BK90" s="247" cm="1">
        <f t="array" ref="BK90">INDEX(Properties!$D:$D,$B90+5)*(IF(AND(BK$3&gt;=INDEX(Properties!$Q:$Q,$B90+5),BK$3&lt;INDEX(Properties!$U:$U,$B90+5)),1,0))</f>
        <v>0</v>
      </c>
      <c r="BL90" s="247" cm="1">
        <f t="array" ref="BL90">INDEX(Properties!$D:$D,$B90+5)*(IF(AND(BL$3&gt;=INDEX(Properties!$Q:$Q,$B90+5),BL$3&lt;INDEX(Properties!$U:$U,$B90+5)),1,0))</f>
        <v>0</v>
      </c>
      <c r="BM90" s="247" cm="1">
        <f t="array" ref="BM90">INDEX(Properties!$D:$D,$B90+5)*(IF(AND(BM$3&gt;=INDEX(Properties!$Q:$Q,$B90+5),BM$3&lt;INDEX(Properties!$U:$U,$B90+5)),1,0))</f>
        <v>0</v>
      </c>
      <c r="BN90" s="247" cm="1">
        <f t="array" ref="BN90">INDEX(Properties!$D:$D,$B90+5)*(IF(AND(BN$3&gt;=INDEX(Properties!$Q:$Q,$B90+5),BN$3&lt;INDEX(Properties!$U:$U,$B90+5)),1,0))</f>
        <v>0</v>
      </c>
      <c r="BO90" s="247" cm="1">
        <f t="array" ref="BO90">INDEX(Properties!$D:$D,$B90+5)*(IF(AND(BO$3&gt;=INDEX(Properties!$Q:$Q,$B90+5),BO$3&lt;INDEX(Properties!$U:$U,$B90+5)),1,0))</f>
        <v>0</v>
      </c>
      <c r="BP90" s="247" cm="1">
        <f t="array" ref="BP90">INDEX(Properties!$D:$D,$B90+5)*(IF(AND(BP$3&gt;=INDEX(Properties!$Q:$Q,$B90+5),BP$3&lt;INDEX(Properties!$U:$U,$B90+5)),1,0))</f>
        <v>0</v>
      </c>
      <c r="BQ90" s="247" cm="1">
        <f t="array" ref="BQ90">INDEX(Properties!$D:$D,$B90+5)*(IF(AND(BQ$3&gt;=INDEX(Properties!$Q:$Q,$B90+5),BQ$3&lt;INDEX(Properties!$U:$U,$B90+5)),1,0))</f>
        <v>0</v>
      </c>
      <c r="BR90" s="247" cm="1">
        <f t="array" ref="BR90">INDEX(Properties!$D:$D,$B90+5)*(IF(AND(BR$3&gt;=INDEX(Properties!$Q:$Q,$B90+5),BR$3&lt;INDEX(Properties!$U:$U,$B90+5)),1,0))</f>
        <v>0</v>
      </c>
      <c r="BS90" s="247" cm="1">
        <f t="array" ref="BS90">INDEX(Properties!$D:$D,$B90+5)*(IF(AND(BS$3&gt;=INDEX(Properties!$Q:$Q,$B90+5),BS$3&lt;INDEX(Properties!$U:$U,$B90+5)),1,0))</f>
        <v>0</v>
      </c>
      <c r="BT90" s="247" cm="1">
        <f t="array" ref="BT90">INDEX(Properties!$D:$D,$B90+5)*(IF(AND(BT$3&gt;=INDEX(Properties!$Q:$Q,$B90+5),BT$3&lt;INDEX(Properties!$U:$U,$B90+5)),1,0))</f>
        <v>0</v>
      </c>
      <c r="BU90" s="247" cm="1">
        <f t="array" ref="BU90">INDEX(Properties!$D:$D,$B90+5)*(IF(AND(BU$3&gt;=INDEX(Properties!$Q:$Q,$B90+5),BU$3&lt;INDEX(Properties!$U:$U,$B90+5)),1,0))</f>
        <v>0</v>
      </c>
      <c r="BV90" s="247" cm="1">
        <f t="array" ref="BV90">INDEX(Properties!$D:$D,$B90+5)*(IF(AND(BV$3&gt;=INDEX(Properties!$Q:$Q,$B90+5),BV$3&lt;INDEX(Properties!$U:$U,$B90+5)),1,0))</f>
        <v>0</v>
      </c>
      <c r="BW90" s="247" cm="1">
        <f t="array" ref="BW90">INDEX(Properties!$D:$D,$B90+5)*(IF(AND(BW$3&gt;=INDEX(Properties!$Q:$Q,$B90+5),BW$3&lt;INDEX(Properties!$U:$U,$B90+5)),1,0))</f>
        <v>0</v>
      </c>
      <c r="BX90" s="247" cm="1">
        <f t="array" ref="BX90">INDEX(Properties!$D:$D,$B90+5)*(IF(AND(BX$3&gt;=INDEX(Properties!$Q:$Q,$B90+5),BX$3&lt;INDEX(Properties!$U:$U,$B90+5)),1,0))</f>
        <v>0</v>
      </c>
      <c r="BY90" s="247" cm="1">
        <f t="array" ref="BY90">INDEX(Properties!$D:$D,$B90+5)*(IF(AND(BY$3&gt;=INDEX(Properties!$Q:$Q,$B90+5),BY$3&lt;INDEX(Properties!$U:$U,$B90+5)),1,0))</f>
        <v>0</v>
      </c>
      <c r="BZ90" s="247" cm="1">
        <f t="array" ref="BZ90">INDEX(Properties!$D:$D,$B90+5)*(IF(AND(BZ$3&gt;=INDEX(Properties!$Q:$Q,$B90+5),BZ$3&lt;INDEX(Properties!$U:$U,$B90+5)),1,0))</f>
        <v>0</v>
      </c>
      <c r="CA90" s="247" cm="1">
        <f t="array" ref="CA90">INDEX(Properties!$D:$D,$B90+5)*(IF(AND(CA$3&gt;=INDEX(Properties!$Q:$Q,$B90+5),CA$3&lt;INDEX(Properties!$U:$U,$B90+5)),1,0))</f>
        <v>0</v>
      </c>
      <c r="CB90" s="247" cm="1">
        <f t="array" ref="CB90">INDEX(Properties!$D:$D,$B90+5)*(IF(AND(CB$3&gt;=INDEX(Properties!$Q:$Q,$B90+5),CB$3&lt;INDEX(Properties!$U:$U,$B90+5)),1,0))</f>
        <v>0</v>
      </c>
      <c r="CC90" s="247" cm="1">
        <f t="array" ref="CC90">INDEX(Properties!$D:$D,$B90+5)*(IF(AND(CC$3&gt;=INDEX(Properties!$Q:$Q,$B90+5),CC$3&lt;INDEX(Properties!$U:$U,$B90+5)),1,0))</f>
        <v>0</v>
      </c>
      <c r="CD90" s="247" cm="1">
        <f t="array" ref="CD90">INDEX(Properties!$D:$D,$B90+5)*(IF(AND(CD$3&gt;=INDEX(Properties!$Q:$Q,$B90+5),CD$3&lt;INDEX(Properties!$U:$U,$B90+5)),1,0))</f>
        <v>0</v>
      </c>
      <c r="CE90" s="247" cm="1">
        <f t="array" ref="CE90">INDEX(Properties!$D:$D,$B90+5)*(IF(AND(CE$3&gt;=INDEX(Properties!$Q:$Q,$B90+5),CE$3&lt;INDEX(Properties!$U:$U,$B90+5)),1,0))</f>
        <v>0</v>
      </c>
      <c r="CF90" s="247" cm="1">
        <f t="array" ref="CF90">INDEX(Properties!$D:$D,$B90+5)*(IF(AND(CF$3&gt;=INDEX(Properties!$Q:$Q,$B90+5),CF$3&lt;INDEX(Properties!$U:$U,$B90+5)),1,0))</f>
        <v>0</v>
      </c>
      <c r="CG90" s="247" cm="1">
        <f t="array" ref="CG90">INDEX(Properties!$D:$D,$B90+5)*(IF(AND(CG$3&gt;=INDEX(Properties!$Q:$Q,$B90+5),CG$3&lt;INDEX(Properties!$U:$U,$B90+5)),1,0))</f>
        <v>0</v>
      </c>
      <c r="CH90" s="247" cm="1">
        <f t="array" ref="CH90">INDEX(Properties!$D:$D,$B90+5)*(IF(AND(CH$3&gt;=INDEX(Properties!$Q:$Q,$B90+5),CH$3&lt;INDEX(Properties!$U:$U,$B90+5)),1,0))</f>
        <v>0</v>
      </c>
      <c r="CI90" s="247" cm="1">
        <f t="array" ref="CI90">INDEX(Properties!$D:$D,$B90+5)*(IF(AND(CI$3&gt;=INDEX(Properties!$Q:$Q,$B90+5),CI$3&lt;INDEX(Properties!$U:$U,$B90+5)),1,0))</f>
        <v>0</v>
      </c>
      <c r="CJ90" s="247" cm="1">
        <f t="array" ref="CJ90">INDEX(Properties!$D:$D,$B90+5)*(IF(AND(CJ$3&gt;=INDEX(Properties!$Q:$Q,$B90+5),CJ$3&lt;INDEX(Properties!$U:$U,$B90+5)),1,0))</f>
        <v>0</v>
      </c>
      <c r="CK90" s="247" cm="1">
        <f t="array" ref="CK90">INDEX(Properties!$D:$D,$B90+5)*(IF(AND(CK$3&gt;=INDEX(Properties!$Q:$Q,$B90+5),CK$3&lt;INDEX(Properties!$U:$U,$B90+5)),1,0))</f>
        <v>0</v>
      </c>
      <c r="CL90" s="247" cm="1">
        <f t="array" ref="CL90">INDEX(Properties!$D:$D,$B90+5)*(IF(AND(CL$3&gt;=INDEX(Properties!$Q:$Q,$B90+5),CL$3&lt;INDEX(Properties!$U:$U,$B90+5)),1,0))</f>
        <v>0</v>
      </c>
      <c r="CM90" s="247" cm="1">
        <f t="array" ref="CM90">INDEX(Properties!$D:$D,$B90+5)*(IF(AND(CM$3&gt;=INDEX(Properties!$Q:$Q,$B90+5),CM$3&lt;INDEX(Properties!$U:$U,$B90+5)),1,0))</f>
        <v>0</v>
      </c>
      <c r="CN90" s="247" cm="1">
        <f t="array" ref="CN90">INDEX(Properties!$D:$D,$B90+5)*(IF(AND(CN$3&gt;=INDEX(Properties!$Q:$Q,$B90+5),CN$3&lt;INDEX(Properties!$U:$U,$B90+5)),1,0))</f>
        <v>0</v>
      </c>
      <c r="CO90" s="247" cm="1">
        <f t="array" ref="CO90">INDEX(Properties!$D:$D,$B90+5)*(IF(AND(CO$3&gt;=INDEX(Properties!$Q:$Q,$B90+5),CO$3&lt;INDEX(Properties!$U:$U,$B90+5)),1,0))</f>
        <v>0</v>
      </c>
      <c r="CP90" s="247" cm="1">
        <f t="array" ref="CP90">INDEX(Properties!$D:$D,$B90+5)*(IF(AND(CP$3&gt;=INDEX(Properties!$Q:$Q,$B90+5),CP$3&lt;INDEX(Properties!$U:$U,$B90+5)),1,0))</f>
        <v>0</v>
      </c>
      <c r="CQ90" s="247" cm="1">
        <f t="array" ref="CQ90">INDEX(Properties!$D:$D,$B90+5)*(IF(AND(CQ$3&gt;=INDEX(Properties!$Q:$Q,$B90+5),CQ$3&lt;INDEX(Properties!$U:$U,$B90+5)),1,0))</f>
        <v>0</v>
      </c>
      <c r="CR90" s="247" cm="1">
        <f t="array" ref="CR90">INDEX(Properties!$D:$D,$B90+5)*(IF(AND(CR$3&gt;=INDEX(Properties!$Q:$Q,$B90+5),CR$3&lt;INDEX(Properties!$U:$U,$B90+5)),1,0))</f>
        <v>0</v>
      </c>
      <c r="CS90" s="247" cm="1">
        <f t="array" ref="CS90">INDEX(Properties!$D:$D,$B90+5)*(IF(AND(CS$3&gt;=INDEX(Properties!$Q:$Q,$B90+5),CS$3&lt;INDEX(Properties!$U:$U,$B90+5)),1,0))</f>
        <v>0</v>
      </c>
      <c r="CT90" s="247" cm="1">
        <f t="array" ref="CT90">INDEX(Properties!$D:$D,$B90+5)*(IF(AND(CT$3&gt;=INDEX(Properties!$Q:$Q,$B90+5),CT$3&lt;INDEX(Properties!$U:$U,$B90+5)),1,0))</f>
        <v>0</v>
      </c>
      <c r="CU90" s="247" cm="1">
        <f t="array" ref="CU90">INDEX(Properties!$D:$D,$B90+5)*(IF(AND(CU$3&gt;=INDEX(Properties!$Q:$Q,$B90+5),CU$3&lt;INDEX(Properties!$U:$U,$B90+5)),1,0))</f>
        <v>0</v>
      </c>
      <c r="CV90" s="247" cm="1">
        <f t="array" ref="CV90">INDEX(Properties!$D:$D,$B90+5)*(IF(AND(CV$3&gt;=INDEX(Properties!$Q:$Q,$B90+5),CV$3&lt;INDEX(Properties!$U:$U,$B90+5)),1,0))</f>
        <v>0</v>
      </c>
      <c r="CW90" s="247" cm="1">
        <f t="array" ref="CW90">INDEX(Properties!$D:$D,$B90+5)*(IF(AND(CW$3&gt;=INDEX(Properties!$Q:$Q,$B90+5),CW$3&lt;INDEX(Properties!$U:$U,$B90+5)),1,0))</f>
        <v>0</v>
      </c>
      <c r="CX90" s="247" cm="1">
        <f t="array" ref="CX90">INDEX(Properties!$D:$D,$B90+5)*(IF(AND(CX$3&gt;=INDEX(Properties!$Q:$Q,$B90+5),CX$3&lt;INDEX(Properties!$U:$U,$B90+5)),1,0))</f>
        <v>0</v>
      </c>
      <c r="CY90" s="247" cm="1">
        <f t="array" ref="CY90">INDEX(Properties!$D:$D,$B90+5)*(IF(AND(CY$3&gt;=INDEX(Properties!$Q:$Q,$B90+5),CY$3&lt;INDEX(Properties!$U:$U,$B90+5)),1,0))</f>
        <v>0</v>
      </c>
      <c r="CZ90" s="247" cm="1">
        <f t="array" ref="CZ90">INDEX(Properties!$D:$D,$B90+5)*(IF(AND(CZ$3&gt;=INDEX(Properties!$Q:$Q,$B90+5),CZ$3&lt;INDEX(Properties!$U:$U,$B90+5)),1,0))</f>
        <v>0</v>
      </c>
      <c r="DA90" s="247" cm="1">
        <f t="array" ref="DA90">INDEX(Properties!$D:$D,$B90+5)*(IF(AND(DA$3&gt;=INDEX(Properties!$Q:$Q,$B90+5),DA$3&lt;INDEX(Properties!$U:$U,$B90+5)),1,0))</f>
        <v>0</v>
      </c>
      <c r="DB90" s="247" cm="1">
        <f t="array" ref="DB90">INDEX(Properties!$D:$D,$B90+5)*(IF(AND(DB$3&gt;=INDEX(Properties!$Q:$Q,$B90+5),DB$3&lt;INDEX(Properties!$U:$U,$B90+5)),1,0))</f>
        <v>0</v>
      </c>
      <c r="DC90" s="247" cm="1">
        <f t="array" ref="DC90">INDEX(Properties!$D:$D,$B90+5)*(IF(AND(DC$3&gt;=INDEX(Properties!$Q:$Q,$B90+5),DC$3&lt;INDEX(Properties!$U:$U,$B90+5)),1,0))</f>
        <v>0</v>
      </c>
      <c r="DD90" s="247" cm="1">
        <f t="array" ref="DD90">INDEX(Properties!$D:$D,$B90+5)*(IF(AND(DD$3&gt;=INDEX(Properties!$Q:$Q,$B90+5),DD$3&lt;INDEX(Properties!$U:$U,$B90+5)),1,0))</f>
        <v>0</v>
      </c>
      <c r="DE90" s="247" cm="1">
        <f t="array" ref="DE90">INDEX(Properties!$D:$D,$B90+5)*(IF(AND(DE$3&gt;=INDEX(Properties!$Q:$Q,$B90+5),DE$3&lt;INDEX(Properties!$U:$U,$B90+5)),1,0))</f>
        <v>0</v>
      </c>
      <c r="DF90" s="247" cm="1">
        <f t="array" ref="DF90">INDEX(Properties!$D:$D,$B90+5)*(IF(AND(DF$3&gt;=INDEX(Properties!$Q:$Q,$B90+5),DF$3&lt;INDEX(Properties!$U:$U,$B90+5)),1,0))</f>
        <v>0</v>
      </c>
      <c r="DG90" s="247" cm="1">
        <f t="array" ref="DG90">INDEX(Properties!$D:$D,$B90+5)*(IF(AND(DG$3&gt;=INDEX(Properties!$Q:$Q,$B90+5),DG$3&lt;INDEX(Properties!$U:$U,$B90+5)),1,0))</f>
        <v>0</v>
      </c>
      <c r="DH90" s="247" cm="1">
        <f t="array" ref="DH90">INDEX(Properties!$D:$D,$B90+5)*(IF(AND(DH$3&gt;=INDEX(Properties!$Q:$Q,$B90+5),DH$3&lt;INDEX(Properties!$U:$U,$B90+5)),1,0))</f>
        <v>0</v>
      </c>
      <c r="DI90" s="247" cm="1">
        <f t="array" ref="DI90">INDEX(Properties!$D:$D,$B90+5)*(IF(AND(DI$3&gt;=INDEX(Properties!$Q:$Q,$B90+5),DI$3&lt;INDEX(Properties!$U:$U,$B90+5)),1,0))</f>
        <v>0</v>
      </c>
      <c r="DJ90" s="247" cm="1">
        <f t="array" ref="DJ90">INDEX(Properties!$D:$D,$B90+5)*(IF(AND(DJ$3&gt;=INDEX(Properties!$Q:$Q,$B90+5),DJ$3&lt;INDEX(Properties!$U:$U,$B90+5)),1,0))</f>
        <v>0</v>
      </c>
      <c r="DK90" s="247" cm="1">
        <f t="array" ref="DK90">INDEX(Properties!$D:$D,$B90+5)*(IF(AND(DK$3&gt;=INDEX(Properties!$Q:$Q,$B90+5),DK$3&lt;INDEX(Properties!$U:$U,$B90+5)),1,0))</f>
        <v>0</v>
      </c>
      <c r="DL90" s="247" cm="1">
        <f t="array" ref="DL90">INDEX(Properties!$D:$D,$B90+5)*(IF(AND(DL$3&gt;=INDEX(Properties!$Q:$Q,$B90+5),DL$3&lt;INDEX(Properties!$U:$U,$B90+5)),1,0))</f>
        <v>0</v>
      </c>
      <c r="DM90" s="247" cm="1">
        <f t="array" ref="DM90">INDEX(Properties!$D:$D,$B90+5)*(IF(AND(DM$3&gt;=INDEX(Properties!$Q:$Q,$B90+5),DM$3&lt;INDEX(Properties!$U:$U,$B90+5)),1,0))</f>
        <v>0</v>
      </c>
      <c r="DN90" s="247" cm="1">
        <f t="array" ref="DN90">INDEX(Properties!$D:$D,$B90+5)*(IF(AND(DN$3&gt;=INDEX(Properties!$Q:$Q,$B90+5),DN$3&lt;INDEX(Properties!$U:$U,$B90+5)),1,0))</f>
        <v>0</v>
      </c>
      <c r="DO90" s="247" cm="1">
        <f t="array" ref="DO90">INDEX(Properties!$D:$D,$B90+5)*(IF(AND(DO$3&gt;=INDEX(Properties!$Q:$Q,$B90+5),DO$3&lt;INDEX(Properties!$U:$U,$B90+5)),1,0))</f>
        <v>0</v>
      </c>
      <c r="DP90" s="247" cm="1">
        <f t="array" ref="DP90">INDEX(Properties!$D:$D,$B90+5)*(IF(AND(DP$3&gt;=INDEX(Properties!$Q:$Q,$B90+5),DP$3&lt;INDEX(Properties!$U:$U,$B90+5)),1,0))</f>
        <v>0</v>
      </c>
      <c r="DQ90" s="247" cm="1">
        <f t="array" ref="DQ90">INDEX(Properties!$D:$D,$B90+5)*(IF(AND(DQ$3&gt;=INDEX(Properties!$Q:$Q,$B90+5),DQ$3&lt;INDEX(Properties!$U:$U,$B90+5)),1,0))</f>
        <v>0</v>
      </c>
      <c r="DR90" s="247" cm="1">
        <f t="array" ref="DR90">INDEX(Properties!$D:$D,$B90+5)*(IF(AND(DR$3&gt;=INDEX(Properties!$Q:$Q,$B90+5),DR$3&lt;INDEX(Properties!$U:$U,$B90+5)),1,0))</f>
        <v>0</v>
      </c>
    </row>
    <row r="91" spans="1:122" ht="16.05" customHeight="1" x14ac:dyDescent="0.3">
      <c r="A91" s="148" cm="1">
        <f t="array" ref="A91">INDEX(Properties!$E:$E,$B91+5)</f>
        <v>0</v>
      </c>
      <c r="B91" s="1">
        <v>6</v>
      </c>
      <c r="C91" s="247" cm="1">
        <f t="array" ref="C91">INDEX(Properties!$D:$D,$B91+5)*(IF(AND(C$3&gt;=INDEX(Properties!$Q:$Q,$B91+5),C$3&lt;INDEX(Properties!$U:$U,$B91+5)),1,0))</f>
        <v>0</v>
      </c>
      <c r="D91" s="247" cm="1">
        <f t="array" ref="D91">INDEX(Properties!$D:$D,$B91+5)*(IF(AND(D$3&gt;=INDEX(Properties!$Q:$Q,$B91+5),D$3&lt;INDEX(Properties!$U:$U,$B91+5)),1,0))</f>
        <v>0</v>
      </c>
      <c r="E91" s="247" cm="1">
        <f t="array" ref="E91">INDEX(Properties!$D:$D,$B91+5)*(IF(AND(E$3&gt;=INDEX(Properties!$Q:$Q,$B91+5),E$3&lt;INDEX(Properties!$U:$U,$B91+5)),1,0))</f>
        <v>0</v>
      </c>
      <c r="F91" s="247" cm="1">
        <f t="array" ref="F91">INDEX(Properties!$D:$D,$B91+5)*(IF(AND(F$3&gt;=INDEX(Properties!$Q:$Q,$B91+5),F$3&lt;INDEX(Properties!$U:$U,$B91+5)),1,0))</f>
        <v>0</v>
      </c>
      <c r="G91" s="247" cm="1">
        <f t="array" ref="G91">INDEX(Properties!$D:$D,$B91+5)*(IF(AND(G$3&gt;=INDEX(Properties!$Q:$Q,$B91+5),G$3&lt;INDEX(Properties!$U:$U,$B91+5)),1,0))</f>
        <v>0</v>
      </c>
      <c r="H91" s="247" cm="1">
        <f t="array" ref="H91">INDEX(Properties!$D:$D,$B91+5)*(IF(AND(H$3&gt;=INDEX(Properties!$Q:$Q,$B91+5),H$3&lt;INDEX(Properties!$U:$U,$B91+5)),1,0))</f>
        <v>0</v>
      </c>
      <c r="I91" s="247" cm="1">
        <f t="array" ref="I91">INDEX(Properties!$D:$D,$B91+5)*(IF(AND(I$3&gt;=INDEX(Properties!$Q:$Q,$B91+5),I$3&lt;INDEX(Properties!$U:$U,$B91+5)),1,0))</f>
        <v>0</v>
      </c>
      <c r="J91" s="247" cm="1">
        <f t="array" ref="J91">INDEX(Properties!$D:$D,$B91+5)*(IF(AND(J$3&gt;=INDEX(Properties!$Q:$Q,$B91+5),J$3&lt;INDEX(Properties!$U:$U,$B91+5)),1,0))</f>
        <v>0</v>
      </c>
      <c r="K91" s="247" cm="1">
        <f t="array" ref="K91">INDEX(Properties!$D:$D,$B91+5)*(IF(AND(K$3&gt;=INDEX(Properties!$Q:$Q,$B91+5),K$3&lt;INDEX(Properties!$U:$U,$B91+5)),1,0))</f>
        <v>0</v>
      </c>
      <c r="L91" s="247" cm="1">
        <f t="array" ref="L91">INDEX(Properties!$D:$D,$B91+5)*(IF(AND(L$3&gt;=INDEX(Properties!$Q:$Q,$B91+5),L$3&lt;INDEX(Properties!$U:$U,$B91+5)),1,0))</f>
        <v>0</v>
      </c>
      <c r="M91" s="247" cm="1">
        <f t="array" ref="M91">INDEX(Properties!$D:$D,$B91+5)*(IF(AND(M$3&gt;=INDEX(Properties!$Q:$Q,$B91+5),M$3&lt;INDEX(Properties!$U:$U,$B91+5)),1,0))</f>
        <v>0</v>
      </c>
      <c r="N91" s="247" cm="1">
        <f t="array" ref="N91">INDEX(Properties!$D:$D,$B91+5)*(IF(AND(N$3&gt;=INDEX(Properties!$Q:$Q,$B91+5),N$3&lt;INDEX(Properties!$U:$U,$B91+5)),1,0))</f>
        <v>0</v>
      </c>
      <c r="O91" s="247" cm="1">
        <f t="array" ref="O91">INDEX(Properties!$D:$D,$B91+5)*(IF(AND(O$3&gt;=INDEX(Properties!$Q:$Q,$B91+5),O$3&lt;INDEX(Properties!$U:$U,$B91+5)),1,0))</f>
        <v>0</v>
      </c>
      <c r="P91" s="247" cm="1">
        <f t="array" ref="P91">INDEX(Properties!$D:$D,$B91+5)*(IF(AND(P$3&gt;=INDEX(Properties!$Q:$Q,$B91+5),P$3&lt;INDEX(Properties!$U:$U,$B91+5)),1,0))</f>
        <v>0</v>
      </c>
      <c r="Q91" s="247" cm="1">
        <f t="array" ref="Q91">INDEX(Properties!$D:$D,$B91+5)*(IF(AND(Q$3&gt;=INDEX(Properties!$Q:$Q,$B91+5),Q$3&lt;INDEX(Properties!$U:$U,$B91+5)),1,0))</f>
        <v>0</v>
      </c>
      <c r="R91" s="247" cm="1">
        <f t="array" ref="R91">INDEX(Properties!$D:$D,$B91+5)*(IF(AND(R$3&gt;=INDEX(Properties!$Q:$Q,$B91+5),R$3&lt;INDEX(Properties!$U:$U,$B91+5)),1,0))</f>
        <v>0</v>
      </c>
      <c r="S91" s="247" cm="1">
        <f t="array" ref="S91">INDEX(Properties!$D:$D,$B91+5)*(IF(AND(S$3&gt;=INDEX(Properties!$Q:$Q,$B91+5),S$3&lt;INDEX(Properties!$U:$U,$B91+5)),1,0))</f>
        <v>0</v>
      </c>
      <c r="T91" s="247" cm="1">
        <f t="array" ref="T91">INDEX(Properties!$D:$D,$B91+5)*(IF(AND(T$3&gt;=INDEX(Properties!$Q:$Q,$B91+5),T$3&lt;INDEX(Properties!$U:$U,$B91+5)),1,0))</f>
        <v>0</v>
      </c>
      <c r="U91" s="247" cm="1">
        <f t="array" ref="U91">INDEX(Properties!$D:$D,$B91+5)*(IF(AND(U$3&gt;=INDEX(Properties!$Q:$Q,$B91+5),U$3&lt;INDEX(Properties!$U:$U,$B91+5)),1,0))</f>
        <v>0</v>
      </c>
      <c r="V91" s="247" cm="1">
        <f t="array" ref="V91">INDEX(Properties!$D:$D,$B91+5)*(IF(AND(V$3&gt;=INDEX(Properties!$Q:$Q,$B91+5),V$3&lt;INDEX(Properties!$U:$U,$B91+5)),1,0))</f>
        <v>0</v>
      </c>
      <c r="W91" s="247" cm="1">
        <f t="array" ref="W91">INDEX(Properties!$D:$D,$B91+5)*(IF(AND(W$3&gt;=INDEX(Properties!$Q:$Q,$B91+5),W$3&lt;INDEX(Properties!$U:$U,$B91+5)),1,0))</f>
        <v>0</v>
      </c>
      <c r="X91" s="247" cm="1">
        <f t="array" ref="X91">INDEX(Properties!$D:$D,$B91+5)*(IF(AND(X$3&gt;=INDEX(Properties!$Q:$Q,$B91+5),X$3&lt;INDEX(Properties!$U:$U,$B91+5)),1,0))</f>
        <v>0</v>
      </c>
      <c r="Y91" s="247" cm="1">
        <f t="array" ref="Y91">INDEX(Properties!$D:$D,$B91+5)*(IF(AND(Y$3&gt;=INDEX(Properties!$Q:$Q,$B91+5),Y$3&lt;INDEX(Properties!$U:$U,$B91+5)),1,0))</f>
        <v>0</v>
      </c>
      <c r="Z91" s="247" cm="1">
        <f t="array" ref="Z91">INDEX(Properties!$D:$D,$B91+5)*(IF(AND(Z$3&gt;=INDEX(Properties!$Q:$Q,$B91+5),Z$3&lt;INDEX(Properties!$U:$U,$B91+5)),1,0))</f>
        <v>0</v>
      </c>
      <c r="AA91" s="247" cm="1">
        <f t="array" ref="AA91">INDEX(Properties!$D:$D,$B91+5)*(IF(AND(AA$3&gt;=INDEX(Properties!$Q:$Q,$B91+5),AA$3&lt;INDEX(Properties!$U:$U,$B91+5)),1,0))</f>
        <v>0</v>
      </c>
      <c r="AB91" s="247" cm="1">
        <f t="array" ref="AB91">INDEX(Properties!$D:$D,$B91+5)*(IF(AND(AB$3&gt;=INDEX(Properties!$Q:$Q,$B91+5),AB$3&lt;INDEX(Properties!$U:$U,$B91+5)),1,0))</f>
        <v>0</v>
      </c>
      <c r="AC91" s="247" cm="1">
        <f t="array" ref="AC91">INDEX(Properties!$D:$D,$B91+5)*(IF(AND(AC$3&gt;=INDEX(Properties!$Q:$Q,$B91+5),AC$3&lt;INDEX(Properties!$U:$U,$B91+5)),1,0))</f>
        <v>0</v>
      </c>
      <c r="AD91" s="247" cm="1">
        <f t="array" ref="AD91">INDEX(Properties!$D:$D,$B91+5)*(IF(AND(AD$3&gt;=INDEX(Properties!$Q:$Q,$B91+5),AD$3&lt;INDEX(Properties!$U:$U,$B91+5)),1,0))</f>
        <v>0</v>
      </c>
      <c r="AE91" s="247" cm="1">
        <f t="array" ref="AE91">INDEX(Properties!$D:$D,$B91+5)*(IF(AND(AE$3&gt;=INDEX(Properties!$Q:$Q,$B91+5),AE$3&lt;INDEX(Properties!$U:$U,$B91+5)),1,0))</f>
        <v>0</v>
      </c>
      <c r="AF91" s="247" cm="1">
        <f t="array" ref="AF91">INDEX(Properties!$D:$D,$B91+5)*(IF(AND(AF$3&gt;=INDEX(Properties!$Q:$Q,$B91+5),AF$3&lt;INDEX(Properties!$U:$U,$B91+5)),1,0))</f>
        <v>0</v>
      </c>
      <c r="AG91" s="247" cm="1">
        <f t="array" ref="AG91">INDEX(Properties!$D:$D,$B91+5)*(IF(AND(AG$3&gt;=INDEX(Properties!$Q:$Q,$B91+5),AG$3&lt;INDEX(Properties!$U:$U,$B91+5)),1,0))</f>
        <v>0</v>
      </c>
      <c r="AH91" s="247" cm="1">
        <f t="array" ref="AH91">INDEX(Properties!$D:$D,$B91+5)*(IF(AND(AH$3&gt;=INDEX(Properties!$Q:$Q,$B91+5),AH$3&lt;INDEX(Properties!$U:$U,$B91+5)),1,0))</f>
        <v>0</v>
      </c>
      <c r="AI91" s="247" cm="1">
        <f t="array" ref="AI91">INDEX(Properties!$D:$D,$B91+5)*(IF(AND(AI$3&gt;=INDEX(Properties!$Q:$Q,$B91+5),AI$3&lt;INDEX(Properties!$U:$U,$B91+5)),1,0))</f>
        <v>0</v>
      </c>
      <c r="AJ91" s="247" cm="1">
        <f t="array" ref="AJ91">INDEX(Properties!$D:$D,$B91+5)*(IF(AND(AJ$3&gt;=INDEX(Properties!$Q:$Q,$B91+5),AJ$3&lt;INDEX(Properties!$U:$U,$B91+5)),1,0))</f>
        <v>0</v>
      </c>
      <c r="AK91" s="247" cm="1">
        <f t="array" ref="AK91">INDEX(Properties!$D:$D,$B91+5)*(IF(AND(AK$3&gt;=INDEX(Properties!$Q:$Q,$B91+5),AK$3&lt;INDEX(Properties!$U:$U,$B91+5)),1,0))</f>
        <v>0</v>
      </c>
      <c r="AL91" s="247" cm="1">
        <f t="array" ref="AL91">INDEX(Properties!$D:$D,$B91+5)*(IF(AND(AL$3&gt;=INDEX(Properties!$Q:$Q,$B91+5),AL$3&lt;INDEX(Properties!$U:$U,$B91+5)),1,0))</f>
        <v>0</v>
      </c>
      <c r="AM91" s="247" cm="1">
        <f t="array" ref="AM91">INDEX(Properties!$D:$D,$B91+5)*(IF(AND(AM$3&gt;=INDEX(Properties!$Q:$Q,$B91+5),AM$3&lt;INDEX(Properties!$U:$U,$B91+5)),1,0))</f>
        <v>0</v>
      </c>
      <c r="AN91" s="247" cm="1">
        <f t="array" ref="AN91">INDEX(Properties!$D:$D,$B91+5)*(IF(AND(AN$3&gt;=INDEX(Properties!$Q:$Q,$B91+5),AN$3&lt;INDEX(Properties!$U:$U,$B91+5)),1,0))</f>
        <v>0</v>
      </c>
      <c r="AO91" s="247" cm="1">
        <f t="array" ref="AO91">INDEX(Properties!$D:$D,$B91+5)*(IF(AND(AO$3&gt;=INDEX(Properties!$Q:$Q,$B91+5),AO$3&lt;INDEX(Properties!$U:$U,$B91+5)),1,0))</f>
        <v>0</v>
      </c>
      <c r="AP91" s="247" cm="1">
        <f t="array" ref="AP91">INDEX(Properties!$D:$D,$B91+5)*(IF(AND(AP$3&gt;=INDEX(Properties!$Q:$Q,$B91+5),AP$3&lt;INDEX(Properties!$U:$U,$B91+5)),1,0))</f>
        <v>0</v>
      </c>
      <c r="AQ91" s="247" cm="1">
        <f t="array" ref="AQ91">INDEX(Properties!$D:$D,$B91+5)*(IF(AND(AQ$3&gt;=INDEX(Properties!$Q:$Q,$B91+5),AQ$3&lt;INDEX(Properties!$U:$U,$B91+5)),1,0))</f>
        <v>0</v>
      </c>
      <c r="AR91" s="247" cm="1">
        <f t="array" ref="AR91">INDEX(Properties!$D:$D,$B91+5)*(IF(AND(AR$3&gt;=INDEX(Properties!$Q:$Q,$B91+5),AR$3&lt;INDEX(Properties!$U:$U,$B91+5)),1,0))</f>
        <v>0</v>
      </c>
      <c r="AS91" s="247" cm="1">
        <f t="array" ref="AS91">INDEX(Properties!$D:$D,$B91+5)*(IF(AND(AS$3&gt;=INDEX(Properties!$Q:$Q,$B91+5),AS$3&lt;INDEX(Properties!$U:$U,$B91+5)),1,0))</f>
        <v>0</v>
      </c>
      <c r="AT91" s="247" cm="1">
        <f t="array" ref="AT91">INDEX(Properties!$D:$D,$B91+5)*(IF(AND(AT$3&gt;=INDEX(Properties!$Q:$Q,$B91+5),AT$3&lt;INDEX(Properties!$U:$U,$B91+5)),1,0))</f>
        <v>0</v>
      </c>
      <c r="AU91" s="247" cm="1">
        <f t="array" ref="AU91">INDEX(Properties!$D:$D,$B91+5)*(IF(AND(AU$3&gt;=INDEX(Properties!$Q:$Q,$B91+5),AU$3&lt;INDEX(Properties!$U:$U,$B91+5)),1,0))</f>
        <v>0</v>
      </c>
      <c r="AV91" s="247" cm="1">
        <f t="array" ref="AV91">INDEX(Properties!$D:$D,$B91+5)*(IF(AND(AV$3&gt;=INDEX(Properties!$Q:$Q,$B91+5),AV$3&lt;INDEX(Properties!$U:$U,$B91+5)),1,0))</f>
        <v>0</v>
      </c>
      <c r="AW91" s="247" cm="1">
        <f t="array" ref="AW91">INDEX(Properties!$D:$D,$B91+5)*(IF(AND(AW$3&gt;=INDEX(Properties!$Q:$Q,$B91+5),AW$3&lt;INDEX(Properties!$U:$U,$B91+5)),1,0))</f>
        <v>0</v>
      </c>
      <c r="AX91" s="247" cm="1">
        <f t="array" ref="AX91">INDEX(Properties!$D:$D,$B91+5)*(IF(AND(AX$3&gt;=INDEX(Properties!$Q:$Q,$B91+5),AX$3&lt;INDEX(Properties!$U:$U,$B91+5)),1,0))</f>
        <v>0</v>
      </c>
      <c r="AY91" s="247" cm="1">
        <f t="array" ref="AY91">INDEX(Properties!$D:$D,$B91+5)*(IF(AND(AY$3&gt;=INDEX(Properties!$Q:$Q,$B91+5),AY$3&lt;INDEX(Properties!$U:$U,$B91+5)),1,0))</f>
        <v>0</v>
      </c>
      <c r="AZ91" s="247" cm="1">
        <f t="array" ref="AZ91">INDEX(Properties!$D:$D,$B91+5)*(IF(AND(AZ$3&gt;=INDEX(Properties!$Q:$Q,$B91+5),AZ$3&lt;INDEX(Properties!$U:$U,$B91+5)),1,0))</f>
        <v>0</v>
      </c>
      <c r="BA91" s="247" cm="1">
        <f t="array" ref="BA91">INDEX(Properties!$D:$D,$B91+5)*(IF(AND(BA$3&gt;=INDEX(Properties!$Q:$Q,$B91+5),BA$3&lt;INDEX(Properties!$U:$U,$B91+5)),1,0))</f>
        <v>0</v>
      </c>
      <c r="BB91" s="247" cm="1">
        <f t="array" ref="BB91">INDEX(Properties!$D:$D,$B91+5)*(IF(AND(BB$3&gt;=INDEX(Properties!$Q:$Q,$B91+5),BB$3&lt;INDEX(Properties!$U:$U,$B91+5)),1,0))</f>
        <v>0</v>
      </c>
      <c r="BC91" s="247" cm="1">
        <f t="array" ref="BC91">INDEX(Properties!$D:$D,$B91+5)*(IF(AND(BC$3&gt;=INDEX(Properties!$Q:$Q,$B91+5),BC$3&lt;INDEX(Properties!$U:$U,$B91+5)),1,0))</f>
        <v>0</v>
      </c>
      <c r="BD91" s="247" cm="1">
        <f t="array" ref="BD91">INDEX(Properties!$D:$D,$B91+5)*(IF(AND(BD$3&gt;=INDEX(Properties!$Q:$Q,$B91+5),BD$3&lt;INDEX(Properties!$U:$U,$B91+5)),1,0))</f>
        <v>0</v>
      </c>
      <c r="BE91" s="247" cm="1">
        <f t="array" ref="BE91">INDEX(Properties!$D:$D,$B91+5)*(IF(AND(BE$3&gt;=INDEX(Properties!$Q:$Q,$B91+5),BE$3&lt;INDEX(Properties!$U:$U,$B91+5)),1,0))</f>
        <v>0</v>
      </c>
      <c r="BF91" s="247" cm="1">
        <f t="array" ref="BF91">INDEX(Properties!$D:$D,$B91+5)*(IF(AND(BF$3&gt;=INDEX(Properties!$Q:$Q,$B91+5),BF$3&lt;INDEX(Properties!$U:$U,$B91+5)),1,0))</f>
        <v>0</v>
      </c>
      <c r="BG91" s="247" cm="1">
        <f t="array" ref="BG91">INDEX(Properties!$D:$D,$B91+5)*(IF(AND(BG$3&gt;=INDEX(Properties!$Q:$Q,$B91+5),BG$3&lt;INDEX(Properties!$U:$U,$B91+5)),1,0))</f>
        <v>0</v>
      </c>
      <c r="BH91" s="247" cm="1">
        <f t="array" ref="BH91">INDEX(Properties!$D:$D,$B91+5)*(IF(AND(BH$3&gt;=INDEX(Properties!$Q:$Q,$B91+5),BH$3&lt;INDEX(Properties!$U:$U,$B91+5)),1,0))</f>
        <v>0</v>
      </c>
      <c r="BI91" s="247" cm="1">
        <f t="array" ref="BI91">INDEX(Properties!$D:$D,$B91+5)*(IF(AND(BI$3&gt;=INDEX(Properties!$Q:$Q,$B91+5),BI$3&lt;INDEX(Properties!$U:$U,$B91+5)),1,0))</f>
        <v>0</v>
      </c>
      <c r="BJ91" s="247" cm="1">
        <f t="array" ref="BJ91">INDEX(Properties!$D:$D,$B91+5)*(IF(AND(BJ$3&gt;=INDEX(Properties!$Q:$Q,$B91+5),BJ$3&lt;INDEX(Properties!$U:$U,$B91+5)),1,0))</f>
        <v>0</v>
      </c>
      <c r="BK91" s="247" cm="1">
        <f t="array" ref="BK91">INDEX(Properties!$D:$D,$B91+5)*(IF(AND(BK$3&gt;=INDEX(Properties!$Q:$Q,$B91+5),BK$3&lt;INDEX(Properties!$U:$U,$B91+5)),1,0))</f>
        <v>0</v>
      </c>
      <c r="BL91" s="247" cm="1">
        <f t="array" ref="BL91">INDEX(Properties!$D:$D,$B91+5)*(IF(AND(BL$3&gt;=INDEX(Properties!$Q:$Q,$B91+5),BL$3&lt;INDEX(Properties!$U:$U,$B91+5)),1,0))</f>
        <v>0</v>
      </c>
      <c r="BM91" s="247" cm="1">
        <f t="array" ref="BM91">INDEX(Properties!$D:$D,$B91+5)*(IF(AND(BM$3&gt;=INDEX(Properties!$Q:$Q,$B91+5),BM$3&lt;INDEX(Properties!$U:$U,$B91+5)),1,0))</f>
        <v>0</v>
      </c>
      <c r="BN91" s="247" cm="1">
        <f t="array" ref="BN91">INDEX(Properties!$D:$D,$B91+5)*(IF(AND(BN$3&gt;=INDEX(Properties!$Q:$Q,$B91+5),BN$3&lt;INDEX(Properties!$U:$U,$B91+5)),1,0))</f>
        <v>0</v>
      </c>
      <c r="BO91" s="247" cm="1">
        <f t="array" ref="BO91">INDEX(Properties!$D:$D,$B91+5)*(IF(AND(BO$3&gt;=INDEX(Properties!$Q:$Q,$B91+5),BO$3&lt;INDEX(Properties!$U:$U,$B91+5)),1,0))</f>
        <v>0</v>
      </c>
      <c r="BP91" s="247" cm="1">
        <f t="array" ref="BP91">INDEX(Properties!$D:$D,$B91+5)*(IF(AND(BP$3&gt;=INDEX(Properties!$Q:$Q,$B91+5),BP$3&lt;INDEX(Properties!$U:$U,$B91+5)),1,0))</f>
        <v>0</v>
      </c>
      <c r="BQ91" s="247" cm="1">
        <f t="array" ref="BQ91">INDEX(Properties!$D:$D,$B91+5)*(IF(AND(BQ$3&gt;=INDEX(Properties!$Q:$Q,$B91+5),BQ$3&lt;INDEX(Properties!$U:$U,$B91+5)),1,0))</f>
        <v>0</v>
      </c>
      <c r="BR91" s="247" cm="1">
        <f t="array" ref="BR91">INDEX(Properties!$D:$D,$B91+5)*(IF(AND(BR$3&gt;=INDEX(Properties!$Q:$Q,$B91+5),BR$3&lt;INDEX(Properties!$U:$U,$B91+5)),1,0))</f>
        <v>0</v>
      </c>
      <c r="BS91" s="247" cm="1">
        <f t="array" ref="BS91">INDEX(Properties!$D:$D,$B91+5)*(IF(AND(BS$3&gt;=INDEX(Properties!$Q:$Q,$B91+5),BS$3&lt;INDEX(Properties!$U:$U,$B91+5)),1,0))</f>
        <v>0</v>
      </c>
      <c r="BT91" s="247" cm="1">
        <f t="array" ref="BT91">INDEX(Properties!$D:$D,$B91+5)*(IF(AND(BT$3&gt;=INDEX(Properties!$Q:$Q,$B91+5),BT$3&lt;INDEX(Properties!$U:$U,$B91+5)),1,0))</f>
        <v>0</v>
      </c>
      <c r="BU91" s="247" cm="1">
        <f t="array" ref="BU91">INDEX(Properties!$D:$D,$B91+5)*(IF(AND(BU$3&gt;=INDEX(Properties!$Q:$Q,$B91+5),BU$3&lt;INDEX(Properties!$U:$U,$B91+5)),1,0))</f>
        <v>0</v>
      </c>
      <c r="BV91" s="247" cm="1">
        <f t="array" ref="BV91">INDEX(Properties!$D:$D,$B91+5)*(IF(AND(BV$3&gt;=INDEX(Properties!$Q:$Q,$B91+5),BV$3&lt;INDEX(Properties!$U:$U,$B91+5)),1,0))</f>
        <v>0</v>
      </c>
      <c r="BW91" s="247" cm="1">
        <f t="array" ref="BW91">INDEX(Properties!$D:$D,$B91+5)*(IF(AND(BW$3&gt;=INDEX(Properties!$Q:$Q,$B91+5),BW$3&lt;INDEX(Properties!$U:$U,$B91+5)),1,0))</f>
        <v>0</v>
      </c>
      <c r="BX91" s="247" cm="1">
        <f t="array" ref="BX91">INDEX(Properties!$D:$D,$B91+5)*(IF(AND(BX$3&gt;=INDEX(Properties!$Q:$Q,$B91+5),BX$3&lt;INDEX(Properties!$U:$U,$B91+5)),1,0))</f>
        <v>0</v>
      </c>
      <c r="BY91" s="247" cm="1">
        <f t="array" ref="BY91">INDEX(Properties!$D:$D,$B91+5)*(IF(AND(BY$3&gt;=INDEX(Properties!$Q:$Q,$B91+5),BY$3&lt;INDEX(Properties!$U:$U,$B91+5)),1,0))</f>
        <v>0</v>
      </c>
      <c r="BZ91" s="247" cm="1">
        <f t="array" ref="BZ91">INDEX(Properties!$D:$D,$B91+5)*(IF(AND(BZ$3&gt;=INDEX(Properties!$Q:$Q,$B91+5),BZ$3&lt;INDEX(Properties!$U:$U,$B91+5)),1,0))</f>
        <v>0</v>
      </c>
      <c r="CA91" s="247" cm="1">
        <f t="array" ref="CA91">INDEX(Properties!$D:$D,$B91+5)*(IF(AND(CA$3&gt;=INDEX(Properties!$Q:$Q,$B91+5),CA$3&lt;INDEX(Properties!$U:$U,$B91+5)),1,0))</f>
        <v>0</v>
      </c>
      <c r="CB91" s="247" cm="1">
        <f t="array" ref="CB91">INDEX(Properties!$D:$D,$B91+5)*(IF(AND(CB$3&gt;=INDEX(Properties!$Q:$Q,$B91+5),CB$3&lt;INDEX(Properties!$U:$U,$B91+5)),1,0))</f>
        <v>0</v>
      </c>
      <c r="CC91" s="247" cm="1">
        <f t="array" ref="CC91">INDEX(Properties!$D:$D,$B91+5)*(IF(AND(CC$3&gt;=INDEX(Properties!$Q:$Q,$B91+5),CC$3&lt;INDEX(Properties!$U:$U,$B91+5)),1,0))</f>
        <v>0</v>
      </c>
      <c r="CD91" s="247" cm="1">
        <f t="array" ref="CD91">INDEX(Properties!$D:$D,$B91+5)*(IF(AND(CD$3&gt;=INDEX(Properties!$Q:$Q,$B91+5),CD$3&lt;INDEX(Properties!$U:$U,$B91+5)),1,0))</f>
        <v>0</v>
      </c>
      <c r="CE91" s="247" cm="1">
        <f t="array" ref="CE91">INDEX(Properties!$D:$D,$B91+5)*(IF(AND(CE$3&gt;=INDEX(Properties!$Q:$Q,$B91+5),CE$3&lt;INDEX(Properties!$U:$U,$B91+5)),1,0))</f>
        <v>0</v>
      </c>
      <c r="CF91" s="247" cm="1">
        <f t="array" ref="CF91">INDEX(Properties!$D:$D,$B91+5)*(IF(AND(CF$3&gt;=INDEX(Properties!$Q:$Q,$B91+5),CF$3&lt;INDEX(Properties!$U:$U,$B91+5)),1,0))</f>
        <v>0</v>
      </c>
      <c r="CG91" s="247" cm="1">
        <f t="array" ref="CG91">INDEX(Properties!$D:$D,$B91+5)*(IF(AND(CG$3&gt;=INDEX(Properties!$Q:$Q,$B91+5),CG$3&lt;INDEX(Properties!$U:$U,$B91+5)),1,0))</f>
        <v>0</v>
      </c>
      <c r="CH91" s="247" cm="1">
        <f t="array" ref="CH91">INDEX(Properties!$D:$D,$B91+5)*(IF(AND(CH$3&gt;=INDEX(Properties!$Q:$Q,$B91+5),CH$3&lt;INDEX(Properties!$U:$U,$B91+5)),1,0))</f>
        <v>0</v>
      </c>
      <c r="CI91" s="247" cm="1">
        <f t="array" ref="CI91">INDEX(Properties!$D:$D,$B91+5)*(IF(AND(CI$3&gt;=INDEX(Properties!$Q:$Q,$B91+5),CI$3&lt;INDEX(Properties!$U:$U,$B91+5)),1,0))</f>
        <v>0</v>
      </c>
      <c r="CJ91" s="247" cm="1">
        <f t="array" ref="CJ91">INDEX(Properties!$D:$D,$B91+5)*(IF(AND(CJ$3&gt;=INDEX(Properties!$Q:$Q,$B91+5),CJ$3&lt;INDEX(Properties!$U:$U,$B91+5)),1,0))</f>
        <v>0</v>
      </c>
      <c r="CK91" s="247" cm="1">
        <f t="array" ref="CK91">INDEX(Properties!$D:$D,$B91+5)*(IF(AND(CK$3&gt;=INDEX(Properties!$Q:$Q,$B91+5),CK$3&lt;INDEX(Properties!$U:$U,$B91+5)),1,0))</f>
        <v>0</v>
      </c>
      <c r="CL91" s="247" cm="1">
        <f t="array" ref="CL91">INDEX(Properties!$D:$D,$B91+5)*(IF(AND(CL$3&gt;=INDEX(Properties!$Q:$Q,$B91+5),CL$3&lt;INDEX(Properties!$U:$U,$B91+5)),1,0))</f>
        <v>0</v>
      </c>
      <c r="CM91" s="247" cm="1">
        <f t="array" ref="CM91">INDEX(Properties!$D:$D,$B91+5)*(IF(AND(CM$3&gt;=INDEX(Properties!$Q:$Q,$B91+5),CM$3&lt;INDEX(Properties!$U:$U,$B91+5)),1,0))</f>
        <v>0</v>
      </c>
      <c r="CN91" s="247" cm="1">
        <f t="array" ref="CN91">INDEX(Properties!$D:$D,$B91+5)*(IF(AND(CN$3&gt;=INDEX(Properties!$Q:$Q,$B91+5),CN$3&lt;INDEX(Properties!$U:$U,$B91+5)),1,0))</f>
        <v>0</v>
      </c>
      <c r="CO91" s="247" cm="1">
        <f t="array" ref="CO91">INDEX(Properties!$D:$D,$B91+5)*(IF(AND(CO$3&gt;=INDEX(Properties!$Q:$Q,$B91+5),CO$3&lt;INDEX(Properties!$U:$U,$B91+5)),1,0))</f>
        <v>0</v>
      </c>
      <c r="CP91" s="247" cm="1">
        <f t="array" ref="CP91">INDEX(Properties!$D:$D,$B91+5)*(IF(AND(CP$3&gt;=INDEX(Properties!$Q:$Q,$B91+5),CP$3&lt;INDEX(Properties!$U:$U,$B91+5)),1,0))</f>
        <v>0</v>
      </c>
      <c r="CQ91" s="247" cm="1">
        <f t="array" ref="CQ91">INDEX(Properties!$D:$D,$B91+5)*(IF(AND(CQ$3&gt;=INDEX(Properties!$Q:$Q,$B91+5),CQ$3&lt;INDEX(Properties!$U:$U,$B91+5)),1,0))</f>
        <v>0</v>
      </c>
      <c r="CR91" s="247" cm="1">
        <f t="array" ref="CR91">INDEX(Properties!$D:$D,$B91+5)*(IF(AND(CR$3&gt;=INDEX(Properties!$Q:$Q,$B91+5),CR$3&lt;INDEX(Properties!$U:$U,$B91+5)),1,0))</f>
        <v>0</v>
      </c>
      <c r="CS91" s="247" cm="1">
        <f t="array" ref="CS91">INDEX(Properties!$D:$D,$B91+5)*(IF(AND(CS$3&gt;=INDEX(Properties!$Q:$Q,$B91+5),CS$3&lt;INDEX(Properties!$U:$U,$B91+5)),1,0))</f>
        <v>0</v>
      </c>
      <c r="CT91" s="247" cm="1">
        <f t="array" ref="CT91">INDEX(Properties!$D:$D,$B91+5)*(IF(AND(CT$3&gt;=INDEX(Properties!$Q:$Q,$B91+5),CT$3&lt;INDEX(Properties!$U:$U,$B91+5)),1,0))</f>
        <v>0</v>
      </c>
      <c r="CU91" s="247" cm="1">
        <f t="array" ref="CU91">INDEX(Properties!$D:$D,$B91+5)*(IF(AND(CU$3&gt;=INDEX(Properties!$Q:$Q,$B91+5),CU$3&lt;INDEX(Properties!$U:$U,$B91+5)),1,0))</f>
        <v>0</v>
      </c>
      <c r="CV91" s="247" cm="1">
        <f t="array" ref="CV91">INDEX(Properties!$D:$D,$B91+5)*(IF(AND(CV$3&gt;=INDEX(Properties!$Q:$Q,$B91+5),CV$3&lt;INDEX(Properties!$U:$U,$B91+5)),1,0))</f>
        <v>0</v>
      </c>
      <c r="CW91" s="247" cm="1">
        <f t="array" ref="CW91">INDEX(Properties!$D:$D,$B91+5)*(IF(AND(CW$3&gt;=INDEX(Properties!$Q:$Q,$B91+5),CW$3&lt;INDEX(Properties!$U:$U,$B91+5)),1,0))</f>
        <v>0</v>
      </c>
      <c r="CX91" s="247" cm="1">
        <f t="array" ref="CX91">INDEX(Properties!$D:$D,$B91+5)*(IF(AND(CX$3&gt;=INDEX(Properties!$Q:$Q,$B91+5),CX$3&lt;INDEX(Properties!$U:$U,$B91+5)),1,0))</f>
        <v>0</v>
      </c>
      <c r="CY91" s="247" cm="1">
        <f t="array" ref="CY91">INDEX(Properties!$D:$D,$B91+5)*(IF(AND(CY$3&gt;=INDEX(Properties!$Q:$Q,$B91+5),CY$3&lt;INDEX(Properties!$U:$U,$B91+5)),1,0))</f>
        <v>0</v>
      </c>
      <c r="CZ91" s="247" cm="1">
        <f t="array" ref="CZ91">INDEX(Properties!$D:$D,$B91+5)*(IF(AND(CZ$3&gt;=INDEX(Properties!$Q:$Q,$B91+5),CZ$3&lt;INDEX(Properties!$U:$U,$B91+5)),1,0))</f>
        <v>0</v>
      </c>
      <c r="DA91" s="247" cm="1">
        <f t="array" ref="DA91">INDEX(Properties!$D:$D,$B91+5)*(IF(AND(DA$3&gt;=INDEX(Properties!$Q:$Q,$B91+5),DA$3&lt;INDEX(Properties!$U:$U,$B91+5)),1,0))</f>
        <v>0</v>
      </c>
      <c r="DB91" s="247" cm="1">
        <f t="array" ref="DB91">INDEX(Properties!$D:$D,$B91+5)*(IF(AND(DB$3&gt;=INDEX(Properties!$Q:$Q,$B91+5),DB$3&lt;INDEX(Properties!$U:$U,$B91+5)),1,0))</f>
        <v>0</v>
      </c>
      <c r="DC91" s="247" cm="1">
        <f t="array" ref="DC91">INDEX(Properties!$D:$D,$B91+5)*(IF(AND(DC$3&gt;=INDEX(Properties!$Q:$Q,$B91+5),DC$3&lt;INDEX(Properties!$U:$U,$B91+5)),1,0))</f>
        <v>0</v>
      </c>
      <c r="DD91" s="247" cm="1">
        <f t="array" ref="DD91">INDEX(Properties!$D:$D,$B91+5)*(IF(AND(DD$3&gt;=INDEX(Properties!$Q:$Q,$B91+5),DD$3&lt;INDEX(Properties!$U:$U,$B91+5)),1,0))</f>
        <v>0</v>
      </c>
      <c r="DE91" s="247" cm="1">
        <f t="array" ref="DE91">INDEX(Properties!$D:$D,$B91+5)*(IF(AND(DE$3&gt;=INDEX(Properties!$Q:$Q,$B91+5),DE$3&lt;INDEX(Properties!$U:$U,$B91+5)),1,0))</f>
        <v>0</v>
      </c>
      <c r="DF91" s="247" cm="1">
        <f t="array" ref="DF91">INDEX(Properties!$D:$D,$B91+5)*(IF(AND(DF$3&gt;=INDEX(Properties!$Q:$Q,$B91+5),DF$3&lt;INDEX(Properties!$U:$U,$B91+5)),1,0))</f>
        <v>0</v>
      </c>
      <c r="DG91" s="247" cm="1">
        <f t="array" ref="DG91">INDEX(Properties!$D:$D,$B91+5)*(IF(AND(DG$3&gt;=INDEX(Properties!$Q:$Q,$B91+5),DG$3&lt;INDEX(Properties!$U:$U,$B91+5)),1,0))</f>
        <v>0</v>
      </c>
      <c r="DH91" s="247" cm="1">
        <f t="array" ref="DH91">INDEX(Properties!$D:$D,$B91+5)*(IF(AND(DH$3&gt;=INDEX(Properties!$Q:$Q,$B91+5),DH$3&lt;INDEX(Properties!$U:$U,$B91+5)),1,0))</f>
        <v>0</v>
      </c>
      <c r="DI91" s="247" cm="1">
        <f t="array" ref="DI91">INDEX(Properties!$D:$D,$B91+5)*(IF(AND(DI$3&gt;=INDEX(Properties!$Q:$Q,$B91+5),DI$3&lt;INDEX(Properties!$U:$U,$B91+5)),1,0))</f>
        <v>0</v>
      </c>
      <c r="DJ91" s="247" cm="1">
        <f t="array" ref="DJ91">INDEX(Properties!$D:$D,$B91+5)*(IF(AND(DJ$3&gt;=INDEX(Properties!$Q:$Q,$B91+5),DJ$3&lt;INDEX(Properties!$U:$U,$B91+5)),1,0))</f>
        <v>0</v>
      </c>
      <c r="DK91" s="247" cm="1">
        <f t="array" ref="DK91">INDEX(Properties!$D:$D,$B91+5)*(IF(AND(DK$3&gt;=INDEX(Properties!$Q:$Q,$B91+5),DK$3&lt;INDEX(Properties!$U:$U,$B91+5)),1,0))</f>
        <v>0</v>
      </c>
      <c r="DL91" s="247" cm="1">
        <f t="array" ref="DL91">INDEX(Properties!$D:$D,$B91+5)*(IF(AND(DL$3&gt;=INDEX(Properties!$Q:$Q,$B91+5),DL$3&lt;INDEX(Properties!$U:$U,$B91+5)),1,0))</f>
        <v>0</v>
      </c>
      <c r="DM91" s="247" cm="1">
        <f t="array" ref="DM91">INDEX(Properties!$D:$D,$B91+5)*(IF(AND(DM$3&gt;=INDEX(Properties!$Q:$Q,$B91+5),DM$3&lt;INDEX(Properties!$U:$U,$B91+5)),1,0))</f>
        <v>0</v>
      </c>
      <c r="DN91" s="247" cm="1">
        <f t="array" ref="DN91">INDEX(Properties!$D:$D,$B91+5)*(IF(AND(DN$3&gt;=INDEX(Properties!$Q:$Q,$B91+5),DN$3&lt;INDEX(Properties!$U:$U,$B91+5)),1,0))</f>
        <v>0</v>
      </c>
      <c r="DO91" s="247" cm="1">
        <f t="array" ref="DO91">INDEX(Properties!$D:$D,$B91+5)*(IF(AND(DO$3&gt;=INDEX(Properties!$Q:$Q,$B91+5),DO$3&lt;INDEX(Properties!$U:$U,$B91+5)),1,0))</f>
        <v>0</v>
      </c>
      <c r="DP91" s="247" cm="1">
        <f t="array" ref="DP91">INDEX(Properties!$D:$D,$B91+5)*(IF(AND(DP$3&gt;=INDEX(Properties!$Q:$Q,$B91+5),DP$3&lt;INDEX(Properties!$U:$U,$B91+5)),1,0))</f>
        <v>0</v>
      </c>
      <c r="DQ91" s="247" cm="1">
        <f t="array" ref="DQ91">INDEX(Properties!$D:$D,$B91+5)*(IF(AND(DQ$3&gt;=INDEX(Properties!$Q:$Q,$B91+5),DQ$3&lt;INDEX(Properties!$U:$U,$B91+5)),1,0))</f>
        <v>0</v>
      </c>
      <c r="DR91" s="247" cm="1">
        <f t="array" ref="DR91">INDEX(Properties!$D:$D,$B91+5)*(IF(AND(DR$3&gt;=INDEX(Properties!$Q:$Q,$B91+5),DR$3&lt;INDEX(Properties!$U:$U,$B91+5)),1,0))</f>
        <v>0</v>
      </c>
    </row>
    <row r="92" spans="1:122" ht="16.05" customHeight="1" x14ac:dyDescent="0.3">
      <c r="A92" s="148" cm="1">
        <f t="array" ref="A92">INDEX(Properties!$E:$E,$B92+5)</f>
        <v>0</v>
      </c>
      <c r="B92" s="1">
        <v>7</v>
      </c>
      <c r="C92" s="247" cm="1">
        <f t="array" ref="C92">INDEX(Properties!$D:$D,$B92+5)*(IF(AND(C$3&gt;=INDEX(Properties!$Q:$Q,$B92+5),C$3&lt;INDEX(Properties!$U:$U,$B92+5)),1,0))</f>
        <v>0</v>
      </c>
      <c r="D92" s="247" cm="1">
        <f t="array" ref="D92">INDEX(Properties!$D:$D,$B92+5)*(IF(AND(D$3&gt;=INDEX(Properties!$Q:$Q,$B92+5),D$3&lt;INDEX(Properties!$U:$U,$B92+5)),1,0))</f>
        <v>0</v>
      </c>
      <c r="E92" s="247" cm="1">
        <f t="array" ref="E92">INDEX(Properties!$D:$D,$B92+5)*(IF(AND(E$3&gt;=INDEX(Properties!$Q:$Q,$B92+5),E$3&lt;INDEX(Properties!$U:$U,$B92+5)),1,0))</f>
        <v>0</v>
      </c>
      <c r="F92" s="247" cm="1">
        <f t="array" ref="F92">INDEX(Properties!$D:$D,$B92+5)*(IF(AND(F$3&gt;=INDEX(Properties!$Q:$Q,$B92+5),F$3&lt;INDEX(Properties!$U:$U,$B92+5)),1,0))</f>
        <v>0</v>
      </c>
      <c r="G92" s="247" cm="1">
        <f t="array" ref="G92">INDEX(Properties!$D:$D,$B92+5)*(IF(AND(G$3&gt;=INDEX(Properties!$Q:$Q,$B92+5),G$3&lt;INDEX(Properties!$U:$U,$B92+5)),1,0))</f>
        <v>0</v>
      </c>
      <c r="H92" s="247" cm="1">
        <f t="array" ref="H92">INDEX(Properties!$D:$D,$B92+5)*(IF(AND(H$3&gt;=INDEX(Properties!$Q:$Q,$B92+5),H$3&lt;INDEX(Properties!$U:$U,$B92+5)),1,0))</f>
        <v>0</v>
      </c>
      <c r="I92" s="247" cm="1">
        <f t="array" ref="I92">INDEX(Properties!$D:$D,$B92+5)*(IF(AND(I$3&gt;=INDEX(Properties!$Q:$Q,$B92+5),I$3&lt;INDEX(Properties!$U:$U,$B92+5)),1,0))</f>
        <v>0</v>
      </c>
      <c r="J92" s="247" cm="1">
        <f t="array" ref="J92">INDEX(Properties!$D:$D,$B92+5)*(IF(AND(J$3&gt;=INDEX(Properties!$Q:$Q,$B92+5),J$3&lt;INDEX(Properties!$U:$U,$B92+5)),1,0))</f>
        <v>0</v>
      </c>
      <c r="K92" s="247" cm="1">
        <f t="array" ref="K92">INDEX(Properties!$D:$D,$B92+5)*(IF(AND(K$3&gt;=INDEX(Properties!$Q:$Q,$B92+5),K$3&lt;INDEX(Properties!$U:$U,$B92+5)),1,0))</f>
        <v>0</v>
      </c>
      <c r="L92" s="247" cm="1">
        <f t="array" ref="L92">INDEX(Properties!$D:$D,$B92+5)*(IF(AND(L$3&gt;=INDEX(Properties!$Q:$Q,$B92+5),L$3&lt;INDEX(Properties!$U:$U,$B92+5)),1,0))</f>
        <v>0</v>
      </c>
      <c r="M92" s="247" cm="1">
        <f t="array" ref="M92">INDEX(Properties!$D:$D,$B92+5)*(IF(AND(M$3&gt;=INDEX(Properties!$Q:$Q,$B92+5),M$3&lt;INDEX(Properties!$U:$U,$B92+5)),1,0))</f>
        <v>0</v>
      </c>
      <c r="N92" s="247" cm="1">
        <f t="array" ref="N92">INDEX(Properties!$D:$D,$B92+5)*(IF(AND(N$3&gt;=INDEX(Properties!$Q:$Q,$B92+5),N$3&lt;INDEX(Properties!$U:$U,$B92+5)),1,0))</f>
        <v>0</v>
      </c>
      <c r="O92" s="247" cm="1">
        <f t="array" ref="O92">INDEX(Properties!$D:$D,$B92+5)*(IF(AND(O$3&gt;=INDEX(Properties!$Q:$Q,$B92+5),O$3&lt;INDEX(Properties!$U:$U,$B92+5)),1,0))</f>
        <v>0</v>
      </c>
      <c r="P92" s="247" cm="1">
        <f t="array" ref="P92">INDEX(Properties!$D:$D,$B92+5)*(IF(AND(P$3&gt;=INDEX(Properties!$Q:$Q,$B92+5),P$3&lt;INDEX(Properties!$U:$U,$B92+5)),1,0))</f>
        <v>0</v>
      </c>
      <c r="Q92" s="247" cm="1">
        <f t="array" ref="Q92">INDEX(Properties!$D:$D,$B92+5)*(IF(AND(Q$3&gt;=INDEX(Properties!$Q:$Q,$B92+5),Q$3&lt;INDEX(Properties!$U:$U,$B92+5)),1,0))</f>
        <v>0</v>
      </c>
      <c r="R92" s="247" cm="1">
        <f t="array" ref="R92">INDEX(Properties!$D:$D,$B92+5)*(IF(AND(R$3&gt;=INDEX(Properties!$Q:$Q,$B92+5),R$3&lt;INDEX(Properties!$U:$U,$B92+5)),1,0))</f>
        <v>0</v>
      </c>
      <c r="S92" s="247" cm="1">
        <f t="array" ref="S92">INDEX(Properties!$D:$D,$B92+5)*(IF(AND(S$3&gt;=INDEX(Properties!$Q:$Q,$B92+5),S$3&lt;INDEX(Properties!$U:$U,$B92+5)),1,0))</f>
        <v>0</v>
      </c>
      <c r="T92" s="247" cm="1">
        <f t="array" ref="T92">INDEX(Properties!$D:$D,$B92+5)*(IF(AND(T$3&gt;=INDEX(Properties!$Q:$Q,$B92+5),T$3&lt;INDEX(Properties!$U:$U,$B92+5)),1,0))</f>
        <v>0</v>
      </c>
      <c r="U92" s="247" cm="1">
        <f t="array" ref="U92">INDEX(Properties!$D:$D,$B92+5)*(IF(AND(U$3&gt;=INDEX(Properties!$Q:$Q,$B92+5),U$3&lt;INDEX(Properties!$U:$U,$B92+5)),1,0))</f>
        <v>0</v>
      </c>
      <c r="V92" s="247" cm="1">
        <f t="array" ref="V92">INDEX(Properties!$D:$D,$B92+5)*(IF(AND(V$3&gt;=INDEX(Properties!$Q:$Q,$B92+5),V$3&lt;INDEX(Properties!$U:$U,$B92+5)),1,0))</f>
        <v>0</v>
      </c>
      <c r="W92" s="247" cm="1">
        <f t="array" ref="W92">INDEX(Properties!$D:$D,$B92+5)*(IF(AND(W$3&gt;=INDEX(Properties!$Q:$Q,$B92+5),W$3&lt;INDEX(Properties!$U:$U,$B92+5)),1,0))</f>
        <v>0</v>
      </c>
      <c r="X92" s="247" cm="1">
        <f t="array" ref="X92">INDEX(Properties!$D:$D,$B92+5)*(IF(AND(X$3&gt;=INDEX(Properties!$Q:$Q,$B92+5),X$3&lt;INDEX(Properties!$U:$U,$B92+5)),1,0))</f>
        <v>0</v>
      </c>
      <c r="Y92" s="247" cm="1">
        <f t="array" ref="Y92">INDEX(Properties!$D:$D,$B92+5)*(IF(AND(Y$3&gt;=INDEX(Properties!$Q:$Q,$B92+5),Y$3&lt;INDEX(Properties!$U:$U,$B92+5)),1,0))</f>
        <v>0</v>
      </c>
      <c r="Z92" s="247" cm="1">
        <f t="array" ref="Z92">INDEX(Properties!$D:$D,$B92+5)*(IF(AND(Z$3&gt;=INDEX(Properties!$Q:$Q,$B92+5),Z$3&lt;INDEX(Properties!$U:$U,$B92+5)),1,0))</f>
        <v>0</v>
      </c>
      <c r="AA92" s="247" cm="1">
        <f t="array" ref="AA92">INDEX(Properties!$D:$D,$B92+5)*(IF(AND(AA$3&gt;=INDEX(Properties!$Q:$Q,$B92+5),AA$3&lt;INDEX(Properties!$U:$U,$B92+5)),1,0))</f>
        <v>0</v>
      </c>
      <c r="AB92" s="247" cm="1">
        <f t="array" ref="AB92">INDEX(Properties!$D:$D,$B92+5)*(IF(AND(AB$3&gt;=INDEX(Properties!$Q:$Q,$B92+5),AB$3&lt;INDEX(Properties!$U:$U,$B92+5)),1,0))</f>
        <v>0</v>
      </c>
      <c r="AC92" s="247" cm="1">
        <f t="array" ref="AC92">INDEX(Properties!$D:$D,$B92+5)*(IF(AND(AC$3&gt;=INDEX(Properties!$Q:$Q,$B92+5),AC$3&lt;INDEX(Properties!$U:$U,$B92+5)),1,0))</f>
        <v>0</v>
      </c>
      <c r="AD92" s="247" cm="1">
        <f t="array" ref="AD92">INDEX(Properties!$D:$D,$B92+5)*(IF(AND(AD$3&gt;=INDEX(Properties!$Q:$Q,$B92+5),AD$3&lt;INDEX(Properties!$U:$U,$B92+5)),1,0))</f>
        <v>0</v>
      </c>
      <c r="AE92" s="247" cm="1">
        <f t="array" ref="AE92">INDEX(Properties!$D:$D,$B92+5)*(IF(AND(AE$3&gt;=INDEX(Properties!$Q:$Q,$B92+5),AE$3&lt;INDEX(Properties!$U:$U,$B92+5)),1,0))</f>
        <v>0</v>
      </c>
      <c r="AF92" s="247" cm="1">
        <f t="array" ref="AF92">INDEX(Properties!$D:$D,$B92+5)*(IF(AND(AF$3&gt;=INDEX(Properties!$Q:$Q,$B92+5),AF$3&lt;INDEX(Properties!$U:$U,$B92+5)),1,0))</f>
        <v>0</v>
      </c>
      <c r="AG92" s="247" cm="1">
        <f t="array" ref="AG92">INDEX(Properties!$D:$D,$B92+5)*(IF(AND(AG$3&gt;=INDEX(Properties!$Q:$Q,$B92+5),AG$3&lt;INDEX(Properties!$U:$U,$B92+5)),1,0))</f>
        <v>0</v>
      </c>
      <c r="AH92" s="247" cm="1">
        <f t="array" ref="AH92">INDEX(Properties!$D:$D,$B92+5)*(IF(AND(AH$3&gt;=INDEX(Properties!$Q:$Q,$B92+5),AH$3&lt;INDEX(Properties!$U:$U,$B92+5)),1,0))</f>
        <v>0</v>
      </c>
      <c r="AI92" s="247" cm="1">
        <f t="array" ref="AI92">INDEX(Properties!$D:$D,$B92+5)*(IF(AND(AI$3&gt;=INDEX(Properties!$Q:$Q,$B92+5),AI$3&lt;INDEX(Properties!$U:$U,$B92+5)),1,0))</f>
        <v>0</v>
      </c>
      <c r="AJ92" s="247" cm="1">
        <f t="array" ref="AJ92">INDEX(Properties!$D:$D,$B92+5)*(IF(AND(AJ$3&gt;=INDEX(Properties!$Q:$Q,$B92+5),AJ$3&lt;INDEX(Properties!$U:$U,$B92+5)),1,0))</f>
        <v>0</v>
      </c>
      <c r="AK92" s="247" cm="1">
        <f t="array" ref="AK92">INDEX(Properties!$D:$D,$B92+5)*(IF(AND(AK$3&gt;=INDEX(Properties!$Q:$Q,$B92+5),AK$3&lt;INDEX(Properties!$U:$U,$B92+5)),1,0))</f>
        <v>0</v>
      </c>
      <c r="AL92" s="247" cm="1">
        <f t="array" ref="AL92">INDEX(Properties!$D:$D,$B92+5)*(IF(AND(AL$3&gt;=INDEX(Properties!$Q:$Q,$B92+5),AL$3&lt;INDEX(Properties!$U:$U,$B92+5)),1,0))</f>
        <v>0</v>
      </c>
      <c r="AM92" s="247" cm="1">
        <f t="array" ref="AM92">INDEX(Properties!$D:$D,$B92+5)*(IF(AND(AM$3&gt;=INDEX(Properties!$Q:$Q,$B92+5),AM$3&lt;INDEX(Properties!$U:$U,$B92+5)),1,0))</f>
        <v>0</v>
      </c>
      <c r="AN92" s="247" cm="1">
        <f t="array" ref="AN92">INDEX(Properties!$D:$D,$B92+5)*(IF(AND(AN$3&gt;=INDEX(Properties!$Q:$Q,$B92+5),AN$3&lt;INDEX(Properties!$U:$U,$B92+5)),1,0))</f>
        <v>0</v>
      </c>
      <c r="AO92" s="247" cm="1">
        <f t="array" ref="AO92">INDEX(Properties!$D:$D,$B92+5)*(IF(AND(AO$3&gt;=INDEX(Properties!$Q:$Q,$B92+5),AO$3&lt;INDEX(Properties!$U:$U,$B92+5)),1,0))</f>
        <v>0</v>
      </c>
      <c r="AP92" s="247" cm="1">
        <f t="array" ref="AP92">INDEX(Properties!$D:$D,$B92+5)*(IF(AND(AP$3&gt;=INDEX(Properties!$Q:$Q,$B92+5),AP$3&lt;INDEX(Properties!$U:$U,$B92+5)),1,0))</f>
        <v>0</v>
      </c>
      <c r="AQ92" s="247" cm="1">
        <f t="array" ref="AQ92">INDEX(Properties!$D:$D,$B92+5)*(IF(AND(AQ$3&gt;=INDEX(Properties!$Q:$Q,$B92+5),AQ$3&lt;INDEX(Properties!$U:$U,$B92+5)),1,0))</f>
        <v>0</v>
      </c>
      <c r="AR92" s="247" cm="1">
        <f t="array" ref="AR92">INDEX(Properties!$D:$D,$B92+5)*(IF(AND(AR$3&gt;=INDEX(Properties!$Q:$Q,$B92+5),AR$3&lt;INDEX(Properties!$U:$U,$B92+5)),1,0))</f>
        <v>0</v>
      </c>
      <c r="AS92" s="247" cm="1">
        <f t="array" ref="AS92">INDEX(Properties!$D:$D,$B92+5)*(IF(AND(AS$3&gt;=INDEX(Properties!$Q:$Q,$B92+5),AS$3&lt;INDEX(Properties!$U:$U,$B92+5)),1,0))</f>
        <v>0</v>
      </c>
      <c r="AT92" s="247" cm="1">
        <f t="array" ref="AT92">INDEX(Properties!$D:$D,$B92+5)*(IF(AND(AT$3&gt;=INDEX(Properties!$Q:$Q,$B92+5),AT$3&lt;INDEX(Properties!$U:$U,$B92+5)),1,0))</f>
        <v>0</v>
      </c>
      <c r="AU92" s="247" cm="1">
        <f t="array" ref="AU92">INDEX(Properties!$D:$D,$B92+5)*(IF(AND(AU$3&gt;=INDEX(Properties!$Q:$Q,$B92+5),AU$3&lt;INDEX(Properties!$U:$U,$B92+5)),1,0))</f>
        <v>0</v>
      </c>
      <c r="AV92" s="247" cm="1">
        <f t="array" ref="AV92">INDEX(Properties!$D:$D,$B92+5)*(IF(AND(AV$3&gt;=INDEX(Properties!$Q:$Q,$B92+5),AV$3&lt;INDEX(Properties!$U:$U,$B92+5)),1,0))</f>
        <v>0</v>
      </c>
      <c r="AW92" s="247" cm="1">
        <f t="array" ref="AW92">INDEX(Properties!$D:$D,$B92+5)*(IF(AND(AW$3&gt;=INDEX(Properties!$Q:$Q,$B92+5),AW$3&lt;INDEX(Properties!$U:$U,$B92+5)),1,0))</f>
        <v>0</v>
      </c>
      <c r="AX92" s="247" cm="1">
        <f t="array" ref="AX92">INDEX(Properties!$D:$D,$B92+5)*(IF(AND(AX$3&gt;=INDEX(Properties!$Q:$Q,$B92+5),AX$3&lt;INDEX(Properties!$U:$U,$B92+5)),1,0))</f>
        <v>0</v>
      </c>
      <c r="AY92" s="247" cm="1">
        <f t="array" ref="AY92">INDEX(Properties!$D:$D,$B92+5)*(IF(AND(AY$3&gt;=INDEX(Properties!$Q:$Q,$B92+5),AY$3&lt;INDEX(Properties!$U:$U,$B92+5)),1,0))</f>
        <v>0</v>
      </c>
      <c r="AZ92" s="247" cm="1">
        <f t="array" ref="AZ92">INDEX(Properties!$D:$D,$B92+5)*(IF(AND(AZ$3&gt;=INDEX(Properties!$Q:$Q,$B92+5),AZ$3&lt;INDEX(Properties!$U:$U,$B92+5)),1,0))</f>
        <v>0</v>
      </c>
      <c r="BA92" s="247" cm="1">
        <f t="array" ref="BA92">INDEX(Properties!$D:$D,$B92+5)*(IF(AND(BA$3&gt;=INDEX(Properties!$Q:$Q,$B92+5),BA$3&lt;INDEX(Properties!$U:$U,$B92+5)),1,0))</f>
        <v>0</v>
      </c>
      <c r="BB92" s="247" cm="1">
        <f t="array" ref="BB92">INDEX(Properties!$D:$D,$B92+5)*(IF(AND(BB$3&gt;=INDEX(Properties!$Q:$Q,$B92+5),BB$3&lt;INDEX(Properties!$U:$U,$B92+5)),1,0))</f>
        <v>0</v>
      </c>
      <c r="BC92" s="247" cm="1">
        <f t="array" ref="BC92">INDEX(Properties!$D:$D,$B92+5)*(IF(AND(BC$3&gt;=INDEX(Properties!$Q:$Q,$B92+5),BC$3&lt;INDEX(Properties!$U:$U,$B92+5)),1,0))</f>
        <v>0</v>
      </c>
      <c r="BD92" s="247" cm="1">
        <f t="array" ref="BD92">INDEX(Properties!$D:$D,$B92+5)*(IF(AND(BD$3&gt;=INDEX(Properties!$Q:$Q,$B92+5),BD$3&lt;INDEX(Properties!$U:$U,$B92+5)),1,0))</f>
        <v>0</v>
      </c>
      <c r="BE92" s="247" cm="1">
        <f t="array" ref="BE92">INDEX(Properties!$D:$D,$B92+5)*(IF(AND(BE$3&gt;=INDEX(Properties!$Q:$Q,$B92+5),BE$3&lt;INDEX(Properties!$U:$U,$B92+5)),1,0))</f>
        <v>0</v>
      </c>
      <c r="BF92" s="247" cm="1">
        <f t="array" ref="BF92">INDEX(Properties!$D:$D,$B92+5)*(IF(AND(BF$3&gt;=INDEX(Properties!$Q:$Q,$B92+5),BF$3&lt;INDEX(Properties!$U:$U,$B92+5)),1,0))</f>
        <v>0</v>
      </c>
      <c r="BG92" s="247" cm="1">
        <f t="array" ref="BG92">INDEX(Properties!$D:$D,$B92+5)*(IF(AND(BG$3&gt;=INDEX(Properties!$Q:$Q,$B92+5),BG$3&lt;INDEX(Properties!$U:$U,$B92+5)),1,0))</f>
        <v>0</v>
      </c>
      <c r="BH92" s="247" cm="1">
        <f t="array" ref="BH92">INDEX(Properties!$D:$D,$B92+5)*(IF(AND(BH$3&gt;=INDEX(Properties!$Q:$Q,$B92+5),BH$3&lt;INDEX(Properties!$U:$U,$B92+5)),1,0))</f>
        <v>0</v>
      </c>
      <c r="BI92" s="247" cm="1">
        <f t="array" ref="BI92">INDEX(Properties!$D:$D,$B92+5)*(IF(AND(BI$3&gt;=INDEX(Properties!$Q:$Q,$B92+5),BI$3&lt;INDEX(Properties!$U:$U,$B92+5)),1,0))</f>
        <v>0</v>
      </c>
      <c r="BJ92" s="247" cm="1">
        <f t="array" ref="BJ92">INDEX(Properties!$D:$D,$B92+5)*(IF(AND(BJ$3&gt;=INDEX(Properties!$Q:$Q,$B92+5),BJ$3&lt;INDEX(Properties!$U:$U,$B92+5)),1,0))</f>
        <v>0</v>
      </c>
      <c r="BK92" s="247" cm="1">
        <f t="array" ref="BK92">INDEX(Properties!$D:$D,$B92+5)*(IF(AND(BK$3&gt;=INDEX(Properties!$Q:$Q,$B92+5),BK$3&lt;INDEX(Properties!$U:$U,$B92+5)),1,0))</f>
        <v>0</v>
      </c>
      <c r="BL92" s="247" cm="1">
        <f t="array" ref="BL92">INDEX(Properties!$D:$D,$B92+5)*(IF(AND(BL$3&gt;=INDEX(Properties!$Q:$Q,$B92+5),BL$3&lt;INDEX(Properties!$U:$U,$B92+5)),1,0))</f>
        <v>0</v>
      </c>
      <c r="BM92" s="247" cm="1">
        <f t="array" ref="BM92">INDEX(Properties!$D:$D,$B92+5)*(IF(AND(BM$3&gt;=INDEX(Properties!$Q:$Q,$B92+5),BM$3&lt;INDEX(Properties!$U:$U,$B92+5)),1,0))</f>
        <v>0</v>
      </c>
      <c r="BN92" s="247" cm="1">
        <f t="array" ref="BN92">INDEX(Properties!$D:$D,$B92+5)*(IF(AND(BN$3&gt;=INDEX(Properties!$Q:$Q,$B92+5),BN$3&lt;INDEX(Properties!$U:$U,$B92+5)),1,0))</f>
        <v>0</v>
      </c>
      <c r="BO92" s="247" cm="1">
        <f t="array" ref="BO92">INDEX(Properties!$D:$D,$B92+5)*(IF(AND(BO$3&gt;=INDEX(Properties!$Q:$Q,$B92+5),BO$3&lt;INDEX(Properties!$U:$U,$B92+5)),1,0))</f>
        <v>0</v>
      </c>
      <c r="BP92" s="247" cm="1">
        <f t="array" ref="BP92">INDEX(Properties!$D:$D,$B92+5)*(IF(AND(BP$3&gt;=INDEX(Properties!$Q:$Q,$B92+5),BP$3&lt;INDEX(Properties!$U:$U,$B92+5)),1,0))</f>
        <v>0</v>
      </c>
      <c r="BQ92" s="247" cm="1">
        <f t="array" ref="BQ92">INDEX(Properties!$D:$D,$B92+5)*(IF(AND(BQ$3&gt;=INDEX(Properties!$Q:$Q,$B92+5),BQ$3&lt;INDEX(Properties!$U:$U,$B92+5)),1,0))</f>
        <v>0</v>
      </c>
      <c r="BR92" s="247" cm="1">
        <f t="array" ref="BR92">INDEX(Properties!$D:$D,$B92+5)*(IF(AND(BR$3&gt;=INDEX(Properties!$Q:$Q,$B92+5),BR$3&lt;INDEX(Properties!$U:$U,$B92+5)),1,0))</f>
        <v>0</v>
      </c>
      <c r="BS92" s="247" cm="1">
        <f t="array" ref="BS92">INDEX(Properties!$D:$D,$B92+5)*(IF(AND(BS$3&gt;=INDEX(Properties!$Q:$Q,$B92+5),BS$3&lt;INDEX(Properties!$U:$U,$B92+5)),1,0))</f>
        <v>0</v>
      </c>
      <c r="BT92" s="247" cm="1">
        <f t="array" ref="BT92">INDEX(Properties!$D:$D,$B92+5)*(IF(AND(BT$3&gt;=INDEX(Properties!$Q:$Q,$B92+5),BT$3&lt;INDEX(Properties!$U:$U,$B92+5)),1,0))</f>
        <v>0</v>
      </c>
      <c r="BU92" s="247" cm="1">
        <f t="array" ref="BU92">INDEX(Properties!$D:$D,$B92+5)*(IF(AND(BU$3&gt;=INDEX(Properties!$Q:$Q,$B92+5),BU$3&lt;INDEX(Properties!$U:$U,$B92+5)),1,0))</f>
        <v>0</v>
      </c>
      <c r="BV92" s="247" cm="1">
        <f t="array" ref="BV92">INDEX(Properties!$D:$D,$B92+5)*(IF(AND(BV$3&gt;=INDEX(Properties!$Q:$Q,$B92+5),BV$3&lt;INDEX(Properties!$U:$U,$B92+5)),1,0))</f>
        <v>0</v>
      </c>
      <c r="BW92" s="247" cm="1">
        <f t="array" ref="BW92">INDEX(Properties!$D:$D,$B92+5)*(IF(AND(BW$3&gt;=INDEX(Properties!$Q:$Q,$B92+5),BW$3&lt;INDEX(Properties!$U:$U,$B92+5)),1,0))</f>
        <v>0</v>
      </c>
      <c r="BX92" s="247" cm="1">
        <f t="array" ref="BX92">INDEX(Properties!$D:$D,$B92+5)*(IF(AND(BX$3&gt;=INDEX(Properties!$Q:$Q,$B92+5),BX$3&lt;INDEX(Properties!$U:$U,$B92+5)),1,0))</f>
        <v>0</v>
      </c>
      <c r="BY92" s="247" cm="1">
        <f t="array" ref="BY92">INDEX(Properties!$D:$D,$B92+5)*(IF(AND(BY$3&gt;=INDEX(Properties!$Q:$Q,$B92+5),BY$3&lt;INDEX(Properties!$U:$U,$B92+5)),1,0))</f>
        <v>0</v>
      </c>
      <c r="BZ92" s="247" cm="1">
        <f t="array" ref="BZ92">INDEX(Properties!$D:$D,$B92+5)*(IF(AND(BZ$3&gt;=INDEX(Properties!$Q:$Q,$B92+5),BZ$3&lt;INDEX(Properties!$U:$U,$B92+5)),1,0))</f>
        <v>0</v>
      </c>
      <c r="CA92" s="247" cm="1">
        <f t="array" ref="CA92">INDEX(Properties!$D:$D,$B92+5)*(IF(AND(CA$3&gt;=INDEX(Properties!$Q:$Q,$B92+5),CA$3&lt;INDEX(Properties!$U:$U,$B92+5)),1,0))</f>
        <v>0</v>
      </c>
      <c r="CB92" s="247" cm="1">
        <f t="array" ref="CB92">INDEX(Properties!$D:$D,$B92+5)*(IF(AND(CB$3&gt;=INDEX(Properties!$Q:$Q,$B92+5),CB$3&lt;INDEX(Properties!$U:$U,$B92+5)),1,0))</f>
        <v>0</v>
      </c>
      <c r="CC92" s="247" cm="1">
        <f t="array" ref="CC92">INDEX(Properties!$D:$D,$B92+5)*(IF(AND(CC$3&gt;=INDEX(Properties!$Q:$Q,$B92+5),CC$3&lt;INDEX(Properties!$U:$U,$B92+5)),1,0))</f>
        <v>0</v>
      </c>
      <c r="CD92" s="247" cm="1">
        <f t="array" ref="CD92">INDEX(Properties!$D:$D,$B92+5)*(IF(AND(CD$3&gt;=INDEX(Properties!$Q:$Q,$B92+5),CD$3&lt;INDEX(Properties!$U:$U,$B92+5)),1,0))</f>
        <v>0</v>
      </c>
      <c r="CE92" s="247" cm="1">
        <f t="array" ref="CE92">INDEX(Properties!$D:$D,$B92+5)*(IF(AND(CE$3&gt;=INDEX(Properties!$Q:$Q,$B92+5),CE$3&lt;INDEX(Properties!$U:$U,$B92+5)),1,0))</f>
        <v>0</v>
      </c>
      <c r="CF92" s="247" cm="1">
        <f t="array" ref="CF92">INDEX(Properties!$D:$D,$B92+5)*(IF(AND(CF$3&gt;=INDEX(Properties!$Q:$Q,$B92+5),CF$3&lt;INDEX(Properties!$U:$U,$B92+5)),1,0))</f>
        <v>0</v>
      </c>
      <c r="CG92" s="247" cm="1">
        <f t="array" ref="CG92">INDEX(Properties!$D:$D,$B92+5)*(IF(AND(CG$3&gt;=INDEX(Properties!$Q:$Q,$B92+5),CG$3&lt;INDEX(Properties!$U:$U,$B92+5)),1,0))</f>
        <v>0</v>
      </c>
      <c r="CH92" s="247" cm="1">
        <f t="array" ref="CH92">INDEX(Properties!$D:$D,$B92+5)*(IF(AND(CH$3&gt;=INDEX(Properties!$Q:$Q,$B92+5),CH$3&lt;INDEX(Properties!$U:$U,$B92+5)),1,0))</f>
        <v>0</v>
      </c>
      <c r="CI92" s="247" cm="1">
        <f t="array" ref="CI92">INDEX(Properties!$D:$D,$B92+5)*(IF(AND(CI$3&gt;=INDEX(Properties!$Q:$Q,$B92+5),CI$3&lt;INDEX(Properties!$U:$U,$B92+5)),1,0))</f>
        <v>0</v>
      </c>
      <c r="CJ92" s="247" cm="1">
        <f t="array" ref="CJ92">INDEX(Properties!$D:$D,$B92+5)*(IF(AND(CJ$3&gt;=INDEX(Properties!$Q:$Q,$B92+5),CJ$3&lt;INDEX(Properties!$U:$U,$B92+5)),1,0))</f>
        <v>0</v>
      </c>
      <c r="CK92" s="247" cm="1">
        <f t="array" ref="CK92">INDEX(Properties!$D:$D,$B92+5)*(IF(AND(CK$3&gt;=INDEX(Properties!$Q:$Q,$B92+5),CK$3&lt;INDEX(Properties!$U:$U,$B92+5)),1,0))</f>
        <v>0</v>
      </c>
      <c r="CL92" s="247" cm="1">
        <f t="array" ref="CL92">INDEX(Properties!$D:$D,$B92+5)*(IF(AND(CL$3&gt;=INDEX(Properties!$Q:$Q,$B92+5),CL$3&lt;INDEX(Properties!$U:$U,$B92+5)),1,0))</f>
        <v>0</v>
      </c>
      <c r="CM92" s="247" cm="1">
        <f t="array" ref="CM92">INDEX(Properties!$D:$D,$B92+5)*(IF(AND(CM$3&gt;=INDEX(Properties!$Q:$Q,$B92+5),CM$3&lt;INDEX(Properties!$U:$U,$B92+5)),1,0))</f>
        <v>0</v>
      </c>
      <c r="CN92" s="247" cm="1">
        <f t="array" ref="CN92">INDEX(Properties!$D:$D,$B92+5)*(IF(AND(CN$3&gt;=INDEX(Properties!$Q:$Q,$B92+5),CN$3&lt;INDEX(Properties!$U:$U,$B92+5)),1,0))</f>
        <v>0</v>
      </c>
      <c r="CO92" s="247" cm="1">
        <f t="array" ref="CO92">INDEX(Properties!$D:$D,$B92+5)*(IF(AND(CO$3&gt;=INDEX(Properties!$Q:$Q,$B92+5),CO$3&lt;INDEX(Properties!$U:$U,$B92+5)),1,0))</f>
        <v>0</v>
      </c>
      <c r="CP92" s="247" cm="1">
        <f t="array" ref="CP92">INDEX(Properties!$D:$D,$B92+5)*(IF(AND(CP$3&gt;=INDEX(Properties!$Q:$Q,$B92+5),CP$3&lt;INDEX(Properties!$U:$U,$B92+5)),1,0))</f>
        <v>0</v>
      </c>
      <c r="CQ92" s="247" cm="1">
        <f t="array" ref="CQ92">INDEX(Properties!$D:$D,$B92+5)*(IF(AND(CQ$3&gt;=INDEX(Properties!$Q:$Q,$B92+5),CQ$3&lt;INDEX(Properties!$U:$U,$B92+5)),1,0))</f>
        <v>0</v>
      </c>
      <c r="CR92" s="247" cm="1">
        <f t="array" ref="CR92">INDEX(Properties!$D:$D,$B92+5)*(IF(AND(CR$3&gt;=INDEX(Properties!$Q:$Q,$B92+5),CR$3&lt;INDEX(Properties!$U:$U,$B92+5)),1,0))</f>
        <v>0</v>
      </c>
      <c r="CS92" s="247" cm="1">
        <f t="array" ref="CS92">INDEX(Properties!$D:$D,$B92+5)*(IF(AND(CS$3&gt;=INDEX(Properties!$Q:$Q,$B92+5),CS$3&lt;INDEX(Properties!$U:$U,$B92+5)),1,0))</f>
        <v>0</v>
      </c>
      <c r="CT92" s="247" cm="1">
        <f t="array" ref="CT92">INDEX(Properties!$D:$D,$B92+5)*(IF(AND(CT$3&gt;=INDEX(Properties!$Q:$Q,$B92+5),CT$3&lt;INDEX(Properties!$U:$U,$B92+5)),1,0))</f>
        <v>0</v>
      </c>
      <c r="CU92" s="247" cm="1">
        <f t="array" ref="CU92">INDEX(Properties!$D:$D,$B92+5)*(IF(AND(CU$3&gt;=INDEX(Properties!$Q:$Q,$B92+5),CU$3&lt;INDEX(Properties!$U:$U,$B92+5)),1,0))</f>
        <v>0</v>
      </c>
      <c r="CV92" s="247" cm="1">
        <f t="array" ref="CV92">INDEX(Properties!$D:$D,$B92+5)*(IF(AND(CV$3&gt;=INDEX(Properties!$Q:$Q,$B92+5),CV$3&lt;INDEX(Properties!$U:$U,$B92+5)),1,0))</f>
        <v>0</v>
      </c>
      <c r="CW92" s="247" cm="1">
        <f t="array" ref="CW92">INDEX(Properties!$D:$D,$B92+5)*(IF(AND(CW$3&gt;=INDEX(Properties!$Q:$Q,$B92+5),CW$3&lt;INDEX(Properties!$U:$U,$B92+5)),1,0))</f>
        <v>0</v>
      </c>
      <c r="CX92" s="247" cm="1">
        <f t="array" ref="CX92">INDEX(Properties!$D:$D,$B92+5)*(IF(AND(CX$3&gt;=INDEX(Properties!$Q:$Q,$B92+5),CX$3&lt;INDEX(Properties!$U:$U,$B92+5)),1,0))</f>
        <v>0</v>
      </c>
      <c r="CY92" s="247" cm="1">
        <f t="array" ref="CY92">INDEX(Properties!$D:$D,$B92+5)*(IF(AND(CY$3&gt;=INDEX(Properties!$Q:$Q,$B92+5),CY$3&lt;INDEX(Properties!$U:$U,$B92+5)),1,0))</f>
        <v>0</v>
      </c>
      <c r="CZ92" s="247" cm="1">
        <f t="array" ref="CZ92">INDEX(Properties!$D:$D,$B92+5)*(IF(AND(CZ$3&gt;=INDEX(Properties!$Q:$Q,$B92+5),CZ$3&lt;INDEX(Properties!$U:$U,$B92+5)),1,0))</f>
        <v>0</v>
      </c>
      <c r="DA92" s="247" cm="1">
        <f t="array" ref="DA92">INDEX(Properties!$D:$D,$B92+5)*(IF(AND(DA$3&gt;=INDEX(Properties!$Q:$Q,$B92+5),DA$3&lt;INDEX(Properties!$U:$U,$B92+5)),1,0))</f>
        <v>0</v>
      </c>
      <c r="DB92" s="247" cm="1">
        <f t="array" ref="DB92">INDEX(Properties!$D:$D,$B92+5)*(IF(AND(DB$3&gt;=INDEX(Properties!$Q:$Q,$B92+5),DB$3&lt;INDEX(Properties!$U:$U,$B92+5)),1,0))</f>
        <v>0</v>
      </c>
      <c r="DC92" s="247" cm="1">
        <f t="array" ref="DC92">INDEX(Properties!$D:$D,$B92+5)*(IF(AND(DC$3&gt;=INDEX(Properties!$Q:$Q,$B92+5),DC$3&lt;INDEX(Properties!$U:$U,$B92+5)),1,0))</f>
        <v>0</v>
      </c>
      <c r="DD92" s="247" cm="1">
        <f t="array" ref="DD92">INDEX(Properties!$D:$D,$B92+5)*(IF(AND(DD$3&gt;=INDEX(Properties!$Q:$Q,$B92+5),DD$3&lt;INDEX(Properties!$U:$U,$B92+5)),1,0))</f>
        <v>0</v>
      </c>
      <c r="DE92" s="247" cm="1">
        <f t="array" ref="DE92">INDEX(Properties!$D:$D,$B92+5)*(IF(AND(DE$3&gt;=INDEX(Properties!$Q:$Q,$B92+5),DE$3&lt;INDEX(Properties!$U:$U,$B92+5)),1,0))</f>
        <v>0</v>
      </c>
      <c r="DF92" s="247" cm="1">
        <f t="array" ref="DF92">INDEX(Properties!$D:$D,$B92+5)*(IF(AND(DF$3&gt;=INDEX(Properties!$Q:$Q,$B92+5),DF$3&lt;INDEX(Properties!$U:$U,$B92+5)),1,0))</f>
        <v>0</v>
      </c>
      <c r="DG92" s="247" cm="1">
        <f t="array" ref="DG92">INDEX(Properties!$D:$D,$B92+5)*(IF(AND(DG$3&gt;=INDEX(Properties!$Q:$Q,$B92+5),DG$3&lt;INDEX(Properties!$U:$U,$B92+5)),1,0))</f>
        <v>0</v>
      </c>
      <c r="DH92" s="247" cm="1">
        <f t="array" ref="DH92">INDEX(Properties!$D:$D,$B92+5)*(IF(AND(DH$3&gt;=INDEX(Properties!$Q:$Q,$B92+5),DH$3&lt;INDEX(Properties!$U:$U,$B92+5)),1,0))</f>
        <v>0</v>
      </c>
      <c r="DI92" s="247" cm="1">
        <f t="array" ref="DI92">INDEX(Properties!$D:$D,$B92+5)*(IF(AND(DI$3&gt;=INDEX(Properties!$Q:$Q,$B92+5),DI$3&lt;INDEX(Properties!$U:$U,$B92+5)),1,0))</f>
        <v>0</v>
      </c>
      <c r="DJ92" s="247" cm="1">
        <f t="array" ref="DJ92">INDEX(Properties!$D:$D,$B92+5)*(IF(AND(DJ$3&gt;=INDEX(Properties!$Q:$Q,$B92+5),DJ$3&lt;INDEX(Properties!$U:$U,$B92+5)),1,0))</f>
        <v>0</v>
      </c>
      <c r="DK92" s="247" cm="1">
        <f t="array" ref="DK92">INDEX(Properties!$D:$D,$B92+5)*(IF(AND(DK$3&gt;=INDEX(Properties!$Q:$Q,$B92+5),DK$3&lt;INDEX(Properties!$U:$U,$B92+5)),1,0))</f>
        <v>0</v>
      </c>
      <c r="DL92" s="247" cm="1">
        <f t="array" ref="DL92">INDEX(Properties!$D:$D,$B92+5)*(IF(AND(DL$3&gt;=INDEX(Properties!$Q:$Q,$B92+5),DL$3&lt;INDEX(Properties!$U:$U,$B92+5)),1,0))</f>
        <v>0</v>
      </c>
      <c r="DM92" s="247" cm="1">
        <f t="array" ref="DM92">INDEX(Properties!$D:$D,$B92+5)*(IF(AND(DM$3&gt;=INDEX(Properties!$Q:$Q,$B92+5),DM$3&lt;INDEX(Properties!$U:$U,$B92+5)),1,0))</f>
        <v>0</v>
      </c>
      <c r="DN92" s="247" cm="1">
        <f t="array" ref="DN92">INDEX(Properties!$D:$D,$B92+5)*(IF(AND(DN$3&gt;=INDEX(Properties!$Q:$Q,$B92+5),DN$3&lt;INDEX(Properties!$U:$U,$B92+5)),1,0))</f>
        <v>0</v>
      </c>
      <c r="DO92" s="247" cm="1">
        <f t="array" ref="DO92">INDEX(Properties!$D:$D,$B92+5)*(IF(AND(DO$3&gt;=INDEX(Properties!$Q:$Q,$B92+5),DO$3&lt;INDEX(Properties!$U:$U,$B92+5)),1,0))</f>
        <v>0</v>
      </c>
      <c r="DP92" s="247" cm="1">
        <f t="array" ref="DP92">INDEX(Properties!$D:$D,$B92+5)*(IF(AND(DP$3&gt;=INDEX(Properties!$Q:$Q,$B92+5),DP$3&lt;INDEX(Properties!$U:$U,$B92+5)),1,0))</f>
        <v>0</v>
      </c>
      <c r="DQ92" s="247" cm="1">
        <f t="array" ref="DQ92">INDEX(Properties!$D:$D,$B92+5)*(IF(AND(DQ$3&gt;=INDEX(Properties!$Q:$Q,$B92+5),DQ$3&lt;INDEX(Properties!$U:$U,$B92+5)),1,0))</f>
        <v>0</v>
      </c>
      <c r="DR92" s="247" cm="1">
        <f t="array" ref="DR92">INDEX(Properties!$D:$D,$B92+5)*(IF(AND(DR$3&gt;=INDEX(Properties!$Q:$Q,$B92+5),DR$3&lt;INDEX(Properties!$U:$U,$B92+5)),1,0))</f>
        <v>0</v>
      </c>
    </row>
    <row r="93" spans="1:122" ht="16.05" customHeight="1" x14ac:dyDescent="0.3">
      <c r="A93" s="148" cm="1">
        <f t="array" ref="A93">INDEX(Properties!$E:$E,$B93+5)</f>
        <v>0</v>
      </c>
      <c r="B93" s="1">
        <v>9</v>
      </c>
      <c r="C93" s="247" cm="1">
        <f t="array" ref="C93">INDEX(Properties!$D:$D,$B93+5)*(IF(AND(C$3&gt;=INDEX(Properties!$Q:$Q,$B93+5),C$3&lt;INDEX(Properties!$U:$U,$B93+5)),1,0))</f>
        <v>0</v>
      </c>
      <c r="D93" s="247" cm="1">
        <f t="array" ref="D93">INDEX(Properties!$D:$D,$B93+5)*(IF(AND(D$3&gt;=INDEX(Properties!$Q:$Q,$B93+5),D$3&lt;INDEX(Properties!$U:$U,$B93+5)),1,0))</f>
        <v>0</v>
      </c>
      <c r="E93" s="247" cm="1">
        <f t="array" ref="E93">INDEX(Properties!$D:$D,$B93+5)*(IF(AND(E$3&gt;=INDEX(Properties!$Q:$Q,$B93+5),E$3&lt;INDEX(Properties!$U:$U,$B93+5)),1,0))</f>
        <v>0</v>
      </c>
      <c r="F93" s="247" cm="1">
        <f t="array" ref="F93">INDEX(Properties!$D:$D,$B93+5)*(IF(AND(F$3&gt;=INDEX(Properties!$Q:$Q,$B93+5),F$3&lt;INDEX(Properties!$U:$U,$B93+5)),1,0))</f>
        <v>0</v>
      </c>
      <c r="G93" s="247" cm="1">
        <f t="array" ref="G93">INDEX(Properties!$D:$D,$B93+5)*(IF(AND(G$3&gt;=INDEX(Properties!$Q:$Q,$B93+5),G$3&lt;INDEX(Properties!$U:$U,$B93+5)),1,0))</f>
        <v>0</v>
      </c>
      <c r="H93" s="247" cm="1">
        <f t="array" ref="H93">INDEX(Properties!$D:$D,$B93+5)*(IF(AND(H$3&gt;=INDEX(Properties!$Q:$Q,$B93+5),H$3&lt;INDEX(Properties!$U:$U,$B93+5)),1,0))</f>
        <v>0</v>
      </c>
      <c r="I93" s="247" cm="1">
        <f t="array" ref="I93">INDEX(Properties!$D:$D,$B93+5)*(IF(AND(I$3&gt;=INDEX(Properties!$Q:$Q,$B93+5),I$3&lt;INDEX(Properties!$U:$U,$B93+5)),1,0))</f>
        <v>0</v>
      </c>
      <c r="J93" s="247" cm="1">
        <f t="array" ref="J93">INDEX(Properties!$D:$D,$B93+5)*(IF(AND(J$3&gt;=INDEX(Properties!$Q:$Q,$B93+5),J$3&lt;INDEX(Properties!$U:$U,$B93+5)),1,0))</f>
        <v>0</v>
      </c>
      <c r="K93" s="247" cm="1">
        <f t="array" ref="K93">INDEX(Properties!$D:$D,$B93+5)*(IF(AND(K$3&gt;=INDEX(Properties!$Q:$Q,$B93+5),K$3&lt;INDEX(Properties!$U:$U,$B93+5)),1,0))</f>
        <v>0</v>
      </c>
      <c r="L93" s="247" cm="1">
        <f t="array" ref="L93">INDEX(Properties!$D:$D,$B93+5)*(IF(AND(L$3&gt;=INDEX(Properties!$Q:$Q,$B93+5),L$3&lt;INDEX(Properties!$U:$U,$B93+5)),1,0))</f>
        <v>0</v>
      </c>
      <c r="M93" s="247" cm="1">
        <f t="array" ref="M93">INDEX(Properties!$D:$D,$B93+5)*(IF(AND(M$3&gt;=INDEX(Properties!$Q:$Q,$B93+5),M$3&lt;INDEX(Properties!$U:$U,$B93+5)),1,0))</f>
        <v>0</v>
      </c>
      <c r="N93" s="247" cm="1">
        <f t="array" ref="N93">INDEX(Properties!$D:$D,$B93+5)*(IF(AND(N$3&gt;=INDEX(Properties!$Q:$Q,$B93+5),N$3&lt;INDEX(Properties!$U:$U,$B93+5)),1,0))</f>
        <v>0</v>
      </c>
      <c r="O93" s="247" cm="1">
        <f t="array" ref="O93">INDEX(Properties!$D:$D,$B93+5)*(IF(AND(O$3&gt;=INDEX(Properties!$Q:$Q,$B93+5),O$3&lt;INDEX(Properties!$U:$U,$B93+5)),1,0))</f>
        <v>0</v>
      </c>
      <c r="P93" s="247" cm="1">
        <f t="array" ref="P93">INDEX(Properties!$D:$D,$B93+5)*(IF(AND(P$3&gt;=INDEX(Properties!$Q:$Q,$B93+5),P$3&lt;INDEX(Properties!$U:$U,$B93+5)),1,0))</f>
        <v>0</v>
      </c>
      <c r="Q93" s="247" cm="1">
        <f t="array" ref="Q93">INDEX(Properties!$D:$D,$B93+5)*(IF(AND(Q$3&gt;=INDEX(Properties!$Q:$Q,$B93+5),Q$3&lt;INDEX(Properties!$U:$U,$B93+5)),1,0))</f>
        <v>0</v>
      </c>
      <c r="R93" s="247" cm="1">
        <f t="array" ref="R93">INDEX(Properties!$D:$D,$B93+5)*(IF(AND(R$3&gt;=INDEX(Properties!$Q:$Q,$B93+5),R$3&lt;INDEX(Properties!$U:$U,$B93+5)),1,0))</f>
        <v>0</v>
      </c>
      <c r="S93" s="247" cm="1">
        <f t="array" ref="S93">INDEX(Properties!$D:$D,$B93+5)*(IF(AND(S$3&gt;=INDEX(Properties!$Q:$Q,$B93+5),S$3&lt;INDEX(Properties!$U:$U,$B93+5)),1,0))</f>
        <v>0</v>
      </c>
      <c r="T93" s="247" cm="1">
        <f t="array" ref="T93">INDEX(Properties!$D:$D,$B93+5)*(IF(AND(T$3&gt;=INDEX(Properties!$Q:$Q,$B93+5),T$3&lt;INDEX(Properties!$U:$U,$B93+5)),1,0))</f>
        <v>0</v>
      </c>
      <c r="U93" s="247" cm="1">
        <f t="array" ref="U93">INDEX(Properties!$D:$D,$B93+5)*(IF(AND(U$3&gt;=INDEX(Properties!$Q:$Q,$B93+5),U$3&lt;INDEX(Properties!$U:$U,$B93+5)),1,0))</f>
        <v>0</v>
      </c>
      <c r="V93" s="247" cm="1">
        <f t="array" ref="V93">INDEX(Properties!$D:$D,$B93+5)*(IF(AND(V$3&gt;=INDEX(Properties!$Q:$Q,$B93+5),V$3&lt;INDEX(Properties!$U:$U,$B93+5)),1,0))</f>
        <v>0</v>
      </c>
      <c r="W93" s="247" cm="1">
        <f t="array" ref="W93">INDEX(Properties!$D:$D,$B93+5)*(IF(AND(W$3&gt;=INDEX(Properties!$Q:$Q,$B93+5),W$3&lt;INDEX(Properties!$U:$U,$B93+5)),1,0))</f>
        <v>0</v>
      </c>
      <c r="X93" s="247" cm="1">
        <f t="array" ref="X93">INDEX(Properties!$D:$D,$B93+5)*(IF(AND(X$3&gt;=INDEX(Properties!$Q:$Q,$B93+5),X$3&lt;INDEX(Properties!$U:$U,$B93+5)),1,0))</f>
        <v>0</v>
      </c>
      <c r="Y93" s="247" cm="1">
        <f t="array" ref="Y93">INDEX(Properties!$D:$D,$B93+5)*(IF(AND(Y$3&gt;=INDEX(Properties!$Q:$Q,$B93+5),Y$3&lt;INDEX(Properties!$U:$U,$B93+5)),1,0))</f>
        <v>0</v>
      </c>
      <c r="Z93" s="247" cm="1">
        <f t="array" ref="Z93">INDEX(Properties!$D:$D,$B93+5)*(IF(AND(Z$3&gt;=INDEX(Properties!$Q:$Q,$B93+5),Z$3&lt;INDEX(Properties!$U:$U,$B93+5)),1,0))</f>
        <v>0</v>
      </c>
      <c r="AA93" s="247" cm="1">
        <f t="array" ref="AA93">INDEX(Properties!$D:$D,$B93+5)*(IF(AND(AA$3&gt;=INDEX(Properties!$Q:$Q,$B93+5),AA$3&lt;INDEX(Properties!$U:$U,$B93+5)),1,0))</f>
        <v>0</v>
      </c>
      <c r="AB93" s="247" cm="1">
        <f t="array" ref="AB93">INDEX(Properties!$D:$D,$B93+5)*(IF(AND(AB$3&gt;=INDEX(Properties!$Q:$Q,$B93+5),AB$3&lt;INDEX(Properties!$U:$U,$B93+5)),1,0))</f>
        <v>0</v>
      </c>
      <c r="AC93" s="247" cm="1">
        <f t="array" ref="AC93">INDEX(Properties!$D:$D,$B93+5)*(IF(AND(AC$3&gt;=INDEX(Properties!$Q:$Q,$B93+5),AC$3&lt;INDEX(Properties!$U:$U,$B93+5)),1,0))</f>
        <v>0</v>
      </c>
      <c r="AD93" s="247" cm="1">
        <f t="array" ref="AD93">INDEX(Properties!$D:$D,$B93+5)*(IF(AND(AD$3&gt;=INDEX(Properties!$Q:$Q,$B93+5),AD$3&lt;INDEX(Properties!$U:$U,$B93+5)),1,0))</f>
        <v>0</v>
      </c>
      <c r="AE93" s="247" cm="1">
        <f t="array" ref="AE93">INDEX(Properties!$D:$D,$B93+5)*(IF(AND(AE$3&gt;=INDEX(Properties!$Q:$Q,$B93+5),AE$3&lt;INDEX(Properties!$U:$U,$B93+5)),1,0))</f>
        <v>0</v>
      </c>
      <c r="AF93" s="247" cm="1">
        <f t="array" ref="AF93">INDEX(Properties!$D:$D,$B93+5)*(IF(AND(AF$3&gt;=INDEX(Properties!$Q:$Q,$B93+5),AF$3&lt;INDEX(Properties!$U:$U,$B93+5)),1,0))</f>
        <v>0</v>
      </c>
      <c r="AG93" s="247" cm="1">
        <f t="array" ref="AG93">INDEX(Properties!$D:$D,$B93+5)*(IF(AND(AG$3&gt;=INDEX(Properties!$Q:$Q,$B93+5),AG$3&lt;INDEX(Properties!$U:$U,$B93+5)),1,0))</f>
        <v>0</v>
      </c>
      <c r="AH93" s="247" cm="1">
        <f t="array" ref="AH93">INDEX(Properties!$D:$D,$B93+5)*(IF(AND(AH$3&gt;=INDEX(Properties!$Q:$Q,$B93+5),AH$3&lt;INDEX(Properties!$U:$U,$B93+5)),1,0))</f>
        <v>0</v>
      </c>
      <c r="AI93" s="247" cm="1">
        <f t="array" ref="AI93">INDEX(Properties!$D:$D,$B93+5)*(IF(AND(AI$3&gt;=INDEX(Properties!$Q:$Q,$B93+5),AI$3&lt;INDEX(Properties!$U:$U,$B93+5)),1,0))</f>
        <v>0</v>
      </c>
      <c r="AJ93" s="247" cm="1">
        <f t="array" ref="AJ93">INDEX(Properties!$D:$D,$B93+5)*(IF(AND(AJ$3&gt;=INDEX(Properties!$Q:$Q,$B93+5),AJ$3&lt;INDEX(Properties!$U:$U,$B93+5)),1,0))</f>
        <v>0</v>
      </c>
      <c r="AK93" s="247" cm="1">
        <f t="array" ref="AK93">INDEX(Properties!$D:$D,$B93+5)*(IF(AND(AK$3&gt;=INDEX(Properties!$Q:$Q,$B93+5),AK$3&lt;INDEX(Properties!$U:$U,$B93+5)),1,0))</f>
        <v>0</v>
      </c>
      <c r="AL93" s="247" cm="1">
        <f t="array" ref="AL93">INDEX(Properties!$D:$D,$B93+5)*(IF(AND(AL$3&gt;=INDEX(Properties!$Q:$Q,$B93+5),AL$3&lt;INDEX(Properties!$U:$U,$B93+5)),1,0))</f>
        <v>0</v>
      </c>
      <c r="AM93" s="247" cm="1">
        <f t="array" ref="AM93">INDEX(Properties!$D:$D,$B93+5)*(IF(AND(AM$3&gt;=INDEX(Properties!$Q:$Q,$B93+5),AM$3&lt;INDEX(Properties!$U:$U,$B93+5)),1,0))</f>
        <v>0</v>
      </c>
      <c r="AN93" s="247" cm="1">
        <f t="array" ref="AN93">INDEX(Properties!$D:$D,$B93+5)*(IF(AND(AN$3&gt;=INDEX(Properties!$Q:$Q,$B93+5),AN$3&lt;INDEX(Properties!$U:$U,$B93+5)),1,0))</f>
        <v>0</v>
      </c>
      <c r="AO93" s="247" cm="1">
        <f t="array" ref="AO93">INDEX(Properties!$D:$D,$B93+5)*(IF(AND(AO$3&gt;=INDEX(Properties!$Q:$Q,$B93+5),AO$3&lt;INDEX(Properties!$U:$U,$B93+5)),1,0))</f>
        <v>0</v>
      </c>
      <c r="AP93" s="247" cm="1">
        <f t="array" ref="AP93">INDEX(Properties!$D:$D,$B93+5)*(IF(AND(AP$3&gt;=INDEX(Properties!$Q:$Q,$B93+5),AP$3&lt;INDEX(Properties!$U:$U,$B93+5)),1,0))</f>
        <v>0</v>
      </c>
      <c r="AQ93" s="247" cm="1">
        <f t="array" ref="AQ93">INDEX(Properties!$D:$D,$B93+5)*(IF(AND(AQ$3&gt;=INDEX(Properties!$Q:$Q,$B93+5),AQ$3&lt;INDEX(Properties!$U:$U,$B93+5)),1,0))</f>
        <v>0</v>
      </c>
      <c r="AR93" s="247" cm="1">
        <f t="array" ref="AR93">INDEX(Properties!$D:$D,$B93+5)*(IF(AND(AR$3&gt;=INDEX(Properties!$Q:$Q,$B93+5),AR$3&lt;INDEX(Properties!$U:$U,$B93+5)),1,0))</f>
        <v>0</v>
      </c>
      <c r="AS93" s="247" cm="1">
        <f t="array" ref="AS93">INDEX(Properties!$D:$D,$B93+5)*(IF(AND(AS$3&gt;=INDEX(Properties!$Q:$Q,$B93+5),AS$3&lt;INDEX(Properties!$U:$U,$B93+5)),1,0))</f>
        <v>0</v>
      </c>
      <c r="AT93" s="247" cm="1">
        <f t="array" ref="AT93">INDEX(Properties!$D:$D,$B93+5)*(IF(AND(AT$3&gt;=INDEX(Properties!$Q:$Q,$B93+5),AT$3&lt;INDEX(Properties!$U:$U,$B93+5)),1,0))</f>
        <v>0</v>
      </c>
      <c r="AU93" s="247" cm="1">
        <f t="array" ref="AU93">INDEX(Properties!$D:$D,$B93+5)*(IF(AND(AU$3&gt;=INDEX(Properties!$Q:$Q,$B93+5),AU$3&lt;INDEX(Properties!$U:$U,$B93+5)),1,0))</f>
        <v>0</v>
      </c>
      <c r="AV93" s="247" cm="1">
        <f t="array" ref="AV93">INDEX(Properties!$D:$D,$B93+5)*(IF(AND(AV$3&gt;=INDEX(Properties!$Q:$Q,$B93+5),AV$3&lt;INDEX(Properties!$U:$U,$B93+5)),1,0))</f>
        <v>0</v>
      </c>
      <c r="AW93" s="247" cm="1">
        <f t="array" ref="AW93">INDEX(Properties!$D:$D,$B93+5)*(IF(AND(AW$3&gt;=INDEX(Properties!$Q:$Q,$B93+5),AW$3&lt;INDEX(Properties!$U:$U,$B93+5)),1,0))</f>
        <v>0</v>
      </c>
      <c r="AX93" s="247" cm="1">
        <f t="array" ref="AX93">INDEX(Properties!$D:$D,$B93+5)*(IF(AND(AX$3&gt;=INDEX(Properties!$Q:$Q,$B93+5),AX$3&lt;INDEX(Properties!$U:$U,$B93+5)),1,0))</f>
        <v>0</v>
      </c>
      <c r="AY93" s="247" cm="1">
        <f t="array" ref="AY93">INDEX(Properties!$D:$D,$B93+5)*(IF(AND(AY$3&gt;=INDEX(Properties!$Q:$Q,$B93+5),AY$3&lt;INDEX(Properties!$U:$U,$B93+5)),1,0))</f>
        <v>0</v>
      </c>
      <c r="AZ93" s="247" cm="1">
        <f t="array" ref="AZ93">INDEX(Properties!$D:$D,$B93+5)*(IF(AND(AZ$3&gt;=INDEX(Properties!$Q:$Q,$B93+5),AZ$3&lt;INDEX(Properties!$U:$U,$B93+5)),1,0))</f>
        <v>0</v>
      </c>
      <c r="BA93" s="247" cm="1">
        <f t="array" ref="BA93">INDEX(Properties!$D:$D,$B93+5)*(IF(AND(BA$3&gt;=INDEX(Properties!$Q:$Q,$B93+5),BA$3&lt;INDEX(Properties!$U:$U,$B93+5)),1,0))</f>
        <v>0</v>
      </c>
      <c r="BB93" s="247" cm="1">
        <f t="array" ref="BB93">INDEX(Properties!$D:$D,$B93+5)*(IF(AND(BB$3&gt;=INDEX(Properties!$Q:$Q,$B93+5),BB$3&lt;INDEX(Properties!$U:$U,$B93+5)),1,0))</f>
        <v>0</v>
      </c>
      <c r="BC93" s="247" cm="1">
        <f t="array" ref="BC93">INDEX(Properties!$D:$D,$B93+5)*(IF(AND(BC$3&gt;=INDEX(Properties!$Q:$Q,$B93+5),BC$3&lt;INDEX(Properties!$U:$U,$B93+5)),1,0))</f>
        <v>0</v>
      </c>
      <c r="BD93" s="247" cm="1">
        <f t="array" ref="BD93">INDEX(Properties!$D:$D,$B93+5)*(IF(AND(BD$3&gt;=INDEX(Properties!$Q:$Q,$B93+5),BD$3&lt;INDEX(Properties!$U:$U,$B93+5)),1,0))</f>
        <v>0</v>
      </c>
      <c r="BE93" s="247" cm="1">
        <f t="array" ref="BE93">INDEX(Properties!$D:$D,$B93+5)*(IF(AND(BE$3&gt;=INDEX(Properties!$Q:$Q,$B93+5),BE$3&lt;INDEX(Properties!$U:$U,$B93+5)),1,0))</f>
        <v>0</v>
      </c>
      <c r="BF93" s="247" cm="1">
        <f t="array" ref="BF93">INDEX(Properties!$D:$D,$B93+5)*(IF(AND(BF$3&gt;=INDEX(Properties!$Q:$Q,$B93+5),BF$3&lt;INDEX(Properties!$U:$U,$B93+5)),1,0))</f>
        <v>0</v>
      </c>
      <c r="BG93" s="247" cm="1">
        <f t="array" ref="BG93">INDEX(Properties!$D:$D,$B93+5)*(IF(AND(BG$3&gt;=INDEX(Properties!$Q:$Q,$B93+5),BG$3&lt;INDEX(Properties!$U:$U,$B93+5)),1,0))</f>
        <v>0</v>
      </c>
      <c r="BH93" s="247" cm="1">
        <f t="array" ref="BH93">INDEX(Properties!$D:$D,$B93+5)*(IF(AND(BH$3&gt;=INDEX(Properties!$Q:$Q,$B93+5),BH$3&lt;INDEX(Properties!$U:$U,$B93+5)),1,0))</f>
        <v>0</v>
      </c>
      <c r="BI93" s="247" cm="1">
        <f t="array" ref="BI93">INDEX(Properties!$D:$D,$B93+5)*(IF(AND(BI$3&gt;=INDEX(Properties!$Q:$Q,$B93+5),BI$3&lt;INDEX(Properties!$U:$U,$B93+5)),1,0))</f>
        <v>0</v>
      </c>
      <c r="BJ93" s="247" cm="1">
        <f t="array" ref="BJ93">INDEX(Properties!$D:$D,$B93+5)*(IF(AND(BJ$3&gt;=INDEX(Properties!$Q:$Q,$B93+5),BJ$3&lt;INDEX(Properties!$U:$U,$B93+5)),1,0))</f>
        <v>0</v>
      </c>
      <c r="BK93" s="247" cm="1">
        <f t="array" ref="BK93">INDEX(Properties!$D:$D,$B93+5)*(IF(AND(BK$3&gt;=INDEX(Properties!$Q:$Q,$B93+5),BK$3&lt;INDEX(Properties!$U:$U,$B93+5)),1,0))</f>
        <v>0</v>
      </c>
      <c r="BL93" s="247" cm="1">
        <f t="array" ref="BL93">INDEX(Properties!$D:$D,$B93+5)*(IF(AND(BL$3&gt;=INDEX(Properties!$Q:$Q,$B93+5),BL$3&lt;INDEX(Properties!$U:$U,$B93+5)),1,0))</f>
        <v>0</v>
      </c>
      <c r="BM93" s="247" cm="1">
        <f t="array" ref="BM93">INDEX(Properties!$D:$D,$B93+5)*(IF(AND(BM$3&gt;=INDEX(Properties!$Q:$Q,$B93+5),BM$3&lt;INDEX(Properties!$U:$U,$B93+5)),1,0))</f>
        <v>0</v>
      </c>
      <c r="BN93" s="247" cm="1">
        <f t="array" ref="BN93">INDEX(Properties!$D:$D,$B93+5)*(IF(AND(BN$3&gt;=INDEX(Properties!$Q:$Q,$B93+5),BN$3&lt;INDEX(Properties!$U:$U,$B93+5)),1,0))</f>
        <v>0</v>
      </c>
      <c r="BO93" s="247" cm="1">
        <f t="array" ref="BO93">INDEX(Properties!$D:$D,$B93+5)*(IF(AND(BO$3&gt;=INDEX(Properties!$Q:$Q,$B93+5),BO$3&lt;INDEX(Properties!$U:$U,$B93+5)),1,0))</f>
        <v>0</v>
      </c>
      <c r="BP93" s="247" cm="1">
        <f t="array" ref="BP93">INDEX(Properties!$D:$D,$B93+5)*(IF(AND(BP$3&gt;=INDEX(Properties!$Q:$Q,$B93+5),BP$3&lt;INDEX(Properties!$U:$U,$B93+5)),1,0))</f>
        <v>0</v>
      </c>
      <c r="BQ93" s="247" cm="1">
        <f t="array" ref="BQ93">INDEX(Properties!$D:$D,$B93+5)*(IF(AND(BQ$3&gt;=INDEX(Properties!$Q:$Q,$B93+5),BQ$3&lt;INDEX(Properties!$U:$U,$B93+5)),1,0))</f>
        <v>0</v>
      </c>
      <c r="BR93" s="247" cm="1">
        <f t="array" ref="BR93">INDEX(Properties!$D:$D,$B93+5)*(IF(AND(BR$3&gt;=INDEX(Properties!$Q:$Q,$B93+5),BR$3&lt;INDEX(Properties!$U:$U,$B93+5)),1,0))</f>
        <v>0</v>
      </c>
      <c r="BS93" s="247" cm="1">
        <f t="array" ref="BS93">INDEX(Properties!$D:$D,$B93+5)*(IF(AND(BS$3&gt;=INDEX(Properties!$Q:$Q,$B93+5),BS$3&lt;INDEX(Properties!$U:$U,$B93+5)),1,0))</f>
        <v>0</v>
      </c>
      <c r="BT93" s="247" cm="1">
        <f t="array" ref="BT93">INDEX(Properties!$D:$D,$B93+5)*(IF(AND(BT$3&gt;=INDEX(Properties!$Q:$Q,$B93+5),BT$3&lt;INDEX(Properties!$U:$U,$B93+5)),1,0))</f>
        <v>0</v>
      </c>
      <c r="BU93" s="247" cm="1">
        <f t="array" ref="BU93">INDEX(Properties!$D:$D,$B93+5)*(IF(AND(BU$3&gt;=INDEX(Properties!$Q:$Q,$B93+5),BU$3&lt;INDEX(Properties!$U:$U,$B93+5)),1,0))</f>
        <v>0</v>
      </c>
      <c r="BV93" s="247" cm="1">
        <f t="array" ref="BV93">INDEX(Properties!$D:$D,$B93+5)*(IF(AND(BV$3&gt;=INDEX(Properties!$Q:$Q,$B93+5),BV$3&lt;INDEX(Properties!$U:$U,$B93+5)),1,0))</f>
        <v>0</v>
      </c>
      <c r="BW93" s="247" cm="1">
        <f t="array" ref="BW93">INDEX(Properties!$D:$D,$B93+5)*(IF(AND(BW$3&gt;=INDEX(Properties!$Q:$Q,$B93+5),BW$3&lt;INDEX(Properties!$U:$U,$B93+5)),1,0))</f>
        <v>0</v>
      </c>
      <c r="BX93" s="247" cm="1">
        <f t="array" ref="BX93">INDEX(Properties!$D:$D,$B93+5)*(IF(AND(BX$3&gt;=INDEX(Properties!$Q:$Q,$B93+5),BX$3&lt;INDEX(Properties!$U:$U,$B93+5)),1,0))</f>
        <v>0</v>
      </c>
      <c r="BY93" s="247" cm="1">
        <f t="array" ref="BY93">INDEX(Properties!$D:$D,$B93+5)*(IF(AND(BY$3&gt;=INDEX(Properties!$Q:$Q,$B93+5),BY$3&lt;INDEX(Properties!$U:$U,$B93+5)),1,0))</f>
        <v>0</v>
      </c>
      <c r="BZ93" s="247" cm="1">
        <f t="array" ref="BZ93">INDEX(Properties!$D:$D,$B93+5)*(IF(AND(BZ$3&gt;=INDEX(Properties!$Q:$Q,$B93+5),BZ$3&lt;INDEX(Properties!$U:$U,$B93+5)),1,0))</f>
        <v>0</v>
      </c>
      <c r="CA93" s="247" cm="1">
        <f t="array" ref="CA93">INDEX(Properties!$D:$D,$B93+5)*(IF(AND(CA$3&gt;=INDEX(Properties!$Q:$Q,$B93+5),CA$3&lt;INDEX(Properties!$U:$U,$B93+5)),1,0))</f>
        <v>0</v>
      </c>
      <c r="CB93" s="247" cm="1">
        <f t="array" ref="CB93">INDEX(Properties!$D:$D,$B93+5)*(IF(AND(CB$3&gt;=INDEX(Properties!$Q:$Q,$B93+5),CB$3&lt;INDEX(Properties!$U:$U,$B93+5)),1,0))</f>
        <v>0</v>
      </c>
      <c r="CC93" s="247" cm="1">
        <f t="array" ref="CC93">INDEX(Properties!$D:$D,$B93+5)*(IF(AND(CC$3&gt;=INDEX(Properties!$Q:$Q,$B93+5),CC$3&lt;INDEX(Properties!$U:$U,$B93+5)),1,0))</f>
        <v>0</v>
      </c>
      <c r="CD93" s="247" cm="1">
        <f t="array" ref="CD93">INDEX(Properties!$D:$D,$B93+5)*(IF(AND(CD$3&gt;=INDEX(Properties!$Q:$Q,$B93+5),CD$3&lt;INDEX(Properties!$U:$U,$B93+5)),1,0))</f>
        <v>0</v>
      </c>
      <c r="CE93" s="247" cm="1">
        <f t="array" ref="CE93">INDEX(Properties!$D:$D,$B93+5)*(IF(AND(CE$3&gt;=INDEX(Properties!$Q:$Q,$B93+5),CE$3&lt;INDEX(Properties!$U:$U,$B93+5)),1,0))</f>
        <v>0</v>
      </c>
      <c r="CF93" s="247" cm="1">
        <f t="array" ref="CF93">INDEX(Properties!$D:$D,$B93+5)*(IF(AND(CF$3&gt;=INDEX(Properties!$Q:$Q,$B93+5),CF$3&lt;INDEX(Properties!$U:$U,$B93+5)),1,0))</f>
        <v>0</v>
      </c>
      <c r="CG93" s="247" cm="1">
        <f t="array" ref="CG93">INDEX(Properties!$D:$D,$B93+5)*(IF(AND(CG$3&gt;=INDEX(Properties!$Q:$Q,$B93+5),CG$3&lt;INDEX(Properties!$U:$U,$B93+5)),1,0))</f>
        <v>0</v>
      </c>
      <c r="CH93" s="247" cm="1">
        <f t="array" ref="CH93">INDEX(Properties!$D:$D,$B93+5)*(IF(AND(CH$3&gt;=INDEX(Properties!$Q:$Q,$B93+5),CH$3&lt;INDEX(Properties!$U:$U,$B93+5)),1,0))</f>
        <v>0</v>
      </c>
      <c r="CI93" s="247" cm="1">
        <f t="array" ref="CI93">INDEX(Properties!$D:$D,$B93+5)*(IF(AND(CI$3&gt;=INDEX(Properties!$Q:$Q,$B93+5),CI$3&lt;INDEX(Properties!$U:$U,$B93+5)),1,0))</f>
        <v>0</v>
      </c>
      <c r="CJ93" s="247" cm="1">
        <f t="array" ref="CJ93">INDEX(Properties!$D:$D,$B93+5)*(IF(AND(CJ$3&gt;=INDEX(Properties!$Q:$Q,$B93+5),CJ$3&lt;INDEX(Properties!$U:$U,$B93+5)),1,0))</f>
        <v>0</v>
      </c>
      <c r="CK93" s="247" cm="1">
        <f t="array" ref="CK93">INDEX(Properties!$D:$D,$B93+5)*(IF(AND(CK$3&gt;=INDEX(Properties!$Q:$Q,$B93+5),CK$3&lt;INDEX(Properties!$U:$U,$B93+5)),1,0))</f>
        <v>0</v>
      </c>
      <c r="CL93" s="247" cm="1">
        <f t="array" ref="CL93">INDEX(Properties!$D:$D,$B93+5)*(IF(AND(CL$3&gt;=INDEX(Properties!$Q:$Q,$B93+5),CL$3&lt;INDEX(Properties!$U:$U,$B93+5)),1,0))</f>
        <v>0</v>
      </c>
      <c r="CM93" s="247" cm="1">
        <f t="array" ref="CM93">INDEX(Properties!$D:$D,$B93+5)*(IF(AND(CM$3&gt;=INDEX(Properties!$Q:$Q,$B93+5),CM$3&lt;INDEX(Properties!$U:$U,$B93+5)),1,0))</f>
        <v>0</v>
      </c>
      <c r="CN93" s="247" cm="1">
        <f t="array" ref="CN93">INDEX(Properties!$D:$D,$B93+5)*(IF(AND(CN$3&gt;=INDEX(Properties!$Q:$Q,$B93+5),CN$3&lt;INDEX(Properties!$U:$U,$B93+5)),1,0))</f>
        <v>0</v>
      </c>
      <c r="CO93" s="247" cm="1">
        <f t="array" ref="CO93">INDEX(Properties!$D:$D,$B93+5)*(IF(AND(CO$3&gt;=INDEX(Properties!$Q:$Q,$B93+5),CO$3&lt;INDEX(Properties!$U:$U,$B93+5)),1,0))</f>
        <v>0</v>
      </c>
      <c r="CP93" s="247" cm="1">
        <f t="array" ref="CP93">INDEX(Properties!$D:$D,$B93+5)*(IF(AND(CP$3&gt;=INDEX(Properties!$Q:$Q,$B93+5),CP$3&lt;INDEX(Properties!$U:$U,$B93+5)),1,0))</f>
        <v>0</v>
      </c>
      <c r="CQ93" s="247" cm="1">
        <f t="array" ref="CQ93">INDEX(Properties!$D:$D,$B93+5)*(IF(AND(CQ$3&gt;=INDEX(Properties!$Q:$Q,$B93+5),CQ$3&lt;INDEX(Properties!$U:$U,$B93+5)),1,0))</f>
        <v>0</v>
      </c>
      <c r="CR93" s="247" cm="1">
        <f t="array" ref="CR93">INDEX(Properties!$D:$D,$B93+5)*(IF(AND(CR$3&gt;=INDEX(Properties!$Q:$Q,$B93+5),CR$3&lt;INDEX(Properties!$U:$U,$B93+5)),1,0))</f>
        <v>0</v>
      </c>
      <c r="CS93" s="247" cm="1">
        <f t="array" ref="CS93">INDEX(Properties!$D:$D,$B93+5)*(IF(AND(CS$3&gt;=INDEX(Properties!$Q:$Q,$B93+5),CS$3&lt;INDEX(Properties!$U:$U,$B93+5)),1,0))</f>
        <v>0</v>
      </c>
      <c r="CT93" s="247" cm="1">
        <f t="array" ref="CT93">INDEX(Properties!$D:$D,$B93+5)*(IF(AND(CT$3&gt;=INDEX(Properties!$Q:$Q,$B93+5),CT$3&lt;INDEX(Properties!$U:$U,$B93+5)),1,0))</f>
        <v>0</v>
      </c>
      <c r="CU93" s="247" cm="1">
        <f t="array" ref="CU93">INDEX(Properties!$D:$D,$B93+5)*(IF(AND(CU$3&gt;=INDEX(Properties!$Q:$Q,$B93+5),CU$3&lt;INDEX(Properties!$U:$U,$B93+5)),1,0))</f>
        <v>0</v>
      </c>
      <c r="CV93" s="247" cm="1">
        <f t="array" ref="CV93">INDEX(Properties!$D:$D,$B93+5)*(IF(AND(CV$3&gt;=INDEX(Properties!$Q:$Q,$B93+5),CV$3&lt;INDEX(Properties!$U:$U,$B93+5)),1,0))</f>
        <v>0</v>
      </c>
      <c r="CW93" s="247" cm="1">
        <f t="array" ref="CW93">INDEX(Properties!$D:$D,$B93+5)*(IF(AND(CW$3&gt;=INDEX(Properties!$Q:$Q,$B93+5),CW$3&lt;INDEX(Properties!$U:$U,$B93+5)),1,0))</f>
        <v>0</v>
      </c>
      <c r="CX93" s="247" cm="1">
        <f t="array" ref="CX93">INDEX(Properties!$D:$D,$B93+5)*(IF(AND(CX$3&gt;=INDEX(Properties!$Q:$Q,$B93+5),CX$3&lt;INDEX(Properties!$U:$U,$B93+5)),1,0))</f>
        <v>0</v>
      </c>
      <c r="CY93" s="247" cm="1">
        <f t="array" ref="CY93">INDEX(Properties!$D:$D,$B93+5)*(IF(AND(CY$3&gt;=INDEX(Properties!$Q:$Q,$B93+5),CY$3&lt;INDEX(Properties!$U:$U,$B93+5)),1,0))</f>
        <v>0</v>
      </c>
      <c r="CZ93" s="247" cm="1">
        <f t="array" ref="CZ93">INDEX(Properties!$D:$D,$B93+5)*(IF(AND(CZ$3&gt;=INDEX(Properties!$Q:$Q,$B93+5),CZ$3&lt;INDEX(Properties!$U:$U,$B93+5)),1,0))</f>
        <v>0</v>
      </c>
      <c r="DA93" s="247" cm="1">
        <f t="array" ref="DA93">INDEX(Properties!$D:$D,$B93+5)*(IF(AND(DA$3&gt;=INDEX(Properties!$Q:$Q,$B93+5),DA$3&lt;INDEX(Properties!$U:$U,$B93+5)),1,0))</f>
        <v>0</v>
      </c>
      <c r="DB93" s="247" cm="1">
        <f t="array" ref="DB93">INDEX(Properties!$D:$D,$B93+5)*(IF(AND(DB$3&gt;=INDEX(Properties!$Q:$Q,$B93+5),DB$3&lt;INDEX(Properties!$U:$U,$B93+5)),1,0))</f>
        <v>0</v>
      </c>
      <c r="DC93" s="247" cm="1">
        <f t="array" ref="DC93">INDEX(Properties!$D:$D,$B93+5)*(IF(AND(DC$3&gt;=INDEX(Properties!$Q:$Q,$B93+5),DC$3&lt;INDEX(Properties!$U:$U,$B93+5)),1,0))</f>
        <v>0</v>
      </c>
      <c r="DD93" s="247" cm="1">
        <f t="array" ref="DD93">INDEX(Properties!$D:$D,$B93+5)*(IF(AND(DD$3&gt;=INDEX(Properties!$Q:$Q,$B93+5),DD$3&lt;INDEX(Properties!$U:$U,$B93+5)),1,0))</f>
        <v>0</v>
      </c>
      <c r="DE93" s="247" cm="1">
        <f t="array" ref="DE93">INDEX(Properties!$D:$D,$B93+5)*(IF(AND(DE$3&gt;=INDEX(Properties!$Q:$Q,$B93+5),DE$3&lt;INDEX(Properties!$U:$U,$B93+5)),1,0))</f>
        <v>0</v>
      </c>
      <c r="DF93" s="247" cm="1">
        <f t="array" ref="DF93">INDEX(Properties!$D:$D,$B93+5)*(IF(AND(DF$3&gt;=INDEX(Properties!$Q:$Q,$B93+5),DF$3&lt;INDEX(Properties!$U:$U,$B93+5)),1,0))</f>
        <v>0</v>
      </c>
      <c r="DG93" s="247" cm="1">
        <f t="array" ref="DG93">INDEX(Properties!$D:$D,$B93+5)*(IF(AND(DG$3&gt;=INDEX(Properties!$Q:$Q,$B93+5),DG$3&lt;INDEX(Properties!$U:$U,$B93+5)),1,0))</f>
        <v>0</v>
      </c>
      <c r="DH93" s="247" cm="1">
        <f t="array" ref="DH93">INDEX(Properties!$D:$D,$B93+5)*(IF(AND(DH$3&gt;=INDEX(Properties!$Q:$Q,$B93+5),DH$3&lt;INDEX(Properties!$U:$U,$B93+5)),1,0))</f>
        <v>0</v>
      </c>
      <c r="DI93" s="247" cm="1">
        <f t="array" ref="DI93">INDEX(Properties!$D:$D,$B93+5)*(IF(AND(DI$3&gt;=INDEX(Properties!$Q:$Q,$B93+5),DI$3&lt;INDEX(Properties!$U:$U,$B93+5)),1,0))</f>
        <v>0</v>
      </c>
      <c r="DJ93" s="247" cm="1">
        <f t="array" ref="DJ93">INDEX(Properties!$D:$D,$B93+5)*(IF(AND(DJ$3&gt;=INDEX(Properties!$Q:$Q,$B93+5),DJ$3&lt;INDEX(Properties!$U:$U,$B93+5)),1,0))</f>
        <v>0</v>
      </c>
      <c r="DK93" s="247" cm="1">
        <f t="array" ref="DK93">INDEX(Properties!$D:$D,$B93+5)*(IF(AND(DK$3&gt;=INDEX(Properties!$Q:$Q,$B93+5),DK$3&lt;INDEX(Properties!$U:$U,$B93+5)),1,0))</f>
        <v>0</v>
      </c>
      <c r="DL93" s="247" cm="1">
        <f t="array" ref="DL93">INDEX(Properties!$D:$D,$B93+5)*(IF(AND(DL$3&gt;=INDEX(Properties!$Q:$Q,$B93+5),DL$3&lt;INDEX(Properties!$U:$U,$B93+5)),1,0))</f>
        <v>0</v>
      </c>
      <c r="DM93" s="247" cm="1">
        <f t="array" ref="DM93">INDEX(Properties!$D:$D,$B93+5)*(IF(AND(DM$3&gt;=INDEX(Properties!$Q:$Q,$B93+5),DM$3&lt;INDEX(Properties!$U:$U,$B93+5)),1,0))</f>
        <v>0</v>
      </c>
      <c r="DN93" s="247" cm="1">
        <f t="array" ref="DN93">INDEX(Properties!$D:$D,$B93+5)*(IF(AND(DN$3&gt;=INDEX(Properties!$Q:$Q,$B93+5),DN$3&lt;INDEX(Properties!$U:$U,$B93+5)),1,0))</f>
        <v>0</v>
      </c>
      <c r="DO93" s="247" cm="1">
        <f t="array" ref="DO93">INDEX(Properties!$D:$D,$B93+5)*(IF(AND(DO$3&gt;=INDEX(Properties!$Q:$Q,$B93+5),DO$3&lt;INDEX(Properties!$U:$U,$B93+5)),1,0))</f>
        <v>0</v>
      </c>
      <c r="DP93" s="247" cm="1">
        <f t="array" ref="DP93">INDEX(Properties!$D:$D,$B93+5)*(IF(AND(DP$3&gt;=INDEX(Properties!$Q:$Q,$B93+5),DP$3&lt;INDEX(Properties!$U:$U,$B93+5)),1,0))</f>
        <v>0</v>
      </c>
      <c r="DQ93" s="247" cm="1">
        <f t="array" ref="DQ93">INDEX(Properties!$D:$D,$B93+5)*(IF(AND(DQ$3&gt;=INDEX(Properties!$Q:$Q,$B93+5),DQ$3&lt;INDEX(Properties!$U:$U,$B93+5)),1,0))</f>
        <v>0</v>
      </c>
      <c r="DR93" s="247" cm="1">
        <f t="array" ref="DR93">INDEX(Properties!$D:$D,$B93+5)*(IF(AND(DR$3&gt;=INDEX(Properties!$Q:$Q,$B93+5),DR$3&lt;INDEX(Properties!$U:$U,$B93+5)),1,0))</f>
        <v>0</v>
      </c>
    </row>
    <row r="94" spans="1:122" ht="16.05" customHeight="1" x14ac:dyDescent="0.3">
      <c r="A94" s="148" cm="1">
        <f t="array" ref="A94">INDEX(Properties!$E:$E,$B94+5)</f>
        <v>0</v>
      </c>
      <c r="B94" s="1">
        <v>10</v>
      </c>
      <c r="C94" s="247" cm="1">
        <f t="array" ref="C94">INDEX(Properties!$D:$D,$B94+5)*(IF(AND(C$3&gt;=INDEX(Properties!$Q:$Q,$B94+5),C$3&lt;INDEX(Properties!$U:$U,$B94+5)),1,0))</f>
        <v>0</v>
      </c>
      <c r="D94" s="247" cm="1">
        <f t="array" ref="D94">INDEX(Properties!$D:$D,$B94+5)*(IF(AND(D$3&gt;=INDEX(Properties!$Q:$Q,$B94+5),D$3&lt;INDEX(Properties!$U:$U,$B94+5)),1,0))</f>
        <v>0</v>
      </c>
      <c r="E94" s="247" cm="1">
        <f t="array" ref="E94">INDEX(Properties!$D:$D,$B94+5)*(IF(AND(E$3&gt;=INDEX(Properties!$Q:$Q,$B94+5),E$3&lt;INDEX(Properties!$U:$U,$B94+5)),1,0))</f>
        <v>0</v>
      </c>
      <c r="F94" s="247" cm="1">
        <f t="array" ref="F94">INDEX(Properties!$D:$D,$B94+5)*(IF(AND(F$3&gt;=INDEX(Properties!$Q:$Q,$B94+5),F$3&lt;INDEX(Properties!$U:$U,$B94+5)),1,0))</f>
        <v>0</v>
      </c>
      <c r="G94" s="247" cm="1">
        <f t="array" ref="G94">INDEX(Properties!$D:$D,$B94+5)*(IF(AND(G$3&gt;=INDEX(Properties!$Q:$Q,$B94+5),G$3&lt;INDEX(Properties!$U:$U,$B94+5)),1,0))</f>
        <v>0</v>
      </c>
      <c r="H94" s="247" cm="1">
        <f t="array" ref="H94">INDEX(Properties!$D:$D,$B94+5)*(IF(AND(H$3&gt;=INDEX(Properties!$Q:$Q,$B94+5),H$3&lt;INDEX(Properties!$U:$U,$B94+5)),1,0))</f>
        <v>0</v>
      </c>
      <c r="I94" s="247" cm="1">
        <f t="array" ref="I94">INDEX(Properties!$D:$D,$B94+5)*(IF(AND(I$3&gt;=INDEX(Properties!$Q:$Q,$B94+5),I$3&lt;INDEX(Properties!$U:$U,$B94+5)),1,0))</f>
        <v>0</v>
      </c>
      <c r="J94" s="247" cm="1">
        <f t="array" ref="J94">INDEX(Properties!$D:$D,$B94+5)*(IF(AND(J$3&gt;=INDEX(Properties!$Q:$Q,$B94+5),J$3&lt;INDEX(Properties!$U:$U,$B94+5)),1,0))</f>
        <v>0</v>
      </c>
      <c r="K94" s="247" cm="1">
        <f t="array" ref="K94">INDEX(Properties!$D:$D,$B94+5)*(IF(AND(K$3&gt;=INDEX(Properties!$Q:$Q,$B94+5),K$3&lt;INDEX(Properties!$U:$U,$B94+5)),1,0))</f>
        <v>0</v>
      </c>
      <c r="L94" s="247" cm="1">
        <f t="array" ref="L94">INDEX(Properties!$D:$D,$B94+5)*(IF(AND(L$3&gt;=INDEX(Properties!$Q:$Q,$B94+5),L$3&lt;INDEX(Properties!$U:$U,$B94+5)),1,0))</f>
        <v>0</v>
      </c>
      <c r="M94" s="247" cm="1">
        <f t="array" ref="M94">INDEX(Properties!$D:$D,$B94+5)*(IF(AND(M$3&gt;=INDEX(Properties!$Q:$Q,$B94+5),M$3&lt;INDEX(Properties!$U:$U,$B94+5)),1,0))</f>
        <v>0</v>
      </c>
      <c r="N94" s="247" cm="1">
        <f t="array" ref="N94">INDEX(Properties!$D:$D,$B94+5)*(IF(AND(N$3&gt;=INDEX(Properties!$Q:$Q,$B94+5),N$3&lt;INDEX(Properties!$U:$U,$B94+5)),1,0))</f>
        <v>0</v>
      </c>
      <c r="O94" s="247" cm="1">
        <f t="array" ref="O94">INDEX(Properties!$D:$D,$B94+5)*(IF(AND(O$3&gt;=INDEX(Properties!$Q:$Q,$B94+5),O$3&lt;INDEX(Properties!$U:$U,$B94+5)),1,0))</f>
        <v>0</v>
      </c>
      <c r="P94" s="247" cm="1">
        <f t="array" ref="P94">INDEX(Properties!$D:$D,$B94+5)*(IF(AND(P$3&gt;=INDEX(Properties!$Q:$Q,$B94+5),P$3&lt;INDEX(Properties!$U:$U,$B94+5)),1,0))</f>
        <v>0</v>
      </c>
      <c r="Q94" s="247" cm="1">
        <f t="array" ref="Q94">INDEX(Properties!$D:$D,$B94+5)*(IF(AND(Q$3&gt;=INDEX(Properties!$Q:$Q,$B94+5),Q$3&lt;INDEX(Properties!$U:$U,$B94+5)),1,0))</f>
        <v>0</v>
      </c>
      <c r="R94" s="247" cm="1">
        <f t="array" ref="R94">INDEX(Properties!$D:$D,$B94+5)*(IF(AND(R$3&gt;=INDEX(Properties!$Q:$Q,$B94+5),R$3&lt;INDEX(Properties!$U:$U,$B94+5)),1,0))</f>
        <v>0</v>
      </c>
      <c r="S94" s="247" cm="1">
        <f t="array" ref="S94">INDEX(Properties!$D:$D,$B94+5)*(IF(AND(S$3&gt;=INDEX(Properties!$Q:$Q,$B94+5),S$3&lt;INDEX(Properties!$U:$U,$B94+5)),1,0))</f>
        <v>0</v>
      </c>
      <c r="T94" s="247" cm="1">
        <f t="array" ref="T94">INDEX(Properties!$D:$D,$B94+5)*(IF(AND(T$3&gt;=INDEX(Properties!$Q:$Q,$B94+5),T$3&lt;INDEX(Properties!$U:$U,$B94+5)),1,0))</f>
        <v>0</v>
      </c>
      <c r="U94" s="247" cm="1">
        <f t="array" ref="U94">INDEX(Properties!$D:$D,$B94+5)*(IF(AND(U$3&gt;=INDEX(Properties!$Q:$Q,$B94+5),U$3&lt;INDEX(Properties!$U:$U,$B94+5)),1,0))</f>
        <v>0</v>
      </c>
      <c r="V94" s="247" cm="1">
        <f t="array" ref="V94">INDEX(Properties!$D:$D,$B94+5)*(IF(AND(V$3&gt;=INDEX(Properties!$Q:$Q,$B94+5),V$3&lt;INDEX(Properties!$U:$U,$B94+5)),1,0))</f>
        <v>0</v>
      </c>
      <c r="W94" s="247" cm="1">
        <f t="array" ref="W94">INDEX(Properties!$D:$D,$B94+5)*(IF(AND(W$3&gt;=INDEX(Properties!$Q:$Q,$B94+5),W$3&lt;INDEX(Properties!$U:$U,$B94+5)),1,0))</f>
        <v>0</v>
      </c>
      <c r="X94" s="247" cm="1">
        <f t="array" ref="X94">INDEX(Properties!$D:$D,$B94+5)*(IF(AND(X$3&gt;=INDEX(Properties!$Q:$Q,$B94+5),X$3&lt;INDEX(Properties!$U:$U,$B94+5)),1,0))</f>
        <v>0</v>
      </c>
      <c r="Y94" s="247" cm="1">
        <f t="array" ref="Y94">INDEX(Properties!$D:$D,$B94+5)*(IF(AND(Y$3&gt;=INDEX(Properties!$Q:$Q,$B94+5),Y$3&lt;INDEX(Properties!$U:$U,$B94+5)),1,0))</f>
        <v>0</v>
      </c>
      <c r="Z94" s="247" cm="1">
        <f t="array" ref="Z94">INDEX(Properties!$D:$D,$B94+5)*(IF(AND(Z$3&gt;=INDEX(Properties!$Q:$Q,$B94+5),Z$3&lt;INDEX(Properties!$U:$U,$B94+5)),1,0))</f>
        <v>0</v>
      </c>
      <c r="AA94" s="247" cm="1">
        <f t="array" ref="AA94">INDEX(Properties!$D:$D,$B94+5)*(IF(AND(AA$3&gt;=INDEX(Properties!$Q:$Q,$B94+5),AA$3&lt;INDEX(Properties!$U:$U,$B94+5)),1,0))</f>
        <v>0</v>
      </c>
      <c r="AB94" s="247" cm="1">
        <f t="array" ref="AB94">INDEX(Properties!$D:$D,$B94+5)*(IF(AND(AB$3&gt;=INDEX(Properties!$Q:$Q,$B94+5),AB$3&lt;INDEX(Properties!$U:$U,$B94+5)),1,0))</f>
        <v>0</v>
      </c>
      <c r="AC94" s="247" cm="1">
        <f t="array" ref="AC94">INDEX(Properties!$D:$D,$B94+5)*(IF(AND(AC$3&gt;=INDEX(Properties!$Q:$Q,$B94+5),AC$3&lt;INDEX(Properties!$U:$U,$B94+5)),1,0))</f>
        <v>0</v>
      </c>
      <c r="AD94" s="247" cm="1">
        <f t="array" ref="AD94">INDEX(Properties!$D:$D,$B94+5)*(IF(AND(AD$3&gt;=INDEX(Properties!$Q:$Q,$B94+5),AD$3&lt;INDEX(Properties!$U:$U,$B94+5)),1,0))</f>
        <v>0</v>
      </c>
      <c r="AE94" s="247" cm="1">
        <f t="array" ref="AE94">INDEX(Properties!$D:$D,$B94+5)*(IF(AND(AE$3&gt;=INDEX(Properties!$Q:$Q,$B94+5),AE$3&lt;INDEX(Properties!$U:$U,$B94+5)),1,0))</f>
        <v>0</v>
      </c>
      <c r="AF94" s="247" cm="1">
        <f t="array" ref="AF94">INDEX(Properties!$D:$D,$B94+5)*(IF(AND(AF$3&gt;=INDEX(Properties!$Q:$Q,$B94+5),AF$3&lt;INDEX(Properties!$U:$U,$B94+5)),1,0))</f>
        <v>0</v>
      </c>
      <c r="AG94" s="247" cm="1">
        <f t="array" ref="AG94">INDEX(Properties!$D:$D,$B94+5)*(IF(AND(AG$3&gt;=INDEX(Properties!$Q:$Q,$B94+5),AG$3&lt;INDEX(Properties!$U:$U,$B94+5)),1,0))</f>
        <v>0</v>
      </c>
      <c r="AH94" s="247" cm="1">
        <f t="array" ref="AH94">INDEX(Properties!$D:$D,$B94+5)*(IF(AND(AH$3&gt;=INDEX(Properties!$Q:$Q,$B94+5),AH$3&lt;INDEX(Properties!$U:$U,$B94+5)),1,0))</f>
        <v>0</v>
      </c>
      <c r="AI94" s="247" cm="1">
        <f t="array" ref="AI94">INDEX(Properties!$D:$D,$B94+5)*(IF(AND(AI$3&gt;=INDEX(Properties!$Q:$Q,$B94+5),AI$3&lt;INDEX(Properties!$U:$U,$B94+5)),1,0))</f>
        <v>0</v>
      </c>
      <c r="AJ94" s="247" cm="1">
        <f t="array" ref="AJ94">INDEX(Properties!$D:$D,$B94+5)*(IF(AND(AJ$3&gt;=INDEX(Properties!$Q:$Q,$B94+5),AJ$3&lt;INDEX(Properties!$U:$U,$B94+5)),1,0))</f>
        <v>0</v>
      </c>
      <c r="AK94" s="247" cm="1">
        <f t="array" ref="AK94">INDEX(Properties!$D:$D,$B94+5)*(IF(AND(AK$3&gt;=INDEX(Properties!$Q:$Q,$B94+5),AK$3&lt;INDEX(Properties!$U:$U,$B94+5)),1,0))</f>
        <v>0</v>
      </c>
      <c r="AL94" s="247" cm="1">
        <f t="array" ref="AL94">INDEX(Properties!$D:$D,$B94+5)*(IF(AND(AL$3&gt;=INDEX(Properties!$Q:$Q,$B94+5),AL$3&lt;INDEX(Properties!$U:$U,$B94+5)),1,0))</f>
        <v>0</v>
      </c>
      <c r="AM94" s="247" cm="1">
        <f t="array" ref="AM94">INDEX(Properties!$D:$D,$B94+5)*(IF(AND(AM$3&gt;=INDEX(Properties!$Q:$Q,$B94+5),AM$3&lt;INDEX(Properties!$U:$U,$B94+5)),1,0))</f>
        <v>0</v>
      </c>
      <c r="AN94" s="247" cm="1">
        <f t="array" ref="AN94">INDEX(Properties!$D:$D,$B94+5)*(IF(AND(AN$3&gt;=INDEX(Properties!$Q:$Q,$B94+5),AN$3&lt;INDEX(Properties!$U:$U,$B94+5)),1,0))</f>
        <v>0</v>
      </c>
      <c r="AO94" s="247" cm="1">
        <f t="array" ref="AO94">INDEX(Properties!$D:$D,$B94+5)*(IF(AND(AO$3&gt;=INDEX(Properties!$Q:$Q,$B94+5),AO$3&lt;INDEX(Properties!$U:$U,$B94+5)),1,0))</f>
        <v>0</v>
      </c>
      <c r="AP94" s="247" cm="1">
        <f t="array" ref="AP94">INDEX(Properties!$D:$D,$B94+5)*(IF(AND(AP$3&gt;=INDEX(Properties!$Q:$Q,$B94+5),AP$3&lt;INDEX(Properties!$U:$U,$B94+5)),1,0))</f>
        <v>0</v>
      </c>
      <c r="AQ94" s="247" cm="1">
        <f t="array" ref="AQ94">INDEX(Properties!$D:$D,$B94+5)*(IF(AND(AQ$3&gt;=INDEX(Properties!$Q:$Q,$B94+5),AQ$3&lt;INDEX(Properties!$U:$U,$B94+5)),1,0))</f>
        <v>0</v>
      </c>
      <c r="AR94" s="247" cm="1">
        <f t="array" ref="AR94">INDEX(Properties!$D:$D,$B94+5)*(IF(AND(AR$3&gt;=INDEX(Properties!$Q:$Q,$B94+5),AR$3&lt;INDEX(Properties!$U:$U,$B94+5)),1,0))</f>
        <v>0</v>
      </c>
      <c r="AS94" s="247" cm="1">
        <f t="array" ref="AS94">INDEX(Properties!$D:$D,$B94+5)*(IF(AND(AS$3&gt;=INDEX(Properties!$Q:$Q,$B94+5),AS$3&lt;INDEX(Properties!$U:$U,$B94+5)),1,0))</f>
        <v>0</v>
      </c>
      <c r="AT94" s="247" cm="1">
        <f t="array" ref="AT94">INDEX(Properties!$D:$D,$B94+5)*(IF(AND(AT$3&gt;=INDEX(Properties!$Q:$Q,$B94+5),AT$3&lt;INDEX(Properties!$U:$U,$B94+5)),1,0))</f>
        <v>0</v>
      </c>
      <c r="AU94" s="247" cm="1">
        <f t="array" ref="AU94">INDEX(Properties!$D:$D,$B94+5)*(IF(AND(AU$3&gt;=INDEX(Properties!$Q:$Q,$B94+5),AU$3&lt;INDEX(Properties!$U:$U,$B94+5)),1,0))</f>
        <v>0</v>
      </c>
      <c r="AV94" s="247" cm="1">
        <f t="array" ref="AV94">INDEX(Properties!$D:$D,$B94+5)*(IF(AND(AV$3&gt;=INDEX(Properties!$Q:$Q,$B94+5),AV$3&lt;INDEX(Properties!$U:$U,$B94+5)),1,0))</f>
        <v>0</v>
      </c>
      <c r="AW94" s="247" cm="1">
        <f t="array" ref="AW94">INDEX(Properties!$D:$D,$B94+5)*(IF(AND(AW$3&gt;=INDEX(Properties!$Q:$Q,$B94+5),AW$3&lt;INDEX(Properties!$U:$U,$B94+5)),1,0))</f>
        <v>0</v>
      </c>
      <c r="AX94" s="247" cm="1">
        <f t="array" ref="AX94">INDEX(Properties!$D:$D,$B94+5)*(IF(AND(AX$3&gt;=INDEX(Properties!$Q:$Q,$B94+5),AX$3&lt;INDEX(Properties!$U:$U,$B94+5)),1,0))</f>
        <v>0</v>
      </c>
      <c r="AY94" s="247" cm="1">
        <f t="array" ref="AY94">INDEX(Properties!$D:$D,$B94+5)*(IF(AND(AY$3&gt;=INDEX(Properties!$Q:$Q,$B94+5),AY$3&lt;INDEX(Properties!$U:$U,$B94+5)),1,0))</f>
        <v>0</v>
      </c>
      <c r="AZ94" s="247" cm="1">
        <f t="array" ref="AZ94">INDEX(Properties!$D:$D,$B94+5)*(IF(AND(AZ$3&gt;=INDEX(Properties!$Q:$Q,$B94+5),AZ$3&lt;INDEX(Properties!$U:$U,$B94+5)),1,0))</f>
        <v>0</v>
      </c>
      <c r="BA94" s="247" cm="1">
        <f t="array" ref="BA94">INDEX(Properties!$D:$D,$B94+5)*(IF(AND(BA$3&gt;=INDEX(Properties!$Q:$Q,$B94+5),BA$3&lt;INDEX(Properties!$U:$U,$B94+5)),1,0))</f>
        <v>0</v>
      </c>
      <c r="BB94" s="247" cm="1">
        <f t="array" ref="BB94">INDEX(Properties!$D:$D,$B94+5)*(IF(AND(BB$3&gt;=INDEX(Properties!$Q:$Q,$B94+5),BB$3&lt;INDEX(Properties!$U:$U,$B94+5)),1,0))</f>
        <v>0</v>
      </c>
      <c r="BC94" s="247" cm="1">
        <f t="array" ref="BC94">INDEX(Properties!$D:$D,$B94+5)*(IF(AND(BC$3&gt;=INDEX(Properties!$Q:$Q,$B94+5),BC$3&lt;INDEX(Properties!$U:$U,$B94+5)),1,0))</f>
        <v>0</v>
      </c>
      <c r="BD94" s="247" cm="1">
        <f t="array" ref="BD94">INDEX(Properties!$D:$D,$B94+5)*(IF(AND(BD$3&gt;=INDEX(Properties!$Q:$Q,$B94+5),BD$3&lt;INDEX(Properties!$U:$U,$B94+5)),1,0))</f>
        <v>0</v>
      </c>
      <c r="BE94" s="247" cm="1">
        <f t="array" ref="BE94">INDEX(Properties!$D:$D,$B94+5)*(IF(AND(BE$3&gt;=INDEX(Properties!$Q:$Q,$B94+5),BE$3&lt;INDEX(Properties!$U:$U,$B94+5)),1,0))</f>
        <v>0</v>
      </c>
      <c r="BF94" s="247" cm="1">
        <f t="array" ref="BF94">INDEX(Properties!$D:$D,$B94+5)*(IF(AND(BF$3&gt;=INDEX(Properties!$Q:$Q,$B94+5),BF$3&lt;INDEX(Properties!$U:$U,$B94+5)),1,0))</f>
        <v>0</v>
      </c>
      <c r="BG94" s="247" cm="1">
        <f t="array" ref="BG94">INDEX(Properties!$D:$D,$B94+5)*(IF(AND(BG$3&gt;=INDEX(Properties!$Q:$Q,$B94+5),BG$3&lt;INDEX(Properties!$U:$U,$B94+5)),1,0))</f>
        <v>0</v>
      </c>
      <c r="BH94" s="247" cm="1">
        <f t="array" ref="BH94">INDEX(Properties!$D:$D,$B94+5)*(IF(AND(BH$3&gt;=INDEX(Properties!$Q:$Q,$B94+5),BH$3&lt;INDEX(Properties!$U:$U,$B94+5)),1,0))</f>
        <v>0</v>
      </c>
      <c r="BI94" s="247" cm="1">
        <f t="array" ref="BI94">INDEX(Properties!$D:$D,$B94+5)*(IF(AND(BI$3&gt;=INDEX(Properties!$Q:$Q,$B94+5),BI$3&lt;INDEX(Properties!$U:$U,$B94+5)),1,0))</f>
        <v>0</v>
      </c>
      <c r="BJ94" s="247" cm="1">
        <f t="array" ref="BJ94">INDEX(Properties!$D:$D,$B94+5)*(IF(AND(BJ$3&gt;=INDEX(Properties!$Q:$Q,$B94+5),BJ$3&lt;INDEX(Properties!$U:$U,$B94+5)),1,0))</f>
        <v>0</v>
      </c>
      <c r="BK94" s="247" cm="1">
        <f t="array" ref="BK94">INDEX(Properties!$D:$D,$B94+5)*(IF(AND(BK$3&gt;=INDEX(Properties!$Q:$Q,$B94+5),BK$3&lt;INDEX(Properties!$U:$U,$B94+5)),1,0))</f>
        <v>0</v>
      </c>
      <c r="BL94" s="247" cm="1">
        <f t="array" ref="BL94">INDEX(Properties!$D:$D,$B94+5)*(IF(AND(BL$3&gt;=INDEX(Properties!$Q:$Q,$B94+5),BL$3&lt;INDEX(Properties!$U:$U,$B94+5)),1,0))</f>
        <v>0</v>
      </c>
      <c r="BM94" s="247" cm="1">
        <f t="array" ref="BM94">INDEX(Properties!$D:$D,$B94+5)*(IF(AND(BM$3&gt;=INDEX(Properties!$Q:$Q,$B94+5),BM$3&lt;INDEX(Properties!$U:$U,$B94+5)),1,0))</f>
        <v>0</v>
      </c>
      <c r="BN94" s="247" cm="1">
        <f t="array" ref="BN94">INDEX(Properties!$D:$D,$B94+5)*(IF(AND(BN$3&gt;=INDEX(Properties!$Q:$Q,$B94+5),BN$3&lt;INDEX(Properties!$U:$U,$B94+5)),1,0))</f>
        <v>0</v>
      </c>
      <c r="BO94" s="247" cm="1">
        <f t="array" ref="BO94">INDEX(Properties!$D:$D,$B94+5)*(IF(AND(BO$3&gt;=INDEX(Properties!$Q:$Q,$B94+5),BO$3&lt;INDEX(Properties!$U:$U,$B94+5)),1,0))</f>
        <v>0</v>
      </c>
      <c r="BP94" s="247" cm="1">
        <f t="array" ref="BP94">INDEX(Properties!$D:$D,$B94+5)*(IF(AND(BP$3&gt;=INDEX(Properties!$Q:$Q,$B94+5),BP$3&lt;INDEX(Properties!$U:$U,$B94+5)),1,0))</f>
        <v>0</v>
      </c>
      <c r="BQ94" s="247" cm="1">
        <f t="array" ref="BQ94">INDEX(Properties!$D:$D,$B94+5)*(IF(AND(BQ$3&gt;=INDEX(Properties!$Q:$Q,$B94+5),BQ$3&lt;INDEX(Properties!$U:$U,$B94+5)),1,0))</f>
        <v>0</v>
      </c>
      <c r="BR94" s="247" cm="1">
        <f t="array" ref="BR94">INDEX(Properties!$D:$D,$B94+5)*(IF(AND(BR$3&gt;=INDEX(Properties!$Q:$Q,$B94+5),BR$3&lt;INDEX(Properties!$U:$U,$B94+5)),1,0))</f>
        <v>0</v>
      </c>
      <c r="BS94" s="247" cm="1">
        <f t="array" ref="BS94">INDEX(Properties!$D:$D,$B94+5)*(IF(AND(BS$3&gt;=INDEX(Properties!$Q:$Q,$B94+5),BS$3&lt;INDEX(Properties!$U:$U,$B94+5)),1,0))</f>
        <v>0</v>
      </c>
      <c r="BT94" s="247" cm="1">
        <f t="array" ref="BT94">INDEX(Properties!$D:$D,$B94+5)*(IF(AND(BT$3&gt;=INDEX(Properties!$Q:$Q,$B94+5),BT$3&lt;INDEX(Properties!$U:$U,$B94+5)),1,0))</f>
        <v>0</v>
      </c>
      <c r="BU94" s="247" cm="1">
        <f t="array" ref="BU94">INDEX(Properties!$D:$D,$B94+5)*(IF(AND(BU$3&gt;=INDEX(Properties!$Q:$Q,$B94+5),BU$3&lt;INDEX(Properties!$U:$U,$B94+5)),1,0))</f>
        <v>0</v>
      </c>
      <c r="BV94" s="247" cm="1">
        <f t="array" ref="BV94">INDEX(Properties!$D:$D,$B94+5)*(IF(AND(BV$3&gt;=INDEX(Properties!$Q:$Q,$B94+5),BV$3&lt;INDEX(Properties!$U:$U,$B94+5)),1,0))</f>
        <v>0</v>
      </c>
      <c r="BW94" s="247" cm="1">
        <f t="array" ref="BW94">INDEX(Properties!$D:$D,$B94+5)*(IF(AND(BW$3&gt;=INDEX(Properties!$Q:$Q,$B94+5),BW$3&lt;INDEX(Properties!$U:$U,$B94+5)),1,0))</f>
        <v>0</v>
      </c>
      <c r="BX94" s="247" cm="1">
        <f t="array" ref="BX94">INDEX(Properties!$D:$D,$B94+5)*(IF(AND(BX$3&gt;=INDEX(Properties!$Q:$Q,$B94+5),BX$3&lt;INDEX(Properties!$U:$U,$B94+5)),1,0))</f>
        <v>0</v>
      </c>
      <c r="BY94" s="247" cm="1">
        <f t="array" ref="BY94">INDEX(Properties!$D:$D,$B94+5)*(IF(AND(BY$3&gt;=INDEX(Properties!$Q:$Q,$B94+5),BY$3&lt;INDEX(Properties!$U:$U,$B94+5)),1,0))</f>
        <v>0</v>
      </c>
      <c r="BZ94" s="247" cm="1">
        <f t="array" ref="BZ94">INDEX(Properties!$D:$D,$B94+5)*(IF(AND(BZ$3&gt;=INDEX(Properties!$Q:$Q,$B94+5),BZ$3&lt;INDEX(Properties!$U:$U,$B94+5)),1,0))</f>
        <v>0</v>
      </c>
      <c r="CA94" s="247" cm="1">
        <f t="array" ref="CA94">INDEX(Properties!$D:$D,$B94+5)*(IF(AND(CA$3&gt;=INDEX(Properties!$Q:$Q,$B94+5),CA$3&lt;INDEX(Properties!$U:$U,$B94+5)),1,0))</f>
        <v>0</v>
      </c>
      <c r="CB94" s="247" cm="1">
        <f t="array" ref="CB94">INDEX(Properties!$D:$D,$B94+5)*(IF(AND(CB$3&gt;=INDEX(Properties!$Q:$Q,$B94+5),CB$3&lt;INDEX(Properties!$U:$U,$B94+5)),1,0))</f>
        <v>0</v>
      </c>
      <c r="CC94" s="247" cm="1">
        <f t="array" ref="CC94">INDEX(Properties!$D:$D,$B94+5)*(IF(AND(CC$3&gt;=INDEX(Properties!$Q:$Q,$B94+5),CC$3&lt;INDEX(Properties!$U:$U,$B94+5)),1,0))</f>
        <v>0</v>
      </c>
      <c r="CD94" s="247" cm="1">
        <f t="array" ref="CD94">INDEX(Properties!$D:$D,$B94+5)*(IF(AND(CD$3&gt;=INDEX(Properties!$Q:$Q,$B94+5),CD$3&lt;INDEX(Properties!$U:$U,$B94+5)),1,0))</f>
        <v>0</v>
      </c>
      <c r="CE94" s="247" cm="1">
        <f t="array" ref="CE94">INDEX(Properties!$D:$D,$B94+5)*(IF(AND(CE$3&gt;=INDEX(Properties!$Q:$Q,$B94+5),CE$3&lt;INDEX(Properties!$U:$U,$B94+5)),1,0))</f>
        <v>0</v>
      </c>
      <c r="CF94" s="247" cm="1">
        <f t="array" ref="CF94">INDEX(Properties!$D:$D,$B94+5)*(IF(AND(CF$3&gt;=INDEX(Properties!$Q:$Q,$B94+5),CF$3&lt;INDEX(Properties!$U:$U,$B94+5)),1,0))</f>
        <v>0</v>
      </c>
      <c r="CG94" s="247" cm="1">
        <f t="array" ref="CG94">INDEX(Properties!$D:$D,$B94+5)*(IF(AND(CG$3&gt;=INDEX(Properties!$Q:$Q,$B94+5),CG$3&lt;INDEX(Properties!$U:$U,$B94+5)),1,0))</f>
        <v>0</v>
      </c>
      <c r="CH94" s="247" cm="1">
        <f t="array" ref="CH94">INDEX(Properties!$D:$D,$B94+5)*(IF(AND(CH$3&gt;=INDEX(Properties!$Q:$Q,$B94+5),CH$3&lt;INDEX(Properties!$U:$U,$B94+5)),1,0))</f>
        <v>0</v>
      </c>
      <c r="CI94" s="247" cm="1">
        <f t="array" ref="CI94">INDEX(Properties!$D:$D,$B94+5)*(IF(AND(CI$3&gt;=INDEX(Properties!$Q:$Q,$B94+5),CI$3&lt;INDEX(Properties!$U:$U,$B94+5)),1,0))</f>
        <v>0</v>
      </c>
      <c r="CJ94" s="247" cm="1">
        <f t="array" ref="CJ94">INDEX(Properties!$D:$D,$B94+5)*(IF(AND(CJ$3&gt;=INDEX(Properties!$Q:$Q,$B94+5),CJ$3&lt;INDEX(Properties!$U:$U,$B94+5)),1,0))</f>
        <v>0</v>
      </c>
      <c r="CK94" s="247" cm="1">
        <f t="array" ref="CK94">INDEX(Properties!$D:$D,$B94+5)*(IF(AND(CK$3&gt;=INDEX(Properties!$Q:$Q,$B94+5),CK$3&lt;INDEX(Properties!$U:$U,$B94+5)),1,0))</f>
        <v>0</v>
      </c>
      <c r="CL94" s="247" cm="1">
        <f t="array" ref="CL94">INDEX(Properties!$D:$D,$B94+5)*(IF(AND(CL$3&gt;=INDEX(Properties!$Q:$Q,$B94+5),CL$3&lt;INDEX(Properties!$U:$U,$B94+5)),1,0))</f>
        <v>0</v>
      </c>
      <c r="CM94" s="247" cm="1">
        <f t="array" ref="CM94">INDEX(Properties!$D:$D,$B94+5)*(IF(AND(CM$3&gt;=INDEX(Properties!$Q:$Q,$B94+5),CM$3&lt;INDEX(Properties!$U:$U,$B94+5)),1,0))</f>
        <v>0</v>
      </c>
      <c r="CN94" s="247" cm="1">
        <f t="array" ref="CN94">INDEX(Properties!$D:$D,$B94+5)*(IF(AND(CN$3&gt;=INDEX(Properties!$Q:$Q,$B94+5),CN$3&lt;INDEX(Properties!$U:$U,$B94+5)),1,0))</f>
        <v>0</v>
      </c>
      <c r="CO94" s="247" cm="1">
        <f t="array" ref="CO94">INDEX(Properties!$D:$D,$B94+5)*(IF(AND(CO$3&gt;=INDEX(Properties!$Q:$Q,$B94+5),CO$3&lt;INDEX(Properties!$U:$U,$B94+5)),1,0))</f>
        <v>0</v>
      </c>
      <c r="CP94" s="247" cm="1">
        <f t="array" ref="CP94">INDEX(Properties!$D:$D,$B94+5)*(IF(AND(CP$3&gt;=INDEX(Properties!$Q:$Q,$B94+5),CP$3&lt;INDEX(Properties!$U:$U,$B94+5)),1,0))</f>
        <v>0</v>
      </c>
      <c r="CQ94" s="247" cm="1">
        <f t="array" ref="CQ94">INDEX(Properties!$D:$D,$B94+5)*(IF(AND(CQ$3&gt;=INDEX(Properties!$Q:$Q,$B94+5),CQ$3&lt;INDEX(Properties!$U:$U,$B94+5)),1,0))</f>
        <v>0</v>
      </c>
      <c r="CR94" s="247" cm="1">
        <f t="array" ref="CR94">INDEX(Properties!$D:$D,$B94+5)*(IF(AND(CR$3&gt;=INDEX(Properties!$Q:$Q,$B94+5),CR$3&lt;INDEX(Properties!$U:$U,$B94+5)),1,0))</f>
        <v>0</v>
      </c>
      <c r="CS94" s="247" cm="1">
        <f t="array" ref="CS94">INDEX(Properties!$D:$D,$B94+5)*(IF(AND(CS$3&gt;=INDEX(Properties!$Q:$Q,$B94+5),CS$3&lt;INDEX(Properties!$U:$U,$B94+5)),1,0))</f>
        <v>0</v>
      </c>
      <c r="CT94" s="247" cm="1">
        <f t="array" ref="CT94">INDEX(Properties!$D:$D,$B94+5)*(IF(AND(CT$3&gt;=INDEX(Properties!$Q:$Q,$B94+5),CT$3&lt;INDEX(Properties!$U:$U,$B94+5)),1,0))</f>
        <v>0</v>
      </c>
      <c r="CU94" s="247" cm="1">
        <f t="array" ref="CU94">INDEX(Properties!$D:$D,$B94+5)*(IF(AND(CU$3&gt;=INDEX(Properties!$Q:$Q,$B94+5),CU$3&lt;INDEX(Properties!$U:$U,$B94+5)),1,0))</f>
        <v>0</v>
      </c>
      <c r="CV94" s="247" cm="1">
        <f t="array" ref="CV94">INDEX(Properties!$D:$D,$B94+5)*(IF(AND(CV$3&gt;=INDEX(Properties!$Q:$Q,$B94+5),CV$3&lt;INDEX(Properties!$U:$U,$B94+5)),1,0))</f>
        <v>0</v>
      </c>
      <c r="CW94" s="247" cm="1">
        <f t="array" ref="CW94">INDEX(Properties!$D:$D,$B94+5)*(IF(AND(CW$3&gt;=INDEX(Properties!$Q:$Q,$B94+5),CW$3&lt;INDEX(Properties!$U:$U,$B94+5)),1,0))</f>
        <v>0</v>
      </c>
      <c r="CX94" s="247" cm="1">
        <f t="array" ref="CX94">INDEX(Properties!$D:$D,$B94+5)*(IF(AND(CX$3&gt;=INDEX(Properties!$Q:$Q,$B94+5),CX$3&lt;INDEX(Properties!$U:$U,$B94+5)),1,0))</f>
        <v>0</v>
      </c>
      <c r="CY94" s="247" cm="1">
        <f t="array" ref="CY94">INDEX(Properties!$D:$D,$B94+5)*(IF(AND(CY$3&gt;=INDEX(Properties!$Q:$Q,$B94+5),CY$3&lt;INDEX(Properties!$U:$U,$B94+5)),1,0))</f>
        <v>0</v>
      </c>
      <c r="CZ94" s="247" cm="1">
        <f t="array" ref="CZ94">INDEX(Properties!$D:$D,$B94+5)*(IF(AND(CZ$3&gt;=INDEX(Properties!$Q:$Q,$B94+5),CZ$3&lt;INDEX(Properties!$U:$U,$B94+5)),1,0))</f>
        <v>0</v>
      </c>
      <c r="DA94" s="247" cm="1">
        <f t="array" ref="DA94">INDEX(Properties!$D:$D,$B94+5)*(IF(AND(DA$3&gt;=INDEX(Properties!$Q:$Q,$B94+5),DA$3&lt;INDEX(Properties!$U:$U,$B94+5)),1,0))</f>
        <v>0</v>
      </c>
      <c r="DB94" s="247" cm="1">
        <f t="array" ref="DB94">INDEX(Properties!$D:$D,$B94+5)*(IF(AND(DB$3&gt;=INDEX(Properties!$Q:$Q,$B94+5),DB$3&lt;INDEX(Properties!$U:$U,$B94+5)),1,0))</f>
        <v>0</v>
      </c>
      <c r="DC94" s="247" cm="1">
        <f t="array" ref="DC94">INDEX(Properties!$D:$D,$B94+5)*(IF(AND(DC$3&gt;=INDEX(Properties!$Q:$Q,$B94+5),DC$3&lt;INDEX(Properties!$U:$U,$B94+5)),1,0))</f>
        <v>0</v>
      </c>
      <c r="DD94" s="247" cm="1">
        <f t="array" ref="DD94">INDEX(Properties!$D:$D,$B94+5)*(IF(AND(DD$3&gt;=INDEX(Properties!$Q:$Q,$B94+5),DD$3&lt;INDEX(Properties!$U:$U,$B94+5)),1,0))</f>
        <v>0</v>
      </c>
      <c r="DE94" s="247" cm="1">
        <f t="array" ref="DE94">INDEX(Properties!$D:$D,$B94+5)*(IF(AND(DE$3&gt;=INDEX(Properties!$Q:$Q,$B94+5),DE$3&lt;INDEX(Properties!$U:$U,$B94+5)),1,0))</f>
        <v>0</v>
      </c>
      <c r="DF94" s="247" cm="1">
        <f t="array" ref="DF94">INDEX(Properties!$D:$D,$B94+5)*(IF(AND(DF$3&gt;=INDEX(Properties!$Q:$Q,$B94+5),DF$3&lt;INDEX(Properties!$U:$U,$B94+5)),1,0))</f>
        <v>0</v>
      </c>
      <c r="DG94" s="247" cm="1">
        <f t="array" ref="DG94">INDEX(Properties!$D:$D,$B94+5)*(IF(AND(DG$3&gt;=INDEX(Properties!$Q:$Q,$B94+5),DG$3&lt;INDEX(Properties!$U:$U,$B94+5)),1,0))</f>
        <v>0</v>
      </c>
      <c r="DH94" s="247" cm="1">
        <f t="array" ref="DH94">INDEX(Properties!$D:$D,$B94+5)*(IF(AND(DH$3&gt;=INDEX(Properties!$Q:$Q,$B94+5),DH$3&lt;INDEX(Properties!$U:$U,$B94+5)),1,0))</f>
        <v>0</v>
      </c>
      <c r="DI94" s="247" cm="1">
        <f t="array" ref="DI94">INDEX(Properties!$D:$D,$B94+5)*(IF(AND(DI$3&gt;=INDEX(Properties!$Q:$Q,$B94+5),DI$3&lt;INDEX(Properties!$U:$U,$B94+5)),1,0))</f>
        <v>0</v>
      </c>
      <c r="DJ94" s="247" cm="1">
        <f t="array" ref="DJ94">INDEX(Properties!$D:$D,$B94+5)*(IF(AND(DJ$3&gt;=INDEX(Properties!$Q:$Q,$B94+5),DJ$3&lt;INDEX(Properties!$U:$U,$B94+5)),1,0))</f>
        <v>0</v>
      </c>
      <c r="DK94" s="247" cm="1">
        <f t="array" ref="DK94">INDEX(Properties!$D:$D,$B94+5)*(IF(AND(DK$3&gt;=INDEX(Properties!$Q:$Q,$B94+5),DK$3&lt;INDEX(Properties!$U:$U,$B94+5)),1,0))</f>
        <v>0</v>
      </c>
      <c r="DL94" s="247" cm="1">
        <f t="array" ref="DL94">INDEX(Properties!$D:$D,$B94+5)*(IF(AND(DL$3&gt;=INDEX(Properties!$Q:$Q,$B94+5),DL$3&lt;INDEX(Properties!$U:$U,$B94+5)),1,0))</f>
        <v>0</v>
      </c>
      <c r="DM94" s="247" cm="1">
        <f t="array" ref="DM94">INDEX(Properties!$D:$D,$B94+5)*(IF(AND(DM$3&gt;=INDEX(Properties!$Q:$Q,$B94+5),DM$3&lt;INDEX(Properties!$U:$U,$B94+5)),1,0))</f>
        <v>0</v>
      </c>
      <c r="DN94" s="247" cm="1">
        <f t="array" ref="DN94">INDEX(Properties!$D:$D,$B94+5)*(IF(AND(DN$3&gt;=INDEX(Properties!$Q:$Q,$B94+5),DN$3&lt;INDEX(Properties!$U:$U,$B94+5)),1,0))</f>
        <v>0</v>
      </c>
      <c r="DO94" s="247" cm="1">
        <f t="array" ref="DO94">INDEX(Properties!$D:$D,$B94+5)*(IF(AND(DO$3&gt;=INDEX(Properties!$Q:$Q,$B94+5),DO$3&lt;INDEX(Properties!$U:$U,$B94+5)),1,0))</f>
        <v>0</v>
      </c>
      <c r="DP94" s="247" cm="1">
        <f t="array" ref="DP94">INDEX(Properties!$D:$D,$B94+5)*(IF(AND(DP$3&gt;=INDEX(Properties!$Q:$Q,$B94+5),DP$3&lt;INDEX(Properties!$U:$U,$B94+5)),1,0))</f>
        <v>0</v>
      </c>
      <c r="DQ94" s="247" cm="1">
        <f t="array" ref="DQ94">INDEX(Properties!$D:$D,$B94+5)*(IF(AND(DQ$3&gt;=INDEX(Properties!$Q:$Q,$B94+5),DQ$3&lt;INDEX(Properties!$U:$U,$B94+5)),1,0))</f>
        <v>0</v>
      </c>
      <c r="DR94" s="247" cm="1">
        <f t="array" ref="DR94">INDEX(Properties!$D:$D,$B94+5)*(IF(AND(DR$3&gt;=INDEX(Properties!$Q:$Q,$B94+5),DR$3&lt;INDEX(Properties!$U:$U,$B94+5)),1,0))</f>
        <v>0</v>
      </c>
    </row>
    <row r="95" spans="1:122" ht="16.05" customHeight="1" x14ac:dyDescent="0.3">
      <c r="A95" s="148" cm="1">
        <f t="array" ref="A95">INDEX(Properties!$E:$E,$B95+5)</f>
        <v>0</v>
      </c>
      <c r="B95" s="1">
        <v>8</v>
      </c>
      <c r="C95" s="247" cm="1">
        <f t="array" ref="C95">INDEX(Properties!$D:$D,$B95+5)*(IF(AND(C$3&gt;=INDEX(Properties!$Q:$Q,$B95+5),C$3&lt;INDEX(Properties!$U:$U,$B95+5)),1,0))</f>
        <v>0</v>
      </c>
      <c r="D95" s="247" cm="1">
        <f t="array" ref="D95">INDEX(Properties!$D:$D,$B95+5)*(IF(AND(D$3&gt;=INDEX(Properties!$Q:$Q,$B95+5),D$3&lt;INDEX(Properties!$U:$U,$B95+5)),1,0))</f>
        <v>0</v>
      </c>
      <c r="E95" s="247" cm="1">
        <f t="array" ref="E95">INDEX(Properties!$D:$D,$B95+5)*(IF(AND(E$3&gt;=INDEX(Properties!$Q:$Q,$B95+5),E$3&lt;INDEX(Properties!$U:$U,$B95+5)),1,0))</f>
        <v>0</v>
      </c>
      <c r="F95" s="247" cm="1">
        <f t="array" ref="F95">INDEX(Properties!$D:$D,$B95+5)*(IF(AND(F$3&gt;=INDEX(Properties!$Q:$Q,$B95+5),F$3&lt;INDEX(Properties!$U:$U,$B95+5)),1,0))</f>
        <v>0</v>
      </c>
      <c r="G95" s="247" cm="1">
        <f t="array" ref="G95">INDEX(Properties!$D:$D,$B95+5)*(IF(AND(G$3&gt;=INDEX(Properties!$Q:$Q,$B95+5),G$3&lt;INDEX(Properties!$U:$U,$B95+5)),1,0))</f>
        <v>0</v>
      </c>
      <c r="H95" s="247" cm="1">
        <f t="array" ref="H95">INDEX(Properties!$D:$D,$B95+5)*(IF(AND(H$3&gt;=INDEX(Properties!$Q:$Q,$B95+5),H$3&lt;INDEX(Properties!$U:$U,$B95+5)),1,0))</f>
        <v>0</v>
      </c>
      <c r="I95" s="247" cm="1">
        <f t="array" ref="I95">INDEX(Properties!$D:$D,$B95+5)*(IF(AND(I$3&gt;=INDEX(Properties!$Q:$Q,$B95+5),I$3&lt;INDEX(Properties!$U:$U,$B95+5)),1,0))</f>
        <v>0</v>
      </c>
      <c r="J95" s="247" cm="1">
        <f t="array" ref="J95">INDEX(Properties!$D:$D,$B95+5)*(IF(AND(J$3&gt;=INDEX(Properties!$Q:$Q,$B95+5),J$3&lt;INDEX(Properties!$U:$U,$B95+5)),1,0))</f>
        <v>0</v>
      </c>
      <c r="K95" s="247" cm="1">
        <f t="array" ref="K95">INDEX(Properties!$D:$D,$B95+5)*(IF(AND(K$3&gt;=INDEX(Properties!$Q:$Q,$B95+5),K$3&lt;INDEX(Properties!$U:$U,$B95+5)),1,0))</f>
        <v>0</v>
      </c>
      <c r="L95" s="247" cm="1">
        <f t="array" ref="L95">INDEX(Properties!$D:$D,$B95+5)*(IF(AND(L$3&gt;=INDEX(Properties!$Q:$Q,$B95+5),L$3&lt;INDEX(Properties!$U:$U,$B95+5)),1,0))</f>
        <v>0</v>
      </c>
      <c r="M95" s="247" cm="1">
        <f t="array" ref="M95">INDEX(Properties!$D:$D,$B95+5)*(IF(AND(M$3&gt;=INDEX(Properties!$Q:$Q,$B95+5),M$3&lt;INDEX(Properties!$U:$U,$B95+5)),1,0))</f>
        <v>0</v>
      </c>
      <c r="N95" s="247" cm="1">
        <f t="array" ref="N95">INDEX(Properties!$D:$D,$B95+5)*(IF(AND(N$3&gt;=INDEX(Properties!$Q:$Q,$B95+5),N$3&lt;INDEX(Properties!$U:$U,$B95+5)),1,0))</f>
        <v>0</v>
      </c>
      <c r="O95" s="247" cm="1">
        <f t="array" ref="O95">INDEX(Properties!$D:$D,$B95+5)*(IF(AND(O$3&gt;=INDEX(Properties!$Q:$Q,$B95+5),O$3&lt;INDEX(Properties!$U:$U,$B95+5)),1,0))</f>
        <v>0</v>
      </c>
      <c r="P95" s="247" cm="1">
        <f t="array" ref="P95">INDEX(Properties!$D:$D,$B95+5)*(IF(AND(P$3&gt;=INDEX(Properties!$Q:$Q,$B95+5),P$3&lt;INDEX(Properties!$U:$U,$B95+5)),1,0))</f>
        <v>0</v>
      </c>
      <c r="Q95" s="247" cm="1">
        <f t="array" ref="Q95">INDEX(Properties!$D:$D,$B95+5)*(IF(AND(Q$3&gt;=INDEX(Properties!$Q:$Q,$B95+5),Q$3&lt;INDEX(Properties!$U:$U,$B95+5)),1,0))</f>
        <v>0</v>
      </c>
      <c r="R95" s="247" cm="1">
        <f t="array" ref="R95">INDEX(Properties!$D:$D,$B95+5)*(IF(AND(R$3&gt;=INDEX(Properties!$Q:$Q,$B95+5),R$3&lt;INDEX(Properties!$U:$U,$B95+5)),1,0))</f>
        <v>0</v>
      </c>
      <c r="S95" s="247" cm="1">
        <f t="array" ref="S95">INDEX(Properties!$D:$D,$B95+5)*(IF(AND(S$3&gt;=INDEX(Properties!$Q:$Q,$B95+5),S$3&lt;INDEX(Properties!$U:$U,$B95+5)),1,0))</f>
        <v>0</v>
      </c>
      <c r="T95" s="247" cm="1">
        <f t="array" ref="T95">INDEX(Properties!$D:$D,$B95+5)*(IF(AND(T$3&gt;=INDEX(Properties!$Q:$Q,$B95+5),T$3&lt;INDEX(Properties!$U:$U,$B95+5)),1,0))</f>
        <v>0</v>
      </c>
      <c r="U95" s="247" cm="1">
        <f t="array" ref="U95">INDEX(Properties!$D:$D,$B95+5)*(IF(AND(U$3&gt;=INDEX(Properties!$Q:$Q,$B95+5),U$3&lt;INDEX(Properties!$U:$U,$B95+5)),1,0))</f>
        <v>0</v>
      </c>
      <c r="V95" s="247" cm="1">
        <f t="array" ref="V95">INDEX(Properties!$D:$D,$B95+5)*(IF(AND(V$3&gt;=INDEX(Properties!$Q:$Q,$B95+5),V$3&lt;INDEX(Properties!$U:$U,$B95+5)),1,0))</f>
        <v>0</v>
      </c>
      <c r="W95" s="247" cm="1">
        <f t="array" ref="W95">INDEX(Properties!$D:$D,$B95+5)*(IF(AND(W$3&gt;=INDEX(Properties!$Q:$Q,$B95+5),W$3&lt;INDEX(Properties!$U:$U,$B95+5)),1,0))</f>
        <v>0</v>
      </c>
      <c r="X95" s="247" cm="1">
        <f t="array" ref="X95">INDEX(Properties!$D:$D,$B95+5)*(IF(AND(X$3&gt;=INDEX(Properties!$Q:$Q,$B95+5),X$3&lt;INDEX(Properties!$U:$U,$B95+5)),1,0))</f>
        <v>0</v>
      </c>
      <c r="Y95" s="247" cm="1">
        <f t="array" ref="Y95">INDEX(Properties!$D:$D,$B95+5)*(IF(AND(Y$3&gt;=INDEX(Properties!$Q:$Q,$B95+5),Y$3&lt;INDEX(Properties!$U:$U,$B95+5)),1,0))</f>
        <v>0</v>
      </c>
      <c r="Z95" s="247" cm="1">
        <f t="array" ref="Z95">INDEX(Properties!$D:$D,$B95+5)*(IF(AND(Z$3&gt;=INDEX(Properties!$Q:$Q,$B95+5),Z$3&lt;INDEX(Properties!$U:$U,$B95+5)),1,0))</f>
        <v>0</v>
      </c>
      <c r="AA95" s="247" cm="1">
        <f t="array" ref="AA95">INDEX(Properties!$D:$D,$B95+5)*(IF(AND(AA$3&gt;=INDEX(Properties!$Q:$Q,$B95+5),AA$3&lt;INDEX(Properties!$U:$U,$B95+5)),1,0))</f>
        <v>0</v>
      </c>
      <c r="AB95" s="247" cm="1">
        <f t="array" ref="AB95">INDEX(Properties!$D:$D,$B95+5)*(IF(AND(AB$3&gt;=INDEX(Properties!$Q:$Q,$B95+5),AB$3&lt;INDEX(Properties!$U:$U,$B95+5)),1,0))</f>
        <v>0</v>
      </c>
      <c r="AC95" s="247" cm="1">
        <f t="array" ref="AC95">INDEX(Properties!$D:$D,$B95+5)*(IF(AND(AC$3&gt;=INDEX(Properties!$Q:$Q,$B95+5),AC$3&lt;INDEX(Properties!$U:$U,$B95+5)),1,0))</f>
        <v>0</v>
      </c>
      <c r="AD95" s="247" cm="1">
        <f t="array" ref="AD95">INDEX(Properties!$D:$D,$B95+5)*(IF(AND(AD$3&gt;=INDEX(Properties!$Q:$Q,$B95+5),AD$3&lt;INDEX(Properties!$U:$U,$B95+5)),1,0))</f>
        <v>0</v>
      </c>
      <c r="AE95" s="247" cm="1">
        <f t="array" ref="AE95">INDEX(Properties!$D:$D,$B95+5)*(IF(AND(AE$3&gt;=INDEX(Properties!$Q:$Q,$B95+5),AE$3&lt;INDEX(Properties!$U:$U,$B95+5)),1,0))</f>
        <v>0</v>
      </c>
      <c r="AF95" s="247" cm="1">
        <f t="array" ref="AF95">INDEX(Properties!$D:$D,$B95+5)*(IF(AND(AF$3&gt;=INDEX(Properties!$Q:$Q,$B95+5),AF$3&lt;INDEX(Properties!$U:$U,$B95+5)),1,0))</f>
        <v>0</v>
      </c>
      <c r="AG95" s="247" cm="1">
        <f t="array" ref="AG95">INDEX(Properties!$D:$D,$B95+5)*(IF(AND(AG$3&gt;=INDEX(Properties!$Q:$Q,$B95+5),AG$3&lt;INDEX(Properties!$U:$U,$B95+5)),1,0))</f>
        <v>0</v>
      </c>
      <c r="AH95" s="247" cm="1">
        <f t="array" ref="AH95">INDEX(Properties!$D:$D,$B95+5)*(IF(AND(AH$3&gt;=INDEX(Properties!$Q:$Q,$B95+5),AH$3&lt;INDEX(Properties!$U:$U,$B95+5)),1,0))</f>
        <v>0</v>
      </c>
      <c r="AI95" s="247" cm="1">
        <f t="array" ref="AI95">INDEX(Properties!$D:$D,$B95+5)*(IF(AND(AI$3&gt;=INDEX(Properties!$Q:$Q,$B95+5),AI$3&lt;INDEX(Properties!$U:$U,$B95+5)),1,0))</f>
        <v>0</v>
      </c>
      <c r="AJ95" s="247" cm="1">
        <f t="array" ref="AJ95">INDEX(Properties!$D:$D,$B95+5)*(IF(AND(AJ$3&gt;=INDEX(Properties!$Q:$Q,$B95+5),AJ$3&lt;INDEX(Properties!$U:$U,$B95+5)),1,0))</f>
        <v>0</v>
      </c>
      <c r="AK95" s="247" cm="1">
        <f t="array" ref="AK95">INDEX(Properties!$D:$D,$B95+5)*(IF(AND(AK$3&gt;=INDEX(Properties!$Q:$Q,$B95+5),AK$3&lt;INDEX(Properties!$U:$U,$B95+5)),1,0))</f>
        <v>0</v>
      </c>
      <c r="AL95" s="247" cm="1">
        <f t="array" ref="AL95">INDEX(Properties!$D:$D,$B95+5)*(IF(AND(AL$3&gt;=INDEX(Properties!$Q:$Q,$B95+5),AL$3&lt;INDEX(Properties!$U:$U,$B95+5)),1,0))</f>
        <v>0</v>
      </c>
      <c r="AM95" s="247" cm="1">
        <f t="array" ref="AM95">INDEX(Properties!$D:$D,$B95+5)*(IF(AND(AM$3&gt;=INDEX(Properties!$Q:$Q,$B95+5),AM$3&lt;INDEX(Properties!$U:$U,$B95+5)),1,0))</f>
        <v>0</v>
      </c>
      <c r="AN95" s="247" cm="1">
        <f t="array" ref="AN95">INDEX(Properties!$D:$D,$B95+5)*(IF(AND(AN$3&gt;=INDEX(Properties!$Q:$Q,$B95+5),AN$3&lt;INDEX(Properties!$U:$U,$B95+5)),1,0))</f>
        <v>0</v>
      </c>
      <c r="AO95" s="247" cm="1">
        <f t="array" ref="AO95">INDEX(Properties!$D:$D,$B95+5)*(IF(AND(AO$3&gt;=INDEX(Properties!$Q:$Q,$B95+5),AO$3&lt;INDEX(Properties!$U:$U,$B95+5)),1,0))</f>
        <v>0</v>
      </c>
      <c r="AP95" s="247" cm="1">
        <f t="array" ref="AP95">INDEX(Properties!$D:$D,$B95+5)*(IF(AND(AP$3&gt;=INDEX(Properties!$Q:$Q,$B95+5),AP$3&lt;INDEX(Properties!$U:$U,$B95+5)),1,0))</f>
        <v>0</v>
      </c>
      <c r="AQ95" s="247" cm="1">
        <f t="array" ref="AQ95">INDEX(Properties!$D:$D,$B95+5)*(IF(AND(AQ$3&gt;=INDEX(Properties!$Q:$Q,$B95+5),AQ$3&lt;INDEX(Properties!$U:$U,$B95+5)),1,0))</f>
        <v>0</v>
      </c>
      <c r="AR95" s="247" cm="1">
        <f t="array" ref="AR95">INDEX(Properties!$D:$D,$B95+5)*(IF(AND(AR$3&gt;=INDEX(Properties!$Q:$Q,$B95+5),AR$3&lt;INDEX(Properties!$U:$U,$B95+5)),1,0))</f>
        <v>0</v>
      </c>
      <c r="AS95" s="247" cm="1">
        <f t="array" ref="AS95">INDEX(Properties!$D:$D,$B95+5)*(IF(AND(AS$3&gt;=INDEX(Properties!$Q:$Q,$B95+5),AS$3&lt;INDEX(Properties!$U:$U,$B95+5)),1,0))</f>
        <v>0</v>
      </c>
      <c r="AT95" s="247" cm="1">
        <f t="array" ref="AT95">INDEX(Properties!$D:$D,$B95+5)*(IF(AND(AT$3&gt;=INDEX(Properties!$Q:$Q,$B95+5),AT$3&lt;INDEX(Properties!$U:$U,$B95+5)),1,0))</f>
        <v>0</v>
      </c>
      <c r="AU95" s="247" cm="1">
        <f t="array" ref="AU95">INDEX(Properties!$D:$D,$B95+5)*(IF(AND(AU$3&gt;=INDEX(Properties!$Q:$Q,$B95+5),AU$3&lt;INDEX(Properties!$U:$U,$B95+5)),1,0))</f>
        <v>0</v>
      </c>
      <c r="AV95" s="247" cm="1">
        <f t="array" ref="AV95">INDEX(Properties!$D:$D,$B95+5)*(IF(AND(AV$3&gt;=INDEX(Properties!$Q:$Q,$B95+5),AV$3&lt;INDEX(Properties!$U:$U,$B95+5)),1,0))</f>
        <v>0</v>
      </c>
      <c r="AW95" s="247" cm="1">
        <f t="array" ref="AW95">INDEX(Properties!$D:$D,$B95+5)*(IF(AND(AW$3&gt;=INDEX(Properties!$Q:$Q,$B95+5),AW$3&lt;INDEX(Properties!$U:$U,$B95+5)),1,0))</f>
        <v>0</v>
      </c>
      <c r="AX95" s="247" cm="1">
        <f t="array" ref="AX95">INDEX(Properties!$D:$D,$B95+5)*(IF(AND(AX$3&gt;=INDEX(Properties!$Q:$Q,$B95+5),AX$3&lt;INDEX(Properties!$U:$U,$B95+5)),1,0))</f>
        <v>0</v>
      </c>
      <c r="AY95" s="247" cm="1">
        <f t="array" ref="AY95">INDEX(Properties!$D:$D,$B95+5)*(IF(AND(AY$3&gt;=INDEX(Properties!$Q:$Q,$B95+5),AY$3&lt;INDEX(Properties!$U:$U,$B95+5)),1,0))</f>
        <v>0</v>
      </c>
      <c r="AZ95" s="247" cm="1">
        <f t="array" ref="AZ95">INDEX(Properties!$D:$D,$B95+5)*(IF(AND(AZ$3&gt;=INDEX(Properties!$Q:$Q,$B95+5),AZ$3&lt;INDEX(Properties!$U:$U,$B95+5)),1,0))</f>
        <v>0</v>
      </c>
      <c r="BA95" s="247" cm="1">
        <f t="array" ref="BA95">INDEX(Properties!$D:$D,$B95+5)*(IF(AND(BA$3&gt;=INDEX(Properties!$Q:$Q,$B95+5),BA$3&lt;INDEX(Properties!$U:$U,$B95+5)),1,0))</f>
        <v>0</v>
      </c>
      <c r="BB95" s="247" cm="1">
        <f t="array" ref="BB95">INDEX(Properties!$D:$D,$B95+5)*(IF(AND(BB$3&gt;=INDEX(Properties!$Q:$Q,$B95+5),BB$3&lt;INDEX(Properties!$U:$U,$B95+5)),1,0))</f>
        <v>0</v>
      </c>
      <c r="BC95" s="247" cm="1">
        <f t="array" ref="BC95">INDEX(Properties!$D:$D,$B95+5)*(IF(AND(BC$3&gt;=INDEX(Properties!$Q:$Q,$B95+5),BC$3&lt;INDEX(Properties!$U:$U,$B95+5)),1,0))</f>
        <v>0</v>
      </c>
      <c r="BD95" s="247" cm="1">
        <f t="array" ref="BD95">INDEX(Properties!$D:$D,$B95+5)*(IF(AND(BD$3&gt;=INDEX(Properties!$Q:$Q,$B95+5),BD$3&lt;INDEX(Properties!$U:$U,$B95+5)),1,0))</f>
        <v>0</v>
      </c>
      <c r="BE95" s="247" cm="1">
        <f t="array" ref="BE95">INDEX(Properties!$D:$D,$B95+5)*(IF(AND(BE$3&gt;=INDEX(Properties!$Q:$Q,$B95+5),BE$3&lt;INDEX(Properties!$U:$U,$B95+5)),1,0))</f>
        <v>0</v>
      </c>
      <c r="BF95" s="247" cm="1">
        <f t="array" ref="BF95">INDEX(Properties!$D:$D,$B95+5)*(IF(AND(BF$3&gt;=INDEX(Properties!$Q:$Q,$B95+5),BF$3&lt;INDEX(Properties!$U:$U,$B95+5)),1,0))</f>
        <v>0</v>
      </c>
      <c r="BG95" s="247" cm="1">
        <f t="array" ref="BG95">INDEX(Properties!$D:$D,$B95+5)*(IF(AND(BG$3&gt;=INDEX(Properties!$Q:$Q,$B95+5),BG$3&lt;INDEX(Properties!$U:$U,$B95+5)),1,0))</f>
        <v>0</v>
      </c>
      <c r="BH95" s="247" cm="1">
        <f t="array" ref="BH95">INDEX(Properties!$D:$D,$B95+5)*(IF(AND(BH$3&gt;=INDEX(Properties!$Q:$Q,$B95+5),BH$3&lt;INDEX(Properties!$U:$U,$B95+5)),1,0))</f>
        <v>0</v>
      </c>
      <c r="BI95" s="247" cm="1">
        <f t="array" ref="BI95">INDEX(Properties!$D:$D,$B95+5)*(IF(AND(BI$3&gt;=INDEX(Properties!$Q:$Q,$B95+5),BI$3&lt;INDEX(Properties!$U:$U,$B95+5)),1,0))</f>
        <v>0</v>
      </c>
      <c r="BJ95" s="247" cm="1">
        <f t="array" ref="BJ95">INDEX(Properties!$D:$D,$B95+5)*(IF(AND(BJ$3&gt;=INDEX(Properties!$Q:$Q,$B95+5),BJ$3&lt;INDEX(Properties!$U:$U,$B95+5)),1,0))</f>
        <v>0</v>
      </c>
      <c r="BK95" s="247" cm="1">
        <f t="array" ref="BK95">INDEX(Properties!$D:$D,$B95+5)*(IF(AND(BK$3&gt;=INDEX(Properties!$Q:$Q,$B95+5),BK$3&lt;INDEX(Properties!$U:$U,$B95+5)),1,0))</f>
        <v>0</v>
      </c>
      <c r="BL95" s="247" cm="1">
        <f t="array" ref="BL95">INDEX(Properties!$D:$D,$B95+5)*(IF(AND(BL$3&gt;=INDEX(Properties!$Q:$Q,$B95+5),BL$3&lt;INDEX(Properties!$U:$U,$B95+5)),1,0))</f>
        <v>0</v>
      </c>
      <c r="BM95" s="247" cm="1">
        <f t="array" ref="BM95">INDEX(Properties!$D:$D,$B95+5)*(IF(AND(BM$3&gt;=INDEX(Properties!$Q:$Q,$B95+5),BM$3&lt;INDEX(Properties!$U:$U,$B95+5)),1,0))</f>
        <v>0</v>
      </c>
      <c r="BN95" s="247" cm="1">
        <f t="array" ref="BN95">INDEX(Properties!$D:$D,$B95+5)*(IF(AND(BN$3&gt;=INDEX(Properties!$Q:$Q,$B95+5),BN$3&lt;INDEX(Properties!$U:$U,$B95+5)),1,0))</f>
        <v>0</v>
      </c>
      <c r="BO95" s="247" cm="1">
        <f t="array" ref="BO95">INDEX(Properties!$D:$D,$B95+5)*(IF(AND(BO$3&gt;=INDEX(Properties!$Q:$Q,$B95+5),BO$3&lt;INDEX(Properties!$U:$U,$B95+5)),1,0))</f>
        <v>0</v>
      </c>
      <c r="BP95" s="247" cm="1">
        <f t="array" ref="BP95">INDEX(Properties!$D:$D,$B95+5)*(IF(AND(BP$3&gt;=INDEX(Properties!$Q:$Q,$B95+5),BP$3&lt;INDEX(Properties!$U:$U,$B95+5)),1,0))</f>
        <v>0</v>
      </c>
      <c r="BQ95" s="247" cm="1">
        <f t="array" ref="BQ95">INDEX(Properties!$D:$D,$B95+5)*(IF(AND(BQ$3&gt;=INDEX(Properties!$Q:$Q,$B95+5),BQ$3&lt;INDEX(Properties!$U:$U,$B95+5)),1,0))</f>
        <v>0</v>
      </c>
      <c r="BR95" s="247" cm="1">
        <f t="array" ref="BR95">INDEX(Properties!$D:$D,$B95+5)*(IF(AND(BR$3&gt;=INDEX(Properties!$Q:$Q,$B95+5),BR$3&lt;INDEX(Properties!$U:$U,$B95+5)),1,0))</f>
        <v>0</v>
      </c>
      <c r="BS95" s="247" cm="1">
        <f t="array" ref="BS95">INDEX(Properties!$D:$D,$B95+5)*(IF(AND(BS$3&gt;=INDEX(Properties!$Q:$Q,$B95+5),BS$3&lt;INDEX(Properties!$U:$U,$B95+5)),1,0))</f>
        <v>0</v>
      </c>
      <c r="BT95" s="247" cm="1">
        <f t="array" ref="BT95">INDEX(Properties!$D:$D,$B95+5)*(IF(AND(BT$3&gt;=INDEX(Properties!$Q:$Q,$B95+5),BT$3&lt;INDEX(Properties!$U:$U,$B95+5)),1,0))</f>
        <v>0</v>
      </c>
      <c r="BU95" s="247" cm="1">
        <f t="array" ref="BU95">INDEX(Properties!$D:$D,$B95+5)*(IF(AND(BU$3&gt;=INDEX(Properties!$Q:$Q,$B95+5),BU$3&lt;INDEX(Properties!$U:$U,$B95+5)),1,0))</f>
        <v>0</v>
      </c>
      <c r="BV95" s="247" cm="1">
        <f t="array" ref="BV95">INDEX(Properties!$D:$D,$B95+5)*(IF(AND(BV$3&gt;=INDEX(Properties!$Q:$Q,$B95+5),BV$3&lt;INDEX(Properties!$U:$U,$B95+5)),1,0))</f>
        <v>0</v>
      </c>
      <c r="BW95" s="247" cm="1">
        <f t="array" ref="BW95">INDEX(Properties!$D:$D,$B95+5)*(IF(AND(BW$3&gt;=INDEX(Properties!$Q:$Q,$B95+5),BW$3&lt;INDEX(Properties!$U:$U,$B95+5)),1,0))</f>
        <v>0</v>
      </c>
      <c r="BX95" s="247" cm="1">
        <f t="array" ref="BX95">INDEX(Properties!$D:$D,$B95+5)*(IF(AND(BX$3&gt;=INDEX(Properties!$Q:$Q,$B95+5),BX$3&lt;INDEX(Properties!$U:$U,$B95+5)),1,0))</f>
        <v>0</v>
      </c>
      <c r="BY95" s="247" cm="1">
        <f t="array" ref="BY95">INDEX(Properties!$D:$D,$B95+5)*(IF(AND(BY$3&gt;=INDEX(Properties!$Q:$Q,$B95+5),BY$3&lt;INDEX(Properties!$U:$U,$B95+5)),1,0))</f>
        <v>0</v>
      </c>
      <c r="BZ95" s="247" cm="1">
        <f t="array" ref="BZ95">INDEX(Properties!$D:$D,$B95+5)*(IF(AND(BZ$3&gt;=INDEX(Properties!$Q:$Q,$B95+5),BZ$3&lt;INDEX(Properties!$U:$U,$B95+5)),1,0))</f>
        <v>0</v>
      </c>
      <c r="CA95" s="247" cm="1">
        <f t="array" ref="CA95">INDEX(Properties!$D:$D,$B95+5)*(IF(AND(CA$3&gt;=INDEX(Properties!$Q:$Q,$B95+5),CA$3&lt;INDEX(Properties!$U:$U,$B95+5)),1,0))</f>
        <v>0</v>
      </c>
      <c r="CB95" s="247" cm="1">
        <f t="array" ref="CB95">INDEX(Properties!$D:$D,$B95+5)*(IF(AND(CB$3&gt;=INDEX(Properties!$Q:$Q,$B95+5),CB$3&lt;INDEX(Properties!$U:$U,$B95+5)),1,0))</f>
        <v>0</v>
      </c>
      <c r="CC95" s="247" cm="1">
        <f t="array" ref="CC95">INDEX(Properties!$D:$D,$B95+5)*(IF(AND(CC$3&gt;=INDEX(Properties!$Q:$Q,$B95+5),CC$3&lt;INDEX(Properties!$U:$U,$B95+5)),1,0))</f>
        <v>0</v>
      </c>
      <c r="CD95" s="247" cm="1">
        <f t="array" ref="CD95">INDEX(Properties!$D:$D,$B95+5)*(IF(AND(CD$3&gt;=INDEX(Properties!$Q:$Q,$B95+5),CD$3&lt;INDEX(Properties!$U:$U,$B95+5)),1,0))</f>
        <v>0</v>
      </c>
      <c r="CE95" s="247" cm="1">
        <f t="array" ref="CE95">INDEX(Properties!$D:$D,$B95+5)*(IF(AND(CE$3&gt;=INDEX(Properties!$Q:$Q,$B95+5),CE$3&lt;INDEX(Properties!$U:$U,$B95+5)),1,0))</f>
        <v>0</v>
      </c>
      <c r="CF95" s="247" cm="1">
        <f t="array" ref="CF95">INDEX(Properties!$D:$D,$B95+5)*(IF(AND(CF$3&gt;=INDEX(Properties!$Q:$Q,$B95+5),CF$3&lt;INDEX(Properties!$U:$U,$B95+5)),1,0))</f>
        <v>0</v>
      </c>
      <c r="CG95" s="247" cm="1">
        <f t="array" ref="CG95">INDEX(Properties!$D:$D,$B95+5)*(IF(AND(CG$3&gt;=INDEX(Properties!$Q:$Q,$B95+5),CG$3&lt;INDEX(Properties!$U:$U,$B95+5)),1,0))</f>
        <v>0</v>
      </c>
      <c r="CH95" s="247" cm="1">
        <f t="array" ref="CH95">INDEX(Properties!$D:$D,$B95+5)*(IF(AND(CH$3&gt;=INDEX(Properties!$Q:$Q,$B95+5),CH$3&lt;INDEX(Properties!$U:$U,$B95+5)),1,0))</f>
        <v>0</v>
      </c>
      <c r="CI95" s="247" cm="1">
        <f t="array" ref="CI95">INDEX(Properties!$D:$D,$B95+5)*(IF(AND(CI$3&gt;=INDEX(Properties!$Q:$Q,$B95+5),CI$3&lt;INDEX(Properties!$U:$U,$B95+5)),1,0))</f>
        <v>0</v>
      </c>
      <c r="CJ95" s="247" cm="1">
        <f t="array" ref="CJ95">INDEX(Properties!$D:$D,$B95+5)*(IF(AND(CJ$3&gt;=INDEX(Properties!$Q:$Q,$B95+5),CJ$3&lt;INDEX(Properties!$U:$U,$B95+5)),1,0))</f>
        <v>0</v>
      </c>
      <c r="CK95" s="247" cm="1">
        <f t="array" ref="CK95">INDEX(Properties!$D:$D,$B95+5)*(IF(AND(CK$3&gt;=INDEX(Properties!$Q:$Q,$B95+5),CK$3&lt;INDEX(Properties!$U:$U,$B95+5)),1,0))</f>
        <v>0</v>
      </c>
      <c r="CL95" s="247" cm="1">
        <f t="array" ref="CL95">INDEX(Properties!$D:$D,$B95+5)*(IF(AND(CL$3&gt;=INDEX(Properties!$Q:$Q,$B95+5),CL$3&lt;INDEX(Properties!$U:$U,$B95+5)),1,0))</f>
        <v>0</v>
      </c>
      <c r="CM95" s="247" cm="1">
        <f t="array" ref="CM95">INDEX(Properties!$D:$D,$B95+5)*(IF(AND(CM$3&gt;=INDEX(Properties!$Q:$Q,$B95+5),CM$3&lt;INDEX(Properties!$U:$U,$B95+5)),1,0))</f>
        <v>0</v>
      </c>
      <c r="CN95" s="247" cm="1">
        <f t="array" ref="CN95">INDEX(Properties!$D:$D,$B95+5)*(IF(AND(CN$3&gt;=INDEX(Properties!$Q:$Q,$B95+5),CN$3&lt;INDEX(Properties!$U:$U,$B95+5)),1,0))</f>
        <v>0</v>
      </c>
      <c r="CO95" s="247" cm="1">
        <f t="array" ref="CO95">INDEX(Properties!$D:$D,$B95+5)*(IF(AND(CO$3&gt;=INDEX(Properties!$Q:$Q,$B95+5),CO$3&lt;INDEX(Properties!$U:$U,$B95+5)),1,0))</f>
        <v>0</v>
      </c>
      <c r="CP95" s="247" cm="1">
        <f t="array" ref="CP95">INDEX(Properties!$D:$D,$B95+5)*(IF(AND(CP$3&gt;=INDEX(Properties!$Q:$Q,$B95+5),CP$3&lt;INDEX(Properties!$U:$U,$B95+5)),1,0))</f>
        <v>0</v>
      </c>
      <c r="CQ95" s="247" cm="1">
        <f t="array" ref="CQ95">INDEX(Properties!$D:$D,$B95+5)*(IF(AND(CQ$3&gt;=INDEX(Properties!$Q:$Q,$B95+5),CQ$3&lt;INDEX(Properties!$U:$U,$B95+5)),1,0))</f>
        <v>0</v>
      </c>
      <c r="CR95" s="247" cm="1">
        <f t="array" ref="CR95">INDEX(Properties!$D:$D,$B95+5)*(IF(AND(CR$3&gt;=INDEX(Properties!$Q:$Q,$B95+5),CR$3&lt;INDEX(Properties!$U:$U,$B95+5)),1,0))</f>
        <v>0</v>
      </c>
      <c r="CS95" s="247" cm="1">
        <f t="array" ref="CS95">INDEX(Properties!$D:$D,$B95+5)*(IF(AND(CS$3&gt;=INDEX(Properties!$Q:$Q,$B95+5),CS$3&lt;INDEX(Properties!$U:$U,$B95+5)),1,0))</f>
        <v>0</v>
      </c>
      <c r="CT95" s="247" cm="1">
        <f t="array" ref="CT95">INDEX(Properties!$D:$D,$B95+5)*(IF(AND(CT$3&gt;=INDEX(Properties!$Q:$Q,$B95+5),CT$3&lt;INDEX(Properties!$U:$U,$B95+5)),1,0))</f>
        <v>0</v>
      </c>
      <c r="CU95" s="247" cm="1">
        <f t="array" ref="CU95">INDEX(Properties!$D:$D,$B95+5)*(IF(AND(CU$3&gt;=INDEX(Properties!$Q:$Q,$B95+5),CU$3&lt;INDEX(Properties!$U:$U,$B95+5)),1,0))</f>
        <v>0</v>
      </c>
      <c r="CV95" s="247" cm="1">
        <f t="array" ref="CV95">INDEX(Properties!$D:$D,$B95+5)*(IF(AND(CV$3&gt;=INDEX(Properties!$Q:$Q,$B95+5),CV$3&lt;INDEX(Properties!$U:$U,$B95+5)),1,0))</f>
        <v>0</v>
      </c>
      <c r="CW95" s="247" cm="1">
        <f t="array" ref="CW95">INDEX(Properties!$D:$D,$B95+5)*(IF(AND(CW$3&gt;=INDEX(Properties!$Q:$Q,$B95+5),CW$3&lt;INDEX(Properties!$U:$U,$B95+5)),1,0))</f>
        <v>0</v>
      </c>
      <c r="CX95" s="247" cm="1">
        <f t="array" ref="CX95">INDEX(Properties!$D:$D,$B95+5)*(IF(AND(CX$3&gt;=INDEX(Properties!$Q:$Q,$B95+5),CX$3&lt;INDEX(Properties!$U:$U,$B95+5)),1,0))</f>
        <v>0</v>
      </c>
      <c r="CY95" s="247" cm="1">
        <f t="array" ref="CY95">INDEX(Properties!$D:$D,$B95+5)*(IF(AND(CY$3&gt;=INDEX(Properties!$Q:$Q,$B95+5),CY$3&lt;INDEX(Properties!$U:$U,$B95+5)),1,0))</f>
        <v>0</v>
      </c>
      <c r="CZ95" s="247" cm="1">
        <f t="array" ref="CZ95">INDEX(Properties!$D:$D,$B95+5)*(IF(AND(CZ$3&gt;=INDEX(Properties!$Q:$Q,$B95+5),CZ$3&lt;INDEX(Properties!$U:$U,$B95+5)),1,0))</f>
        <v>0</v>
      </c>
      <c r="DA95" s="247" cm="1">
        <f t="array" ref="DA95">INDEX(Properties!$D:$D,$B95+5)*(IF(AND(DA$3&gt;=INDEX(Properties!$Q:$Q,$B95+5),DA$3&lt;INDEX(Properties!$U:$U,$B95+5)),1,0))</f>
        <v>0</v>
      </c>
      <c r="DB95" s="247" cm="1">
        <f t="array" ref="DB95">INDEX(Properties!$D:$D,$B95+5)*(IF(AND(DB$3&gt;=INDEX(Properties!$Q:$Q,$B95+5),DB$3&lt;INDEX(Properties!$U:$U,$B95+5)),1,0))</f>
        <v>0</v>
      </c>
      <c r="DC95" s="247" cm="1">
        <f t="array" ref="DC95">INDEX(Properties!$D:$D,$B95+5)*(IF(AND(DC$3&gt;=INDEX(Properties!$Q:$Q,$B95+5),DC$3&lt;INDEX(Properties!$U:$U,$B95+5)),1,0))</f>
        <v>0</v>
      </c>
      <c r="DD95" s="247" cm="1">
        <f t="array" ref="DD95">INDEX(Properties!$D:$D,$B95+5)*(IF(AND(DD$3&gt;=INDEX(Properties!$Q:$Q,$B95+5),DD$3&lt;INDEX(Properties!$U:$U,$B95+5)),1,0))</f>
        <v>0</v>
      </c>
      <c r="DE95" s="247" cm="1">
        <f t="array" ref="DE95">INDEX(Properties!$D:$D,$B95+5)*(IF(AND(DE$3&gt;=INDEX(Properties!$Q:$Q,$B95+5),DE$3&lt;INDEX(Properties!$U:$U,$B95+5)),1,0))</f>
        <v>0</v>
      </c>
      <c r="DF95" s="247" cm="1">
        <f t="array" ref="DF95">INDEX(Properties!$D:$D,$B95+5)*(IF(AND(DF$3&gt;=INDEX(Properties!$Q:$Q,$B95+5),DF$3&lt;INDEX(Properties!$U:$U,$B95+5)),1,0))</f>
        <v>0</v>
      </c>
      <c r="DG95" s="247" cm="1">
        <f t="array" ref="DG95">INDEX(Properties!$D:$D,$B95+5)*(IF(AND(DG$3&gt;=INDEX(Properties!$Q:$Q,$B95+5),DG$3&lt;INDEX(Properties!$U:$U,$B95+5)),1,0))</f>
        <v>0</v>
      </c>
      <c r="DH95" s="247" cm="1">
        <f t="array" ref="DH95">INDEX(Properties!$D:$D,$B95+5)*(IF(AND(DH$3&gt;=INDEX(Properties!$Q:$Q,$B95+5),DH$3&lt;INDEX(Properties!$U:$U,$B95+5)),1,0))</f>
        <v>0</v>
      </c>
      <c r="DI95" s="247" cm="1">
        <f t="array" ref="DI95">INDEX(Properties!$D:$D,$B95+5)*(IF(AND(DI$3&gt;=INDEX(Properties!$Q:$Q,$B95+5),DI$3&lt;INDEX(Properties!$U:$U,$B95+5)),1,0))</f>
        <v>0</v>
      </c>
      <c r="DJ95" s="247" cm="1">
        <f t="array" ref="DJ95">INDEX(Properties!$D:$D,$B95+5)*(IF(AND(DJ$3&gt;=INDEX(Properties!$Q:$Q,$B95+5),DJ$3&lt;INDEX(Properties!$U:$U,$B95+5)),1,0))</f>
        <v>0</v>
      </c>
      <c r="DK95" s="247" cm="1">
        <f t="array" ref="DK95">INDEX(Properties!$D:$D,$B95+5)*(IF(AND(DK$3&gt;=INDEX(Properties!$Q:$Q,$B95+5),DK$3&lt;INDEX(Properties!$U:$U,$B95+5)),1,0))</f>
        <v>0</v>
      </c>
      <c r="DL95" s="247" cm="1">
        <f t="array" ref="DL95">INDEX(Properties!$D:$D,$B95+5)*(IF(AND(DL$3&gt;=INDEX(Properties!$Q:$Q,$B95+5),DL$3&lt;INDEX(Properties!$U:$U,$B95+5)),1,0))</f>
        <v>0</v>
      </c>
      <c r="DM95" s="247" cm="1">
        <f t="array" ref="DM95">INDEX(Properties!$D:$D,$B95+5)*(IF(AND(DM$3&gt;=INDEX(Properties!$Q:$Q,$B95+5),DM$3&lt;INDEX(Properties!$U:$U,$B95+5)),1,0))</f>
        <v>0</v>
      </c>
      <c r="DN95" s="247" cm="1">
        <f t="array" ref="DN95">INDEX(Properties!$D:$D,$B95+5)*(IF(AND(DN$3&gt;=INDEX(Properties!$Q:$Q,$B95+5),DN$3&lt;INDEX(Properties!$U:$U,$B95+5)),1,0))</f>
        <v>0</v>
      </c>
      <c r="DO95" s="247" cm="1">
        <f t="array" ref="DO95">INDEX(Properties!$D:$D,$B95+5)*(IF(AND(DO$3&gt;=INDEX(Properties!$Q:$Q,$B95+5),DO$3&lt;INDEX(Properties!$U:$U,$B95+5)),1,0))</f>
        <v>0</v>
      </c>
      <c r="DP95" s="247" cm="1">
        <f t="array" ref="DP95">INDEX(Properties!$D:$D,$B95+5)*(IF(AND(DP$3&gt;=INDEX(Properties!$Q:$Q,$B95+5),DP$3&lt;INDEX(Properties!$U:$U,$B95+5)),1,0))</f>
        <v>0</v>
      </c>
      <c r="DQ95" s="247" cm="1">
        <f t="array" ref="DQ95">INDEX(Properties!$D:$D,$B95+5)*(IF(AND(DQ$3&gt;=INDEX(Properties!$Q:$Q,$B95+5),DQ$3&lt;INDEX(Properties!$U:$U,$B95+5)),1,0))</f>
        <v>0</v>
      </c>
      <c r="DR95" s="247" cm="1">
        <f t="array" ref="DR95">INDEX(Properties!$D:$D,$B95+5)*(IF(AND(DR$3&gt;=INDEX(Properties!$Q:$Q,$B95+5),DR$3&lt;INDEX(Properties!$U:$U,$B95+5)),1,0))</f>
        <v>0</v>
      </c>
    </row>
    <row r="97" spans="1:122" ht="14.55" customHeight="1" x14ac:dyDescent="0.3">
      <c r="A97" t="s">
        <v>1062</v>
      </c>
    </row>
    <row r="98" spans="1:122" ht="14.55" customHeight="1" x14ac:dyDescent="0.3">
      <c r="A98" t="str" cm="1">
        <f t="array" ref="A98">INDEX(Properties!$E:$E,$B98+5)</f>
        <v>Aires de Campestre Apto 801 (Penthouse)</v>
      </c>
      <c r="B98" s="1">
        <v>1</v>
      </c>
      <c r="C98" cm="1">
        <f t="array" ref="C98">INDEX(Properties!$D:$D,$B98+5)*(IF(AND(C$3&gt;=INDEX(Properties!$T:$T,$B98+5),C$3&lt;INDEX(Properties!$U:$U,$B98+5)),1,0))</f>
        <v>0</v>
      </c>
      <c r="D98" cm="1">
        <f t="array" ref="D98">INDEX(Properties!$D:$D,$B98+5)*(IF(AND(D$3&gt;=INDEX(Properties!$T:$T,$B98+5),D$3&lt;INDEX(Properties!$U:$U,$B98+5)),1,0))</f>
        <v>0</v>
      </c>
      <c r="E98" cm="1">
        <f t="array" ref="E98">INDEX(Properties!$D:$D,$B98+5)*(IF(AND(E$3&gt;=INDEX(Properties!$T:$T,$B98+5),E$3&lt;INDEX(Properties!$U:$U,$B98+5)),1,0))</f>
        <v>0</v>
      </c>
      <c r="F98" cm="1">
        <f t="array" ref="F98">INDEX(Properties!$D:$D,$B98+5)*(IF(AND(F$3&gt;=INDEX(Properties!$T:$T,$B98+5),F$3&lt;INDEX(Properties!$U:$U,$B98+5)),1,0))</f>
        <v>0</v>
      </c>
      <c r="G98" cm="1">
        <f t="array" ref="G98">INDEX(Properties!$D:$D,$B98+5)*(IF(AND(G$3&gt;=INDEX(Properties!$T:$T,$B98+5),G$3&lt;INDEX(Properties!$U:$U,$B98+5)),1,0))</f>
        <v>0</v>
      </c>
      <c r="H98" cm="1">
        <f t="array" ref="H98">INDEX(Properties!$D:$D,$B98+5)*(IF(AND(H$3&gt;=INDEX(Properties!$T:$T,$B98+5),H$3&lt;INDEX(Properties!$U:$U,$B98+5)),1,0))</f>
        <v>0</v>
      </c>
      <c r="I98" cm="1">
        <f t="array" ref="I98">INDEX(Properties!$D:$D,$B98+5)*(IF(AND(I$3&gt;=INDEX(Properties!$T:$T,$B98+5),I$3&lt;INDEX(Properties!$U:$U,$B98+5)),1,0))</f>
        <v>0</v>
      </c>
      <c r="J98" cm="1">
        <f t="array" ref="J98">INDEX(Properties!$D:$D,$B98+5)*(IF(AND(J$3&gt;=INDEX(Properties!$T:$T,$B98+5),J$3&lt;INDEX(Properties!$U:$U,$B98+5)),1,0))</f>
        <v>1</v>
      </c>
      <c r="K98" cm="1">
        <f t="array" ref="K98">INDEX(Properties!$D:$D,$B98+5)*(IF(AND(K$3&gt;=INDEX(Properties!$T:$T,$B98+5),K$3&lt;INDEX(Properties!$U:$U,$B98+5)),1,0))</f>
        <v>1</v>
      </c>
      <c r="L98" cm="1">
        <f t="array" ref="L98">INDEX(Properties!$D:$D,$B98+5)*(IF(AND(L$3&gt;=INDEX(Properties!$T:$T,$B98+5),L$3&lt;INDEX(Properties!$U:$U,$B98+5)),1,0))</f>
        <v>1</v>
      </c>
      <c r="M98" cm="1">
        <f t="array" ref="M98">INDEX(Properties!$D:$D,$B98+5)*(IF(AND(M$3&gt;=INDEX(Properties!$T:$T,$B98+5),M$3&lt;INDEX(Properties!$U:$U,$B98+5)),1,0))</f>
        <v>1</v>
      </c>
      <c r="N98" cm="1">
        <f t="array" ref="N98">INDEX(Properties!$D:$D,$B98+5)*(IF(AND(N$3&gt;=INDEX(Properties!$T:$T,$B98+5),N$3&lt;INDEX(Properties!$U:$U,$B98+5)),1,0))</f>
        <v>1</v>
      </c>
      <c r="O98" cm="1">
        <f t="array" ref="O98">INDEX(Properties!$D:$D,$B98+5)*(IF(AND(O$3&gt;=INDEX(Properties!$T:$T,$B98+5),O$3&lt;INDEX(Properties!$U:$U,$B98+5)),1,0))</f>
        <v>1</v>
      </c>
      <c r="P98" cm="1">
        <f t="array" ref="P98">INDEX(Properties!$D:$D,$B98+5)*(IF(AND(P$3&gt;=INDEX(Properties!$T:$T,$B98+5),P$3&lt;INDEX(Properties!$U:$U,$B98+5)),1,0))</f>
        <v>1</v>
      </c>
      <c r="Q98" cm="1">
        <f t="array" ref="Q98">INDEX(Properties!$D:$D,$B98+5)*(IF(AND(Q$3&gt;=INDEX(Properties!$T:$T,$B98+5),Q$3&lt;INDEX(Properties!$U:$U,$B98+5)),1,0))</f>
        <v>1</v>
      </c>
      <c r="R98" cm="1">
        <f t="array" ref="R98">INDEX(Properties!$D:$D,$B98+5)*(IF(AND(R$3&gt;=INDEX(Properties!$T:$T,$B98+5),R$3&lt;INDEX(Properties!$U:$U,$B98+5)),1,0))</f>
        <v>1</v>
      </c>
      <c r="S98" cm="1">
        <f t="array" ref="S98">INDEX(Properties!$D:$D,$B98+5)*(IF(AND(S$3&gt;=INDEX(Properties!$T:$T,$B98+5),S$3&lt;INDEX(Properties!$U:$U,$B98+5)),1,0))</f>
        <v>1</v>
      </c>
      <c r="T98" cm="1">
        <f t="array" ref="T98">INDEX(Properties!$D:$D,$B98+5)*(IF(AND(T$3&gt;=INDEX(Properties!$T:$T,$B98+5),T$3&lt;INDEX(Properties!$U:$U,$B98+5)),1,0))</f>
        <v>1</v>
      </c>
      <c r="U98" cm="1">
        <f t="array" ref="U98">INDEX(Properties!$D:$D,$B98+5)*(IF(AND(U$3&gt;=INDEX(Properties!$T:$T,$B98+5),U$3&lt;INDEX(Properties!$U:$U,$B98+5)),1,0))</f>
        <v>1</v>
      </c>
      <c r="V98" cm="1">
        <f t="array" ref="V98">INDEX(Properties!$D:$D,$B98+5)*(IF(AND(V$3&gt;=INDEX(Properties!$T:$T,$B98+5),V$3&lt;INDEX(Properties!$U:$U,$B98+5)),1,0))</f>
        <v>1</v>
      </c>
      <c r="W98" cm="1">
        <f t="array" ref="W98">INDEX(Properties!$D:$D,$B98+5)*(IF(AND(W$3&gt;=INDEX(Properties!$T:$T,$B98+5),W$3&lt;INDEX(Properties!$U:$U,$B98+5)),1,0))</f>
        <v>1</v>
      </c>
      <c r="X98" cm="1">
        <f t="array" ref="X98">INDEX(Properties!$D:$D,$B98+5)*(IF(AND(X$3&gt;=INDEX(Properties!$T:$T,$B98+5),X$3&lt;INDEX(Properties!$U:$U,$B98+5)),1,0))</f>
        <v>1</v>
      </c>
      <c r="Y98" cm="1">
        <f t="array" ref="Y98">INDEX(Properties!$D:$D,$B98+5)*(IF(AND(Y$3&gt;=INDEX(Properties!$T:$T,$B98+5),Y$3&lt;INDEX(Properties!$U:$U,$B98+5)),1,0))</f>
        <v>1</v>
      </c>
      <c r="Z98" cm="1">
        <f t="array" ref="Z98">INDEX(Properties!$D:$D,$B98+5)*(IF(AND(Z$3&gt;=INDEX(Properties!$T:$T,$B98+5),Z$3&lt;INDEX(Properties!$U:$U,$B98+5)),1,0))</f>
        <v>1</v>
      </c>
      <c r="AA98" cm="1">
        <f t="array" ref="AA98">INDEX(Properties!$D:$D,$B98+5)*(IF(AND(AA$3&gt;=INDEX(Properties!$T:$T,$B98+5),AA$3&lt;INDEX(Properties!$U:$U,$B98+5)),1,0))</f>
        <v>1</v>
      </c>
      <c r="AB98" cm="1">
        <f t="array" ref="AB98">INDEX(Properties!$D:$D,$B98+5)*(IF(AND(AB$3&gt;=INDEX(Properties!$T:$T,$B98+5),AB$3&lt;INDEX(Properties!$U:$U,$B98+5)),1,0))</f>
        <v>1</v>
      </c>
      <c r="AC98" cm="1">
        <f t="array" ref="AC98">INDEX(Properties!$D:$D,$B98+5)*(IF(AND(AC$3&gt;=INDEX(Properties!$T:$T,$B98+5),AC$3&lt;INDEX(Properties!$U:$U,$B98+5)),1,0))</f>
        <v>1</v>
      </c>
      <c r="AD98" cm="1">
        <f t="array" ref="AD98">INDEX(Properties!$D:$D,$B98+5)*(IF(AND(AD$3&gt;=INDEX(Properties!$T:$T,$B98+5),AD$3&lt;INDEX(Properties!$U:$U,$B98+5)),1,0))</f>
        <v>1</v>
      </c>
      <c r="AE98" cm="1">
        <f t="array" ref="AE98">INDEX(Properties!$D:$D,$B98+5)*(IF(AND(AE$3&gt;=INDEX(Properties!$T:$T,$B98+5),AE$3&lt;INDEX(Properties!$U:$U,$B98+5)),1,0))</f>
        <v>1</v>
      </c>
      <c r="AF98" cm="1">
        <f t="array" ref="AF98">INDEX(Properties!$D:$D,$B98+5)*(IF(AND(AF$3&gt;=INDEX(Properties!$T:$T,$B98+5),AF$3&lt;INDEX(Properties!$U:$U,$B98+5)),1,0))</f>
        <v>0</v>
      </c>
      <c r="AG98" cm="1">
        <f t="array" ref="AG98">INDEX(Properties!$D:$D,$B98+5)*(IF(AND(AG$3&gt;=INDEX(Properties!$T:$T,$B98+5),AG$3&lt;INDEX(Properties!$U:$U,$B98+5)),1,0))</f>
        <v>0</v>
      </c>
      <c r="AH98" cm="1">
        <f t="array" ref="AH98">INDEX(Properties!$D:$D,$B98+5)*(IF(AND(AH$3&gt;=INDEX(Properties!$T:$T,$B98+5),AH$3&lt;INDEX(Properties!$U:$U,$B98+5)),1,0))</f>
        <v>0</v>
      </c>
      <c r="AI98" cm="1">
        <f t="array" ref="AI98">INDEX(Properties!$D:$D,$B98+5)*(IF(AND(AI$3&gt;=INDEX(Properties!$T:$T,$B98+5),AI$3&lt;INDEX(Properties!$U:$U,$B98+5)),1,0))</f>
        <v>0</v>
      </c>
      <c r="AJ98" cm="1">
        <f t="array" ref="AJ98">INDEX(Properties!$D:$D,$B98+5)*(IF(AND(AJ$3&gt;=INDEX(Properties!$T:$T,$B98+5),AJ$3&lt;INDEX(Properties!$U:$U,$B98+5)),1,0))</f>
        <v>0</v>
      </c>
      <c r="AK98" cm="1">
        <f t="array" ref="AK98">INDEX(Properties!$D:$D,$B98+5)*(IF(AND(AK$3&gt;=INDEX(Properties!$T:$T,$B98+5),AK$3&lt;INDEX(Properties!$U:$U,$B98+5)),1,0))</f>
        <v>0</v>
      </c>
      <c r="AL98" cm="1">
        <f t="array" ref="AL98">INDEX(Properties!$D:$D,$B98+5)*(IF(AND(AL$3&gt;=INDEX(Properties!$T:$T,$B98+5),AL$3&lt;INDEX(Properties!$U:$U,$B98+5)),1,0))</f>
        <v>0</v>
      </c>
      <c r="AM98" cm="1">
        <f t="array" ref="AM98">INDEX(Properties!$D:$D,$B98+5)*(IF(AND(AM$3&gt;=INDEX(Properties!$T:$T,$B98+5),AM$3&lt;INDEX(Properties!$U:$U,$B98+5)),1,0))</f>
        <v>0</v>
      </c>
      <c r="AN98" cm="1">
        <f t="array" ref="AN98">INDEX(Properties!$D:$D,$B98+5)*(IF(AND(AN$3&gt;=INDEX(Properties!$T:$T,$B98+5),AN$3&lt;INDEX(Properties!$U:$U,$B98+5)),1,0))</f>
        <v>0</v>
      </c>
      <c r="AO98" cm="1">
        <f t="array" ref="AO98">INDEX(Properties!$D:$D,$B98+5)*(IF(AND(AO$3&gt;=INDEX(Properties!$T:$T,$B98+5),AO$3&lt;INDEX(Properties!$U:$U,$B98+5)),1,0))</f>
        <v>0</v>
      </c>
      <c r="AP98" cm="1">
        <f t="array" ref="AP98">INDEX(Properties!$D:$D,$B98+5)*(IF(AND(AP$3&gt;=INDEX(Properties!$T:$T,$B98+5),AP$3&lt;INDEX(Properties!$U:$U,$B98+5)),1,0))</f>
        <v>0</v>
      </c>
      <c r="AQ98" cm="1">
        <f t="array" ref="AQ98">INDEX(Properties!$D:$D,$B98+5)*(IF(AND(AQ$3&gt;=INDEX(Properties!$T:$T,$B98+5),AQ$3&lt;INDEX(Properties!$U:$U,$B98+5)),1,0))</f>
        <v>0</v>
      </c>
      <c r="AR98" cm="1">
        <f t="array" ref="AR98">INDEX(Properties!$D:$D,$B98+5)*(IF(AND(AR$3&gt;=INDEX(Properties!$T:$T,$B98+5),AR$3&lt;INDEX(Properties!$U:$U,$B98+5)),1,0))</f>
        <v>0</v>
      </c>
      <c r="AS98" cm="1">
        <f t="array" ref="AS98">INDEX(Properties!$D:$D,$B98+5)*(IF(AND(AS$3&gt;=INDEX(Properties!$T:$T,$B98+5),AS$3&lt;INDEX(Properties!$U:$U,$B98+5)),1,0))</f>
        <v>0</v>
      </c>
      <c r="AT98" cm="1">
        <f t="array" ref="AT98">INDEX(Properties!$D:$D,$B98+5)*(IF(AND(AT$3&gt;=INDEX(Properties!$T:$T,$B98+5),AT$3&lt;INDEX(Properties!$U:$U,$B98+5)),1,0))</f>
        <v>0</v>
      </c>
      <c r="AU98" cm="1">
        <f t="array" ref="AU98">INDEX(Properties!$D:$D,$B98+5)*(IF(AND(AU$3&gt;=INDEX(Properties!$T:$T,$B98+5),AU$3&lt;INDEX(Properties!$U:$U,$B98+5)),1,0))</f>
        <v>0</v>
      </c>
      <c r="AV98" cm="1">
        <f t="array" ref="AV98">INDEX(Properties!$D:$D,$B98+5)*(IF(AND(AV$3&gt;=INDEX(Properties!$T:$T,$B98+5),AV$3&lt;INDEX(Properties!$U:$U,$B98+5)),1,0))</f>
        <v>0</v>
      </c>
      <c r="AW98" cm="1">
        <f t="array" ref="AW98">INDEX(Properties!$D:$D,$B98+5)*(IF(AND(AW$3&gt;=INDEX(Properties!$T:$T,$B98+5),AW$3&lt;INDEX(Properties!$U:$U,$B98+5)),1,0))</f>
        <v>0</v>
      </c>
      <c r="AX98" cm="1">
        <f t="array" ref="AX98">INDEX(Properties!$D:$D,$B98+5)*(IF(AND(AX$3&gt;=INDEX(Properties!$T:$T,$B98+5),AX$3&lt;INDEX(Properties!$U:$U,$B98+5)),1,0))</f>
        <v>0</v>
      </c>
      <c r="AY98" cm="1">
        <f t="array" ref="AY98">INDEX(Properties!$D:$D,$B98+5)*(IF(AND(AY$3&gt;=INDEX(Properties!$T:$T,$B98+5),AY$3&lt;INDEX(Properties!$U:$U,$B98+5)),1,0))</f>
        <v>0</v>
      </c>
      <c r="AZ98" cm="1">
        <f t="array" ref="AZ98">INDEX(Properties!$D:$D,$B98+5)*(IF(AND(AZ$3&gt;=INDEX(Properties!$T:$T,$B98+5),AZ$3&lt;INDEX(Properties!$U:$U,$B98+5)),1,0))</f>
        <v>0</v>
      </c>
      <c r="BA98" cm="1">
        <f t="array" ref="BA98">INDEX(Properties!$D:$D,$B98+5)*(IF(AND(BA$3&gt;=INDEX(Properties!$T:$T,$B98+5),BA$3&lt;INDEX(Properties!$U:$U,$B98+5)),1,0))</f>
        <v>0</v>
      </c>
      <c r="BB98" cm="1">
        <f t="array" ref="BB98">INDEX(Properties!$D:$D,$B98+5)*(IF(AND(BB$3&gt;=INDEX(Properties!$T:$T,$B98+5),BB$3&lt;INDEX(Properties!$U:$U,$B98+5)),1,0))</f>
        <v>0</v>
      </c>
      <c r="BC98" cm="1">
        <f t="array" ref="BC98">INDEX(Properties!$D:$D,$B98+5)*(IF(AND(BC$3&gt;=INDEX(Properties!$T:$T,$B98+5),BC$3&lt;INDEX(Properties!$U:$U,$B98+5)),1,0))</f>
        <v>0</v>
      </c>
      <c r="BD98" cm="1">
        <f t="array" ref="BD98">INDEX(Properties!$D:$D,$B98+5)*(IF(AND(BD$3&gt;=INDEX(Properties!$T:$T,$B98+5),BD$3&lt;INDEX(Properties!$U:$U,$B98+5)),1,0))</f>
        <v>0</v>
      </c>
      <c r="BE98" cm="1">
        <f t="array" ref="BE98">INDEX(Properties!$D:$D,$B98+5)*(IF(AND(BE$3&gt;=INDEX(Properties!$T:$T,$B98+5),BE$3&lt;INDEX(Properties!$U:$U,$B98+5)),1,0))</f>
        <v>0</v>
      </c>
      <c r="BF98" cm="1">
        <f t="array" ref="BF98">INDEX(Properties!$D:$D,$B98+5)*(IF(AND(BF$3&gt;=INDEX(Properties!$T:$T,$B98+5),BF$3&lt;INDEX(Properties!$U:$U,$B98+5)),1,0))</f>
        <v>0</v>
      </c>
      <c r="BG98" cm="1">
        <f t="array" ref="BG98">INDEX(Properties!$D:$D,$B98+5)*(IF(AND(BG$3&gt;=INDEX(Properties!$T:$T,$B98+5),BG$3&lt;INDEX(Properties!$U:$U,$B98+5)),1,0))</f>
        <v>0</v>
      </c>
      <c r="BH98" cm="1">
        <f t="array" ref="BH98">INDEX(Properties!$D:$D,$B98+5)*(IF(AND(BH$3&gt;=INDEX(Properties!$T:$T,$B98+5),BH$3&lt;INDEX(Properties!$U:$U,$B98+5)),1,0))</f>
        <v>0</v>
      </c>
      <c r="BI98" cm="1">
        <f t="array" ref="BI98">INDEX(Properties!$D:$D,$B98+5)*(IF(AND(BI$3&gt;=INDEX(Properties!$T:$T,$B98+5),BI$3&lt;INDEX(Properties!$U:$U,$B98+5)),1,0))</f>
        <v>0</v>
      </c>
      <c r="BJ98" cm="1">
        <f t="array" ref="BJ98">INDEX(Properties!$D:$D,$B98+5)*(IF(AND(BJ$3&gt;=INDEX(Properties!$T:$T,$B98+5),BJ$3&lt;INDEX(Properties!$U:$U,$B98+5)),1,0))</f>
        <v>0</v>
      </c>
      <c r="BK98" cm="1">
        <f t="array" ref="BK98">INDEX(Properties!$D:$D,$B98+5)*(IF(AND(BK$3&gt;=INDEX(Properties!$T:$T,$B98+5),BK$3&lt;INDEX(Properties!$U:$U,$B98+5)),1,0))</f>
        <v>0</v>
      </c>
      <c r="BL98" cm="1">
        <f t="array" ref="BL98">INDEX(Properties!$D:$D,$B98+5)*(IF(AND(BL$3&gt;=INDEX(Properties!$T:$T,$B98+5),BL$3&lt;INDEX(Properties!$U:$U,$B98+5)),1,0))</f>
        <v>0</v>
      </c>
      <c r="BM98" cm="1">
        <f t="array" ref="BM98">INDEX(Properties!$D:$D,$B98+5)*(IF(AND(BM$3&gt;=INDEX(Properties!$T:$T,$B98+5),BM$3&lt;INDEX(Properties!$U:$U,$B98+5)),1,0))</f>
        <v>0</v>
      </c>
      <c r="BN98" cm="1">
        <f t="array" ref="BN98">INDEX(Properties!$D:$D,$B98+5)*(IF(AND(BN$3&gt;=INDEX(Properties!$T:$T,$B98+5),BN$3&lt;INDEX(Properties!$U:$U,$B98+5)),1,0))</f>
        <v>0</v>
      </c>
      <c r="BO98" cm="1">
        <f t="array" ref="BO98">INDEX(Properties!$D:$D,$B98+5)*(IF(AND(BO$3&gt;=INDEX(Properties!$T:$T,$B98+5),BO$3&lt;INDEX(Properties!$U:$U,$B98+5)),1,0))</f>
        <v>0</v>
      </c>
      <c r="BP98" cm="1">
        <f t="array" ref="BP98">INDEX(Properties!$D:$D,$B98+5)*(IF(AND(BP$3&gt;=INDEX(Properties!$T:$T,$B98+5),BP$3&lt;INDEX(Properties!$U:$U,$B98+5)),1,0))</f>
        <v>0</v>
      </c>
      <c r="BQ98" cm="1">
        <f t="array" ref="BQ98">INDEX(Properties!$D:$D,$B98+5)*(IF(AND(BQ$3&gt;=INDEX(Properties!$T:$T,$B98+5),BQ$3&lt;INDEX(Properties!$U:$U,$B98+5)),1,0))</f>
        <v>0</v>
      </c>
      <c r="BR98" cm="1">
        <f t="array" ref="BR98">INDEX(Properties!$D:$D,$B98+5)*(IF(AND(BR$3&gt;=INDEX(Properties!$T:$T,$B98+5),BR$3&lt;INDEX(Properties!$U:$U,$B98+5)),1,0))</f>
        <v>0</v>
      </c>
      <c r="BS98" cm="1">
        <f t="array" ref="BS98">INDEX(Properties!$D:$D,$B98+5)*(IF(AND(BS$3&gt;=INDEX(Properties!$T:$T,$B98+5),BS$3&lt;INDEX(Properties!$U:$U,$B98+5)),1,0))</f>
        <v>0</v>
      </c>
      <c r="BT98" cm="1">
        <f t="array" ref="BT98">INDEX(Properties!$D:$D,$B98+5)*(IF(AND(BT$3&gt;=INDEX(Properties!$T:$T,$B98+5),BT$3&lt;INDEX(Properties!$U:$U,$B98+5)),1,0))</f>
        <v>0</v>
      </c>
      <c r="BU98" cm="1">
        <f t="array" ref="BU98">INDEX(Properties!$D:$D,$B98+5)*(IF(AND(BU$3&gt;=INDEX(Properties!$T:$T,$B98+5),BU$3&lt;INDEX(Properties!$U:$U,$B98+5)),1,0))</f>
        <v>0</v>
      </c>
      <c r="BV98" cm="1">
        <f t="array" ref="BV98">INDEX(Properties!$D:$D,$B98+5)*(IF(AND(BV$3&gt;=INDEX(Properties!$T:$T,$B98+5),BV$3&lt;INDEX(Properties!$U:$U,$B98+5)),1,0))</f>
        <v>0</v>
      </c>
      <c r="BW98" cm="1">
        <f t="array" ref="BW98">INDEX(Properties!$D:$D,$B98+5)*(IF(AND(BW$3&gt;=INDEX(Properties!$T:$T,$B98+5),BW$3&lt;INDEX(Properties!$U:$U,$B98+5)),1,0))</f>
        <v>0</v>
      </c>
      <c r="BX98" cm="1">
        <f t="array" ref="BX98">INDEX(Properties!$D:$D,$B98+5)*(IF(AND(BX$3&gt;=INDEX(Properties!$T:$T,$B98+5),BX$3&lt;INDEX(Properties!$U:$U,$B98+5)),1,0))</f>
        <v>0</v>
      </c>
      <c r="BY98" cm="1">
        <f t="array" ref="BY98">INDEX(Properties!$D:$D,$B98+5)*(IF(AND(BY$3&gt;=INDEX(Properties!$T:$T,$B98+5),BY$3&lt;INDEX(Properties!$U:$U,$B98+5)),1,0))</f>
        <v>0</v>
      </c>
      <c r="BZ98" cm="1">
        <f t="array" ref="BZ98">INDEX(Properties!$D:$D,$B98+5)*(IF(AND(BZ$3&gt;=INDEX(Properties!$T:$T,$B98+5),BZ$3&lt;INDEX(Properties!$U:$U,$B98+5)),1,0))</f>
        <v>0</v>
      </c>
      <c r="CA98" cm="1">
        <f t="array" ref="CA98">INDEX(Properties!$D:$D,$B98+5)*(IF(AND(CA$3&gt;=INDEX(Properties!$T:$T,$B98+5),CA$3&lt;INDEX(Properties!$U:$U,$B98+5)),1,0))</f>
        <v>0</v>
      </c>
      <c r="CB98" cm="1">
        <f t="array" ref="CB98">INDEX(Properties!$D:$D,$B98+5)*(IF(AND(CB$3&gt;=INDEX(Properties!$T:$T,$B98+5),CB$3&lt;INDEX(Properties!$U:$U,$B98+5)),1,0))</f>
        <v>0</v>
      </c>
      <c r="CC98" cm="1">
        <f t="array" ref="CC98">INDEX(Properties!$D:$D,$B98+5)*(IF(AND(CC$3&gt;=INDEX(Properties!$T:$T,$B98+5),CC$3&lt;INDEX(Properties!$U:$U,$B98+5)),1,0))</f>
        <v>0</v>
      </c>
      <c r="CD98" cm="1">
        <f t="array" ref="CD98">INDEX(Properties!$D:$D,$B98+5)*(IF(AND(CD$3&gt;=INDEX(Properties!$T:$T,$B98+5),CD$3&lt;INDEX(Properties!$U:$U,$B98+5)),1,0))</f>
        <v>0</v>
      </c>
      <c r="CE98" cm="1">
        <f t="array" ref="CE98">INDEX(Properties!$D:$D,$B98+5)*(IF(AND(CE$3&gt;=INDEX(Properties!$T:$T,$B98+5),CE$3&lt;INDEX(Properties!$U:$U,$B98+5)),1,0))</f>
        <v>0</v>
      </c>
      <c r="CF98" cm="1">
        <f t="array" ref="CF98">INDEX(Properties!$D:$D,$B98+5)*(IF(AND(CF$3&gt;=INDEX(Properties!$T:$T,$B98+5),CF$3&lt;INDEX(Properties!$U:$U,$B98+5)),1,0))</f>
        <v>0</v>
      </c>
      <c r="CG98" cm="1">
        <f t="array" ref="CG98">INDEX(Properties!$D:$D,$B98+5)*(IF(AND(CG$3&gt;=INDEX(Properties!$T:$T,$B98+5),CG$3&lt;INDEX(Properties!$U:$U,$B98+5)),1,0))</f>
        <v>0</v>
      </c>
      <c r="CH98" cm="1">
        <f t="array" ref="CH98">INDEX(Properties!$D:$D,$B98+5)*(IF(AND(CH$3&gt;=INDEX(Properties!$T:$T,$B98+5),CH$3&lt;INDEX(Properties!$U:$U,$B98+5)),1,0))</f>
        <v>0</v>
      </c>
      <c r="CI98" cm="1">
        <f t="array" ref="CI98">INDEX(Properties!$D:$D,$B98+5)*(IF(AND(CI$3&gt;=INDEX(Properties!$T:$T,$B98+5),CI$3&lt;INDEX(Properties!$U:$U,$B98+5)),1,0))</f>
        <v>0</v>
      </c>
      <c r="CJ98" cm="1">
        <f t="array" ref="CJ98">INDEX(Properties!$D:$D,$B98+5)*(IF(AND(CJ$3&gt;=INDEX(Properties!$T:$T,$B98+5),CJ$3&lt;INDEX(Properties!$U:$U,$B98+5)),1,0))</f>
        <v>0</v>
      </c>
      <c r="CK98" cm="1">
        <f t="array" ref="CK98">INDEX(Properties!$D:$D,$B98+5)*(IF(AND(CK$3&gt;=INDEX(Properties!$T:$T,$B98+5),CK$3&lt;INDEX(Properties!$U:$U,$B98+5)),1,0))</f>
        <v>0</v>
      </c>
      <c r="CL98" cm="1">
        <f t="array" ref="CL98">INDEX(Properties!$D:$D,$B98+5)*(IF(AND(CL$3&gt;=INDEX(Properties!$T:$T,$B98+5),CL$3&lt;INDEX(Properties!$U:$U,$B98+5)),1,0))</f>
        <v>0</v>
      </c>
      <c r="CM98" cm="1">
        <f t="array" ref="CM98">INDEX(Properties!$D:$D,$B98+5)*(IF(AND(CM$3&gt;=INDEX(Properties!$T:$T,$B98+5),CM$3&lt;INDEX(Properties!$U:$U,$B98+5)),1,0))</f>
        <v>0</v>
      </c>
      <c r="CN98" cm="1">
        <f t="array" ref="CN98">INDEX(Properties!$D:$D,$B98+5)*(IF(AND(CN$3&gt;=INDEX(Properties!$T:$T,$B98+5),CN$3&lt;INDEX(Properties!$U:$U,$B98+5)),1,0))</f>
        <v>0</v>
      </c>
      <c r="CO98" cm="1">
        <f t="array" ref="CO98">INDEX(Properties!$D:$D,$B98+5)*(IF(AND(CO$3&gt;=INDEX(Properties!$T:$T,$B98+5),CO$3&lt;INDEX(Properties!$U:$U,$B98+5)),1,0))</f>
        <v>0</v>
      </c>
      <c r="CP98" cm="1">
        <f t="array" ref="CP98">INDEX(Properties!$D:$D,$B98+5)*(IF(AND(CP$3&gt;=INDEX(Properties!$T:$T,$B98+5),CP$3&lt;INDEX(Properties!$U:$U,$B98+5)),1,0))</f>
        <v>0</v>
      </c>
      <c r="CQ98" cm="1">
        <f t="array" ref="CQ98">INDEX(Properties!$D:$D,$B98+5)*(IF(AND(CQ$3&gt;=INDEX(Properties!$T:$T,$B98+5),CQ$3&lt;INDEX(Properties!$U:$U,$B98+5)),1,0))</f>
        <v>0</v>
      </c>
      <c r="CR98" cm="1">
        <f t="array" ref="CR98">INDEX(Properties!$D:$D,$B98+5)*(IF(AND(CR$3&gt;=INDEX(Properties!$T:$T,$B98+5),CR$3&lt;INDEX(Properties!$U:$U,$B98+5)),1,0))</f>
        <v>0</v>
      </c>
      <c r="CS98" cm="1">
        <f t="array" ref="CS98">INDEX(Properties!$D:$D,$B98+5)*(IF(AND(CS$3&gt;=INDEX(Properties!$T:$T,$B98+5),CS$3&lt;INDEX(Properties!$U:$U,$B98+5)),1,0))</f>
        <v>0</v>
      </c>
      <c r="CT98" cm="1">
        <f t="array" ref="CT98">INDEX(Properties!$D:$D,$B98+5)*(IF(AND(CT$3&gt;=INDEX(Properties!$T:$T,$B98+5),CT$3&lt;INDEX(Properties!$U:$U,$B98+5)),1,0))</f>
        <v>0</v>
      </c>
      <c r="CU98" cm="1">
        <f t="array" ref="CU98">INDEX(Properties!$D:$D,$B98+5)*(IF(AND(CU$3&gt;=INDEX(Properties!$T:$T,$B98+5),CU$3&lt;INDEX(Properties!$U:$U,$B98+5)),1,0))</f>
        <v>0</v>
      </c>
      <c r="CV98" cm="1">
        <f t="array" ref="CV98">INDEX(Properties!$D:$D,$B98+5)*(IF(AND(CV$3&gt;=INDEX(Properties!$T:$T,$B98+5),CV$3&lt;INDEX(Properties!$U:$U,$B98+5)),1,0))</f>
        <v>0</v>
      </c>
      <c r="CW98" cm="1">
        <f t="array" ref="CW98">INDEX(Properties!$D:$D,$B98+5)*(IF(AND(CW$3&gt;=INDEX(Properties!$T:$T,$B98+5),CW$3&lt;INDEX(Properties!$U:$U,$B98+5)),1,0))</f>
        <v>0</v>
      </c>
      <c r="CX98" cm="1">
        <f t="array" ref="CX98">INDEX(Properties!$D:$D,$B98+5)*(IF(AND(CX$3&gt;=INDEX(Properties!$T:$T,$B98+5),CX$3&lt;INDEX(Properties!$U:$U,$B98+5)),1,0))</f>
        <v>0</v>
      </c>
      <c r="CY98" cm="1">
        <f t="array" ref="CY98">INDEX(Properties!$D:$D,$B98+5)*(IF(AND(CY$3&gt;=INDEX(Properties!$T:$T,$B98+5),CY$3&lt;INDEX(Properties!$U:$U,$B98+5)),1,0))</f>
        <v>0</v>
      </c>
      <c r="CZ98" cm="1">
        <f t="array" ref="CZ98">INDEX(Properties!$D:$D,$B98+5)*(IF(AND(CZ$3&gt;=INDEX(Properties!$T:$T,$B98+5),CZ$3&lt;INDEX(Properties!$U:$U,$B98+5)),1,0))</f>
        <v>0</v>
      </c>
      <c r="DA98" cm="1">
        <f t="array" ref="DA98">INDEX(Properties!$D:$D,$B98+5)*(IF(AND(DA$3&gt;=INDEX(Properties!$T:$T,$B98+5),DA$3&lt;INDEX(Properties!$U:$U,$B98+5)),1,0))</f>
        <v>0</v>
      </c>
      <c r="DB98" cm="1">
        <f t="array" ref="DB98">INDEX(Properties!$D:$D,$B98+5)*(IF(AND(DB$3&gt;=INDEX(Properties!$T:$T,$B98+5),DB$3&lt;INDEX(Properties!$U:$U,$B98+5)),1,0))</f>
        <v>0</v>
      </c>
      <c r="DC98" cm="1">
        <f t="array" ref="DC98">INDEX(Properties!$D:$D,$B98+5)*(IF(AND(DC$3&gt;=INDEX(Properties!$T:$T,$B98+5),DC$3&lt;INDEX(Properties!$U:$U,$B98+5)),1,0))</f>
        <v>0</v>
      </c>
      <c r="DD98" cm="1">
        <f t="array" ref="DD98">INDEX(Properties!$D:$D,$B98+5)*(IF(AND(DD$3&gt;=INDEX(Properties!$T:$T,$B98+5),DD$3&lt;INDEX(Properties!$U:$U,$B98+5)),1,0))</f>
        <v>0</v>
      </c>
      <c r="DE98" cm="1">
        <f t="array" ref="DE98">INDEX(Properties!$D:$D,$B98+5)*(IF(AND(DE$3&gt;=INDEX(Properties!$T:$T,$B98+5),DE$3&lt;INDEX(Properties!$U:$U,$B98+5)),1,0))</f>
        <v>0</v>
      </c>
      <c r="DF98" cm="1">
        <f t="array" ref="DF98">INDEX(Properties!$D:$D,$B98+5)*(IF(AND(DF$3&gt;=INDEX(Properties!$T:$T,$B98+5),DF$3&lt;INDEX(Properties!$U:$U,$B98+5)),1,0))</f>
        <v>0</v>
      </c>
      <c r="DG98" cm="1">
        <f t="array" ref="DG98">INDEX(Properties!$D:$D,$B98+5)*(IF(AND(DG$3&gt;=INDEX(Properties!$T:$T,$B98+5),DG$3&lt;INDEX(Properties!$U:$U,$B98+5)),1,0))</f>
        <v>0</v>
      </c>
      <c r="DH98" cm="1">
        <f t="array" ref="DH98">INDEX(Properties!$D:$D,$B98+5)*(IF(AND(DH$3&gt;=INDEX(Properties!$T:$T,$B98+5),DH$3&lt;INDEX(Properties!$U:$U,$B98+5)),1,0))</f>
        <v>0</v>
      </c>
      <c r="DI98" cm="1">
        <f t="array" ref="DI98">INDEX(Properties!$D:$D,$B98+5)*(IF(AND(DI$3&gt;=INDEX(Properties!$T:$T,$B98+5),DI$3&lt;INDEX(Properties!$U:$U,$B98+5)),1,0))</f>
        <v>0</v>
      </c>
      <c r="DJ98" cm="1">
        <f t="array" ref="DJ98">INDEX(Properties!$D:$D,$B98+5)*(IF(AND(DJ$3&gt;=INDEX(Properties!$T:$T,$B98+5),DJ$3&lt;INDEX(Properties!$U:$U,$B98+5)),1,0))</f>
        <v>0</v>
      </c>
      <c r="DK98" cm="1">
        <f t="array" ref="DK98">INDEX(Properties!$D:$D,$B98+5)*(IF(AND(DK$3&gt;=INDEX(Properties!$T:$T,$B98+5),DK$3&lt;INDEX(Properties!$U:$U,$B98+5)),1,0))</f>
        <v>0</v>
      </c>
      <c r="DL98" cm="1">
        <f t="array" ref="DL98">INDEX(Properties!$D:$D,$B98+5)*(IF(AND(DL$3&gt;=INDEX(Properties!$T:$T,$B98+5),DL$3&lt;INDEX(Properties!$U:$U,$B98+5)),1,0))</f>
        <v>0</v>
      </c>
      <c r="DM98" cm="1">
        <f t="array" ref="DM98">INDEX(Properties!$D:$D,$B98+5)*(IF(AND(DM$3&gt;=INDEX(Properties!$T:$T,$B98+5),DM$3&lt;INDEX(Properties!$U:$U,$B98+5)),1,0))</f>
        <v>0</v>
      </c>
      <c r="DN98" cm="1">
        <f t="array" ref="DN98">INDEX(Properties!$D:$D,$B98+5)*(IF(AND(DN$3&gt;=INDEX(Properties!$T:$T,$B98+5),DN$3&lt;INDEX(Properties!$U:$U,$B98+5)),1,0))</f>
        <v>0</v>
      </c>
      <c r="DO98" cm="1">
        <f t="array" ref="DO98">INDEX(Properties!$D:$D,$B98+5)*(IF(AND(DO$3&gt;=INDEX(Properties!$T:$T,$B98+5),DO$3&lt;INDEX(Properties!$U:$U,$B98+5)),1,0))</f>
        <v>0</v>
      </c>
      <c r="DP98" cm="1">
        <f t="array" ref="DP98">INDEX(Properties!$D:$D,$B98+5)*(IF(AND(DP$3&gt;=INDEX(Properties!$T:$T,$B98+5),DP$3&lt;INDEX(Properties!$U:$U,$B98+5)),1,0))</f>
        <v>0</v>
      </c>
      <c r="DQ98" cm="1">
        <f t="array" ref="DQ98">INDEX(Properties!$D:$D,$B98+5)*(IF(AND(DQ$3&gt;=INDEX(Properties!$T:$T,$B98+5),DQ$3&lt;INDEX(Properties!$U:$U,$B98+5)),1,0))</f>
        <v>0</v>
      </c>
      <c r="DR98" cm="1">
        <f t="array" ref="DR98">INDEX(Properties!$D:$D,$B98+5)*(IF(AND(DR$3&gt;=INDEX(Properties!$T:$T,$B98+5),DR$3&lt;INDEX(Properties!$U:$U,$B98+5)),1,0))</f>
        <v>0</v>
      </c>
    </row>
    <row r="99" spans="1:122" ht="14.55" customHeight="1" x14ac:dyDescent="0.3">
      <c r="A99" t="str" cm="1">
        <f t="array" ref="A99">INDEX(Properties!$E:$E,$B99+5)</f>
        <v>Fontanar Apto 201 (Penthouse)</v>
      </c>
      <c r="B99" s="1">
        <v>2</v>
      </c>
      <c r="C99" cm="1">
        <f t="array" ref="C99">INDEX(Properties!$D:$D,$B99+5)*(IF(AND(C$3&gt;=INDEX(Properties!$T:$T,$B99+5),C$3&lt;INDEX(Properties!$U:$U,$B99+5)),1,0))</f>
        <v>0</v>
      </c>
      <c r="D99" cm="1">
        <f t="array" ref="D99">INDEX(Properties!$D:$D,$B99+5)*(IF(AND(D$3&gt;=INDEX(Properties!$T:$T,$B99+5),D$3&lt;INDEX(Properties!$U:$U,$B99+5)),1,0))</f>
        <v>0</v>
      </c>
      <c r="E99" cm="1">
        <f t="array" ref="E99">INDEX(Properties!$D:$D,$B99+5)*(IF(AND(E$3&gt;=INDEX(Properties!$T:$T,$B99+5),E$3&lt;INDEX(Properties!$U:$U,$B99+5)),1,0))</f>
        <v>0</v>
      </c>
      <c r="F99" cm="1">
        <f t="array" ref="F99">INDEX(Properties!$D:$D,$B99+5)*(IF(AND(F$3&gt;=INDEX(Properties!$T:$T,$B99+5),F$3&lt;INDEX(Properties!$U:$U,$B99+5)),1,0))</f>
        <v>0</v>
      </c>
      <c r="G99" cm="1">
        <f t="array" ref="G99">INDEX(Properties!$D:$D,$B99+5)*(IF(AND(G$3&gt;=INDEX(Properties!$T:$T,$B99+5),G$3&lt;INDEX(Properties!$U:$U,$B99+5)),1,0))</f>
        <v>0</v>
      </c>
      <c r="H99" cm="1">
        <f t="array" ref="H99">INDEX(Properties!$D:$D,$B99+5)*(IF(AND(H$3&gt;=INDEX(Properties!$T:$T,$B99+5),H$3&lt;INDEX(Properties!$U:$U,$B99+5)),1,0))</f>
        <v>0</v>
      </c>
      <c r="I99" cm="1">
        <f t="array" ref="I99">INDEX(Properties!$D:$D,$B99+5)*(IF(AND(I$3&gt;=INDEX(Properties!$T:$T,$B99+5),I$3&lt;INDEX(Properties!$U:$U,$B99+5)),1,0))</f>
        <v>1</v>
      </c>
      <c r="J99" cm="1">
        <f t="array" ref="J99">INDEX(Properties!$D:$D,$B99+5)*(IF(AND(J$3&gt;=INDEX(Properties!$T:$T,$B99+5),J$3&lt;INDEX(Properties!$U:$U,$B99+5)),1,0))</f>
        <v>1</v>
      </c>
      <c r="K99" cm="1">
        <f t="array" ref="K99">INDEX(Properties!$D:$D,$B99+5)*(IF(AND(K$3&gt;=INDEX(Properties!$T:$T,$B99+5),K$3&lt;INDEX(Properties!$U:$U,$B99+5)),1,0))</f>
        <v>1</v>
      </c>
      <c r="L99" cm="1">
        <f t="array" ref="L99">INDEX(Properties!$D:$D,$B99+5)*(IF(AND(L$3&gt;=INDEX(Properties!$T:$T,$B99+5),L$3&lt;INDEX(Properties!$U:$U,$B99+5)),1,0))</f>
        <v>1</v>
      </c>
      <c r="M99" cm="1">
        <f t="array" ref="M99">INDEX(Properties!$D:$D,$B99+5)*(IF(AND(M$3&gt;=INDEX(Properties!$T:$T,$B99+5),M$3&lt;INDEX(Properties!$U:$U,$B99+5)),1,0))</f>
        <v>1</v>
      </c>
      <c r="N99" cm="1">
        <f t="array" ref="N99">INDEX(Properties!$D:$D,$B99+5)*(IF(AND(N$3&gt;=INDEX(Properties!$T:$T,$B99+5),N$3&lt;INDEX(Properties!$U:$U,$B99+5)),1,0))</f>
        <v>1</v>
      </c>
      <c r="O99" cm="1">
        <f t="array" ref="O99">INDEX(Properties!$D:$D,$B99+5)*(IF(AND(O$3&gt;=INDEX(Properties!$T:$T,$B99+5),O$3&lt;INDEX(Properties!$U:$U,$B99+5)),1,0))</f>
        <v>1</v>
      </c>
      <c r="P99" cm="1">
        <f t="array" ref="P99">INDEX(Properties!$D:$D,$B99+5)*(IF(AND(P$3&gt;=INDEX(Properties!$T:$T,$B99+5),P$3&lt;INDEX(Properties!$U:$U,$B99+5)),1,0))</f>
        <v>1</v>
      </c>
      <c r="Q99" cm="1">
        <f t="array" ref="Q99">INDEX(Properties!$D:$D,$B99+5)*(IF(AND(Q$3&gt;=INDEX(Properties!$T:$T,$B99+5),Q$3&lt;INDEX(Properties!$U:$U,$B99+5)),1,0))</f>
        <v>1</v>
      </c>
      <c r="R99" cm="1">
        <f t="array" ref="R99">INDEX(Properties!$D:$D,$B99+5)*(IF(AND(R$3&gt;=INDEX(Properties!$T:$T,$B99+5),R$3&lt;INDEX(Properties!$U:$U,$B99+5)),1,0))</f>
        <v>1</v>
      </c>
      <c r="S99" cm="1">
        <f t="array" ref="S99">INDEX(Properties!$D:$D,$B99+5)*(IF(AND(S$3&gt;=INDEX(Properties!$T:$T,$B99+5),S$3&lt;INDEX(Properties!$U:$U,$B99+5)),1,0))</f>
        <v>1</v>
      </c>
      <c r="T99" cm="1">
        <f t="array" ref="T99">INDEX(Properties!$D:$D,$B99+5)*(IF(AND(T$3&gt;=INDEX(Properties!$T:$T,$B99+5),T$3&lt;INDEX(Properties!$U:$U,$B99+5)),1,0))</f>
        <v>1</v>
      </c>
      <c r="U99" cm="1">
        <f t="array" ref="U99">INDEX(Properties!$D:$D,$B99+5)*(IF(AND(U$3&gt;=INDEX(Properties!$T:$T,$B99+5),U$3&lt;INDEX(Properties!$U:$U,$B99+5)),1,0))</f>
        <v>1</v>
      </c>
      <c r="V99" cm="1">
        <f t="array" ref="V99">INDEX(Properties!$D:$D,$B99+5)*(IF(AND(V$3&gt;=INDEX(Properties!$T:$T,$B99+5),V$3&lt;INDEX(Properties!$U:$U,$B99+5)),1,0))</f>
        <v>1</v>
      </c>
      <c r="W99" cm="1">
        <f t="array" ref="W99">INDEX(Properties!$D:$D,$B99+5)*(IF(AND(W$3&gt;=INDEX(Properties!$T:$T,$B99+5),W$3&lt;INDEX(Properties!$U:$U,$B99+5)),1,0))</f>
        <v>1</v>
      </c>
      <c r="X99" cm="1">
        <f t="array" ref="X99">INDEX(Properties!$D:$D,$B99+5)*(IF(AND(X$3&gt;=INDEX(Properties!$T:$T,$B99+5),X$3&lt;INDEX(Properties!$U:$U,$B99+5)),1,0))</f>
        <v>1</v>
      </c>
      <c r="Y99" cm="1">
        <f t="array" ref="Y99">INDEX(Properties!$D:$D,$B99+5)*(IF(AND(Y$3&gt;=INDEX(Properties!$T:$T,$B99+5),Y$3&lt;INDEX(Properties!$U:$U,$B99+5)),1,0))</f>
        <v>1</v>
      </c>
      <c r="Z99" cm="1">
        <f t="array" ref="Z99">INDEX(Properties!$D:$D,$B99+5)*(IF(AND(Z$3&gt;=INDEX(Properties!$T:$T,$B99+5),Z$3&lt;INDEX(Properties!$U:$U,$B99+5)),1,0))</f>
        <v>1</v>
      </c>
      <c r="AA99" cm="1">
        <f t="array" ref="AA99">INDEX(Properties!$D:$D,$B99+5)*(IF(AND(AA$3&gt;=INDEX(Properties!$T:$T,$B99+5),AA$3&lt;INDEX(Properties!$U:$U,$B99+5)),1,0))</f>
        <v>1</v>
      </c>
      <c r="AB99" cm="1">
        <f t="array" ref="AB99">INDEX(Properties!$D:$D,$B99+5)*(IF(AND(AB$3&gt;=INDEX(Properties!$T:$T,$B99+5),AB$3&lt;INDEX(Properties!$U:$U,$B99+5)),1,0))</f>
        <v>1</v>
      </c>
      <c r="AC99" cm="1">
        <f t="array" ref="AC99">INDEX(Properties!$D:$D,$B99+5)*(IF(AND(AC$3&gt;=INDEX(Properties!$T:$T,$B99+5),AC$3&lt;INDEX(Properties!$U:$U,$B99+5)),1,0))</f>
        <v>1</v>
      </c>
      <c r="AD99" cm="1">
        <f t="array" ref="AD99">INDEX(Properties!$D:$D,$B99+5)*(IF(AND(AD$3&gt;=INDEX(Properties!$T:$T,$B99+5),AD$3&lt;INDEX(Properties!$U:$U,$B99+5)),1,0))</f>
        <v>1</v>
      </c>
      <c r="AE99" cm="1">
        <f t="array" ref="AE99">INDEX(Properties!$D:$D,$B99+5)*(IF(AND(AE$3&gt;=INDEX(Properties!$T:$T,$B99+5),AE$3&lt;INDEX(Properties!$U:$U,$B99+5)),1,0))</f>
        <v>1</v>
      </c>
      <c r="AF99" cm="1">
        <f t="array" ref="AF99">INDEX(Properties!$D:$D,$B99+5)*(IF(AND(AF$3&gt;=INDEX(Properties!$T:$T,$B99+5),AF$3&lt;INDEX(Properties!$U:$U,$B99+5)),1,0))</f>
        <v>1</v>
      </c>
      <c r="AG99" cm="1">
        <f t="array" ref="AG99">INDEX(Properties!$D:$D,$B99+5)*(IF(AND(AG$3&gt;=INDEX(Properties!$T:$T,$B99+5),AG$3&lt;INDEX(Properties!$U:$U,$B99+5)),1,0))</f>
        <v>0</v>
      </c>
      <c r="AH99" cm="1">
        <f t="array" ref="AH99">INDEX(Properties!$D:$D,$B99+5)*(IF(AND(AH$3&gt;=INDEX(Properties!$T:$T,$B99+5),AH$3&lt;INDEX(Properties!$U:$U,$B99+5)),1,0))</f>
        <v>0</v>
      </c>
      <c r="AI99" cm="1">
        <f t="array" ref="AI99">INDEX(Properties!$D:$D,$B99+5)*(IF(AND(AI$3&gt;=INDEX(Properties!$T:$T,$B99+5),AI$3&lt;INDEX(Properties!$U:$U,$B99+5)),1,0))</f>
        <v>0</v>
      </c>
      <c r="AJ99" cm="1">
        <f t="array" ref="AJ99">INDEX(Properties!$D:$D,$B99+5)*(IF(AND(AJ$3&gt;=INDEX(Properties!$T:$T,$B99+5),AJ$3&lt;INDEX(Properties!$U:$U,$B99+5)),1,0))</f>
        <v>0</v>
      </c>
      <c r="AK99" cm="1">
        <f t="array" ref="AK99">INDEX(Properties!$D:$D,$B99+5)*(IF(AND(AK$3&gt;=INDEX(Properties!$T:$T,$B99+5),AK$3&lt;INDEX(Properties!$U:$U,$B99+5)),1,0))</f>
        <v>0</v>
      </c>
      <c r="AL99" cm="1">
        <f t="array" ref="AL99">INDEX(Properties!$D:$D,$B99+5)*(IF(AND(AL$3&gt;=INDEX(Properties!$T:$T,$B99+5),AL$3&lt;INDEX(Properties!$U:$U,$B99+5)),1,0))</f>
        <v>0</v>
      </c>
      <c r="AM99" cm="1">
        <f t="array" ref="AM99">INDEX(Properties!$D:$D,$B99+5)*(IF(AND(AM$3&gt;=INDEX(Properties!$T:$T,$B99+5),AM$3&lt;INDEX(Properties!$U:$U,$B99+5)),1,0))</f>
        <v>0</v>
      </c>
      <c r="AN99" cm="1">
        <f t="array" ref="AN99">INDEX(Properties!$D:$D,$B99+5)*(IF(AND(AN$3&gt;=INDEX(Properties!$T:$T,$B99+5),AN$3&lt;INDEX(Properties!$U:$U,$B99+5)),1,0))</f>
        <v>0</v>
      </c>
      <c r="AO99" cm="1">
        <f t="array" ref="AO99">INDEX(Properties!$D:$D,$B99+5)*(IF(AND(AO$3&gt;=INDEX(Properties!$T:$T,$B99+5),AO$3&lt;INDEX(Properties!$U:$U,$B99+5)),1,0))</f>
        <v>0</v>
      </c>
      <c r="AP99" cm="1">
        <f t="array" ref="AP99">INDEX(Properties!$D:$D,$B99+5)*(IF(AND(AP$3&gt;=INDEX(Properties!$T:$T,$B99+5),AP$3&lt;INDEX(Properties!$U:$U,$B99+5)),1,0))</f>
        <v>0</v>
      </c>
      <c r="AQ99" cm="1">
        <f t="array" ref="AQ99">INDEX(Properties!$D:$D,$B99+5)*(IF(AND(AQ$3&gt;=INDEX(Properties!$T:$T,$B99+5),AQ$3&lt;INDEX(Properties!$U:$U,$B99+5)),1,0))</f>
        <v>0</v>
      </c>
      <c r="AR99" cm="1">
        <f t="array" ref="AR99">INDEX(Properties!$D:$D,$B99+5)*(IF(AND(AR$3&gt;=INDEX(Properties!$T:$T,$B99+5),AR$3&lt;INDEX(Properties!$U:$U,$B99+5)),1,0))</f>
        <v>0</v>
      </c>
      <c r="AS99" cm="1">
        <f t="array" ref="AS99">INDEX(Properties!$D:$D,$B99+5)*(IF(AND(AS$3&gt;=INDEX(Properties!$T:$T,$B99+5),AS$3&lt;INDEX(Properties!$U:$U,$B99+5)),1,0))</f>
        <v>0</v>
      </c>
      <c r="AT99" cm="1">
        <f t="array" ref="AT99">INDEX(Properties!$D:$D,$B99+5)*(IF(AND(AT$3&gt;=INDEX(Properties!$T:$T,$B99+5),AT$3&lt;INDEX(Properties!$U:$U,$B99+5)),1,0))</f>
        <v>0</v>
      </c>
      <c r="AU99" cm="1">
        <f t="array" ref="AU99">INDEX(Properties!$D:$D,$B99+5)*(IF(AND(AU$3&gt;=INDEX(Properties!$T:$T,$B99+5),AU$3&lt;INDEX(Properties!$U:$U,$B99+5)),1,0))</f>
        <v>0</v>
      </c>
      <c r="AV99" cm="1">
        <f t="array" ref="AV99">INDEX(Properties!$D:$D,$B99+5)*(IF(AND(AV$3&gt;=INDEX(Properties!$T:$T,$B99+5),AV$3&lt;INDEX(Properties!$U:$U,$B99+5)),1,0))</f>
        <v>0</v>
      </c>
      <c r="AW99" cm="1">
        <f t="array" ref="AW99">INDEX(Properties!$D:$D,$B99+5)*(IF(AND(AW$3&gt;=INDEX(Properties!$T:$T,$B99+5),AW$3&lt;INDEX(Properties!$U:$U,$B99+5)),1,0))</f>
        <v>0</v>
      </c>
      <c r="AX99" cm="1">
        <f t="array" ref="AX99">INDEX(Properties!$D:$D,$B99+5)*(IF(AND(AX$3&gt;=INDEX(Properties!$T:$T,$B99+5),AX$3&lt;INDEX(Properties!$U:$U,$B99+5)),1,0))</f>
        <v>0</v>
      </c>
      <c r="AY99" cm="1">
        <f t="array" ref="AY99">INDEX(Properties!$D:$D,$B99+5)*(IF(AND(AY$3&gt;=INDEX(Properties!$T:$T,$B99+5),AY$3&lt;INDEX(Properties!$U:$U,$B99+5)),1,0))</f>
        <v>0</v>
      </c>
      <c r="AZ99" cm="1">
        <f t="array" ref="AZ99">INDEX(Properties!$D:$D,$B99+5)*(IF(AND(AZ$3&gt;=INDEX(Properties!$T:$T,$B99+5),AZ$3&lt;INDEX(Properties!$U:$U,$B99+5)),1,0))</f>
        <v>0</v>
      </c>
      <c r="BA99" cm="1">
        <f t="array" ref="BA99">INDEX(Properties!$D:$D,$B99+5)*(IF(AND(BA$3&gt;=INDEX(Properties!$T:$T,$B99+5),BA$3&lt;INDEX(Properties!$U:$U,$B99+5)),1,0))</f>
        <v>0</v>
      </c>
      <c r="BB99" cm="1">
        <f t="array" ref="BB99">INDEX(Properties!$D:$D,$B99+5)*(IF(AND(BB$3&gt;=INDEX(Properties!$T:$T,$B99+5),BB$3&lt;INDEX(Properties!$U:$U,$B99+5)),1,0))</f>
        <v>0</v>
      </c>
      <c r="BC99" cm="1">
        <f t="array" ref="BC99">INDEX(Properties!$D:$D,$B99+5)*(IF(AND(BC$3&gt;=INDEX(Properties!$T:$T,$B99+5),BC$3&lt;INDEX(Properties!$U:$U,$B99+5)),1,0))</f>
        <v>0</v>
      </c>
      <c r="BD99" cm="1">
        <f t="array" ref="BD99">INDEX(Properties!$D:$D,$B99+5)*(IF(AND(BD$3&gt;=INDEX(Properties!$T:$T,$B99+5),BD$3&lt;INDEX(Properties!$U:$U,$B99+5)),1,0))</f>
        <v>0</v>
      </c>
      <c r="BE99" cm="1">
        <f t="array" ref="BE99">INDEX(Properties!$D:$D,$B99+5)*(IF(AND(BE$3&gt;=INDEX(Properties!$T:$T,$B99+5),BE$3&lt;INDEX(Properties!$U:$U,$B99+5)),1,0))</f>
        <v>0</v>
      </c>
      <c r="BF99" cm="1">
        <f t="array" ref="BF99">INDEX(Properties!$D:$D,$B99+5)*(IF(AND(BF$3&gt;=INDEX(Properties!$T:$T,$B99+5),BF$3&lt;INDEX(Properties!$U:$U,$B99+5)),1,0))</f>
        <v>0</v>
      </c>
      <c r="BG99" cm="1">
        <f t="array" ref="BG99">INDEX(Properties!$D:$D,$B99+5)*(IF(AND(BG$3&gt;=INDEX(Properties!$T:$T,$B99+5),BG$3&lt;INDEX(Properties!$U:$U,$B99+5)),1,0))</f>
        <v>0</v>
      </c>
      <c r="BH99" cm="1">
        <f t="array" ref="BH99">INDEX(Properties!$D:$D,$B99+5)*(IF(AND(BH$3&gt;=INDEX(Properties!$T:$T,$B99+5),BH$3&lt;INDEX(Properties!$U:$U,$B99+5)),1,0))</f>
        <v>0</v>
      </c>
      <c r="BI99" cm="1">
        <f t="array" ref="BI99">INDEX(Properties!$D:$D,$B99+5)*(IF(AND(BI$3&gt;=INDEX(Properties!$T:$T,$B99+5),BI$3&lt;INDEX(Properties!$U:$U,$B99+5)),1,0))</f>
        <v>0</v>
      </c>
      <c r="BJ99" cm="1">
        <f t="array" ref="BJ99">INDEX(Properties!$D:$D,$B99+5)*(IF(AND(BJ$3&gt;=INDEX(Properties!$T:$T,$B99+5),BJ$3&lt;INDEX(Properties!$U:$U,$B99+5)),1,0))</f>
        <v>0</v>
      </c>
      <c r="BK99" cm="1">
        <f t="array" ref="BK99">INDEX(Properties!$D:$D,$B99+5)*(IF(AND(BK$3&gt;=INDEX(Properties!$T:$T,$B99+5),BK$3&lt;INDEX(Properties!$U:$U,$B99+5)),1,0))</f>
        <v>0</v>
      </c>
      <c r="BL99" cm="1">
        <f t="array" ref="BL99">INDEX(Properties!$D:$D,$B99+5)*(IF(AND(BL$3&gt;=INDEX(Properties!$T:$T,$B99+5),BL$3&lt;INDEX(Properties!$U:$U,$B99+5)),1,0))</f>
        <v>0</v>
      </c>
      <c r="BM99" cm="1">
        <f t="array" ref="BM99">INDEX(Properties!$D:$D,$B99+5)*(IF(AND(BM$3&gt;=INDEX(Properties!$T:$T,$B99+5),BM$3&lt;INDEX(Properties!$U:$U,$B99+5)),1,0))</f>
        <v>0</v>
      </c>
      <c r="BN99" cm="1">
        <f t="array" ref="BN99">INDEX(Properties!$D:$D,$B99+5)*(IF(AND(BN$3&gt;=INDEX(Properties!$T:$T,$B99+5),BN$3&lt;INDEX(Properties!$U:$U,$B99+5)),1,0))</f>
        <v>0</v>
      </c>
      <c r="BO99" cm="1">
        <f t="array" ref="BO99">INDEX(Properties!$D:$D,$B99+5)*(IF(AND(BO$3&gt;=INDEX(Properties!$T:$T,$B99+5),BO$3&lt;INDEX(Properties!$U:$U,$B99+5)),1,0))</f>
        <v>0</v>
      </c>
      <c r="BP99" cm="1">
        <f t="array" ref="BP99">INDEX(Properties!$D:$D,$B99+5)*(IF(AND(BP$3&gt;=INDEX(Properties!$T:$T,$B99+5),BP$3&lt;INDEX(Properties!$U:$U,$B99+5)),1,0))</f>
        <v>0</v>
      </c>
      <c r="BQ99" cm="1">
        <f t="array" ref="BQ99">INDEX(Properties!$D:$D,$B99+5)*(IF(AND(BQ$3&gt;=INDEX(Properties!$T:$T,$B99+5),BQ$3&lt;INDEX(Properties!$U:$U,$B99+5)),1,0))</f>
        <v>0</v>
      </c>
      <c r="BR99" cm="1">
        <f t="array" ref="BR99">INDEX(Properties!$D:$D,$B99+5)*(IF(AND(BR$3&gt;=INDEX(Properties!$T:$T,$B99+5),BR$3&lt;INDEX(Properties!$U:$U,$B99+5)),1,0))</f>
        <v>0</v>
      </c>
      <c r="BS99" cm="1">
        <f t="array" ref="BS99">INDEX(Properties!$D:$D,$B99+5)*(IF(AND(BS$3&gt;=INDEX(Properties!$T:$T,$B99+5),BS$3&lt;INDEX(Properties!$U:$U,$B99+5)),1,0))</f>
        <v>0</v>
      </c>
      <c r="BT99" cm="1">
        <f t="array" ref="BT99">INDEX(Properties!$D:$D,$B99+5)*(IF(AND(BT$3&gt;=INDEX(Properties!$T:$T,$B99+5),BT$3&lt;INDEX(Properties!$U:$U,$B99+5)),1,0))</f>
        <v>0</v>
      </c>
      <c r="BU99" cm="1">
        <f t="array" ref="BU99">INDEX(Properties!$D:$D,$B99+5)*(IF(AND(BU$3&gt;=INDEX(Properties!$T:$T,$B99+5),BU$3&lt;INDEX(Properties!$U:$U,$B99+5)),1,0))</f>
        <v>0</v>
      </c>
      <c r="BV99" cm="1">
        <f t="array" ref="BV99">INDEX(Properties!$D:$D,$B99+5)*(IF(AND(BV$3&gt;=INDEX(Properties!$T:$T,$B99+5),BV$3&lt;INDEX(Properties!$U:$U,$B99+5)),1,0))</f>
        <v>0</v>
      </c>
      <c r="BW99" cm="1">
        <f t="array" ref="BW99">INDEX(Properties!$D:$D,$B99+5)*(IF(AND(BW$3&gt;=INDEX(Properties!$T:$T,$B99+5),BW$3&lt;INDEX(Properties!$U:$U,$B99+5)),1,0))</f>
        <v>0</v>
      </c>
      <c r="BX99" cm="1">
        <f t="array" ref="BX99">INDEX(Properties!$D:$D,$B99+5)*(IF(AND(BX$3&gt;=INDEX(Properties!$T:$T,$B99+5),BX$3&lt;INDEX(Properties!$U:$U,$B99+5)),1,0))</f>
        <v>0</v>
      </c>
      <c r="BY99" cm="1">
        <f t="array" ref="BY99">INDEX(Properties!$D:$D,$B99+5)*(IF(AND(BY$3&gt;=INDEX(Properties!$T:$T,$B99+5),BY$3&lt;INDEX(Properties!$U:$U,$B99+5)),1,0))</f>
        <v>0</v>
      </c>
      <c r="BZ99" cm="1">
        <f t="array" ref="BZ99">INDEX(Properties!$D:$D,$B99+5)*(IF(AND(BZ$3&gt;=INDEX(Properties!$T:$T,$B99+5),BZ$3&lt;INDEX(Properties!$U:$U,$B99+5)),1,0))</f>
        <v>0</v>
      </c>
      <c r="CA99" cm="1">
        <f t="array" ref="CA99">INDEX(Properties!$D:$D,$B99+5)*(IF(AND(CA$3&gt;=INDEX(Properties!$T:$T,$B99+5),CA$3&lt;INDEX(Properties!$U:$U,$B99+5)),1,0))</f>
        <v>0</v>
      </c>
      <c r="CB99" cm="1">
        <f t="array" ref="CB99">INDEX(Properties!$D:$D,$B99+5)*(IF(AND(CB$3&gt;=INDEX(Properties!$T:$T,$B99+5),CB$3&lt;INDEX(Properties!$U:$U,$B99+5)),1,0))</f>
        <v>0</v>
      </c>
      <c r="CC99" cm="1">
        <f t="array" ref="CC99">INDEX(Properties!$D:$D,$B99+5)*(IF(AND(CC$3&gt;=INDEX(Properties!$T:$T,$B99+5),CC$3&lt;INDEX(Properties!$U:$U,$B99+5)),1,0))</f>
        <v>0</v>
      </c>
      <c r="CD99" cm="1">
        <f t="array" ref="CD99">INDEX(Properties!$D:$D,$B99+5)*(IF(AND(CD$3&gt;=INDEX(Properties!$T:$T,$B99+5),CD$3&lt;INDEX(Properties!$U:$U,$B99+5)),1,0))</f>
        <v>0</v>
      </c>
      <c r="CE99" cm="1">
        <f t="array" ref="CE99">INDEX(Properties!$D:$D,$B99+5)*(IF(AND(CE$3&gt;=INDEX(Properties!$T:$T,$B99+5),CE$3&lt;INDEX(Properties!$U:$U,$B99+5)),1,0))</f>
        <v>0</v>
      </c>
      <c r="CF99" cm="1">
        <f t="array" ref="CF99">INDEX(Properties!$D:$D,$B99+5)*(IF(AND(CF$3&gt;=INDEX(Properties!$T:$T,$B99+5),CF$3&lt;INDEX(Properties!$U:$U,$B99+5)),1,0))</f>
        <v>0</v>
      </c>
      <c r="CG99" cm="1">
        <f t="array" ref="CG99">INDEX(Properties!$D:$D,$B99+5)*(IF(AND(CG$3&gt;=INDEX(Properties!$T:$T,$B99+5),CG$3&lt;INDEX(Properties!$U:$U,$B99+5)),1,0))</f>
        <v>0</v>
      </c>
      <c r="CH99" cm="1">
        <f t="array" ref="CH99">INDEX(Properties!$D:$D,$B99+5)*(IF(AND(CH$3&gt;=INDEX(Properties!$T:$T,$B99+5),CH$3&lt;INDEX(Properties!$U:$U,$B99+5)),1,0))</f>
        <v>0</v>
      </c>
      <c r="CI99" cm="1">
        <f t="array" ref="CI99">INDEX(Properties!$D:$D,$B99+5)*(IF(AND(CI$3&gt;=INDEX(Properties!$T:$T,$B99+5),CI$3&lt;INDEX(Properties!$U:$U,$B99+5)),1,0))</f>
        <v>0</v>
      </c>
      <c r="CJ99" cm="1">
        <f t="array" ref="CJ99">INDEX(Properties!$D:$D,$B99+5)*(IF(AND(CJ$3&gt;=INDEX(Properties!$T:$T,$B99+5),CJ$3&lt;INDEX(Properties!$U:$U,$B99+5)),1,0))</f>
        <v>0</v>
      </c>
      <c r="CK99" cm="1">
        <f t="array" ref="CK99">INDEX(Properties!$D:$D,$B99+5)*(IF(AND(CK$3&gt;=INDEX(Properties!$T:$T,$B99+5),CK$3&lt;INDEX(Properties!$U:$U,$B99+5)),1,0))</f>
        <v>0</v>
      </c>
      <c r="CL99" cm="1">
        <f t="array" ref="CL99">INDEX(Properties!$D:$D,$B99+5)*(IF(AND(CL$3&gt;=INDEX(Properties!$T:$T,$B99+5),CL$3&lt;INDEX(Properties!$U:$U,$B99+5)),1,0))</f>
        <v>0</v>
      </c>
      <c r="CM99" cm="1">
        <f t="array" ref="CM99">INDEX(Properties!$D:$D,$B99+5)*(IF(AND(CM$3&gt;=INDEX(Properties!$T:$T,$B99+5),CM$3&lt;INDEX(Properties!$U:$U,$B99+5)),1,0))</f>
        <v>0</v>
      </c>
      <c r="CN99" cm="1">
        <f t="array" ref="CN99">INDEX(Properties!$D:$D,$B99+5)*(IF(AND(CN$3&gt;=INDEX(Properties!$T:$T,$B99+5),CN$3&lt;INDEX(Properties!$U:$U,$B99+5)),1,0))</f>
        <v>0</v>
      </c>
      <c r="CO99" cm="1">
        <f t="array" ref="CO99">INDEX(Properties!$D:$D,$B99+5)*(IF(AND(CO$3&gt;=INDEX(Properties!$T:$T,$B99+5),CO$3&lt;INDEX(Properties!$U:$U,$B99+5)),1,0))</f>
        <v>0</v>
      </c>
      <c r="CP99" cm="1">
        <f t="array" ref="CP99">INDEX(Properties!$D:$D,$B99+5)*(IF(AND(CP$3&gt;=INDEX(Properties!$T:$T,$B99+5),CP$3&lt;INDEX(Properties!$U:$U,$B99+5)),1,0))</f>
        <v>0</v>
      </c>
      <c r="CQ99" cm="1">
        <f t="array" ref="CQ99">INDEX(Properties!$D:$D,$B99+5)*(IF(AND(CQ$3&gt;=INDEX(Properties!$T:$T,$B99+5),CQ$3&lt;INDEX(Properties!$U:$U,$B99+5)),1,0))</f>
        <v>0</v>
      </c>
      <c r="CR99" cm="1">
        <f t="array" ref="CR99">INDEX(Properties!$D:$D,$B99+5)*(IF(AND(CR$3&gt;=INDEX(Properties!$T:$T,$B99+5),CR$3&lt;INDEX(Properties!$U:$U,$B99+5)),1,0))</f>
        <v>0</v>
      </c>
      <c r="CS99" cm="1">
        <f t="array" ref="CS99">INDEX(Properties!$D:$D,$B99+5)*(IF(AND(CS$3&gt;=INDEX(Properties!$T:$T,$B99+5),CS$3&lt;INDEX(Properties!$U:$U,$B99+5)),1,0))</f>
        <v>0</v>
      </c>
      <c r="CT99" cm="1">
        <f t="array" ref="CT99">INDEX(Properties!$D:$D,$B99+5)*(IF(AND(CT$3&gt;=INDEX(Properties!$T:$T,$B99+5),CT$3&lt;INDEX(Properties!$U:$U,$B99+5)),1,0))</f>
        <v>0</v>
      </c>
      <c r="CU99" cm="1">
        <f t="array" ref="CU99">INDEX(Properties!$D:$D,$B99+5)*(IF(AND(CU$3&gt;=INDEX(Properties!$T:$T,$B99+5),CU$3&lt;INDEX(Properties!$U:$U,$B99+5)),1,0))</f>
        <v>0</v>
      </c>
      <c r="CV99" cm="1">
        <f t="array" ref="CV99">INDEX(Properties!$D:$D,$B99+5)*(IF(AND(CV$3&gt;=INDEX(Properties!$T:$T,$B99+5),CV$3&lt;INDEX(Properties!$U:$U,$B99+5)),1,0))</f>
        <v>0</v>
      </c>
      <c r="CW99" cm="1">
        <f t="array" ref="CW99">INDEX(Properties!$D:$D,$B99+5)*(IF(AND(CW$3&gt;=INDEX(Properties!$T:$T,$B99+5),CW$3&lt;INDEX(Properties!$U:$U,$B99+5)),1,0))</f>
        <v>0</v>
      </c>
      <c r="CX99" cm="1">
        <f t="array" ref="CX99">INDEX(Properties!$D:$D,$B99+5)*(IF(AND(CX$3&gt;=INDEX(Properties!$T:$T,$B99+5),CX$3&lt;INDEX(Properties!$U:$U,$B99+5)),1,0))</f>
        <v>0</v>
      </c>
      <c r="CY99" cm="1">
        <f t="array" ref="CY99">INDEX(Properties!$D:$D,$B99+5)*(IF(AND(CY$3&gt;=INDEX(Properties!$T:$T,$B99+5),CY$3&lt;INDEX(Properties!$U:$U,$B99+5)),1,0))</f>
        <v>0</v>
      </c>
      <c r="CZ99" cm="1">
        <f t="array" ref="CZ99">INDEX(Properties!$D:$D,$B99+5)*(IF(AND(CZ$3&gt;=INDEX(Properties!$T:$T,$B99+5),CZ$3&lt;INDEX(Properties!$U:$U,$B99+5)),1,0))</f>
        <v>0</v>
      </c>
      <c r="DA99" cm="1">
        <f t="array" ref="DA99">INDEX(Properties!$D:$D,$B99+5)*(IF(AND(DA$3&gt;=INDEX(Properties!$T:$T,$B99+5),DA$3&lt;INDEX(Properties!$U:$U,$B99+5)),1,0))</f>
        <v>0</v>
      </c>
      <c r="DB99" cm="1">
        <f t="array" ref="DB99">INDEX(Properties!$D:$D,$B99+5)*(IF(AND(DB$3&gt;=INDEX(Properties!$T:$T,$B99+5),DB$3&lt;INDEX(Properties!$U:$U,$B99+5)),1,0))</f>
        <v>0</v>
      </c>
      <c r="DC99" cm="1">
        <f t="array" ref="DC99">INDEX(Properties!$D:$D,$B99+5)*(IF(AND(DC$3&gt;=INDEX(Properties!$T:$T,$B99+5),DC$3&lt;INDEX(Properties!$U:$U,$B99+5)),1,0))</f>
        <v>0</v>
      </c>
      <c r="DD99" cm="1">
        <f t="array" ref="DD99">INDEX(Properties!$D:$D,$B99+5)*(IF(AND(DD$3&gt;=INDEX(Properties!$T:$T,$B99+5),DD$3&lt;INDEX(Properties!$U:$U,$B99+5)),1,0))</f>
        <v>0</v>
      </c>
      <c r="DE99" cm="1">
        <f t="array" ref="DE99">INDEX(Properties!$D:$D,$B99+5)*(IF(AND(DE$3&gt;=INDEX(Properties!$T:$T,$B99+5),DE$3&lt;INDEX(Properties!$U:$U,$B99+5)),1,0))</f>
        <v>0</v>
      </c>
      <c r="DF99" cm="1">
        <f t="array" ref="DF99">INDEX(Properties!$D:$D,$B99+5)*(IF(AND(DF$3&gt;=INDEX(Properties!$T:$T,$B99+5),DF$3&lt;INDEX(Properties!$U:$U,$B99+5)),1,0))</f>
        <v>0</v>
      </c>
      <c r="DG99" cm="1">
        <f t="array" ref="DG99">INDEX(Properties!$D:$D,$B99+5)*(IF(AND(DG$3&gt;=INDEX(Properties!$T:$T,$B99+5),DG$3&lt;INDEX(Properties!$U:$U,$B99+5)),1,0))</f>
        <v>0</v>
      </c>
      <c r="DH99" cm="1">
        <f t="array" ref="DH99">INDEX(Properties!$D:$D,$B99+5)*(IF(AND(DH$3&gt;=INDEX(Properties!$T:$T,$B99+5),DH$3&lt;INDEX(Properties!$U:$U,$B99+5)),1,0))</f>
        <v>0</v>
      </c>
      <c r="DI99" cm="1">
        <f t="array" ref="DI99">INDEX(Properties!$D:$D,$B99+5)*(IF(AND(DI$3&gt;=INDEX(Properties!$T:$T,$B99+5),DI$3&lt;INDEX(Properties!$U:$U,$B99+5)),1,0))</f>
        <v>0</v>
      </c>
      <c r="DJ99" cm="1">
        <f t="array" ref="DJ99">INDEX(Properties!$D:$D,$B99+5)*(IF(AND(DJ$3&gt;=INDEX(Properties!$T:$T,$B99+5),DJ$3&lt;INDEX(Properties!$U:$U,$B99+5)),1,0))</f>
        <v>0</v>
      </c>
      <c r="DK99" cm="1">
        <f t="array" ref="DK99">INDEX(Properties!$D:$D,$B99+5)*(IF(AND(DK$3&gt;=INDEX(Properties!$T:$T,$B99+5),DK$3&lt;INDEX(Properties!$U:$U,$B99+5)),1,0))</f>
        <v>0</v>
      </c>
      <c r="DL99" cm="1">
        <f t="array" ref="DL99">INDEX(Properties!$D:$D,$B99+5)*(IF(AND(DL$3&gt;=INDEX(Properties!$T:$T,$B99+5),DL$3&lt;INDEX(Properties!$U:$U,$B99+5)),1,0))</f>
        <v>0</v>
      </c>
      <c r="DM99" cm="1">
        <f t="array" ref="DM99">INDEX(Properties!$D:$D,$B99+5)*(IF(AND(DM$3&gt;=INDEX(Properties!$T:$T,$B99+5),DM$3&lt;INDEX(Properties!$U:$U,$B99+5)),1,0))</f>
        <v>0</v>
      </c>
      <c r="DN99" cm="1">
        <f t="array" ref="DN99">INDEX(Properties!$D:$D,$B99+5)*(IF(AND(DN$3&gt;=INDEX(Properties!$T:$T,$B99+5),DN$3&lt;INDEX(Properties!$U:$U,$B99+5)),1,0))</f>
        <v>0</v>
      </c>
      <c r="DO99" cm="1">
        <f t="array" ref="DO99">INDEX(Properties!$D:$D,$B99+5)*(IF(AND(DO$3&gt;=INDEX(Properties!$T:$T,$B99+5),DO$3&lt;INDEX(Properties!$U:$U,$B99+5)),1,0))</f>
        <v>0</v>
      </c>
      <c r="DP99" cm="1">
        <f t="array" ref="DP99">INDEX(Properties!$D:$D,$B99+5)*(IF(AND(DP$3&gt;=INDEX(Properties!$T:$T,$B99+5),DP$3&lt;INDEX(Properties!$U:$U,$B99+5)),1,0))</f>
        <v>0</v>
      </c>
      <c r="DQ99" cm="1">
        <f t="array" ref="DQ99">INDEX(Properties!$D:$D,$B99+5)*(IF(AND(DQ$3&gt;=INDEX(Properties!$T:$T,$B99+5),DQ$3&lt;INDEX(Properties!$U:$U,$B99+5)),1,0))</f>
        <v>0</v>
      </c>
      <c r="DR99" cm="1">
        <f t="array" ref="DR99">INDEX(Properties!$D:$D,$B99+5)*(IF(AND(DR$3&gt;=INDEX(Properties!$T:$T,$B99+5),DR$3&lt;INDEX(Properties!$U:$U,$B99+5)),1,0))</f>
        <v>0</v>
      </c>
    </row>
    <row r="100" spans="1:122" ht="14.55" customHeight="1" x14ac:dyDescent="0.3">
      <c r="A100" t="str" cm="1">
        <f t="array" ref="A100">INDEX(Properties!$E:$E,$B100+5)</f>
        <v>San Lucas Apto 101</v>
      </c>
      <c r="B100" s="1">
        <v>3</v>
      </c>
      <c r="C100" cm="1">
        <f t="array" ref="C100">INDEX(Properties!$D:$D,$B100+5)*(IF(AND(C$3&gt;=INDEX(Properties!$T:$T,$B100+5),C$3&lt;INDEX(Properties!$U:$U,$B100+5)),1,0))</f>
        <v>0</v>
      </c>
      <c r="D100" cm="1">
        <f t="array" ref="D100">INDEX(Properties!$D:$D,$B100+5)*(IF(AND(D$3&gt;=INDEX(Properties!$T:$T,$B100+5),D$3&lt;INDEX(Properties!$U:$U,$B100+5)),1,0))</f>
        <v>0</v>
      </c>
      <c r="E100" cm="1">
        <f t="array" ref="E100">INDEX(Properties!$D:$D,$B100+5)*(IF(AND(E$3&gt;=INDEX(Properties!$T:$T,$B100+5),E$3&lt;INDEX(Properties!$U:$U,$B100+5)),1,0))</f>
        <v>0</v>
      </c>
      <c r="F100" cm="1">
        <f t="array" ref="F100">INDEX(Properties!$D:$D,$B100+5)*(IF(AND(F$3&gt;=INDEX(Properties!$T:$T,$B100+5),F$3&lt;INDEX(Properties!$U:$U,$B100+5)),1,0))</f>
        <v>0</v>
      </c>
      <c r="G100" cm="1">
        <f t="array" ref="G100">INDEX(Properties!$D:$D,$B100+5)*(IF(AND(G$3&gt;=INDEX(Properties!$T:$T,$B100+5),G$3&lt;INDEX(Properties!$U:$U,$B100+5)),1,0))</f>
        <v>0</v>
      </c>
      <c r="H100" cm="1">
        <f t="array" ref="H100">INDEX(Properties!$D:$D,$B100+5)*(IF(AND(H$3&gt;=INDEX(Properties!$T:$T,$B100+5),H$3&lt;INDEX(Properties!$U:$U,$B100+5)),1,0))</f>
        <v>0</v>
      </c>
      <c r="I100" cm="1">
        <f t="array" ref="I100">INDEX(Properties!$D:$D,$B100+5)*(IF(AND(I$3&gt;=INDEX(Properties!$T:$T,$B100+5),I$3&lt;INDEX(Properties!$U:$U,$B100+5)),1,0))</f>
        <v>0</v>
      </c>
      <c r="J100" cm="1">
        <f t="array" ref="J100">INDEX(Properties!$D:$D,$B100+5)*(IF(AND(J$3&gt;=INDEX(Properties!$T:$T,$B100+5),J$3&lt;INDEX(Properties!$U:$U,$B100+5)),1,0))</f>
        <v>0</v>
      </c>
      <c r="K100" cm="1">
        <f t="array" ref="K100">INDEX(Properties!$D:$D,$B100+5)*(IF(AND(K$3&gt;=INDEX(Properties!$T:$T,$B100+5),K$3&lt;INDEX(Properties!$U:$U,$B100+5)),1,0))</f>
        <v>1</v>
      </c>
      <c r="L100" cm="1">
        <f t="array" ref="L100">INDEX(Properties!$D:$D,$B100+5)*(IF(AND(L$3&gt;=INDEX(Properties!$T:$T,$B100+5),L$3&lt;INDEX(Properties!$U:$U,$B100+5)),1,0))</f>
        <v>1</v>
      </c>
      <c r="M100" cm="1">
        <f t="array" ref="M100">INDEX(Properties!$D:$D,$B100+5)*(IF(AND(M$3&gt;=INDEX(Properties!$T:$T,$B100+5),M$3&lt;INDEX(Properties!$U:$U,$B100+5)),1,0))</f>
        <v>1</v>
      </c>
      <c r="N100" cm="1">
        <f t="array" ref="N100">INDEX(Properties!$D:$D,$B100+5)*(IF(AND(N$3&gt;=INDEX(Properties!$T:$T,$B100+5),N$3&lt;INDEX(Properties!$U:$U,$B100+5)),1,0))</f>
        <v>1</v>
      </c>
      <c r="O100" cm="1">
        <f t="array" ref="O100">INDEX(Properties!$D:$D,$B100+5)*(IF(AND(O$3&gt;=INDEX(Properties!$T:$T,$B100+5),O$3&lt;INDEX(Properties!$U:$U,$B100+5)),1,0))</f>
        <v>1</v>
      </c>
      <c r="P100" cm="1">
        <f t="array" ref="P100">INDEX(Properties!$D:$D,$B100+5)*(IF(AND(P$3&gt;=INDEX(Properties!$T:$T,$B100+5),P$3&lt;INDEX(Properties!$U:$U,$B100+5)),1,0))</f>
        <v>1</v>
      </c>
      <c r="Q100" cm="1">
        <f t="array" ref="Q100">INDEX(Properties!$D:$D,$B100+5)*(IF(AND(Q$3&gt;=INDEX(Properties!$T:$T,$B100+5),Q$3&lt;INDEX(Properties!$U:$U,$B100+5)),1,0))</f>
        <v>1</v>
      </c>
      <c r="R100" cm="1">
        <f t="array" ref="R100">INDEX(Properties!$D:$D,$B100+5)*(IF(AND(R$3&gt;=INDEX(Properties!$T:$T,$B100+5),R$3&lt;INDEX(Properties!$U:$U,$B100+5)),1,0))</f>
        <v>1</v>
      </c>
      <c r="S100" cm="1">
        <f t="array" ref="S100">INDEX(Properties!$D:$D,$B100+5)*(IF(AND(S$3&gt;=INDEX(Properties!$T:$T,$B100+5),S$3&lt;INDEX(Properties!$U:$U,$B100+5)),1,0))</f>
        <v>1</v>
      </c>
      <c r="T100" cm="1">
        <f t="array" ref="T100">INDEX(Properties!$D:$D,$B100+5)*(IF(AND(T$3&gt;=INDEX(Properties!$T:$T,$B100+5),T$3&lt;INDEX(Properties!$U:$U,$B100+5)),1,0))</f>
        <v>1</v>
      </c>
      <c r="U100" cm="1">
        <f t="array" ref="U100">INDEX(Properties!$D:$D,$B100+5)*(IF(AND(U$3&gt;=INDEX(Properties!$T:$T,$B100+5),U$3&lt;INDEX(Properties!$U:$U,$B100+5)),1,0))</f>
        <v>1</v>
      </c>
      <c r="V100" cm="1">
        <f t="array" ref="V100">INDEX(Properties!$D:$D,$B100+5)*(IF(AND(V$3&gt;=INDEX(Properties!$T:$T,$B100+5),V$3&lt;INDEX(Properties!$U:$U,$B100+5)),1,0))</f>
        <v>1</v>
      </c>
      <c r="W100" cm="1">
        <f t="array" ref="W100">INDEX(Properties!$D:$D,$B100+5)*(IF(AND(W$3&gt;=INDEX(Properties!$T:$T,$B100+5),W$3&lt;INDEX(Properties!$U:$U,$B100+5)),1,0))</f>
        <v>1</v>
      </c>
      <c r="X100" cm="1">
        <f t="array" ref="X100">INDEX(Properties!$D:$D,$B100+5)*(IF(AND(X$3&gt;=INDEX(Properties!$T:$T,$B100+5),X$3&lt;INDEX(Properties!$U:$U,$B100+5)),1,0))</f>
        <v>1</v>
      </c>
      <c r="Y100" cm="1">
        <f t="array" ref="Y100">INDEX(Properties!$D:$D,$B100+5)*(IF(AND(Y$3&gt;=INDEX(Properties!$T:$T,$B100+5),Y$3&lt;INDEX(Properties!$U:$U,$B100+5)),1,0))</f>
        <v>1</v>
      </c>
      <c r="Z100" cm="1">
        <f t="array" ref="Z100">INDEX(Properties!$D:$D,$B100+5)*(IF(AND(Z$3&gt;=INDEX(Properties!$T:$T,$B100+5),Z$3&lt;INDEX(Properties!$U:$U,$B100+5)),1,0))</f>
        <v>1</v>
      </c>
      <c r="AA100" cm="1">
        <f t="array" ref="AA100">INDEX(Properties!$D:$D,$B100+5)*(IF(AND(AA$3&gt;=INDEX(Properties!$T:$T,$B100+5),AA$3&lt;INDEX(Properties!$U:$U,$B100+5)),1,0))</f>
        <v>1</v>
      </c>
      <c r="AB100" cm="1">
        <f t="array" ref="AB100">INDEX(Properties!$D:$D,$B100+5)*(IF(AND(AB$3&gt;=INDEX(Properties!$T:$T,$B100+5),AB$3&lt;INDEX(Properties!$U:$U,$B100+5)),1,0))</f>
        <v>1</v>
      </c>
      <c r="AC100" cm="1">
        <f t="array" ref="AC100">INDEX(Properties!$D:$D,$B100+5)*(IF(AND(AC$3&gt;=INDEX(Properties!$T:$T,$B100+5),AC$3&lt;INDEX(Properties!$U:$U,$B100+5)),1,0))</f>
        <v>1</v>
      </c>
      <c r="AD100" cm="1">
        <f t="array" ref="AD100">INDEX(Properties!$D:$D,$B100+5)*(IF(AND(AD$3&gt;=INDEX(Properties!$T:$T,$B100+5),AD$3&lt;INDEX(Properties!$U:$U,$B100+5)),1,0))</f>
        <v>0</v>
      </c>
      <c r="AE100" cm="1">
        <f t="array" ref="AE100">INDEX(Properties!$D:$D,$B100+5)*(IF(AND(AE$3&gt;=INDEX(Properties!$T:$T,$B100+5),AE$3&lt;INDEX(Properties!$U:$U,$B100+5)),1,0))</f>
        <v>0</v>
      </c>
      <c r="AF100" cm="1">
        <f t="array" ref="AF100">INDEX(Properties!$D:$D,$B100+5)*(IF(AND(AF$3&gt;=INDEX(Properties!$T:$T,$B100+5),AF$3&lt;INDEX(Properties!$U:$U,$B100+5)),1,0))</f>
        <v>0</v>
      </c>
      <c r="AG100" cm="1">
        <f t="array" ref="AG100">INDEX(Properties!$D:$D,$B100+5)*(IF(AND(AG$3&gt;=INDEX(Properties!$T:$T,$B100+5),AG$3&lt;INDEX(Properties!$U:$U,$B100+5)),1,0))</f>
        <v>0</v>
      </c>
      <c r="AH100" cm="1">
        <f t="array" ref="AH100">INDEX(Properties!$D:$D,$B100+5)*(IF(AND(AH$3&gt;=INDEX(Properties!$T:$T,$B100+5),AH$3&lt;INDEX(Properties!$U:$U,$B100+5)),1,0))</f>
        <v>0</v>
      </c>
      <c r="AI100" cm="1">
        <f t="array" ref="AI100">INDEX(Properties!$D:$D,$B100+5)*(IF(AND(AI$3&gt;=INDEX(Properties!$T:$T,$B100+5),AI$3&lt;INDEX(Properties!$U:$U,$B100+5)),1,0))</f>
        <v>0</v>
      </c>
      <c r="AJ100" cm="1">
        <f t="array" ref="AJ100">INDEX(Properties!$D:$D,$B100+5)*(IF(AND(AJ$3&gt;=INDEX(Properties!$T:$T,$B100+5),AJ$3&lt;INDEX(Properties!$U:$U,$B100+5)),1,0))</f>
        <v>0</v>
      </c>
      <c r="AK100" cm="1">
        <f t="array" ref="AK100">INDEX(Properties!$D:$D,$B100+5)*(IF(AND(AK$3&gt;=INDEX(Properties!$T:$T,$B100+5),AK$3&lt;INDEX(Properties!$U:$U,$B100+5)),1,0))</f>
        <v>0</v>
      </c>
      <c r="AL100" cm="1">
        <f t="array" ref="AL100">INDEX(Properties!$D:$D,$B100+5)*(IF(AND(AL$3&gt;=INDEX(Properties!$T:$T,$B100+5),AL$3&lt;INDEX(Properties!$U:$U,$B100+5)),1,0))</f>
        <v>0</v>
      </c>
      <c r="AM100" cm="1">
        <f t="array" ref="AM100">INDEX(Properties!$D:$D,$B100+5)*(IF(AND(AM$3&gt;=INDEX(Properties!$T:$T,$B100+5),AM$3&lt;INDEX(Properties!$U:$U,$B100+5)),1,0))</f>
        <v>0</v>
      </c>
      <c r="AN100" cm="1">
        <f t="array" ref="AN100">INDEX(Properties!$D:$D,$B100+5)*(IF(AND(AN$3&gt;=INDEX(Properties!$T:$T,$B100+5),AN$3&lt;INDEX(Properties!$U:$U,$B100+5)),1,0))</f>
        <v>0</v>
      </c>
      <c r="AO100" cm="1">
        <f t="array" ref="AO100">INDEX(Properties!$D:$D,$B100+5)*(IF(AND(AO$3&gt;=INDEX(Properties!$T:$T,$B100+5),AO$3&lt;INDEX(Properties!$U:$U,$B100+5)),1,0))</f>
        <v>0</v>
      </c>
      <c r="AP100" cm="1">
        <f t="array" ref="AP100">INDEX(Properties!$D:$D,$B100+5)*(IF(AND(AP$3&gt;=INDEX(Properties!$T:$T,$B100+5),AP$3&lt;INDEX(Properties!$U:$U,$B100+5)),1,0))</f>
        <v>0</v>
      </c>
      <c r="AQ100" cm="1">
        <f t="array" ref="AQ100">INDEX(Properties!$D:$D,$B100+5)*(IF(AND(AQ$3&gt;=INDEX(Properties!$T:$T,$B100+5),AQ$3&lt;INDEX(Properties!$U:$U,$B100+5)),1,0))</f>
        <v>0</v>
      </c>
      <c r="AR100" cm="1">
        <f t="array" ref="AR100">INDEX(Properties!$D:$D,$B100+5)*(IF(AND(AR$3&gt;=INDEX(Properties!$T:$T,$B100+5),AR$3&lt;INDEX(Properties!$U:$U,$B100+5)),1,0))</f>
        <v>0</v>
      </c>
      <c r="AS100" cm="1">
        <f t="array" ref="AS100">INDEX(Properties!$D:$D,$B100+5)*(IF(AND(AS$3&gt;=INDEX(Properties!$T:$T,$B100+5),AS$3&lt;INDEX(Properties!$U:$U,$B100+5)),1,0))</f>
        <v>0</v>
      </c>
      <c r="AT100" cm="1">
        <f t="array" ref="AT100">INDEX(Properties!$D:$D,$B100+5)*(IF(AND(AT$3&gt;=INDEX(Properties!$T:$T,$B100+5),AT$3&lt;INDEX(Properties!$U:$U,$B100+5)),1,0))</f>
        <v>0</v>
      </c>
      <c r="AU100" cm="1">
        <f t="array" ref="AU100">INDEX(Properties!$D:$D,$B100+5)*(IF(AND(AU$3&gt;=INDEX(Properties!$T:$T,$B100+5),AU$3&lt;INDEX(Properties!$U:$U,$B100+5)),1,0))</f>
        <v>0</v>
      </c>
      <c r="AV100" cm="1">
        <f t="array" ref="AV100">INDEX(Properties!$D:$D,$B100+5)*(IF(AND(AV$3&gt;=INDEX(Properties!$T:$T,$B100+5),AV$3&lt;INDEX(Properties!$U:$U,$B100+5)),1,0))</f>
        <v>0</v>
      </c>
      <c r="AW100" cm="1">
        <f t="array" ref="AW100">INDEX(Properties!$D:$D,$B100+5)*(IF(AND(AW$3&gt;=INDEX(Properties!$T:$T,$B100+5),AW$3&lt;INDEX(Properties!$U:$U,$B100+5)),1,0))</f>
        <v>0</v>
      </c>
      <c r="AX100" cm="1">
        <f t="array" ref="AX100">INDEX(Properties!$D:$D,$B100+5)*(IF(AND(AX$3&gt;=INDEX(Properties!$T:$T,$B100+5),AX$3&lt;INDEX(Properties!$U:$U,$B100+5)),1,0))</f>
        <v>0</v>
      </c>
      <c r="AY100" cm="1">
        <f t="array" ref="AY100">INDEX(Properties!$D:$D,$B100+5)*(IF(AND(AY$3&gt;=INDEX(Properties!$T:$T,$B100+5),AY$3&lt;INDEX(Properties!$U:$U,$B100+5)),1,0))</f>
        <v>0</v>
      </c>
      <c r="AZ100" cm="1">
        <f t="array" ref="AZ100">INDEX(Properties!$D:$D,$B100+5)*(IF(AND(AZ$3&gt;=INDEX(Properties!$T:$T,$B100+5),AZ$3&lt;INDEX(Properties!$U:$U,$B100+5)),1,0))</f>
        <v>0</v>
      </c>
      <c r="BA100" cm="1">
        <f t="array" ref="BA100">INDEX(Properties!$D:$D,$B100+5)*(IF(AND(BA$3&gt;=INDEX(Properties!$T:$T,$B100+5),BA$3&lt;INDEX(Properties!$U:$U,$B100+5)),1,0))</f>
        <v>0</v>
      </c>
      <c r="BB100" cm="1">
        <f t="array" ref="BB100">INDEX(Properties!$D:$D,$B100+5)*(IF(AND(BB$3&gt;=INDEX(Properties!$T:$T,$B100+5),BB$3&lt;INDEX(Properties!$U:$U,$B100+5)),1,0))</f>
        <v>0</v>
      </c>
      <c r="BC100" cm="1">
        <f t="array" ref="BC100">INDEX(Properties!$D:$D,$B100+5)*(IF(AND(BC$3&gt;=INDEX(Properties!$T:$T,$B100+5),BC$3&lt;INDEX(Properties!$U:$U,$B100+5)),1,0))</f>
        <v>0</v>
      </c>
      <c r="BD100" cm="1">
        <f t="array" ref="BD100">INDEX(Properties!$D:$D,$B100+5)*(IF(AND(BD$3&gt;=INDEX(Properties!$T:$T,$B100+5),BD$3&lt;INDEX(Properties!$U:$U,$B100+5)),1,0))</f>
        <v>0</v>
      </c>
      <c r="BE100" cm="1">
        <f t="array" ref="BE100">INDEX(Properties!$D:$D,$B100+5)*(IF(AND(BE$3&gt;=INDEX(Properties!$T:$T,$B100+5),BE$3&lt;INDEX(Properties!$U:$U,$B100+5)),1,0))</f>
        <v>0</v>
      </c>
      <c r="BF100" cm="1">
        <f t="array" ref="BF100">INDEX(Properties!$D:$D,$B100+5)*(IF(AND(BF$3&gt;=INDEX(Properties!$T:$T,$B100+5),BF$3&lt;INDEX(Properties!$U:$U,$B100+5)),1,0))</f>
        <v>0</v>
      </c>
      <c r="BG100" cm="1">
        <f t="array" ref="BG100">INDEX(Properties!$D:$D,$B100+5)*(IF(AND(BG$3&gt;=INDEX(Properties!$T:$T,$B100+5),BG$3&lt;INDEX(Properties!$U:$U,$B100+5)),1,0))</f>
        <v>0</v>
      </c>
      <c r="BH100" cm="1">
        <f t="array" ref="BH100">INDEX(Properties!$D:$D,$B100+5)*(IF(AND(BH$3&gt;=INDEX(Properties!$T:$T,$B100+5),BH$3&lt;INDEX(Properties!$U:$U,$B100+5)),1,0))</f>
        <v>0</v>
      </c>
      <c r="BI100" cm="1">
        <f t="array" ref="BI100">INDEX(Properties!$D:$D,$B100+5)*(IF(AND(BI$3&gt;=INDEX(Properties!$T:$T,$B100+5),BI$3&lt;INDEX(Properties!$U:$U,$B100+5)),1,0))</f>
        <v>0</v>
      </c>
      <c r="BJ100" cm="1">
        <f t="array" ref="BJ100">INDEX(Properties!$D:$D,$B100+5)*(IF(AND(BJ$3&gt;=INDEX(Properties!$T:$T,$B100+5),BJ$3&lt;INDEX(Properties!$U:$U,$B100+5)),1,0))</f>
        <v>0</v>
      </c>
      <c r="BK100" cm="1">
        <f t="array" ref="BK100">INDEX(Properties!$D:$D,$B100+5)*(IF(AND(BK$3&gt;=INDEX(Properties!$T:$T,$B100+5),BK$3&lt;INDEX(Properties!$U:$U,$B100+5)),1,0))</f>
        <v>0</v>
      </c>
      <c r="BL100" cm="1">
        <f t="array" ref="BL100">INDEX(Properties!$D:$D,$B100+5)*(IF(AND(BL$3&gt;=INDEX(Properties!$T:$T,$B100+5),BL$3&lt;INDEX(Properties!$U:$U,$B100+5)),1,0))</f>
        <v>0</v>
      </c>
      <c r="BM100" cm="1">
        <f t="array" ref="BM100">INDEX(Properties!$D:$D,$B100+5)*(IF(AND(BM$3&gt;=INDEX(Properties!$T:$T,$B100+5),BM$3&lt;INDEX(Properties!$U:$U,$B100+5)),1,0))</f>
        <v>0</v>
      </c>
      <c r="BN100" cm="1">
        <f t="array" ref="BN100">INDEX(Properties!$D:$D,$B100+5)*(IF(AND(BN$3&gt;=INDEX(Properties!$T:$T,$B100+5),BN$3&lt;INDEX(Properties!$U:$U,$B100+5)),1,0))</f>
        <v>0</v>
      </c>
      <c r="BO100" cm="1">
        <f t="array" ref="BO100">INDEX(Properties!$D:$D,$B100+5)*(IF(AND(BO$3&gt;=INDEX(Properties!$T:$T,$B100+5),BO$3&lt;INDEX(Properties!$U:$U,$B100+5)),1,0))</f>
        <v>0</v>
      </c>
      <c r="BP100" cm="1">
        <f t="array" ref="BP100">INDEX(Properties!$D:$D,$B100+5)*(IF(AND(BP$3&gt;=INDEX(Properties!$T:$T,$B100+5),BP$3&lt;INDEX(Properties!$U:$U,$B100+5)),1,0))</f>
        <v>0</v>
      </c>
      <c r="BQ100" cm="1">
        <f t="array" ref="BQ100">INDEX(Properties!$D:$D,$B100+5)*(IF(AND(BQ$3&gt;=INDEX(Properties!$T:$T,$B100+5),BQ$3&lt;INDEX(Properties!$U:$U,$B100+5)),1,0))</f>
        <v>0</v>
      </c>
      <c r="BR100" cm="1">
        <f t="array" ref="BR100">INDEX(Properties!$D:$D,$B100+5)*(IF(AND(BR$3&gt;=INDEX(Properties!$T:$T,$B100+5),BR$3&lt;INDEX(Properties!$U:$U,$B100+5)),1,0))</f>
        <v>0</v>
      </c>
      <c r="BS100" cm="1">
        <f t="array" ref="BS100">INDEX(Properties!$D:$D,$B100+5)*(IF(AND(BS$3&gt;=INDEX(Properties!$T:$T,$B100+5),BS$3&lt;INDEX(Properties!$U:$U,$B100+5)),1,0))</f>
        <v>0</v>
      </c>
      <c r="BT100" cm="1">
        <f t="array" ref="BT100">INDEX(Properties!$D:$D,$B100+5)*(IF(AND(BT$3&gt;=INDEX(Properties!$T:$T,$B100+5),BT$3&lt;INDEX(Properties!$U:$U,$B100+5)),1,0))</f>
        <v>0</v>
      </c>
      <c r="BU100" cm="1">
        <f t="array" ref="BU100">INDEX(Properties!$D:$D,$B100+5)*(IF(AND(BU$3&gt;=INDEX(Properties!$T:$T,$B100+5),BU$3&lt;INDEX(Properties!$U:$U,$B100+5)),1,0))</f>
        <v>0</v>
      </c>
      <c r="BV100" cm="1">
        <f t="array" ref="BV100">INDEX(Properties!$D:$D,$B100+5)*(IF(AND(BV$3&gt;=INDEX(Properties!$T:$T,$B100+5),BV$3&lt;INDEX(Properties!$U:$U,$B100+5)),1,0))</f>
        <v>0</v>
      </c>
      <c r="BW100" cm="1">
        <f t="array" ref="BW100">INDEX(Properties!$D:$D,$B100+5)*(IF(AND(BW$3&gt;=INDEX(Properties!$T:$T,$B100+5),BW$3&lt;INDEX(Properties!$U:$U,$B100+5)),1,0))</f>
        <v>0</v>
      </c>
      <c r="BX100" cm="1">
        <f t="array" ref="BX100">INDEX(Properties!$D:$D,$B100+5)*(IF(AND(BX$3&gt;=INDEX(Properties!$T:$T,$B100+5),BX$3&lt;INDEX(Properties!$U:$U,$B100+5)),1,0))</f>
        <v>0</v>
      </c>
      <c r="BY100" cm="1">
        <f t="array" ref="BY100">INDEX(Properties!$D:$D,$B100+5)*(IF(AND(BY$3&gt;=INDEX(Properties!$T:$T,$B100+5),BY$3&lt;INDEX(Properties!$U:$U,$B100+5)),1,0))</f>
        <v>0</v>
      </c>
      <c r="BZ100" cm="1">
        <f t="array" ref="BZ100">INDEX(Properties!$D:$D,$B100+5)*(IF(AND(BZ$3&gt;=INDEX(Properties!$T:$T,$B100+5),BZ$3&lt;INDEX(Properties!$U:$U,$B100+5)),1,0))</f>
        <v>0</v>
      </c>
      <c r="CA100" cm="1">
        <f t="array" ref="CA100">INDEX(Properties!$D:$D,$B100+5)*(IF(AND(CA$3&gt;=INDEX(Properties!$T:$T,$B100+5),CA$3&lt;INDEX(Properties!$U:$U,$B100+5)),1,0))</f>
        <v>0</v>
      </c>
      <c r="CB100" cm="1">
        <f t="array" ref="CB100">INDEX(Properties!$D:$D,$B100+5)*(IF(AND(CB$3&gt;=INDEX(Properties!$T:$T,$B100+5),CB$3&lt;INDEX(Properties!$U:$U,$B100+5)),1,0))</f>
        <v>0</v>
      </c>
      <c r="CC100" cm="1">
        <f t="array" ref="CC100">INDEX(Properties!$D:$D,$B100+5)*(IF(AND(CC$3&gt;=INDEX(Properties!$T:$T,$B100+5),CC$3&lt;INDEX(Properties!$U:$U,$B100+5)),1,0))</f>
        <v>0</v>
      </c>
      <c r="CD100" cm="1">
        <f t="array" ref="CD100">INDEX(Properties!$D:$D,$B100+5)*(IF(AND(CD$3&gt;=INDEX(Properties!$T:$T,$B100+5),CD$3&lt;INDEX(Properties!$U:$U,$B100+5)),1,0))</f>
        <v>0</v>
      </c>
      <c r="CE100" cm="1">
        <f t="array" ref="CE100">INDEX(Properties!$D:$D,$B100+5)*(IF(AND(CE$3&gt;=INDEX(Properties!$T:$T,$B100+5),CE$3&lt;INDEX(Properties!$U:$U,$B100+5)),1,0))</f>
        <v>0</v>
      </c>
      <c r="CF100" cm="1">
        <f t="array" ref="CF100">INDEX(Properties!$D:$D,$B100+5)*(IF(AND(CF$3&gt;=INDEX(Properties!$T:$T,$B100+5),CF$3&lt;INDEX(Properties!$U:$U,$B100+5)),1,0))</f>
        <v>0</v>
      </c>
      <c r="CG100" cm="1">
        <f t="array" ref="CG100">INDEX(Properties!$D:$D,$B100+5)*(IF(AND(CG$3&gt;=INDEX(Properties!$T:$T,$B100+5),CG$3&lt;INDEX(Properties!$U:$U,$B100+5)),1,0))</f>
        <v>0</v>
      </c>
      <c r="CH100" cm="1">
        <f t="array" ref="CH100">INDEX(Properties!$D:$D,$B100+5)*(IF(AND(CH$3&gt;=INDEX(Properties!$T:$T,$B100+5),CH$3&lt;INDEX(Properties!$U:$U,$B100+5)),1,0))</f>
        <v>0</v>
      </c>
      <c r="CI100" cm="1">
        <f t="array" ref="CI100">INDEX(Properties!$D:$D,$B100+5)*(IF(AND(CI$3&gt;=INDEX(Properties!$T:$T,$B100+5),CI$3&lt;INDEX(Properties!$U:$U,$B100+5)),1,0))</f>
        <v>0</v>
      </c>
      <c r="CJ100" cm="1">
        <f t="array" ref="CJ100">INDEX(Properties!$D:$D,$B100+5)*(IF(AND(CJ$3&gt;=INDEX(Properties!$T:$T,$B100+5),CJ$3&lt;INDEX(Properties!$U:$U,$B100+5)),1,0))</f>
        <v>0</v>
      </c>
      <c r="CK100" cm="1">
        <f t="array" ref="CK100">INDEX(Properties!$D:$D,$B100+5)*(IF(AND(CK$3&gt;=INDEX(Properties!$T:$T,$B100+5),CK$3&lt;INDEX(Properties!$U:$U,$B100+5)),1,0))</f>
        <v>0</v>
      </c>
      <c r="CL100" cm="1">
        <f t="array" ref="CL100">INDEX(Properties!$D:$D,$B100+5)*(IF(AND(CL$3&gt;=INDEX(Properties!$T:$T,$B100+5),CL$3&lt;INDEX(Properties!$U:$U,$B100+5)),1,0))</f>
        <v>0</v>
      </c>
      <c r="CM100" cm="1">
        <f t="array" ref="CM100">INDEX(Properties!$D:$D,$B100+5)*(IF(AND(CM$3&gt;=INDEX(Properties!$T:$T,$B100+5),CM$3&lt;INDEX(Properties!$U:$U,$B100+5)),1,0))</f>
        <v>0</v>
      </c>
      <c r="CN100" cm="1">
        <f t="array" ref="CN100">INDEX(Properties!$D:$D,$B100+5)*(IF(AND(CN$3&gt;=INDEX(Properties!$T:$T,$B100+5),CN$3&lt;INDEX(Properties!$U:$U,$B100+5)),1,0))</f>
        <v>0</v>
      </c>
      <c r="CO100" cm="1">
        <f t="array" ref="CO100">INDEX(Properties!$D:$D,$B100+5)*(IF(AND(CO$3&gt;=INDEX(Properties!$T:$T,$B100+5),CO$3&lt;INDEX(Properties!$U:$U,$B100+5)),1,0))</f>
        <v>0</v>
      </c>
      <c r="CP100" cm="1">
        <f t="array" ref="CP100">INDEX(Properties!$D:$D,$B100+5)*(IF(AND(CP$3&gt;=INDEX(Properties!$T:$T,$B100+5),CP$3&lt;INDEX(Properties!$U:$U,$B100+5)),1,0))</f>
        <v>0</v>
      </c>
      <c r="CQ100" cm="1">
        <f t="array" ref="CQ100">INDEX(Properties!$D:$D,$B100+5)*(IF(AND(CQ$3&gt;=INDEX(Properties!$T:$T,$B100+5),CQ$3&lt;INDEX(Properties!$U:$U,$B100+5)),1,0))</f>
        <v>0</v>
      </c>
      <c r="CR100" cm="1">
        <f t="array" ref="CR100">INDEX(Properties!$D:$D,$B100+5)*(IF(AND(CR$3&gt;=INDEX(Properties!$T:$T,$B100+5),CR$3&lt;INDEX(Properties!$U:$U,$B100+5)),1,0))</f>
        <v>0</v>
      </c>
      <c r="CS100" cm="1">
        <f t="array" ref="CS100">INDEX(Properties!$D:$D,$B100+5)*(IF(AND(CS$3&gt;=INDEX(Properties!$T:$T,$B100+5),CS$3&lt;INDEX(Properties!$U:$U,$B100+5)),1,0))</f>
        <v>0</v>
      </c>
      <c r="CT100" cm="1">
        <f t="array" ref="CT100">INDEX(Properties!$D:$D,$B100+5)*(IF(AND(CT$3&gt;=INDEX(Properties!$T:$T,$B100+5),CT$3&lt;INDEX(Properties!$U:$U,$B100+5)),1,0))</f>
        <v>0</v>
      </c>
      <c r="CU100" cm="1">
        <f t="array" ref="CU100">INDEX(Properties!$D:$D,$B100+5)*(IF(AND(CU$3&gt;=INDEX(Properties!$T:$T,$B100+5),CU$3&lt;INDEX(Properties!$U:$U,$B100+5)),1,0))</f>
        <v>0</v>
      </c>
      <c r="CV100" cm="1">
        <f t="array" ref="CV100">INDEX(Properties!$D:$D,$B100+5)*(IF(AND(CV$3&gt;=INDEX(Properties!$T:$T,$B100+5),CV$3&lt;INDEX(Properties!$U:$U,$B100+5)),1,0))</f>
        <v>0</v>
      </c>
      <c r="CW100" cm="1">
        <f t="array" ref="CW100">INDEX(Properties!$D:$D,$B100+5)*(IF(AND(CW$3&gt;=INDEX(Properties!$T:$T,$B100+5),CW$3&lt;INDEX(Properties!$U:$U,$B100+5)),1,0))</f>
        <v>0</v>
      </c>
      <c r="CX100" cm="1">
        <f t="array" ref="CX100">INDEX(Properties!$D:$D,$B100+5)*(IF(AND(CX$3&gt;=INDEX(Properties!$T:$T,$B100+5),CX$3&lt;INDEX(Properties!$U:$U,$B100+5)),1,0))</f>
        <v>0</v>
      </c>
      <c r="CY100" cm="1">
        <f t="array" ref="CY100">INDEX(Properties!$D:$D,$B100+5)*(IF(AND(CY$3&gt;=INDEX(Properties!$T:$T,$B100+5),CY$3&lt;INDEX(Properties!$U:$U,$B100+5)),1,0))</f>
        <v>0</v>
      </c>
      <c r="CZ100" cm="1">
        <f t="array" ref="CZ100">INDEX(Properties!$D:$D,$B100+5)*(IF(AND(CZ$3&gt;=INDEX(Properties!$T:$T,$B100+5),CZ$3&lt;INDEX(Properties!$U:$U,$B100+5)),1,0))</f>
        <v>0</v>
      </c>
      <c r="DA100" cm="1">
        <f t="array" ref="DA100">INDEX(Properties!$D:$D,$B100+5)*(IF(AND(DA$3&gt;=INDEX(Properties!$T:$T,$B100+5),DA$3&lt;INDEX(Properties!$U:$U,$B100+5)),1,0))</f>
        <v>0</v>
      </c>
      <c r="DB100" cm="1">
        <f t="array" ref="DB100">INDEX(Properties!$D:$D,$B100+5)*(IF(AND(DB$3&gt;=INDEX(Properties!$T:$T,$B100+5),DB$3&lt;INDEX(Properties!$U:$U,$B100+5)),1,0))</f>
        <v>0</v>
      </c>
      <c r="DC100" cm="1">
        <f t="array" ref="DC100">INDEX(Properties!$D:$D,$B100+5)*(IF(AND(DC$3&gt;=INDEX(Properties!$T:$T,$B100+5),DC$3&lt;INDEX(Properties!$U:$U,$B100+5)),1,0))</f>
        <v>0</v>
      </c>
      <c r="DD100" cm="1">
        <f t="array" ref="DD100">INDEX(Properties!$D:$D,$B100+5)*(IF(AND(DD$3&gt;=INDEX(Properties!$T:$T,$B100+5),DD$3&lt;INDEX(Properties!$U:$U,$B100+5)),1,0))</f>
        <v>0</v>
      </c>
      <c r="DE100" cm="1">
        <f t="array" ref="DE100">INDEX(Properties!$D:$D,$B100+5)*(IF(AND(DE$3&gt;=INDEX(Properties!$T:$T,$B100+5),DE$3&lt;INDEX(Properties!$U:$U,$B100+5)),1,0))</f>
        <v>0</v>
      </c>
      <c r="DF100" cm="1">
        <f t="array" ref="DF100">INDEX(Properties!$D:$D,$B100+5)*(IF(AND(DF$3&gt;=INDEX(Properties!$T:$T,$B100+5),DF$3&lt;INDEX(Properties!$U:$U,$B100+5)),1,0))</f>
        <v>0</v>
      </c>
      <c r="DG100" cm="1">
        <f t="array" ref="DG100">INDEX(Properties!$D:$D,$B100+5)*(IF(AND(DG$3&gt;=INDEX(Properties!$T:$T,$B100+5),DG$3&lt;INDEX(Properties!$U:$U,$B100+5)),1,0))</f>
        <v>0</v>
      </c>
      <c r="DH100" cm="1">
        <f t="array" ref="DH100">INDEX(Properties!$D:$D,$B100+5)*(IF(AND(DH$3&gt;=INDEX(Properties!$T:$T,$B100+5),DH$3&lt;INDEX(Properties!$U:$U,$B100+5)),1,0))</f>
        <v>0</v>
      </c>
      <c r="DI100" cm="1">
        <f t="array" ref="DI100">INDEX(Properties!$D:$D,$B100+5)*(IF(AND(DI$3&gt;=INDEX(Properties!$T:$T,$B100+5),DI$3&lt;INDEX(Properties!$U:$U,$B100+5)),1,0))</f>
        <v>0</v>
      </c>
      <c r="DJ100" cm="1">
        <f t="array" ref="DJ100">INDEX(Properties!$D:$D,$B100+5)*(IF(AND(DJ$3&gt;=INDEX(Properties!$T:$T,$B100+5),DJ$3&lt;INDEX(Properties!$U:$U,$B100+5)),1,0))</f>
        <v>0</v>
      </c>
      <c r="DK100" cm="1">
        <f t="array" ref="DK100">INDEX(Properties!$D:$D,$B100+5)*(IF(AND(DK$3&gt;=INDEX(Properties!$T:$T,$B100+5),DK$3&lt;INDEX(Properties!$U:$U,$B100+5)),1,0))</f>
        <v>0</v>
      </c>
      <c r="DL100" cm="1">
        <f t="array" ref="DL100">INDEX(Properties!$D:$D,$B100+5)*(IF(AND(DL$3&gt;=INDEX(Properties!$T:$T,$B100+5),DL$3&lt;INDEX(Properties!$U:$U,$B100+5)),1,0))</f>
        <v>0</v>
      </c>
      <c r="DM100" cm="1">
        <f t="array" ref="DM100">INDEX(Properties!$D:$D,$B100+5)*(IF(AND(DM$3&gt;=INDEX(Properties!$T:$T,$B100+5),DM$3&lt;INDEX(Properties!$U:$U,$B100+5)),1,0))</f>
        <v>0</v>
      </c>
      <c r="DN100" cm="1">
        <f t="array" ref="DN100">INDEX(Properties!$D:$D,$B100+5)*(IF(AND(DN$3&gt;=INDEX(Properties!$T:$T,$B100+5),DN$3&lt;INDEX(Properties!$U:$U,$B100+5)),1,0))</f>
        <v>0</v>
      </c>
      <c r="DO100" cm="1">
        <f t="array" ref="DO100">INDEX(Properties!$D:$D,$B100+5)*(IF(AND(DO$3&gt;=INDEX(Properties!$T:$T,$B100+5),DO$3&lt;INDEX(Properties!$U:$U,$B100+5)),1,0))</f>
        <v>0</v>
      </c>
      <c r="DP100" cm="1">
        <f t="array" ref="DP100">INDEX(Properties!$D:$D,$B100+5)*(IF(AND(DP$3&gt;=INDEX(Properties!$T:$T,$B100+5),DP$3&lt;INDEX(Properties!$U:$U,$B100+5)),1,0))</f>
        <v>0</v>
      </c>
      <c r="DQ100" cm="1">
        <f t="array" ref="DQ100">INDEX(Properties!$D:$D,$B100+5)*(IF(AND(DQ$3&gt;=INDEX(Properties!$T:$T,$B100+5),DQ$3&lt;INDEX(Properties!$U:$U,$B100+5)),1,0))</f>
        <v>0</v>
      </c>
      <c r="DR100" cm="1">
        <f t="array" ref="DR100">INDEX(Properties!$D:$D,$B100+5)*(IF(AND(DR$3&gt;=INDEX(Properties!$T:$T,$B100+5),DR$3&lt;INDEX(Properties!$U:$U,$B100+5)),1,0))</f>
        <v>0</v>
      </c>
    </row>
    <row r="101" spans="1:122" ht="14.55" customHeight="1" x14ac:dyDescent="0.3">
      <c r="A101" t="str" cm="1">
        <f t="array" ref="A101">INDEX(Properties!$E:$E,$B101+5)</f>
        <v>Casa Montana Lote 2 (Samuel Gaviria House)</v>
      </c>
      <c r="B101" s="1">
        <v>4</v>
      </c>
      <c r="C101" cm="1">
        <f t="array" ref="C101">INDEX(Properties!$D:$D,$B101+5)*(IF(AND(C$3&gt;=INDEX(Properties!$T:$T,$B101+5),C$3&lt;INDEX(Properties!$U:$U,$B101+5)),1,0))</f>
        <v>0</v>
      </c>
      <c r="D101" cm="1">
        <f t="array" ref="D101">INDEX(Properties!$D:$D,$B101+5)*(IF(AND(D$3&gt;=INDEX(Properties!$T:$T,$B101+5),D$3&lt;INDEX(Properties!$U:$U,$B101+5)),1,0))</f>
        <v>0</v>
      </c>
      <c r="E101" cm="1">
        <f t="array" ref="E101">INDEX(Properties!$D:$D,$B101+5)*(IF(AND(E$3&gt;=INDEX(Properties!$T:$T,$B101+5),E$3&lt;INDEX(Properties!$U:$U,$B101+5)),1,0))</f>
        <v>0</v>
      </c>
      <c r="F101" cm="1">
        <f t="array" ref="F101">INDEX(Properties!$D:$D,$B101+5)*(IF(AND(F$3&gt;=INDEX(Properties!$T:$T,$B101+5),F$3&lt;INDEX(Properties!$U:$U,$B101+5)),1,0))</f>
        <v>0</v>
      </c>
      <c r="G101" cm="1">
        <f t="array" ref="G101">INDEX(Properties!$D:$D,$B101+5)*(IF(AND(G$3&gt;=INDEX(Properties!$T:$T,$B101+5),G$3&lt;INDEX(Properties!$U:$U,$B101+5)),1,0))</f>
        <v>0</v>
      </c>
      <c r="H101" cm="1">
        <f t="array" ref="H101">INDEX(Properties!$D:$D,$B101+5)*(IF(AND(H$3&gt;=INDEX(Properties!$T:$T,$B101+5),H$3&lt;INDEX(Properties!$U:$U,$B101+5)),1,0))</f>
        <v>0</v>
      </c>
      <c r="I101" cm="1">
        <f t="array" ref="I101">INDEX(Properties!$D:$D,$B101+5)*(IF(AND(I$3&gt;=INDEX(Properties!$T:$T,$B101+5),I$3&lt;INDEX(Properties!$U:$U,$B101+5)),1,0))</f>
        <v>0</v>
      </c>
      <c r="J101" cm="1">
        <f t="array" ref="J101">INDEX(Properties!$D:$D,$B101+5)*(IF(AND(J$3&gt;=INDEX(Properties!$T:$T,$B101+5),J$3&lt;INDEX(Properties!$U:$U,$B101+5)),1,0))</f>
        <v>0</v>
      </c>
      <c r="K101" cm="1">
        <f t="array" ref="K101">INDEX(Properties!$D:$D,$B101+5)*(IF(AND(K$3&gt;=INDEX(Properties!$T:$T,$B101+5),K$3&lt;INDEX(Properties!$U:$U,$B101+5)),1,0))</f>
        <v>0</v>
      </c>
      <c r="L101" cm="1">
        <f t="array" ref="L101">INDEX(Properties!$D:$D,$B101+5)*(IF(AND(L$3&gt;=INDEX(Properties!$T:$T,$B101+5),L$3&lt;INDEX(Properties!$U:$U,$B101+5)),1,0))</f>
        <v>0</v>
      </c>
      <c r="M101" cm="1">
        <f t="array" ref="M101">INDEX(Properties!$D:$D,$B101+5)*(IF(AND(M$3&gt;=INDEX(Properties!$T:$T,$B101+5),M$3&lt;INDEX(Properties!$U:$U,$B101+5)),1,0))</f>
        <v>0</v>
      </c>
      <c r="N101" cm="1">
        <f t="array" ref="N101">INDEX(Properties!$D:$D,$B101+5)*(IF(AND(N$3&gt;=INDEX(Properties!$T:$T,$B101+5),N$3&lt;INDEX(Properties!$U:$U,$B101+5)),1,0))</f>
        <v>0</v>
      </c>
      <c r="O101" cm="1">
        <f t="array" ref="O101">INDEX(Properties!$D:$D,$B101+5)*(IF(AND(O$3&gt;=INDEX(Properties!$T:$T,$B101+5),O$3&lt;INDEX(Properties!$U:$U,$B101+5)),1,0))</f>
        <v>0</v>
      </c>
      <c r="P101" cm="1">
        <f t="array" ref="P101">INDEX(Properties!$D:$D,$B101+5)*(IF(AND(P$3&gt;=INDEX(Properties!$T:$T,$B101+5),P$3&lt;INDEX(Properties!$U:$U,$B101+5)),1,0))</f>
        <v>1</v>
      </c>
      <c r="Q101" cm="1">
        <f t="array" ref="Q101">INDEX(Properties!$D:$D,$B101+5)*(IF(AND(Q$3&gt;=INDEX(Properties!$T:$T,$B101+5),Q$3&lt;INDEX(Properties!$U:$U,$B101+5)),1,0))</f>
        <v>1</v>
      </c>
      <c r="R101" cm="1">
        <f t="array" ref="R101">INDEX(Properties!$D:$D,$B101+5)*(IF(AND(R$3&gt;=INDEX(Properties!$T:$T,$B101+5),R$3&lt;INDEX(Properties!$U:$U,$B101+5)),1,0))</f>
        <v>1</v>
      </c>
      <c r="S101" cm="1">
        <f t="array" ref="S101">INDEX(Properties!$D:$D,$B101+5)*(IF(AND(S$3&gt;=INDEX(Properties!$T:$T,$B101+5),S$3&lt;INDEX(Properties!$U:$U,$B101+5)),1,0))</f>
        <v>1</v>
      </c>
      <c r="T101" cm="1">
        <f t="array" ref="T101">INDEX(Properties!$D:$D,$B101+5)*(IF(AND(T$3&gt;=INDEX(Properties!$T:$T,$B101+5),T$3&lt;INDEX(Properties!$U:$U,$B101+5)),1,0))</f>
        <v>1</v>
      </c>
      <c r="U101" cm="1">
        <f t="array" ref="U101">INDEX(Properties!$D:$D,$B101+5)*(IF(AND(U$3&gt;=INDEX(Properties!$T:$T,$B101+5),U$3&lt;INDEX(Properties!$U:$U,$B101+5)),1,0))</f>
        <v>1</v>
      </c>
      <c r="V101" cm="1">
        <f t="array" ref="V101">INDEX(Properties!$D:$D,$B101+5)*(IF(AND(V$3&gt;=INDEX(Properties!$T:$T,$B101+5),V$3&lt;INDEX(Properties!$U:$U,$B101+5)),1,0))</f>
        <v>1</v>
      </c>
      <c r="W101" cm="1">
        <f t="array" ref="W101">INDEX(Properties!$D:$D,$B101+5)*(IF(AND(W$3&gt;=INDEX(Properties!$T:$T,$B101+5),W$3&lt;INDEX(Properties!$U:$U,$B101+5)),1,0))</f>
        <v>1</v>
      </c>
      <c r="X101" cm="1">
        <f t="array" ref="X101">INDEX(Properties!$D:$D,$B101+5)*(IF(AND(X$3&gt;=INDEX(Properties!$T:$T,$B101+5),X$3&lt;INDEX(Properties!$U:$U,$B101+5)),1,0))</f>
        <v>1</v>
      </c>
      <c r="Y101" cm="1">
        <f t="array" ref="Y101">INDEX(Properties!$D:$D,$B101+5)*(IF(AND(Y$3&gt;=INDEX(Properties!$T:$T,$B101+5),Y$3&lt;INDEX(Properties!$U:$U,$B101+5)),1,0))</f>
        <v>1</v>
      </c>
      <c r="Z101" cm="1">
        <f t="array" ref="Z101">INDEX(Properties!$D:$D,$B101+5)*(IF(AND(Z$3&gt;=INDEX(Properties!$T:$T,$B101+5),Z$3&lt;INDEX(Properties!$U:$U,$B101+5)),1,0))</f>
        <v>1</v>
      </c>
      <c r="AA101" cm="1">
        <f t="array" ref="AA101">INDEX(Properties!$D:$D,$B101+5)*(IF(AND(AA$3&gt;=INDEX(Properties!$T:$T,$B101+5),AA$3&lt;INDEX(Properties!$U:$U,$B101+5)),1,0))</f>
        <v>1</v>
      </c>
      <c r="AB101" cm="1">
        <f t="array" ref="AB101">INDEX(Properties!$D:$D,$B101+5)*(IF(AND(AB$3&gt;=INDEX(Properties!$T:$T,$B101+5),AB$3&lt;INDEX(Properties!$U:$U,$B101+5)),1,0))</f>
        <v>1</v>
      </c>
      <c r="AC101" cm="1">
        <f t="array" ref="AC101">INDEX(Properties!$D:$D,$B101+5)*(IF(AND(AC$3&gt;=INDEX(Properties!$T:$T,$B101+5),AC$3&lt;INDEX(Properties!$U:$U,$B101+5)),1,0))</f>
        <v>1</v>
      </c>
      <c r="AD101" cm="1">
        <f t="array" ref="AD101">INDEX(Properties!$D:$D,$B101+5)*(IF(AND(AD$3&gt;=INDEX(Properties!$T:$T,$B101+5),AD$3&lt;INDEX(Properties!$U:$U,$B101+5)),1,0))</f>
        <v>1</v>
      </c>
      <c r="AE101" cm="1">
        <f t="array" ref="AE101">INDEX(Properties!$D:$D,$B101+5)*(IF(AND(AE$3&gt;=INDEX(Properties!$T:$T,$B101+5),AE$3&lt;INDEX(Properties!$U:$U,$B101+5)),1,0))</f>
        <v>1</v>
      </c>
      <c r="AF101" cm="1">
        <f t="array" ref="AF101">INDEX(Properties!$D:$D,$B101+5)*(IF(AND(AF$3&gt;=INDEX(Properties!$T:$T,$B101+5),AF$3&lt;INDEX(Properties!$U:$U,$B101+5)),1,0))</f>
        <v>1</v>
      </c>
      <c r="AG101" cm="1">
        <f t="array" ref="AG101">INDEX(Properties!$D:$D,$B101+5)*(IF(AND(AG$3&gt;=INDEX(Properties!$T:$T,$B101+5),AG$3&lt;INDEX(Properties!$U:$U,$B101+5)),1,0))</f>
        <v>1</v>
      </c>
      <c r="AH101" cm="1">
        <f t="array" ref="AH101">INDEX(Properties!$D:$D,$B101+5)*(IF(AND(AH$3&gt;=INDEX(Properties!$T:$T,$B101+5),AH$3&lt;INDEX(Properties!$U:$U,$B101+5)),1,0))</f>
        <v>1</v>
      </c>
      <c r="AI101" cm="1">
        <f t="array" ref="AI101">INDEX(Properties!$D:$D,$B101+5)*(IF(AND(AI$3&gt;=INDEX(Properties!$T:$T,$B101+5),AI$3&lt;INDEX(Properties!$U:$U,$B101+5)),1,0))</f>
        <v>1</v>
      </c>
      <c r="AJ101" cm="1">
        <f t="array" ref="AJ101">INDEX(Properties!$D:$D,$B101+5)*(IF(AND(AJ$3&gt;=INDEX(Properties!$T:$T,$B101+5),AJ$3&lt;INDEX(Properties!$U:$U,$B101+5)),1,0))</f>
        <v>1</v>
      </c>
      <c r="AK101" cm="1">
        <f t="array" ref="AK101">INDEX(Properties!$D:$D,$B101+5)*(IF(AND(AK$3&gt;=INDEX(Properties!$T:$T,$B101+5),AK$3&lt;INDEX(Properties!$U:$U,$B101+5)),1,0))</f>
        <v>1</v>
      </c>
      <c r="AL101" cm="1">
        <f t="array" ref="AL101">INDEX(Properties!$D:$D,$B101+5)*(IF(AND(AL$3&gt;=INDEX(Properties!$T:$T,$B101+5),AL$3&lt;INDEX(Properties!$U:$U,$B101+5)),1,0))</f>
        <v>1</v>
      </c>
      <c r="AM101" cm="1">
        <f t="array" ref="AM101">INDEX(Properties!$D:$D,$B101+5)*(IF(AND(AM$3&gt;=INDEX(Properties!$T:$T,$B101+5),AM$3&lt;INDEX(Properties!$U:$U,$B101+5)),1,0))</f>
        <v>1</v>
      </c>
      <c r="AN101" cm="1">
        <f t="array" ref="AN101">INDEX(Properties!$D:$D,$B101+5)*(IF(AND(AN$3&gt;=INDEX(Properties!$T:$T,$B101+5),AN$3&lt;INDEX(Properties!$U:$U,$B101+5)),1,0))</f>
        <v>1</v>
      </c>
      <c r="AO101" cm="1">
        <f t="array" ref="AO101">INDEX(Properties!$D:$D,$B101+5)*(IF(AND(AO$3&gt;=INDEX(Properties!$T:$T,$B101+5),AO$3&lt;INDEX(Properties!$U:$U,$B101+5)),1,0))</f>
        <v>1</v>
      </c>
      <c r="AP101" cm="1">
        <f t="array" ref="AP101">INDEX(Properties!$D:$D,$B101+5)*(IF(AND(AP$3&gt;=INDEX(Properties!$T:$T,$B101+5),AP$3&lt;INDEX(Properties!$U:$U,$B101+5)),1,0))</f>
        <v>1</v>
      </c>
      <c r="AQ101" cm="1">
        <f t="array" ref="AQ101">INDEX(Properties!$D:$D,$B101+5)*(IF(AND(AQ$3&gt;=INDEX(Properties!$T:$T,$B101+5),AQ$3&lt;INDEX(Properties!$U:$U,$B101+5)),1,0))</f>
        <v>1</v>
      </c>
      <c r="AR101" cm="1">
        <f t="array" ref="AR101">INDEX(Properties!$D:$D,$B101+5)*(IF(AND(AR$3&gt;=INDEX(Properties!$T:$T,$B101+5),AR$3&lt;INDEX(Properties!$U:$U,$B101+5)),1,0))</f>
        <v>1</v>
      </c>
      <c r="AS101" cm="1">
        <f t="array" ref="AS101">INDEX(Properties!$D:$D,$B101+5)*(IF(AND(AS$3&gt;=INDEX(Properties!$T:$T,$B101+5),AS$3&lt;INDEX(Properties!$U:$U,$B101+5)),1,0))</f>
        <v>0</v>
      </c>
      <c r="AT101" cm="1">
        <f t="array" ref="AT101">INDEX(Properties!$D:$D,$B101+5)*(IF(AND(AT$3&gt;=INDEX(Properties!$T:$T,$B101+5),AT$3&lt;INDEX(Properties!$U:$U,$B101+5)),1,0))</f>
        <v>0</v>
      </c>
      <c r="AU101" cm="1">
        <f t="array" ref="AU101">INDEX(Properties!$D:$D,$B101+5)*(IF(AND(AU$3&gt;=INDEX(Properties!$T:$T,$B101+5),AU$3&lt;INDEX(Properties!$U:$U,$B101+5)),1,0))</f>
        <v>0</v>
      </c>
      <c r="AV101" cm="1">
        <f t="array" ref="AV101">INDEX(Properties!$D:$D,$B101+5)*(IF(AND(AV$3&gt;=INDEX(Properties!$T:$T,$B101+5),AV$3&lt;INDEX(Properties!$U:$U,$B101+5)),1,0))</f>
        <v>0</v>
      </c>
      <c r="AW101" cm="1">
        <f t="array" ref="AW101">INDEX(Properties!$D:$D,$B101+5)*(IF(AND(AW$3&gt;=INDEX(Properties!$T:$T,$B101+5),AW$3&lt;INDEX(Properties!$U:$U,$B101+5)),1,0))</f>
        <v>0</v>
      </c>
      <c r="AX101" cm="1">
        <f t="array" ref="AX101">INDEX(Properties!$D:$D,$B101+5)*(IF(AND(AX$3&gt;=INDEX(Properties!$T:$T,$B101+5),AX$3&lt;INDEX(Properties!$U:$U,$B101+5)),1,0))</f>
        <v>0</v>
      </c>
      <c r="AY101" cm="1">
        <f t="array" ref="AY101">INDEX(Properties!$D:$D,$B101+5)*(IF(AND(AY$3&gt;=INDEX(Properties!$T:$T,$B101+5),AY$3&lt;INDEX(Properties!$U:$U,$B101+5)),1,0))</f>
        <v>0</v>
      </c>
      <c r="AZ101" cm="1">
        <f t="array" ref="AZ101">INDEX(Properties!$D:$D,$B101+5)*(IF(AND(AZ$3&gt;=INDEX(Properties!$T:$T,$B101+5),AZ$3&lt;INDEX(Properties!$U:$U,$B101+5)),1,0))</f>
        <v>0</v>
      </c>
      <c r="BA101" cm="1">
        <f t="array" ref="BA101">INDEX(Properties!$D:$D,$B101+5)*(IF(AND(BA$3&gt;=INDEX(Properties!$T:$T,$B101+5),BA$3&lt;INDEX(Properties!$U:$U,$B101+5)),1,0))</f>
        <v>0</v>
      </c>
      <c r="BB101" cm="1">
        <f t="array" ref="BB101">INDEX(Properties!$D:$D,$B101+5)*(IF(AND(BB$3&gt;=INDEX(Properties!$T:$T,$B101+5),BB$3&lt;INDEX(Properties!$U:$U,$B101+5)),1,0))</f>
        <v>0</v>
      </c>
      <c r="BC101" cm="1">
        <f t="array" ref="BC101">INDEX(Properties!$D:$D,$B101+5)*(IF(AND(BC$3&gt;=INDEX(Properties!$T:$T,$B101+5),BC$3&lt;INDEX(Properties!$U:$U,$B101+5)),1,0))</f>
        <v>0</v>
      </c>
      <c r="BD101" cm="1">
        <f t="array" ref="BD101">INDEX(Properties!$D:$D,$B101+5)*(IF(AND(BD$3&gt;=INDEX(Properties!$T:$T,$B101+5),BD$3&lt;INDEX(Properties!$U:$U,$B101+5)),1,0))</f>
        <v>0</v>
      </c>
      <c r="BE101" cm="1">
        <f t="array" ref="BE101">INDEX(Properties!$D:$D,$B101+5)*(IF(AND(BE$3&gt;=INDEX(Properties!$T:$T,$B101+5),BE$3&lt;INDEX(Properties!$U:$U,$B101+5)),1,0))</f>
        <v>0</v>
      </c>
      <c r="BF101" cm="1">
        <f t="array" ref="BF101">INDEX(Properties!$D:$D,$B101+5)*(IF(AND(BF$3&gt;=INDEX(Properties!$T:$T,$B101+5),BF$3&lt;INDEX(Properties!$U:$U,$B101+5)),1,0))</f>
        <v>0</v>
      </c>
      <c r="BG101" cm="1">
        <f t="array" ref="BG101">INDEX(Properties!$D:$D,$B101+5)*(IF(AND(BG$3&gt;=INDEX(Properties!$T:$T,$B101+5),BG$3&lt;INDEX(Properties!$U:$U,$B101+5)),1,0))</f>
        <v>0</v>
      </c>
      <c r="BH101" cm="1">
        <f t="array" ref="BH101">INDEX(Properties!$D:$D,$B101+5)*(IF(AND(BH$3&gt;=INDEX(Properties!$T:$T,$B101+5),BH$3&lt;INDEX(Properties!$U:$U,$B101+5)),1,0))</f>
        <v>0</v>
      </c>
      <c r="BI101" cm="1">
        <f t="array" ref="BI101">INDEX(Properties!$D:$D,$B101+5)*(IF(AND(BI$3&gt;=INDEX(Properties!$T:$T,$B101+5),BI$3&lt;INDEX(Properties!$U:$U,$B101+5)),1,0))</f>
        <v>0</v>
      </c>
      <c r="BJ101" cm="1">
        <f t="array" ref="BJ101">INDEX(Properties!$D:$D,$B101+5)*(IF(AND(BJ$3&gt;=INDEX(Properties!$T:$T,$B101+5),BJ$3&lt;INDEX(Properties!$U:$U,$B101+5)),1,0))</f>
        <v>0</v>
      </c>
      <c r="BK101" cm="1">
        <f t="array" ref="BK101">INDEX(Properties!$D:$D,$B101+5)*(IF(AND(BK$3&gt;=INDEX(Properties!$T:$T,$B101+5),BK$3&lt;INDEX(Properties!$U:$U,$B101+5)),1,0))</f>
        <v>0</v>
      </c>
      <c r="BL101" cm="1">
        <f t="array" ref="BL101">INDEX(Properties!$D:$D,$B101+5)*(IF(AND(BL$3&gt;=INDEX(Properties!$T:$T,$B101+5),BL$3&lt;INDEX(Properties!$U:$U,$B101+5)),1,0))</f>
        <v>0</v>
      </c>
      <c r="BM101" cm="1">
        <f t="array" ref="BM101">INDEX(Properties!$D:$D,$B101+5)*(IF(AND(BM$3&gt;=INDEX(Properties!$T:$T,$B101+5),BM$3&lt;INDEX(Properties!$U:$U,$B101+5)),1,0))</f>
        <v>0</v>
      </c>
      <c r="BN101" cm="1">
        <f t="array" ref="BN101">INDEX(Properties!$D:$D,$B101+5)*(IF(AND(BN$3&gt;=INDEX(Properties!$T:$T,$B101+5),BN$3&lt;INDEX(Properties!$U:$U,$B101+5)),1,0))</f>
        <v>0</v>
      </c>
      <c r="BO101" cm="1">
        <f t="array" ref="BO101">INDEX(Properties!$D:$D,$B101+5)*(IF(AND(BO$3&gt;=INDEX(Properties!$T:$T,$B101+5),BO$3&lt;INDEX(Properties!$U:$U,$B101+5)),1,0))</f>
        <v>0</v>
      </c>
      <c r="BP101" cm="1">
        <f t="array" ref="BP101">INDEX(Properties!$D:$D,$B101+5)*(IF(AND(BP$3&gt;=INDEX(Properties!$T:$T,$B101+5),BP$3&lt;INDEX(Properties!$U:$U,$B101+5)),1,0))</f>
        <v>0</v>
      </c>
      <c r="BQ101" cm="1">
        <f t="array" ref="BQ101">INDEX(Properties!$D:$D,$B101+5)*(IF(AND(BQ$3&gt;=INDEX(Properties!$T:$T,$B101+5),BQ$3&lt;INDEX(Properties!$U:$U,$B101+5)),1,0))</f>
        <v>0</v>
      </c>
      <c r="BR101" cm="1">
        <f t="array" ref="BR101">INDEX(Properties!$D:$D,$B101+5)*(IF(AND(BR$3&gt;=INDEX(Properties!$T:$T,$B101+5),BR$3&lt;INDEX(Properties!$U:$U,$B101+5)),1,0))</f>
        <v>0</v>
      </c>
      <c r="BS101" cm="1">
        <f t="array" ref="BS101">INDEX(Properties!$D:$D,$B101+5)*(IF(AND(BS$3&gt;=INDEX(Properties!$T:$T,$B101+5),BS$3&lt;INDEX(Properties!$U:$U,$B101+5)),1,0))</f>
        <v>0</v>
      </c>
      <c r="BT101" cm="1">
        <f t="array" ref="BT101">INDEX(Properties!$D:$D,$B101+5)*(IF(AND(BT$3&gt;=INDEX(Properties!$T:$T,$B101+5),BT$3&lt;INDEX(Properties!$U:$U,$B101+5)),1,0))</f>
        <v>0</v>
      </c>
      <c r="BU101" cm="1">
        <f t="array" ref="BU101">INDEX(Properties!$D:$D,$B101+5)*(IF(AND(BU$3&gt;=INDEX(Properties!$T:$T,$B101+5),BU$3&lt;INDEX(Properties!$U:$U,$B101+5)),1,0))</f>
        <v>0</v>
      </c>
      <c r="BV101" cm="1">
        <f t="array" ref="BV101">INDEX(Properties!$D:$D,$B101+5)*(IF(AND(BV$3&gt;=INDEX(Properties!$T:$T,$B101+5),BV$3&lt;INDEX(Properties!$U:$U,$B101+5)),1,0))</f>
        <v>0</v>
      </c>
      <c r="BW101" cm="1">
        <f t="array" ref="BW101">INDEX(Properties!$D:$D,$B101+5)*(IF(AND(BW$3&gt;=INDEX(Properties!$T:$T,$B101+5),BW$3&lt;INDEX(Properties!$U:$U,$B101+5)),1,0))</f>
        <v>0</v>
      </c>
      <c r="BX101" cm="1">
        <f t="array" ref="BX101">INDEX(Properties!$D:$D,$B101+5)*(IF(AND(BX$3&gt;=INDEX(Properties!$T:$T,$B101+5),BX$3&lt;INDEX(Properties!$U:$U,$B101+5)),1,0))</f>
        <v>0</v>
      </c>
      <c r="BY101" cm="1">
        <f t="array" ref="BY101">INDEX(Properties!$D:$D,$B101+5)*(IF(AND(BY$3&gt;=INDEX(Properties!$T:$T,$B101+5),BY$3&lt;INDEX(Properties!$U:$U,$B101+5)),1,0))</f>
        <v>0</v>
      </c>
      <c r="BZ101" cm="1">
        <f t="array" ref="BZ101">INDEX(Properties!$D:$D,$B101+5)*(IF(AND(BZ$3&gt;=INDEX(Properties!$T:$T,$B101+5),BZ$3&lt;INDEX(Properties!$U:$U,$B101+5)),1,0))</f>
        <v>0</v>
      </c>
      <c r="CA101" cm="1">
        <f t="array" ref="CA101">INDEX(Properties!$D:$D,$B101+5)*(IF(AND(CA$3&gt;=INDEX(Properties!$T:$T,$B101+5),CA$3&lt;INDEX(Properties!$U:$U,$B101+5)),1,0))</f>
        <v>0</v>
      </c>
      <c r="CB101" cm="1">
        <f t="array" ref="CB101">INDEX(Properties!$D:$D,$B101+5)*(IF(AND(CB$3&gt;=INDEX(Properties!$T:$T,$B101+5),CB$3&lt;INDEX(Properties!$U:$U,$B101+5)),1,0))</f>
        <v>0</v>
      </c>
      <c r="CC101" cm="1">
        <f t="array" ref="CC101">INDEX(Properties!$D:$D,$B101+5)*(IF(AND(CC$3&gt;=INDEX(Properties!$T:$T,$B101+5),CC$3&lt;INDEX(Properties!$U:$U,$B101+5)),1,0))</f>
        <v>0</v>
      </c>
      <c r="CD101" cm="1">
        <f t="array" ref="CD101">INDEX(Properties!$D:$D,$B101+5)*(IF(AND(CD$3&gt;=INDEX(Properties!$T:$T,$B101+5),CD$3&lt;INDEX(Properties!$U:$U,$B101+5)),1,0))</f>
        <v>0</v>
      </c>
      <c r="CE101" cm="1">
        <f t="array" ref="CE101">INDEX(Properties!$D:$D,$B101+5)*(IF(AND(CE$3&gt;=INDEX(Properties!$T:$T,$B101+5),CE$3&lt;INDEX(Properties!$U:$U,$B101+5)),1,0))</f>
        <v>0</v>
      </c>
      <c r="CF101" cm="1">
        <f t="array" ref="CF101">INDEX(Properties!$D:$D,$B101+5)*(IF(AND(CF$3&gt;=INDEX(Properties!$T:$T,$B101+5),CF$3&lt;INDEX(Properties!$U:$U,$B101+5)),1,0))</f>
        <v>0</v>
      </c>
      <c r="CG101" cm="1">
        <f t="array" ref="CG101">INDEX(Properties!$D:$D,$B101+5)*(IF(AND(CG$3&gt;=INDEX(Properties!$T:$T,$B101+5),CG$3&lt;INDEX(Properties!$U:$U,$B101+5)),1,0))</f>
        <v>0</v>
      </c>
      <c r="CH101" cm="1">
        <f t="array" ref="CH101">INDEX(Properties!$D:$D,$B101+5)*(IF(AND(CH$3&gt;=INDEX(Properties!$T:$T,$B101+5),CH$3&lt;INDEX(Properties!$U:$U,$B101+5)),1,0))</f>
        <v>0</v>
      </c>
      <c r="CI101" cm="1">
        <f t="array" ref="CI101">INDEX(Properties!$D:$D,$B101+5)*(IF(AND(CI$3&gt;=INDEX(Properties!$T:$T,$B101+5),CI$3&lt;INDEX(Properties!$U:$U,$B101+5)),1,0))</f>
        <v>0</v>
      </c>
      <c r="CJ101" cm="1">
        <f t="array" ref="CJ101">INDEX(Properties!$D:$D,$B101+5)*(IF(AND(CJ$3&gt;=INDEX(Properties!$T:$T,$B101+5),CJ$3&lt;INDEX(Properties!$U:$U,$B101+5)),1,0))</f>
        <v>0</v>
      </c>
      <c r="CK101" cm="1">
        <f t="array" ref="CK101">INDEX(Properties!$D:$D,$B101+5)*(IF(AND(CK$3&gt;=INDEX(Properties!$T:$T,$B101+5),CK$3&lt;INDEX(Properties!$U:$U,$B101+5)),1,0))</f>
        <v>0</v>
      </c>
      <c r="CL101" cm="1">
        <f t="array" ref="CL101">INDEX(Properties!$D:$D,$B101+5)*(IF(AND(CL$3&gt;=INDEX(Properties!$T:$T,$B101+5),CL$3&lt;INDEX(Properties!$U:$U,$B101+5)),1,0))</f>
        <v>0</v>
      </c>
      <c r="CM101" cm="1">
        <f t="array" ref="CM101">INDEX(Properties!$D:$D,$B101+5)*(IF(AND(CM$3&gt;=INDEX(Properties!$T:$T,$B101+5),CM$3&lt;INDEX(Properties!$U:$U,$B101+5)),1,0))</f>
        <v>0</v>
      </c>
      <c r="CN101" cm="1">
        <f t="array" ref="CN101">INDEX(Properties!$D:$D,$B101+5)*(IF(AND(CN$3&gt;=INDEX(Properties!$T:$T,$B101+5),CN$3&lt;INDEX(Properties!$U:$U,$B101+5)),1,0))</f>
        <v>0</v>
      </c>
      <c r="CO101" cm="1">
        <f t="array" ref="CO101">INDEX(Properties!$D:$D,$B101+5)*(IF(AND(CO$3&gt;=INDEX(Properties!$T:$T,$B101+5),CO$3&lt;INDEX(Properties!$U:$U,$B101+5)),1,0))</f>
        <v>0</v>
      </c>
      <c r="CP101" cm="1">
        <f t="array" ref="CP101">INDEX(Properties!$D:$D,$B101+5)*(IF(AND(CP$3&gt;=INDEX(Properties!$T:$T,$B101+5),CP$3&lt;INDEX(Properties!$U:$U,$B101+5)),1,0))</f>
        <v>0</v>
      </c>
      <c r="CQ101" cm="1">
        <f t="array" ref="CQ101">INDEX(Properties!$D:$D,$B101+5)*(IF(AND(CQ$3&gt;=INDEX(Properties!$T:$T,$B101+5),CQ$3&lt;INDEX(Properties!$U:$U,$B101+5)),1,0))</f>
        <v>0</v>
      </c>
      <c r="CR101" cm="1">
        <f t="array" ref="CR101">INDEX(Properties!$D:$D,$B101+5)*(IF(AND(CR$3&gt;=INDEX(Properties!$T:$T,$B101+5),CR$3&lt;INDEX(Properties!$U:$U,$B101+5)),1,0))</f>
        <v>0</v>
      </c>
      <c r="CS101" cm="1">
        <f t="array" ref="CS101">INDEX(Properties!$D:$D,$B101+5)*(IF(AND(CS$3&gt;=INDEX(Properties!$T:$T,$B101+5),CS$3&lt;INDEX(Properties!$U:$U,$B101+5)),1,0))</f>
        <v>0</v>
      </c>
      <c r="CT101" cm="1">
        <f t="array" ref="CT101">INDEX(Properties!$D:$D,$B101+5)*(IF(AND(CT$3&gt;=INDEX(Properties!$T:$T,$B101+5),CT$3&lt;INDEX(Properties!$U:$U,$B101+5)),1,0))</f>
        <v>0</v>
      </c>
      <c r="CU101" cm="1">
        <f t="array" ref="CU101">INDEX(Properties!$D:$D,$B101+5)*(IF(AND(CU$3&gt;=INDEX(Properties!$T:$T,$B101+5),CU$3&lt;INDEX(Properties!$U:$U,$B101+5)),1,0))</f>
        <v>0</v>
      </c>
      <c r="CV101" cm="1">
        <f t="array" ref="CV101">INDEX(Properties!$D:$D,$B101+5)*(IF(AND(CV$3&gt;=INDEX(Properties!$T:$T,$B101+5),CV$3&lt;INDEX(Properties!$U:$U,$B101+5)),1,0))</f>
        <v>0</v>
      </c>
      <c r="CW101" cm="1">
        <f t="array" ref="CW101">INDEX(Properties!$D:$D,$B101+5)*(IF(AND(CW$3&gt;=INDEX(Properties!$T:$T,$B101+5),CW$3&lt;INDEX(Properties!$U:$U,$B101+5)),1,0))</f>
        <v>0</v>
      </c>
      <c r="CX101" cm="1">
        <f t="array" ref="CX101">INDEX(Properties!$D:$D,$B101+5)*(IF(AND(CX$3&gt;=INDEX(Properties!$T:$T,$B101+5),CX$3&lt;INDEX(Properties!$U:$U,$B101+5)),1,0))</f>
        <v>0</v>
      </c>
      <c r="CY101" cm="1">
        <f t="array" ref="CY101">INDEX(Properties!$D:$D,$B101+5)*(IF(AND(CY$3&gt;=INDEX(Properties!$T:$T,$B101+5),CY$3&lt;INDEX(Properties!$U:$U,$B101+5)),1,0))</f>
        <v>0</v>
      </c>
      <c r="CZ101" cm="1">
        <f t="array" ref="CZ101">INDEX(Properties!$D:$D,$B101+5)*(IF(AND(CZ$3&gt;=INDEX(Properties!$T:$T,$B101+5),CZ$3&lt;INDEX(Properties!$U:$U,$B101+5)),1,0))</f>
        <v>0</v>
      </c>
      <c r="DA101" cm="1">
        <f t="array" ref="DA101">INDEX(Properties!$D:$D,$B101+5)*(IF(AND(DA$3&gt;=INDEX(Properties!$T:$T,$B101+5),DA$3&lt;INDEX(Properties!$U:$U,$B101+5)),1,0))</f>
        <v>0</v>
      </c>
      <c r="DB101" cm="1">
        <f t="array" ref="DB101">INDEX(Properties!$D:$D,$B101+5)*(IF(AND(DB$3&gt;=INDEX(Properties!$T:$T,$B101+5),DB$3&lt;INDEX(Properties!$U:$U,$B101+5)),1,0))</f>
        <v>0</v>
      </c>
      <c r="DC101" cm="1">
        <f t="array" ref="DC101">INDEX(Properties!$D:$D,$B101+5)*(IF(AND(DC$3&gt;=INDEX(Properties!$T:$T,$B101+5),DC$3&lt;INDEX(Properties!$U:$U,$B101+5)),1,0))</f>
        <v>0</v>
      </c>
      <c r="DD101" cm="1">
        <f t="array" ref="DD101">INDEX(Properties!$D:$D,$B101+5)*(IF(AND(DD$3&gt;=INDEX(Properties!$T:$T,$B101+5),DD$3&lt;INDEX(Properties!$U:$U,$B101+5)),1,0))</f>
        <v>0</v>
      </c>
      <c r="DE101" cm="1">
        <f t="array" ref="DE101">INDEX(Properties!$D:$D,$B101+5)*(IF(AND(DE$3&gt;=INDEX(Properties!$T:$T,$B101+5),DE$3&lt;INDEX(Properties!$U:$U,$B101+5)),1,0))</f>
        <v>0</v>
      </c>
      <c r="DF101" cm="1">
        <f t="array" ref="DF101">INDEX(Properties!$D:$D,$B101+5)*(IF(AND(DF$3&gt;=INDEX(Properties!$T:$T,$B101+5),DF$3&lt;INDEX(Properties!$U:$U,$B101+5)),1,0))</f>
        <v>0</v>
      </c>
      <c r="DG101" cm="1">
        <f t="array" ref="DG101">INDEX(Properties!$D:$D,$B101+5)*(IF(AND(DG$3&gt;=INDEX(Properties!$T:$T,$B101+5),DG$3&lt;INDEX(Properties!$U:$U,$B101+5)),1,0))</f>
        <v>0</v>
      </c>
      <c r="DH101" cm="1">
        <f t="array" ref="DH101">INDEX(Properties!$D:$D,$B101+5)*(IF(AND(DH$3&gt;=INDEX(Properties!$T:$T,$B101+5),DH$3&lt;INDEX(Properties!$U:$U,$B101+5)),1,0))</f>
        <v>0</v>
      </c>
      <c r="DI101" cm="1">
        <f t="array" ref="DI101">INDEX(Properties!$D:$D,$B101+5)*(IF(AND(DI$3&gt;=INDEX(Properties!$T:$T,$B101+5),DI$3&lt;INDEX(Properties!$U:$U,$B101+5)),1,0))</f>
        <v>0</v>
      </c>
      <c r="DJ101" cm="1">
        <f t="array" ref="DJ101">INDEX(Properties!$D:$D,$B101+5)*(IF(AND(DJ$3&gt;=INDEX(Properties!$T:$T,$B101+5),DJ$3&lt;INDEX(Properties!$U:$U,$B101+5)),1,0))</f>
        <v>0</v>
      </c>
      <c r="DK101" cm="1">
        <f t="array" ref="DK101">INDEX(Properties!$D:$D,$B101+5)*(IF(AND(DK$3&gt;=INDEX(Properties!$T:$T,$B101+5),DK$3&lt;INDEX(Properties!$U:$U,$B101+5)),1,0))</f>
        <v>0</v>
      </c>
      <c r="DL101" cm="1">
        <f t="array" ref="DL101">INDEX(Properties!$D:$D,$B101+5)*(IF(AND(DL$3&gt;=INDEX(Properties!$T:$T,$B101+5),DL$3&lt;INDEX(Properties!$U:$U,$B101+5)),1,0))</f>
        <v>0</v>
      </c>
      <c r="DM101" cm="1">
        <f t="array" ref="DM101">INDEX(Properties!$D:$D,$B101+5)*(IF(AND(DM$3&gt;=INDEX(Properties!$T:$T,$B101+5),DM$3&lt;INDEX(Properties!$U:$U,$B101+5)),1,0))</f>
        <v>0</v>
      </c>
      <c r="DN101" cm="1">
        <f t="array" ref="DN101">INDEX(Properties!$D:$D,$B101+5)*(IF(AND(DN$3&gt;=INDEX(Properties!$T:$T,$B101+5),DN$3&lt;INDEX(Properties!$U:$U,$B101+5)),1,0))</f>
        <v>0</v>
      </c>
      <c r="DO101" cm="1">
        <f t="array" ref="DO101">INDEX(Properties!$D:$D,$B101+5)*(IF(AND(DO$3&gt;=INDEX(Properties!$T:$T,$B101+5),DO$3&lt;INDEX(Properties!$U:$U,$B101+5)),1,0))</f>
        <v>0</v>
      </c>
      <c r="DP101" cm="1">
        <f t="array" ref="DP101">INDEX(Properties!$D:$D,$B101+5)*(IF(AND(DP$3&gt;=INDEX(Properties!$T:$T,$B101+5),DP$3&lt;INDEX(Properties!$U:$U,$B101+5)),1,0))</f>
        <v>0</v>
      </c>
      <c r="DQ101" cm="1">
        <f t="array" ref="DQ101">INDEX(Properties!$D:$D,$B101+5)*(IF(AND(DQ$3&gt;=INDEX(Properties!$T:$T,$B101+5),DQ$3&lt;INDEX(Properties!$U:$U,$B101+5)),1,0))</f>
        <v>0</v>
      </c>
      <c r="DR101" cm="1">
        <f t="array" ref="DR101">INDEX(Properties!$D:$D,$B101+5)*(IF(AND(DR$3&gt;=INDEX(Properties!$T:$T,$B101+5),DR$3&lt;INDEX(Properties!$U:$U,$B101+5)),1,0))</f>
        <v>0</v>
      </c>
    </row>
    <row r="102" spans="1:122" ht="14.55" customHeight="1" x14ac:dyDescent="0.3">
      <c r="A102" t="str" cm="1">
        <f t="array" ref="A102">INDEX(Properties!$E:$E,$B102+5)</f>
        <v>Casa Monte Sereno</v>
      </c>
      <c r="B102" s="1">
        <v>5</v>
      </c>
      <c r="C102" cm="1">
        <f t="array" ref="C102">INDEX(Properties!$D:$D,$B102+5)*(IF(AND(C$3&gt;=INDEX(Properties!$T:$T,$B102+5),C$3&lt;INDEX(Properties!$U:$U,$B102+5)),1,0))</f>
        <v>0</v>
      </c>
      <c r="D102" cm="1">
        <f t="array" ref="D102">INDEX(Properties!$D:$D,$B102+5)*(IF(AND(D$3&gt;=INDEX(Properties!$T:$T,$B102+5),D$3&lt;INDEX(Properties!$U:$U,$B102+5)),1,0))</f>
        <v>0</v>
      </c>
      <c r="E102" cm="1">
        <f t="array" ref="E102">INDEX(Properties!$D:$D,$B102+5)*(IF(AND(E$3&gt;=INDEX(Properties!$T:$T,$B102+5),E$3&lt;INDEX(Properties!$U:$U,$B102+5)),1,0))</f>
        <v>0</v>
      </c>
      <c r="F102" cm="1">
        <f t="array" ref="F102">INDEX(Properties!$D:$D,$B102+5)*(IF(AND(F$3&gt;=INDEX(Properties!$T:$T,$B102+5),F$3&lt;INDEX(Properties!$U:$U,$B102+5)),1,0))</f>
        <v>0</v>
      </c>
      <c r="G102" cm="1">
        <f t="array" ref="G102">INDEX(Properties!$D:$D,$B102+5)*(IF(AND(G$3&gt;=INDEX(Properties!$T:$T,$B102+5),G$3&lt;INDEX(Properties!$U:$U,$B102+5)),1,0))</f>
        <v>0</v>
      </c>
      <c r="H102" cm="1">
        <f t="array" ref="H102">INDEX(Properties!$D:$D,$B102+5)*(IF(AND(H$3&gt;=INDEX(Properties!$T:$T,$B102+5),H$3&lt;INDEX(Properties!$U:$U,$B102+5)),1,0))</f>
        <v>0</v>
      </c>
      <c r="I102" cm="1">
        <f t="array" ref="I102">INDEX(Properties!$D:$D,$B102+5)*(IF(AND(I$3&gt;=INDEX(Properties!$T:$T,$B102+5),I$3&lt;INDEX(Properties!$U:$U,$B102+5)),1,0))</f>
        <v>0</v>
      </c>
      <c r="J102" cm="1">
        <f t="array" ref="J102">INDEX(Properties!$D:$D,$B102+5)*(IF(AND(J$3&gt;=INDEX(Properties!$T:$T,$B102+5),J$3&lt;INDEX(Properties!$U:$U,$B102+5)),1,0))</f>
        <v>0</v>
      </c>
      <c r="K102" cm="1">
        <f t="array" ref="K102">INDEX(Properties!$D:$D,$B102+5)*(IF(AND(K$3&gt;=INDEX(Properties!$T:$T,$B102+5),K$3&lt;INDEX(Properties!$U:$U,$B102+5)),1,0))</f>
        <v>0</v>
      </c>
      <c r="L102" cm="1">
        <f t="array" ref="L102">INDEX(Properties!$D:$D,$B102+5)*(IF(AND(L$3&gt;=INDEX(Properties!$T:$T,$B102+5),L$3&lt;INDEX(Properties!$U:$U,$B102+5)),1,0))</f>
        <v>0</v>
      </c>
      <c r="M102" cm="1">
        <f t="array" ref="M102">INDEX(Properties!$D:$D,$B102+5)*(IF(AND(M$3&gt;=INDEX(Properties!$T:$T,$B102+5),M$3&lt;INDEX(Properties!$U:$U,$B102+5)),1,0))</f>
        <v>1</v>
      </c>
      <c r="N102" cm="1">
        <f t="array" ref="N102">INDEX(Properties!$D:$D,$B102+5)*(IF(AND(N$3&gt;=INDEX(Properties!$T:$T,$B102+5),N$3&lt;INDEX(Properties!$U:$U,$B102+5)),1,0))</f>
        <v>1</v>
      </c>
      <c r="O102" cm="1">
        <f t="array" ref="O102">INDEX(Properties!$D:$D,$B102+5)*(IF(AND(O$3&gt;=INDEX(Properties!$T:$T,$B102+5),O$3&lt;INDEX(Properties!$U:$U,$B102+5)),1,0))</f>
        <v>1</v>
      </c>
      <c r="P102" cm="1">
        <f t="array" ref="P102">INDEX(Properties!$D:$D,$B102+5)*(IF(AND(P$3&gt;=INDEX(Properties!$T:$T,$B102+5),P$3&lt;INDEX(Properties!$U:$U,$B102+5)),1,0))</f>
        <v>1</v>
      </c>
      <c r="Q102" cm="1">
        <f t="array" ref="Q102">INDEX(Properties!$D:$D,$B102+5)*(IF(AND(Q$3&gt;=INDEX(Properties!$T:$T,$B102+5),Q$3&lt;INDEX(Properties!$U:$U,$B102+5)),1,0))</f>
        <v>1</v>
      </c>
      <c r="R102" cm="1">
        <f t="array" ref="R102">INDEX(Properties!$D:$D,$B102+5)*(IF(AND(R$3&gt;=INDEX(Properties!$T:$T,$B102+5),R$3&lt;INDEX(Properties!$U:$U,$B102+5)),1,0))</f>
        <v>1</v>
      </c>
      <c r="S102" cm="1">
        <f t="array" ref="S102">INDEX(Properties!$D:$D,$B102+5)*(IF(AND(S$3&gt;=INDEX(Properties!$T:$T,$B102+5),S$3&lt;INDEX(Properties!$U:$U,$B102+5)),1,0))</f>
        <v>1</v>
      </c>
      <c r="T102" cm="1">
        <f t="array" ref="T102">INDEX(Properties!$D:$D,$B102+5)*(IF(AND(T$3&gt;=INDEX(Properties!$T:$T,$B102+5),T$3&lt;INDEX(Properties!$U:$U,$B102+5)),1,0))</f>
        <v>1</v>
      </c>
      <c r="U102" cm="1">
        <f t="array" ref="U102">INDEX(Properties!$D:$D,$B102+5)*(IF(AND(U$3&gt;=INDEX(Properties!$T:$T,$B102+5),U$3&lt;INDEX(Properties!$U:$U,$B102+5)),1,0))</f>
        <v>1</v>
      </c>
      <c r="V102" cm="1">
        <f t="array" ref="V102">INDEX(Properties!$D:$D,$B102+5)*(IF(AND(V$3&gt;=INDEX(Properties!$T:$T,$B102+5),V$3&lt;INDEX(Properties!$U:$U,$B102+5)),1,0))</f>
        <v>1</v>
      </c>
      <c r="W102" cm="1">
        <f t="array" ref="W102">INDEX(Properties!$D:$D,$B102+5)*(IF(AND(W$3&gt;=INDEX(Properties!$T:$T,$B102+5),W$3&lt;INDEX(Properties!$U:$U,$B102+5)),1,0))</f>
        <v>1</v>
      </c>
      <c r="X102" cm="1">
        <f t="array" ref="X102">INDEX(Properties!$D:$D,$B102+5)*(IF(AND(X$3&gt;=INDEX(Properties!$T:$T,$B102+5),X$3&lt;INDEX(Properties!$U:$U,$B102+5)),1,0))</f>
        <v>1</v>
      </c>
      <c r="Y102" cm="1">
        <f t="array" ref="Y102">INDEX(Properties!$D:$D,$B102+5)*(IF(AND(Y$3&gt;=INDEX(Properties!$T:$T,$B102+5),Y$3&lt;INDEX(Properties!$U:$U,$B102+5)),1,0))</f>
        <v>1</v>
      </c>
      <c r="Z102" cm="1">
        <f t="array" ref="Z102">INDEX(Properties!$D:$D,$B102+5)*(IF(AND(Z$3&gt;=INDEX(Properties!$T:$T,$B102+5),Z$3&lt;INDEX(Properties!$U:$U,$B102+5)),1,0))</f>
        <v>1</v>
      </c>
      <c r="AA102" cm="1">
        <f t="array" ref="AA102">INDEX(Properties!$D:$D,$B102+5)*(IF(AND(AA$3&gt;=INDEX(Properties!$T:$T,$B102+5),AA$3&lt;INDEX(Properties!$U:$U,$B102+5)),1,0))</f>
        <v>1</v>
      </c>
      <c r="AB102" cm="1">
        <f t="array" ref="AB102">INDEX(Properties!$D:$D,$B102+5)*(IF(AND(AB$3&gt;=INDEX(Properties!$T:$T,$B102+5),AB$3&lt;INDEX(Properties!$U:$U,$B102+5)),1,0))</f>
        <v>1</v>
      </c>
      <c r="AC102" cm="1">
        <f t="array" ref="AC102">INDEX(Properties!$D:$D,$B102+5)*(IF(AND(AC$3&gt;=INDEX(Properties!$T:$T,$B102+5),AC$3&lt;INDEX(Properties!$U:$U,$B102+5)),1,0))</f>
        <v>1</v>
      </c>
      <c r="AD102" cm="1">
        <f t="array" ref="AD102">INDEX(Properties!$D:$D,$B102+5)*(IF(AND(AD$3&gt;=INDEX(Properties!$T:$T,$B102+5),AD$3&lt;INDEX(Properties!$U:$U,$B102+5)),1,0))</f>
        <v>1</v>
      </c>
      <c r="AE102" cm="1">
        <f t="array" ref="AE102">INDEX(Properties!$D:$D,$B102+5)*(IF(AND(AE$3&gt;=INDEX(Properties!$T:$T,$B102+5),AE$3&lt;INDEX(Properties!$U:$U,$B102+5)),1,0))</f>
        <v>1</v>
      </c>
      <c r="AF102" cm="1">
        <f t="array" ref="AF102">INDEX(Properties!$D:$D,$B102+5)*(IF(AND(AF$3&gt;=INDEX(Properties!$T:$T,$B102+5),AF$3&lt;INDEX(Properties!$U:$U,$B102+5)),1,0))</f>
        <v>1</v>
      </c>
      <c r="AG102" cm="1">
        <f t="array" ref="AG102">INDEX(Properties!$D:$D,$B102+5)*(IF(AND(AG$3&gt;=INDEX(Properties!$T:$T,$B102+5),AG$3&lt;INDEX(Properties!$U:$U,$B102+5)),1,0))</f>
        <v>1</v>
      </c>
      <c r="AH102" cm="1">
        <f t="array" ref="AH102">INDEX(Properties!$D:$D,$B102+5)*(IF(AND(AH$3&gt;=INDEX(Properties!$T:$T,$B102+5),AH$3&lt;INDEX(Properties!$U:$U,$B102+5)),1,0))</f>
        <v>1</v>
      </c>
      <c r="AI102" cm="1">
        <f t="array" ref="AI102">INDEX(Properties!$D:$D,$B102+5)*(IF(AND(AI$3&gt;=INDEX(Properties!$T:$T,$B102+5),AI$3&lt;INDEX(Properties!$U:$U,$B102+5)),1,0))</f>
        <v>1</v>
      </c>
      <c r="AJ102" cm="1">
        <f t="array" ref="AJ102">INDEX(Properties!$D:$D,$B102+5)*(IF(AND(AJ$3&gt;=INDEX(Properties!$T:$T,$B102+5),AJ$3&lt;INDEX(Properties!$U:$U,$B102+5)),1,0))</f>
        <v>1</v>
      </c>
      <c r="AK102" cm="1">
        <f t="array" ref="AK102">INDEX(Properties!$D:$D,$B102+5)*(IF(AND(AK$3&gt;=INDEX(Properties!$T:$T,$B102+5),AK$3&lt;INDEX(Properties!$U:$U,$B102+5)),1,0))</f>
        <v>1</v>
      </c>
      <c r="AL102" cm="1">
        <f t="array" ref="AL102">INDEX(Properties!$D:$D,$B102+5)*(IF(AND(AL$3&gt;=INDEX(Properties!$T:$T,$B102+5),AL$3&lt;INDEX(Properties!$U:$U,$B102+5)),1,0))</f>
        <v>1</v>
      </c>
      <c r="AM102" cm="1">
        <f t="array" ref="AM102">INDEX(Properties!$D:$D,$B102+5)*(IF(AND(AM$3&gt;=INDEX(Properties!$T:$T,$B102+5),AM$3&lt;INDEX(Properties!$U:$U,$B102+5)),1,0))</f>
        <v>0</v>
      </c>
      <c r="AN102" cm="1">
        <f t="array" ref="AN102">INDEX(Properties!$D:$D,$B102+5)*(IF(AND(AN$3&gt;=INDEX(Properties!$T:$T,$B102+5),AN$3&lt;INDEX(Properties!$U:$U,$B102+5)),1,0))</f>
        <v>0</v>
      </c>
      <c r="AO102" cm="1">
        <f t="array" ref="AO102">INDEX(Properties!$D:$D,$B102+5)*(IF(AND(AO$3&gt;=INDEX(Properties!$T:$T,$B102+5),AO$3&lt;INDEX(Properties!$U:$U,$B102+5)),1,0))</f>
        <v>0</v>
      </c>
      <c r="AP102" cm="1">
        <f t="array" ref="AP102">INDEX(Properties!$D:$D,$B102+5)*(IF(AND(AP$3&gt;=INDEX(Properties!$T:$T,$B102+5),AP$3&lt;INDEX(Properties!$U:$U,$B102+5)),1,0))</f>
        <v>0</v>
      </c>
      <c r="AQ102" cm="1">
        <f t="array" ref="AQ102">INDEX(Properties!$D:$D,$B102+5)*(IF(AND(AQ$3&gt;=INDEX(Properties!$T:$T,$B102+5),AQ$3&lt;INDEX(Properties!$U:$U,$B102+5)),1,0))</f>
        <v>0</v>
      </c>
      <c r="AR102" cm="1">
        <f t="array" ref="AR102">INDEX(Properties!$D:$D,$B102+5)*(IF(AND(AR$3&gt;=INDEX(Properties!$T:$T,$B102+5),AR$3&lt;INDEX(Properties!$U:$U,$B102+5)),1,0))</f>
        <v>0</v>
      </c>
      <c r="AS102" cm="1">
        <f t="array" ref="AS102">INDEX(Properties!$D:$D,$B102+5)*(IF(AND(AS$3&gt;=INDEX(Properties!$T:$T,$B102+5),AS$3&lt;INDEX(Properties!$U:$U,$B102+5)),1,0))</f>
        <v>0</v>
      </c>
      <c r="AT102" cm="1">
        <f t="array" ref="AT102">INDEX(Properties!$D:$D,$B102+5)*(IF(AND(AT$3&gt;=INDEX(Properties!$T:$T,$B102+5),AT$3&lt;INDEX(Properties!$U:$U,$B102+5)),1,0))</f>
        <v>0</v>
      </c>
      <c r="AU102" cm="1">
        <f t="array" ref="AU102">INDEX(Properties!$D:$D,$B102+5)*(IF(AND(AU$3&gt;=INDEX(Properties!$T:$T,$B102+5),AU$3&lt;INDEX(Properties!$U:$U,$B102+5)),1,0))</f>
        <v>0</v>
      </c>
      <c r="AV102" cm="1">
        <f t="array" ref="AV102">INDEX(Properties!$D:$D,$B102+5)*(IF(AND(AV$3&gt;=INDEX(Properties!$T:$T,$B102+5),AV$3&lt;INDEX(Properties!$U:$U,$B102+5)),1,0))</f>
        <v>0</v>
      </c>
      <c r="AW102" cm="1">
        <f t="array" ref="AW102">INDEX(Properties!$D:$D,$B102+5)*(IF(AND(AW$3&gt;=INDEX(Properties!$T:$T,$B102+5),AW$3&lt;INDEX(Properties!$U:$U,$B102+5)),1,0))</f>
        <v>0</v>
      </c>
      <c r="AX102" cm="1">
        <f t="array" ref="AX102">INDEX(Properties!$D:$D,$B102+5)*(IF(AND(AX$3&gt;=INDEX(Properties!$T:$T,$B102+5),AX$3&lt;INDEX(Properties!$U:$U,$B102+5)),1,0))</f>
        <v>0</v>
      </c>
      <c r="AY102" cm="1">
        <f t="array" ref="AY102">INDEX(Properties!$D:$D,$B102+5)*(IF(AND(AY$3&gt;=INDEX(Properties!$T:$T,$B102+5),AY$3&lt;INDEX(Properties!$U:$U,$B102+5)),1,0))</f>
        <v>0</v>
      </c>
      <c r="AZ102" cm="1">
        <f t="array" ref="AZ102">INDEX(Properties!$D:$D,$B102+5)*(IF(AND(AZ$3&gt;=INDEX(Properties!$T:$T,$B102+5),AZ$3&lt;INDEX(Properties!$U:$U,$B102+5)),1,0))</f>
        <v>0</v>
      </c>
      <c r="BA102" cm="1">
        <f t="array" ref="BA102">INDEX(Properties!$D:$D,$B102+5)*(IF(AND(BA$3&gt;=INDEX(Properties!$T:$T,$B102+5),BA$3&lt;INDEX(Properties!$U:$U,$B102+5)),1,0))</f>
        <v>0</v>
      </c>
      <c r="BB102" cm="1">
        <f t="array" ref="BB102">INDEX(Properties!$D:$D,$B102+5)*(IF(AND(BB$3&gt;=INDEX(Properties!$T:$T,$B102+5),BB$3&lt;INDEX(Properties!$U:$U,$B102+5)),1,0))</f>
        <v>0</v>
      </c>
      <c r="BC102" cm="1">
        <f t="array" ref="BC102">INDEX(Properties!$D:$D,$B102+5)*(IF(AND(BC$3&gt;=INDEX(Properties!$T:$T,$B102+5),BC$3&lt;INDEX(Properties!$U:$U,$B102+5)),1,0))</f>
        <v>0</v>
      </c>
      <c r="BD102" cm="1">
        <f t="array" ref="BD102">INDEX(Properties!$D:$D,$B102+5)*(IF(AND(BD$3&gt;=INDEX(Properties!$T:$T,$B102+5),BD$3&lt;INDEX(Properties!$U:$U,$B102+5)),1,0))</f>
        <v>0</v>
      </c>
      <c r="BE102" cm="1">
        <f t="array" ref="BE102">INDEX(Properties!$D:$D,$B102+5)*(IF(AND(BE$3&gt;=INDEX(Properties!$T:$T,$B102+5),BE$3&lt;INDEX(Properties!$U:$U,$B102+5)),1,0))</f>
        <v>0</v>
      </c>
      <c r="BF102" cm="1">
        <f t="array" ref="BF102">INDEX(Properties!$D:$D,$B102+5)*(IF(AND(BF$3&gt;=INDEX(Properties!$T:$T,$B102+5),BF$3&lt;INDEX(Properties!$U:$U,$B102+5)),1,0))</f>
        <v>0</v>
      </c>
      <c r="BG102" cm="1">
        <f t="array" ref="BG102">INDEX(Properties!$D:$D,$B102+5)*(IF(AND(BG$3&gt;=INDEX(Properties!$T:$T,$B102+5),BG$3&lt;INDEX(Properties!$U:$U,$B102+5)),1,0))</f>
        <v>0</v>
      </c>
      <c r="BH102" cm="1">
        <f t="array" ref="BH102">INDEX(Properties!$D:$D,$B102+5)*(IF(AND(BH$3&gt;=INDEX(Properties!$T:$T,$B102+5),BH$3&lt;INDEX(Properties!$U:$U,$B102+5)),1,0))</f>
        <v>0</v>
      </c>
      <c r="BI102" cm="1">
        <f t="array" ref="BI102">INDEX(Properties!$D:$D,$B102+5)*(IF(AND(BI$3&gt;=INDEX(Properties!$T:$T,$B102+5),BI$3&lt;INDEX(Properties!$U:$U,$B102+5)),1,0))</f>
        <v>0</v>
      </c>
      <c r="BJ102" cm="1">
        <f t="array" ref="BJ102">INDEX(Properties!$D:$D,$B102+5)*(IF(AND(BJ$3&gt;=INDEX(Properties!$T:$T,$B102+5),BJ$3&lt;INDEX(Properties!$U:$U,$B102+5)),1,0))</f>
        <v>0</v>
      </c>
      <c r="BK102" cm="1">
        <f t="array" ref="BK102">INDEX(Properties!$D:$D,$B102+5)*(IF(AND(BK$3&gt;=INDEX(Properties!$T:$T,$B102+5),BK$3&lt;INDEX(Properties!$U:$U,$B102+5)),1,0))</f>
        <v>0</v>
      </c>
      <c r="BL102" cm="1">
        <f t="array" ref="BL102">INDEX(Properties!$D:$D,$B102+5)*(IF(AND(BL$3&gt;=INDEX(Properties!$T:$T,$B102+5),BL$3&lt;INDEX(Properties!$U:$U,$B102+5)),1,0))</f>
        <v>0</v>
      </c>
      <c r="BM102" cm="1">
        <f t="array" ref="BM102">INDEX(Properties!$D:$D,$B102+5)*(IF(AND(BM$3&gt;=INDEX(Properties!$T:$T,$B102+5),BM$3&lt;INDEX(Properties!$U:$U,$B102+5)),1,0))</f>
        <v>0</v>
      </c>
      <c r="BN102" cm="1">
        <f t="array" ref="BN102">INDEX(Properties!$D:$D,$B102+5)*(IF(AND(BN$3&gt;=INDEX(Properties!$T:$T,$B102+5),BN$3&lt;INDEX(Properties!$U:$U,$B102+5)),1,0))</f>
        <v>0</v>
      </c>
      <c r="BO102" cm="1">
        <f t="array" ref="BO102">INDEX(Properties!$D:$D,$B102+5)*(IF(AND(BO$3&gt;=INDEX(Properties!$T:$T,$B102+5),BO$3&lt;INDEX(Properties!$U:$U,$B102+5)),1,0))</f>
        <v>0</v>
      </c>
      <c r="BP102" cm="1">
        <f t="array" ref="BP102">INDEX(Properties!$D:$D,$B102+5)*(IF(AND(BP$3&gt;=INDEX(Properties!$T:$T,$B102+5),BP$3&lt;INDEX(Properties!$U:$U,$B102+5)),1,0))</f>
        <v>0</v>
      </c>
      <c r="BQ102" cm="1">
        <f t="array" ref="BQ102">INDEX(Properties!$D:$D,$B102+5)*(IF(AND(BQ$3&gt;=INDEX(Properties!$T:$T,$B102+5),BQ$3&lt;INDEX(Properties!$U:$U,$B102+5)),1,0))</f>
        <v>0</v>
      </c>
      <c r="BR102" cm="1">
        <f t="array" ref="BR102">INDEX(Properties!$D:$D,$B102+5)*(IF(AND(BR$3&gt;=INDEX(Properties!$T:$T,$B102+5),BR$3&lt;INDEX(Properties!$U:$U,$B102+5)),1,0))</f>
        <v>0</v>
      </c>
      <c r="BS102" cm="1">
        <f t="array" ref="BS102">INDEX(Properties!$D:$D,$B102+5)*(IF(AND(BS$3&gt;=INDEX(Properties!$T:$T,$B102+5),BS$3&lt;INDEX(Properties!$U:$U,$B102+5)),1,0))</f>
        <v>0</v>
      </c>
      <c r="BT102" cm="1">
        <f t="array" ref="BT102">INDEX(Properties!$D:$D,$B102+5)*(IF(AND(BT$3&gt;=INDEX(Properties!$T:$T,$B102+5),BT$3&lt;INDEX(Properties!$U:$U,$B102+5)),1,0))</f>
        <v>0</v>
      </c>
      <c r="BU102" cm="1">
        <f t="array" ref="BU102">INDEX(Properties!$D:$D,$B102+5)*(IF(AND(BU$3&gt;=INDEX(Properties!$T:$T,$B102+5),BU$3&lt;INDEX(Properties!$U:$U,$B102+5)),1,0))</f>
        <v>0</v>
      </c>
      <c r="BV102" cm="1">
        <f t="array" ref="BV102">INDEX(Properties!$D:$D,$B102+5)*(IF(AND(BV$3&gt;=INDEX(Properties!$T:$T,$B102+5),BV$3&lt;INDEX(Properties!$U:$U,$B102+5)),1,0))</f>
        <v>0</v>
      </c>
      <c r="BW102" cm="1">
        <f t="array" ref="BW102">INDEX(Properties!$D:$D,$B102+5)*(IF(AND(BW$3&gt;=INDEX(Properties!$T:$T,$B102+5),BW$3&lt;INDEX(Properties!$U:$U,$B102+5)),1,0))</f>
        <v>0</v>
      </c>
      <c r="BX102" cm="1">
        <f t="array" ref="BX102">INDEX(Properties!$D:$D,$B102+5)*(IF(AND(BX$3&gt;=INDEX(Properties!$T:$T,$B102+5),BX$3&lt;INDEX(Properties!$U:$U,$B102+5)),1,0))</f>
        <v>0</v>
      </c>
      <c r="BY102" cm="1">
        <f t="array" ref="BY102">INDEX(Properties!$D:$D,$B102+5)*(IF(AND(BY$3&gt;=INDEX(Properties!$T:$T,$B102+5),BY$3&lt;INDEX(Properties!$U:$U,$B102+5)),1,0))</f>
        <v>0</v>
      </c>
      <c r="BZ102" cm="1">
        <f t="array" ref="BZ102">INDEX(Properties!$D:$D,$B102+5)*(IF(AND(BZ$3&gt;=INDEX(Properties!$T:$T,$B102+5),BZ$3&lt;INDEX(Properties!$U:$U,$B102+5)),1,0))</f>
        <v>0</v>
      </c>
      <c r="CA102" cm="1">
        <f t="array" ref="CA102">INDEX(Properties!$D:$D,$B102+5)*(IF(AND(CA$3&gt;=INDEX(Properties!$T:$T,$B102+5),CA$3&lt;INDEX(Properties!$U:$U,$B102+5)),1,0))</f>
        <v>0</v>
      </c>
      <c r="CB102" cm="1">
        <f t="array" ref="CB102">INDEX(Properties!$D:$D,$B102+5)*(IF(AND(CB$3&gt;=INDEX(Properties!$T:$T,$B102+5),CB$3&lt;INDEX(Properties!$U:$U,$B102+5)),1,0))</f>
        <v>0</v>
      </c>
      <c r="CC102" cm="1">
        <f t="array" ref="CC102">INDEX(Properties!$D:$D,$B102+5)*(IF(AND(CC$3&gt;=INDEX(Properties!$T:$T,$B102+5),CC$3&lt;INDEX(Properties!$U:$U,$B102+5)),1,0))</f>
        <v>0</v>
      </c>
      <c r="CD102" cm="1">
        <f t="array" ref="CD102">INDEX(Properties!$D:$D,$B102+5)*(IF(AND(CD$3&gt;=INDEX(Properties!$T:$T,$B102+5),CD$3&lt;INDEX(Properties!$U:$U,$B102+5)),1,0))</f>
        <v>0</v>
      </c>
      <c r="CE102" cm="1">
        <f t="array" ref="CE102">INDEX(Properties!$D:$D,$B102+5)*(IF(AND(CE$3&gt;=INDEX(Properties!$T:$T,$B102+5),CE$3&lt;INDEX(Properties!$U:$U,$B102+5)),1,0))</f>
        <v>0</v>
      </c>
      <c r="CF102" cm="1">
        <f t="array" ref="CF102">INDEX(Properties!$D:$D,$B102+5)*(IF(AND(CF$3&gt;=INDEX(Properties!$T:$T,$B102+5),CF$3&lt;INDEX(Properties!$U:$U,$B102+5)),1,0))</f>
        <v>0</v>
      </c>
      <c r="CG102" cm="1">
        <f t="array" ref="CG102">INDEX(Properties!$D:$D,$B102+5)*(IF(AND(CG$3&gt;=INDEX(Properties!$T:$T,$B102+5),CG$3&lt;INDEX(Properties!$U:$U,$B102+5)),1,0))</f>
        <v>0</v>
      </c>
      <c r="CH102" cm="1">
        <f t="array" ref="CH102">INDEX(Properties!$D:$D,$B102+5)*(IF(AND(CH$3&gt;=INDEX(Properties!$T:$T,$B102+5),CH$3&lt;INDEX(Properties!$U:$U,$B102+5)),1,0))</f>
        <v>0</v>
      </c>
      <c r="CI102" cm="1">
        <f t="array" ref="CI102">INDEX(Properties!$D:$D,$B102+5)*(IF(AND(CI$3&gt;=INDEX(Properties!$T:$T,$B102+5),CI$3&lt;INDEX(Properties!$U:$U,$B102+5)),1,0))</f>
        <v>0</v>
      </c>
      <c r="CJ102" cm="1">
        <f t="array" ref="CJ102">INDEX(Properties!$D:$D,$B102+5)*(IF(AND(CJ$3&gt;=INDEX(Properties!$T:$T,$B102+5),CJ$3&lt;INDEX(Properties!$U:$U,$B102+5)),1,0))</f>
        <v>0</v>
      </c>
      <c r="CK102" cm="1">
        <f t="array" ref="CK102">INDEX(Properties!$D:$D,$B102+5)*(IF(AND(CK$3&gt;=INDEX(Properties!$T:$T,$B102+5),CK$3&lt;INDEX(Properties!$U:$U,$B102+5)),1,0))</f>
        <v>0</v>
      </c>
      <c r="CL102" cm="1">
        <f t="array" ref="CL102">INDEX(Properties!$D:$D,$B102+5)*(IF(AND(CL$3&gt;=INDEX(Properties!$T:$T,$B102+5),CL$3&lt;INDEX(Properties!$U:$U,$B102+5)),1,0))</f>
        <v>0</v>
      </c>
      <c r="CM102" cm="1">
        <f t="array" ref="CM102">INDEX(Properties!$D:$D,$B102+5)*(IF(AND(CM$3&gt;=INDEX(Properties!$T:$T,$B102+5),CM$3&lt;INDEX(Properties!$U:$U,$B102+5)),1,0))</f>
        <v>0</v>
      </c>
      <c r="CN102" cm="1">
        <f t="array" ref="CN102">INDEX(Properties!$D:$D,$B102+5)*(IF(AND(CN$3&gt;=INDEX(Properties!$T:$T,$B102+5),CN$3&lt;INDEX(Properties!$U:$U,$B102+5)),1,0))</f>
        <v>0</v>
      </c>
      <c r="CO102" cm="1">
        <f t="array" ref="CO102">INDEX(Properties!$D:$D,$B102+5)*(IF(AND(CO$3&gt;=INDEX(Properties!$T:$T,$B102+5),CO$3&lt;INDEX(Properties!$U:$U,$B102+5)),1,0))</f>
        <v>0</v>
      </c>
      <c r="CP102" cm="1">
        <f t="array" ref="CP102">INDEX(Properties!$D:$D,$B102+5)*(IF(AND(CP$3&gt;=INDEX(Properties!$T:$T,$B102+5),CP$3&lt;INDEX(Properties!$U:$U,$B102+5)),1,0))</f>
        <v>0</v>
      </c>
      <c r="CQ102" cm="1">
        <f t="array" ref="CQ102">INDEX(Properties!$D:$D,$B102+5)*(IF(AND(CQ$3&gt;=INDEX(Properties!$T:$T,$B102+5),CQ$3&lt;INDEX(Properties!$U:$U,$B102+5)),1,0))</f>
        <v>0</v>
      </c>
      <c r="CR102" cm="1">
        <f t="array" ref="CR102">INDEX(Properties!$D:$D,$B102+5)*(IF(AND(CR$3&gt;=INDEX(Properties!$T:$T,$B102+5),CR$3&lt;INDEX(Properties!$U:$U,$B102+5)),1,0))</f>
        <v>0</v>
      </c>
      <c r="CS102" cm="1">
        <f t="array" ref="CS102">INDEX(Properties!$D:$D,$B102+5)*(IF(AND(CS$3&gt;=INDEX(Properties!$T:$T,$B102+5),CS$3&lt;INDEX(Properties!$U:$U,$B102+5)),1,0))</f>
        <v>0</v>
      </c>
      <c r="CT102" cm="1">
        <f t="array" ref="CT102">INDEX(Properties!$D:$D,$B102+5)*(IF(AND(CT$3&gt;=INDEX(Properties!$T:$T,$B102+5),CT$3&lt;INDEX(Properties!$U:$U,$B102+5)),1,0))</f>
        <v>0</v>
      </c>
      <c r="CU102" cm="1">
        <f t="array" ref="CU102">INDEX(Properties!$D:$D,$B102+5)*(IF(AND(CU$3&gt;=INDEX(Properties!$T:$T,$B102+5),CU$3&lt;INDEX(Properties!$U:$U,$B102+5)),1,0))</f>
        <v>0</v>
      </c>
      <c r="CV102" cm="1">
        <f t="array" ref="CV102">INDEX(Properties!$D:$D,$B102+5)*(IF(AND(CV$3&gt;=INDEX(Properties!$T:$T,$B102+5),CV$3&lt;INDEX(Properties!$U:$U,$B102+5)),1,0))</f>
        <v>0</v>
      </c>
      <c r="CW102" cm="1">
        <f t="array" ref="CW102">INDEX(Properties!$D:$D,$B102+5)*(IF(AND(CW$3&gt;=INDEX(Properties!$T:$T,$B102+5),CW$3&lt;INDEX(Properties!$U:$U,$B102+5)),1,0))</f>
        <v>0</v>
      </c>
      <c r="CX102" cm="1">
        <f t="array" ref="CX102">INDEX(Properties!$D:$D,$B102+5)*(IF(AND(CX$3&gt;=INDEX(Properties!$T:$T,$B102+5),CX$3&lt;INDEX(Properties!$U:$U,$B102+5)),1,0))</f>
        <v>0</v>
      </c>
      <c r="CY102" cm="1">
        <f t="array" ref="CY102">INDEX(Properties!$D:$D,$B102+5)*(IF(AND(CY$3&gt;=INDEX(Properties!$T:$T,$B102+5),CY$3&lt;INDEX(Properties!$U:$U,$B102+5)),1,0))</f>
        <v>0</v>
      </c>
      <c r="CZ102" cm="1">
        <f t="array" ref="CZ102">INDEX(Properties!$D:$D,$B102+5)*(IF(AND(CZ$3&gt;=INDEX(Properties!$T:$T,$B102+5),CZ$3&lt;INDEX(Properties!$U:$U,$B102+5)),1,0))</f>
        <v>0</v>
      </c>
      <c r="DA102" cm="1">
        <f t="array" ref="DA102">INDEX(Properties!$D:$D,$B102+5)*(IF(AND(DA$3&gt;=INDEX(Properties!$T:$T,$B102+5),DA$3&lt;INDEX(Properties!$U:$U,$B102+5)),1,0))</f>
        <v>0</v>
      </c>
      <c r="DB102" cm="1">
        <f t="array" ref="DB102">INDEX(Properties!$D:$D,$B102+5)*(IF(AND(DB$3&gt;=INDEX(Properties!$T:$T,$B102+5),DB$3&lt;INDEX(Properties!$U:$U,$B102+5)),1,0))</f>
        <v>0</v>
      </c>
      <c r="DC102" cm="1">
        <f t="array" ref="DC102">INDEX(Properties!$D:$D,$B102+5)*(IF(AND(DC$3&gt;=INDEX(Properties!$T:$T,$B102+5),DC$3&lt;INDEX(Properties!$U:$U,$B102+5)),1,0))</f>
        <v>0</v>
      </c>
      <c r="DD102" cm="1">
        <f t="array" ref="DD102">INDEX(Properties!$D:$D,$B102+5)*(IF(AND(DD$3&gt;=INDEX(Properties!$T:$T,$B102+5),DD$3&lt;INDEX(Properties!$U:$U,$B102+5)),1,0))</f>
        <v>0</v>
      </c>
      <c r="DE102" cm="1">
        <f t="array" ref="DE102">INDEX(Properties!$D:$D,$B102+5)*(IF(AND(DE$3&gt;=INDEX(Properties!$T:$T,$B102+5),DE$3&lt;INDEX(Properties!$U:$U,$B102+5)),1,0))</f>
        <v>0</v>
      </c>
      <c r="DF102" cm="1">
        <f t="array" ref="DF102">INDEX(Properties!$D:$D,$B102+5)*(IF(AND(DF$3&gt;=INDEX(Properties!$T:$T,$B102+5),DF$3&lt;INDEX(Properties!$U:$U,$B102+5)),1,0))</f>
        <v>0</v>
      </c>
      <c r="DG102" cm="1">
        <f t="array" ref="DG102">INDEX(Properties!$D:$D,$B102+5)*(IF(AND(DG$3&gt;=INDEX(Properties!$T:$T,$B102+5),DG$3&lt;INDEX(Properties!$U:$U,$B102+5)),1,0))</f>
        <v>0</v>
      </c>
      <c r="DH102" cm="1">
        <f t="array" ref="DH102">INDEX(Properties!$D:$D,$B102+5)*(IF(AND(DH$3&gt;=INDEX(Properties!$T:$T,$B102+5),DH$3&lt;INDEX(Properties!$U:$U,$B102+5)),1,0))</f>
        <v>0</v>
      </c>
      <c r="DI102" cm="1">
        <f t="array" ref="DI102">INDEX(Properties!$D:$D,$B102+5)*(IF(AND(DI$3&gt;=INDEX(Properties!$T:$T,$B102+5),DI$3&lt;INDEX(Properties!$U:$U,$B102+5)),1,0))</f>
        <v>0</v>
      </c>
      <c r="DJ102" cm="1">
        <f t="array" ref="DJ102">INDEX(Properties!$D:$D,$B102+5)*(IF(AND(DJ$3&gt;=INDEX(Properties!$T:$T,$B102+5),DJ$3&lt;INDEX(Properties!$U:$U,$B102+5)),1,0))</f>
        <v>0</v>
      </c>
      <c r="DK102" cm="1">
        <f t="array" ref="DK102">INDEX(Properties!$D:$D,$B102+5)*(IF(AND(DK$3&gt;=INDEX(Properties!$T:$T,$B102+5),DK$3&lt;INDEX(Properties!$U:$U,$B102+5)),1,0))</f>
        <v>0</v>
      </c>
      <c r="DL102" cm="1">
        <f t="array" ref="DL102">INDEX(Properties!$D:$D,$B102+5)*(IF(AND(DL$3&gt;=INDEX(Properties!$T:$T,$B102+5),DL$3&lt;INDEX(Properties!$U:$U,$B102+5)),1,0))</f>
        <v>0</v>
      </c>
      <c r="DM102" cm="1">
        <f t="array" ref="DM102">INDEX(Properties!$D:$D,$B102+5)*(IF(AND(DM$3&gt;=INDEX(Properties!$T:$T,$B102+5),DM$3&lt;INDEX(Properties!$U:$U,$B102+5)),1,0))</f>
        <v>0</v>
      </c>
      <c r="DN102" cm="1">
        <f t="array" ref="DN102">INDEX(Properties!$D:$D,$B102+5)*(IF(AND(DN$3&gt;=INDEX(Properties!$T:$T,$B102+5),DN$3&lt;INDEX(Properties!$U:$U,$B102+5)),1,0))</f>
        <v>0</v>
      </c>
      <c r="DO102" cm="1">
        <f t="array" ref="DO102">INDEX(Properties!$D:$D,$B102+5)*(IF(AND(DO$3&gt;=INDEX(Properties!$T:$T,$B102+5),DO$3&lt;INDEX(Properties!$U:$U,$B102+5)),1,0))</f>
        <v>0</v>
      </c>
      <c r="DP102" cm="1">
        <f t="array" ref="DP102">INDEX(Properties!$D:$D,$B102+5)*(IF(AND(DP$3&gt;=INDEX(Properties!$T:$T,$B102+5),DP$3&lt;INDEX(Properties!$U:$U,$B102+5)),1,0))</f>
        <v>0</v>
      </c>
      <c r="DQ102" cm="1">
        <f t="array" ref="DQ102">INDEX(Properties!$D:$D,$B102+5)*(IF(AND(DQ$3&gt;=INDEX(Properties!$T:$T,$B102+5),DQ$3&lt;INDEX(Properties!$U:$U,$B102+5)),1,0))</f>
        <v>0</v>
      </c>
      <c r="DR102" cm="1">
        <f t="array" ref="DR102">INDEX(Properties!$D:$D,$B102+5)*(IF(AND(DR$3&gt;=INDEX(Properties!$T:$T,$B102+5),DR$3&lt;INDEX(Properties!$U:$U,$B102+5)),1,0))</f>
        <v>0</v>
      </c>
    </row>
    <row r="103" spans="1:122" ht="14.55" customHeight="1" x14ac:dyDescent="0.3">
      <c r="A103" cm="1">
        <f t="array" ref="A103">INDEX(Properties!$E:$E,$B103+5)</f>
        <v>0</v>
      </c>
      <c r="B103" s="1">
        <v>6</v>
      </c>
      <c r="C103" cm="1">
        <f t="array" ref="C103">INDEX(Properties!$D:$D,$B103+5)*(IF(AND(C$3&gt;=INDEX(Properties!$T:$T,$B103+5),C$3&lt;INDEX(Properties!$U:$U,$B103+5)),1,0))</f>
        <v>0</v>
      </c>
      <c r="D103" cm="1">
        <f t="array" ref="D103">INDEX(Properties!$D:$D,$B103+5)*(IF(AND(D$3&gt;=INDEX(Properties!$T:$T,$B103+5),D$3&lt;INDEX(Properties!$U:$U,$B103+5)),1,0))</f>
        <v>0</v>
      </c>
      <c r="E103" cm="1">
        <f t="array" ref="E103">INDEX(Properties!$D:$D,$B103+5)*(IF(AND(E$3&gt;=INDEX(Properties!$T:$T,$B103+5),E$3&lt;INDEX(Properties!$U:$U,$B103+5)),1,0))</f>
        <v>0</v>
      </c>
      <c r="F103" cm="1">
        <f t="array" ref="F103">INDEX(Properties!$D:$D,$B103+5)*(IF(AND(F$3&gt;=INDEX(Properties!$T:$T,$B103+5),F$3&lt;INDEX(Properties!$U:$U,$B103+5)),1,0))</f>
        <v>0</v>
      </c>
      <c r="G103" cm="1">
        <f t="array" ref="G103">INDEX(Properties!$D:$D,$B103+5)*(IF(AND(G$3&gt;=INDEX(Properties!$T:$T,$B103+5),G$3&lt;INDEX(Properties!$U:$U,$B103+5)),1,0))</f>
        <v>0</v>
      </c>
      <c r="H103" cm="1">
        <f t="array" ref="H103">INDEX(Properties!$D:$D,$B103+5)*(IF(AND(H$3&gt;=INDEX(Properties!$T:$T,$B103+5),H$3&lt;INDEX(Properties!$U:$U,$B103+5)),1,0))</f>
        <v>0</v>
      </c>
      <c r="I103" cm="1">
        <f t="array" ref="I103">INDEX(Properties!$D:$D,$B103+5)*(IF(AND(I$3&gt;=INDEX(Properties!$T:$T,$B103+5),I$3&lt;INDEX(Properties!$U:$U,$B103+5)),1,0))</f>
        <v>0</v>
      </c>
      <c r="J103" cm="1">
        <f t="array" ref="J103">INDEX(Properties!$D:$D,$B103+5)*(IF(AND(J$3&gt;=INDEX(Properties!$T:$T,$B103+5),J$3&lt;INDEX(Properties!$U:$U,$B103+5)),1,0))</f>
        <v>0</v>
      </c>
      <c r="K103" cm="1">
        <f t="array" ref="K103">INDEX(Properties!$D:$D,$B103+5)*(IF(AND(K$3&gt;=INDEX(Properties!$T:$T,$B103+5),K$3&lt;INDEX(Properties!$U:$U,$B103+5)),1,0))</f>
        <v>0</v>
      </c>
      <c r="L103" cm="1">
        <f t="array" ref="L103">INDEX(Properties!$D:$D,$B103+5)*(IF(AND(L$3&gt;=INDEX(Properties!$T:$T,$B103+5),L$3&lt;INDEX(Properties!$U:$U,$B103+5)),1,0))</f>
        <v>0</v>
      </c>
      <c r="M103" cm="1">
        <f t="array" ref="M103">INDEX(Properties!$D:$D,$B103+5)*(IF(AND(M$3&gt;=INDEX(Properties!$T:$T,$B103+5),M$3&lt;INDEX(Properties!$U:$U,$B103+5)),1,0))</f>
        <v>0</v>
      </c>
      <c r="N103" cm="1">
        <f t="array" ref="N103">INDEX(Properties!$D:$D,$B103+5)*(IF(AND(N$3&gt;=INDEX(Properties!$T:$T,$B103+5),N$3&lt;INDEX(Properties!$U:$U,$B103+5)),1,0))</f>
        <v>0</v>
      </c>
      <c r="O103" cm="1">
        <f t="array" ref="O103">INDEX(Properties!$D:$D,$B103+5)*(IF(AND(O$3&gt;=INDEX(Properties!$T:$T,$B103+5),O$3&lt;INDEX(Properties!$U:$U,$B103+5)),1,0))</f>
        <v>0</v>
      </c>
      <c r="P103" cm="1">
        <f t="array" ref="P103">INDEX(Properties!$D:$D,$B103+5)*(IF(AND(P$3&gt;=INDEX(Properties!$T:$T,$B103+5),P$3&lt;INDEX(Properties!$U:$U,$B103+5)),1,0))</f>
        <v>0</v>
      </c>
      <c r="Q103" cm="1">
        <f t="array" ref="Q103">INDEX(Properties!$D:$D,$B103+5)*(IF(AND(Q$3&gt;=INDEX(Properties!$T:$T,$B103+5),Q$3&lt;INDEX(Properties!$U:$U,$B103+5)),1,0))</f>
        <v>0</v>
      </c>
      <c r="R103" cm="1">
        <f t="array" ref="R103">INDEX(Properties!$D:$D,$B103+5)*(IF(AND(R$3&gt;=INDEX(Properties!$T:$T,$B103+5),R$3&lt;INDEX(Properties!$U:$U,$B103+5)),1,0))</f>
        <v>0</v>
      </c>
      <c r="S103" cm="1">
        <f t="array" ref="S103">INDEX(Properties!$D:$D,$B103+5)*(IF(AND(S$3&gt;=INDEX(Properties!$T:$T,$B103+5),S$3&lt;INDEX(Properties!$U:$U,$B103+5)),1,0))</f>
        <v>0</v>
      </c>
      <c r="T103" cm="1">
        <f t="array" ref="T103">INDEX(Properties!$D:$D,$B103+5)*(IF(AND(T$3&gt;=INDEX(Properties!$T:$T,$B103+5),T$3&lt;INDEX(Properties!$U:$U,$B103+5)),1,0))</f>
        <v>0</v>
      </c>
      <c r="U103" cm="1">
        <f t="array" ref="U103">INDEX(Properties!$D:$D,$B103+5)*(IF(AND(U$3&gt;=INDEX(Properties!$T:$T,$B103+5),U$3&lt;INDEX(Properties!$U:$U,$B103+5)),1,0))</f>
        <v>0</v>
      </c>
      <c r="V103" cm="1">
        <f t="array" ref="V103">INDEX(Properties!$D:$D,$B103+5)*(IF(AND(V$3&gt;=INDEX(Properties!$T:$T,$B103+5),V$3&lt;INDEX(Properties!$U:$U,$B103+5)),1,0))</f>
        <v>0</v>
      </c>
      <c r="W103" cm="1">
        <f t="array" ref="W103">INDEX(Properties!$D:$D,$B103+5)*(IF(AND(W$3&gt;=INDEX(Properties!$T:$T,$B103+5),W$3&lt;INDEX(Properties!$U:$U,$B103+5)),1,0))</f>
        <v>0</v>
      </c>
      <c r="X103" cm="1">
        <f t="array" ref="X103">INDEX(Properties!$D:$D,$B103+5)*(IF(AND(X$3&gt;=INDEX(Properties!$T:$T,$B103+5),X$3&lt;INDEX(Properties!$U:$U,$B103+5)),1,0))</f>
        <v>0</v>
      </c>
      <c r="Y103" cm="1">
        <f t="array" ref="Y103">INDEX(Properties!$D:$D,$B103+5)*(IF(AND(Y$3&gt;=INDEX(Properties!$T:$T,$B103+5),Y$3&lt;INDEX(Properties!$U:$U,$B103+5)),1,0))</f>
        <v>0</v>
      </c>
      <c r="Z103" cm="1">
        <f t="array" ref="Z103">INDEX(Properties!$D:$D,$B103+5)*(IF(AND(Z$3&gt;=INDEX(Properties!$T:$T,$B103+5),Z$3&lt;INDEX(Properties!$U:$U,$B103+5)),1,0))</f>
        <v>0</v>
      </c>
      <c r="AA103" cm="1">
        <f t="array" ref="AA103">INDEX(Properties!$D:$D,$B103+5)*(IF(AND(AA$3&gt;=INDEX(Properties!$T:$T,$B103+5),AA$3&lt;INDEX(Properties!$U:$U,$B103+5)),1,0))</f>
        <v>0</v>
      </c>
      <c r="AB103" cm="1">
        <f t="array" ref="AB103">INDEX(Properties!$D:$D,$B103+5)*(IF(AND(AB$3&gt;=INDEX(Properties!$T:$T,$B103+5),AB$3&lt;INDEX(Properties!$U:$U,$B103+5)),1,0))</f>
        <v>0</v>
      </c>
      <c r="AC103" cm="1">
        <f t="array" ref="AC103">INDEX(Properties!$D:$D,$B103+5)*(IF(AND(AC$3&gt;=INDEX(Properties!$T:$T,$B103+5),AC$3&lt;INDEX(Properties!$U:$U,$B103+5)),1,0))</f>
        <v>0</v>
      </c>
      <c r="AD103" cm="1">
        <f t="array" ref="AD103">INDEX(Properties!$D:$D,$B103+5)*(IF(AND(AD$3&gt;=INDEX(Properties!$T:$T,$B103+5),AD$3&lt;INDEX(Properties!$U:$U,$B103+5)),1,0))</f>
        <v>0</v>
      </c>
      <c r="AE103" cm="1">
        <f t="array" ref="AE103">INDEX(Properties!$D:$D,$B103+5)*(IF(AND(AE$3&gt;=INDEX(Properties!$T:$T,$B103+5),AE$3&lt;INDEX(Properties!$U:$U,$B103+5)),1,0))</f>
        <v>0</v>
      </c>
      <c r="AF103" cm="1">
        <f t="array" ref="AF103">INDEX(Properties!$D:$D,$B103+5)*(IF(AND(AF$3&gt;=INDEX(Properties!$T:$T,$B103+5),AF$3&lt;INDEX(Properties!$U:$U,$B103+5)),1,0))</f>
        <v>0</v>
      </c>
      <c r="AG103" cm="1">
        <f t="array" ref="AG103">INDEX(Properties!$D:$D,$B103+5)*(IF(AND(AG$3&gt;=INDEX(Properties!$T:$T,$B103+5),AG$3&lt;INDEX(Properties!$U:$U,$B103+5)),1,0))</f>
        <v>0</v>
      </c>
      <c r="AH103" cm="1">
        <f t="array" ref="AH103">INDEX(Properties!$D:$D,$B103+5)*(IF(AND(AH$3&gt;=INDEX(Properties!$T:$T,$B103+5),AH$3&lt;INDEX(Properties!$U:$U,$B103+5)),1,0))</f>
        <v>0</v>
      </c>
      <c r="AI103" cm="1">
        <f t="array" ref="AI103">INDEX(Properties!$D:$D,$B103+5)*(IF(AND(AI$3&gt;=INDEX(Properties!$T:$T,$B103+5),AI$3&lt;INDEX(Properties!$U:$U,$B103+5)),1,0))</f>
        <v>0</v>
      </c>
      <c r="AJ103" cm="1">
        <f t="array" ref="AJ103">INDEX(Properties!$D:$D,$B103+5)*(IF(AND(AJ$3&gt;=INDEX(Properties!$T:$T,$B103+5),AJ$3&lt;INDEX(Properties!$U:$U,$B103+5)),1,0))</f>
        <v>0</v>
      </c>
      <c r="AK103" cm="1">
        <f t="array" ref="AK103">INDEX(Properties!$D:$D,$B103+5)*(IF(AND(AK$3&gt;=INDEX(Properties!$T:$T,$B103+5),AK$3&lt;INDEX(Properties!$U:$U,$B103+5)),1,0))</f>
        <v>0</v>
      </c>
      <c r="AL103" cm="1">
        <f t="array" ref="AL103">INDEX(Properties!$D:$D,$B103+5)*(IF(AND(AL$3&gt;=INDEX(Properties!$T:$T,$B103+5),AL$3&lt;INDEX(Properties!$U:$U,$B103+5)),1,0))</f>
        <v>0</v>
      </c>
      <c r="AM103" cm="1">
        <f t="array" ref="AM103">INDEX(Properties!$D:$D,$B103+5)*(IF(AND(AM$3&gt;=INDEX(Properties!$T:$T,$B103+5),AM$3&lt;INDEX(Properties!$U:$U,$B103+5)),1,0))</f>
        <v>0</v>
      </c>
      <c r="AN103" cm="1">
        <f t="array" ref="AN103">INDEX(Properties!$D:$D,$B103+5)*(IF(AND(AN$3&gt;=INDEX(Properties!$T:$T,$B103+5),AN$3&lt;INDEX(Properties!$U:$U,$B103+5)),1,0))</f>
        <v>0</v>
      </c>
      <c r="AO103" cm="1">
        <f t="array" ref="AO103">INDEX(Properties!$D:$D,$B103+5)*(IF(AND(AO$3&gt;=INDEX(Properties!$T:$T,$B103+5),AO$3&lt;INDEX(Properties!$U:$U,$B103+5)),1,0))</f>
        <v>0</v>
      </c>
      <c r="AP103" cm="1">
        <f t="array" ref="AP103">INDEX(Properties!$D:$D,$B103+5)*(IF(AND(AP$3&gt;=INDEX(Properties!$T:$T,$B103+5),AP$3&lt;INDEX(Properties!$U:$U,$B103+5)),1,0))</f>
        <v>0</v>
      </c>
      <c r="AQ103" cm="1">
        <f t="array" ref="AQ103">INDEX(Properties!$D:$D,$B103+5)*(IF(AND(AQ$3&gt;=INDEX(Properties!$T:$T,$B103+5),AQ$3&lt;INDEX(Properties!$U:$U,$B103+5)),1,0))</f>
        <v>0</v>
      </c>
      <c r="AR103" cm="1">
        <f t="array" ref="AR103">INDEX(Properties!$D:$D,$B103+5)*(IF(AND(AR$3&gt;=INDEX(Properties!$T:$T,$B103+5),AR$3&lt;INDEX(Properties!$U:$U,$B103+5)),1,0))</f>
        <v>0</v>
      </c>
      <c r="AS103" cm="1">
        <f t="array" ref="AS103">INDEX(Properties!$D:$D,$B103+5)*(IF(AND(AS$3&gt;=INDEX(Properties!$T:$T,$B103+5),AS$3&lt;INDEX(Properties!$U:$U,$B103+5)),1,0))</f>
        <v>0</v>
      </c>
      <c r="AT103" cm="1">
        <f t="array" ref="AT103">INDEX(Properties!$D:$D,$B103+5)*(IF(AND(AT$3&gt;=INDEX(Properties!$T:$T,$B103+5),AT$3&lt;INDEX(Properties!$U:$U,$B103+5)),1,0))</f>
        <v>0</v>
      </c>
      <c r="AU103" cm="1">
        <f t="array" ref="AU103">INDEX(Properties!$D:$D,$B103+5)*(IF(AND(AU$3&gt;=INDEX(Properties!$T:$T,$B103+5),AU$3&lt;INDEX(Properties!$U:$U,$B103+5)),1,0))</f>
        <v>0</v>
      </c>
      <c r="AV103" cm="1">
        <f t="array" ref="AV103">INDEX(Properties!$D:$D,$B103+5)*(IF(AND(AV$3&gt;=INDEX(Properties!$T:$T,$B103+5),AV$3&lt;INDEX(Properties!$U:$U,$B103+5)),1,0))</f>
        <v>0</v>
      </c>
      <c r="AW103" cm="1">
        <f t="array" ref="AW103">INDEX(Properties!$D:$D,$B103+5)*(IF(AND(AW$3&gt;=INDEX(Properties!$T:$T,$B103+5),AW$3&lt;INDEX(Properties!$U:$U,$B103+5)),1,0))</f>
        <v>0</v>
      </c>
      <c r="AX103" cm="1">
        <f t="array" ref="AX103">INDEX(Properties!$D:$D,$B103+5)*(IF(AND(AX$3&gt;=INDEX(Properties!$T:$T,$B103+5),AX$3&lt;INDEX(Properties!$U:$U,$B103+5)),1,0))</f>
        <v>0</v>
      </c>
      <c r="AY103" cm="1">
        <f t="array" ref="AY103">INDEX(Properties!$D:$D,$B103+5)*(IF(AND(AY$3&gt;=INDEX(Properties!$T:$T,$B103+5),AY$3&lt;INDEX(Properties!$U:$U,$B103+5)),1,0))</f>
        <v>0</v>
      </c>
      <c r="AZ103" cm="1">
        <f t="array" ref="AZ103">INDEX(Properties!$D:$D,$B103+5)*(IF(AND(AZ$3&gt;=INDEX(Properties!$T:$T,$B103+5),AZ$3&lt;INDEX(Properties!$U:$U,$B103+5)),1,0))</f>
        <v>0</v>
      </c>
      <c r="BA103" cm="1">
        <f t="array" ref="BA103">INDEX(Properties!$D:$D,$B103+5)*(IF(AND(BA$3&gt;=INDEX(Properties!$T:$T,$B103+5),BA$3&lt;INDEX(Properties!$U:$U,$B103+5)),1,0))</f>
        <v>0</v>
      </c>
      <c r="BB103" cm="1">
        <f t="array" ref="BB103">INDEX(Properties!$D:$D,$B103+5)*(IF(AND(BB$3&gt;=INDEX(Properties!$T:$T,$B103+5),BB$3&lt;INDEX(Properties!$U:$U,$B103+5)),1,0))</f>
        <v>0</v>
      </c>
      <c r="BC103" cm="1">
        <f t="array" ref="BC103">INDEX(Properties!$D:$D,$B103+5)*(IF(AND(BC$3&gt;=INDEX(Properties!$T:$T,$B103+5),BC$3&lt;INDEX(Properties!$U:$U,$B103+5)),1,0))</f>
        <v>0</v>
      </c>
      <c r="BD103" cm="1">
        <f t="array" ref="BD103">INDEX(Properties!$D:$D,$B103+5)*(IF(AND(BD$3&gt;=INDEX(Properties!$T:$T,$B103+5),BD$3&lt;INDEX(Properties!$U:$U,$B103+5)),1,0))</f>
        <v>0</v>
      </c>
      <c r="BE103" cm="1">
        <f t="array" ref="BE103">INDEX(Properties!$D:$D,$B103+5)*(IF(AND(BE$3&gt;=INDEX(Properties!$T:$T,$B103+5),BE$3&lt;INDEX(Properties!$U:$U,$B103+5)),1,0))</f>
        <v>0</v>
      </c>
      <c r="BF103" cm="1">
        <f t="array" ref="BF103">INDEX(Properties!$D:$D,$B103+5)*(IF(AND(BF$3&gt;=INDEX(Properties!$T:$T,$B103+5),BF$3&lt;INDEX(Properties!$U:$U,$B103+5)),1,0))</f>
        <v>0</v>
      </c>
      <c r="BG103" cm="1">
        <f t="array" ref="BG103">INDEX(Properties!$D:$D,$B103+5)*(IF(AND(BG$3&gt;=INDEX(Properties!$T:$T,$B103+5),BG$3&lt;INDEX(Properties!$U:$U,$B103+5)),1,0))</f>
        <v>0</v>
      </c>
      <c r="BH103" cm="1">
        <f t="array" ref="BH103">INDEX(Properties!$D:$D,$B103+5)*(IF(AND(BH$3&gt;=INDEX(Properties!$T:$T,$B103+5),BH$3&lt;INDEX(Properties!$U:$U,$B103+5)),1,0))</f>
        <v>0</v>
      </c>
      <c r="BI103" cm="1">
        <f t="array" ref="BI103">INDEX(Properties!$D:$D,$B103+5)*(IF(AND(BI$3&gt;=INDEX(Properties!$T:$T,$B103+5),BI$3&lt;INDEX(Properties!$U:$U,$B103+5)),1,0))</f>
        <v>0</v>
      </c>
      <c r="BJ103" cm="1">
        <f t="array" ref="BJ103">INDEX(Properties!$D:$D,$B103+5)*(IF(AND(BJ$3&gt;=INDEX(Properties!$T:$T,$B103+5),BJ$3&lt;INDEX(Properties!$U:$U,$B103+5)),1,0))</f>
        <v>0</v>
      </c>
      <c r="BK103" cm="1">
        <f t="array" ref="BK103">INDEX(Properties!$D:$D,$B103+5)*(IF(AND(BK$3&gt;=INDEX(Properties!$T:$T,$B103+5),BK$3&lt;INDEX(Properties!$U:$U,$B103+5)),1,0))</f>
        <v>0</v>
      </c>
      <c r="BL103" cm="1">
        <f t="array" ref="BL103">INDEX(Properties!$D:$D,$B103+5)*(IF(AND(BL$3&gt;=INDEX(Properties!$T:$T,$B103+5),BL$3&lt;INDEX(Properties!$U:$U,$B103+5)),1,0))</f>
        <v>0</v>
      </c>
      <c r="BM103" cm="1">
        <f t="array" ref="BM103">INDEX(Properties!$D:$D,$B103+5)*(IF(AND(BM$3&gt;=INDEX(Properties!$T:$T,$B103+5),BM$3&lt;INDEX(Properties!$U:$U,$B103+5)),1,0))</f>
        <v>0</v>
      </c>
      <c r="BN103" cm="1">
        <f t="array" ref="BN103">INDEX(Properties!$D:$D,$B103+5)*(IF(AND(BN$3&gt;=INDEX(Properties!$T:$T,$B103+5),BN$3&lt;INDEX(Properties!$U:$U,$B103+5)),1,0))</f>
        <v>0</v>
      </c>
      <c r="BO103" cm="1">
        <f t="array" ref="BO103">INDEX(Properties!$D:$D,$B103+5)*(IF(AND(BO$3&gt;=INDEX(Properties!$T:$T,$B103+5),BO$3&lt;INDEX(Properties!$U:$U,$B103+5)),1,0))</f>
        <v>0</v>
      </c>
      <c r="BP103" cm="1">
        <f t="array" ref="BP103">INDEX(Properties!$D:$D,$B103+5)*(IF(AND(BP$3&gt;=INDEX(Properties!$T:$T,$B103+5),BP$3&lt;INDEX(Properties!$U:$U,$B103+5)),1,0))</f>
        <v>0</v>
      </c>
      <c r="BQ103" cm="1">
        <f t="array" ref="BQ103">INDEX(Properties!$D:$D,$B103+5)*(IF(AND(BQ$3&gt;=INDEX(Properties!$T:$T,$B103+5),BQ$3&lt;INDEX(Properties!$U:$U,$B103+5)),1,0))</f>
        <v>0</v>
      </c>
      <c r="BR103" cm="1">
        <f t="array" ref="BR103">INDEX(Properties!$D:$D,$B103+5)*(IF(AND(BR$3&gt;=INDEX(Properties!$T:$T,$B103+5),BR$3&lt;INDEX(Properties!$U:$U,$B103+5)),1,0))</f>
        <v>0</v>
      </c>
      <c r="BS103" cm="1">
        <f t="array" ref="BS103">INDEX(Properties!$D:$D,$B103+5)*(IF(AND(BS$3&gt;=INDEX(Properties!$T:$T,$B103+5),BS$3&lt;INDEX(Properties!$U:$U,$B103+5)),1,0))</f>
        <v>0</v>
      </c>
      <c r="BT103" cm="1">
        <f t="array" ref="BT103">INDEX(Properties!$D:$D,$B103+5)*(IF(AND(BT$3&gt;=INDEX(Properties!$T:$T,$B103+5),BT$3&lt;INDEX(Properties!$U:$U,$B103+5)),1,0))</f>
        <v>0</v>
      </c>
      <c r="BU103" cm="1">
        <f t="array" ref="BU103">INDEX(Properties!$D:$D,$B103+5)*(IF(AND(BU$3&gt;=INDEX(Properties!$T:$T,$B103+5),BU$3&lt;INDEX(Properties!$U:$U,$B103+5)),1,0))</f>
        <v>0</v>
      </c>
      <c r="BV103" cm="1">
        <f t="array" ref="BV103">INDEX(Properties!$D:$D,$B103+5)*(IF(AND(BV$3&gt;=INDEX(Properties!$T:$T,$B103+5),BV$3&lt;INDEX(Properties!$U:$U,$B103+5)),1,0))</f>
        <v>0</v>
      </c>
      <c r="BW103" cm="1">
        <f t="array" ref="BW103">INDEX(Properties!$D:$D,$B103+5)*(IF(AND(BW$3&gt;=INDEX(Properties!$T:$T,$B103+5),BW$3&lt;INDEX(Properties!$U:$U,$B103+5)),1,0))</f>
        <v>0</v>
      </c>
      <c r="BX103" cm="1">
        <f t="array" ref="BX103">INDEX(Properties!$D:$D,$B103+5)*(IF(AND(BX$3&gt;=INDEX(Properties!$T:$T,$B103+5),BX$3&lt;INDEX(Properties!$U:$U,$B103+5)),1,0))</f>
        <v>0</v>
      </c>
      <c r="BY103" cm="1">
        <f t="array" ref="BY103">INDEX(Properties!$D:$D,$B103+5)*(IF(AND(BY$3&gt;=INDEX(Properties!$T:$T,$B103+5),BY$3&lt;INDEX(Properties!$U:$U,$B103+5)),1,0))</f>
        <v>0</v>
      </c>
      <c r="BZ103" cm="1">
        <f t="array" ref="BZ103">INDEX(Properties!$D:$D,$B103+5)*(IF(AND(BZ$3&gt;=INDEX(Properties!$T:$T,$B103+5),BZ$3&lt;INDEX(Properties!$U:$U,$B103+5)),1,0))</f>
        <v>0</v>
      </c>
      <c r="CA103" cm="1">
        <f t="array" ref="CA103">INDEX(Properties!$D:$D,$B103+5)*(IF(AND(CA$3&gt;=INDEX(Properties!$T:$T,$B103+5),CA$3&lt;INDEX(Properties!$U:$U,$B103+5)),1,0))</f>
        <v>0</v>
      </c>
      <c r="CB103" cm="1">
        <f t="array" ref="CB103">INDEX(Properties!$D:$D,$B103+5)*(IF(AND(CB$3&gt;=INDEX(Properties!$T:$T,$B103+5),CB$3&lt;INDEX(Properties!$U:$U,$B103+5)),1,0))</f>
        <v>0</v>
      </c>
      <c r="CC103" cm="1">
        <f t="array" ref="CC103">INDEX(Properties!$D:$D,$B103+5)*(IF(AND(CC$3&gt;=INDEX(Properties!$T:$T,$B103+5),CC$3&lt;INDEX(Properties!$U:$U,$B103+5)),1,0))</f>
        <v>0</v>
      </c>
      <c r="CD103" cm="1">
        <f t="array" ref="CD103">INDEX(Properties!$D:$D,$B103+5)*(IF(AND(CD$3&gt;=INDEX(Properties!$T:$T,$B103+5),CD$3&lt;INDEX(Properties!$U:$U,$B103+5)),1,0))</f>
        <v>0</v>
      </c>
      <c r="CE103" cm="1">
        <f t="array" ref="CE103">INDEX(Properties!$D:$D,$B103+5)*(IF(AND(CE$3&gt;=INDEX(Properties!$T:$T,$B103+5),CE$3&lt;INDEX(Properties!$U:$U,$B103+5)),1,0))</f>
        <v>0</v>
      </c>
      <c r="CF103" cm="1">
        <f t="array" ref="CF103">INDEX(Properties!$D:$D,$B103+5)*(IF(AND(CF$3&gt;=INDEX(Properties!$T:$T,$B103+5),CF$3&lt;INDEX(Properties!$U:$U,$B103+5)),1,0))</f>
        <v>0</v>
      </c>
      <c r="CG103" cm="1">
        <f t="array" ref="CG103">INDEX(Properties!$D:$D,$B103+5)*(IF(AND(CG$3&gt;=INDEX(Properties!$T:$T,$B103+5),CG$3&lt;INDEX(Properties!$U:$U,$B103+5)),1,0))</f>
        <v>0</v>
      </c>
      <c r="CH103" cm="1">
        <f t="array" ref="CH103">INDEX(Properties!$D:$D,$B103+5)*(IF(AND(CH$3&gt;=INDEX(Properties!$T:$T,$B103+5),CH$3&lt;INDEX(Properties!$U:$U,$B103+5)),1,0))</f>
        <v>0</v>
      </c>
      <c r="CI103" cm="1">
        <f t="array" ref="CI103">INDEX(Properties!$D:$D,$B103+5)*(IF(AND(CI$3&gt;=INDEX(Properties!$T:$T,$B103+5),CI$3&lt;INDEX(Properties!$U:$U,$B103+5)),1,0))</f>
        <v>0</v>
      </c>
      <c r="CJ103" cm="1">
        <f t="array" ref="CJ103">INDEX(Properties!$D:$D,$B103+5)*(IF(AND(CJ$3&gt;=INDEX(Properties!$T:$T,$B103+5),CJ$3&lt;INDEX(Properties!$U:$U,$B103+5)),1,0))</f>
        <v>0</v>
      </c>
      <c r="CK103" cm="1">
        <f t="array" ref="CK103">INDEX(Properties!$D:$D,$B103+5)*(IF(AND(CK$3&gt;=INDEX(Properties!$T:$T,$B103+5),CK$3&lt;INDEX(Properties!$U:$U,$B103+5)),1,0))</f>
        <v>0</v>
      </c>
      <c r="CL103" cm="1">
        <f t="array" ref="CL103">INDEX(Properties!$D:$D,$B103+5)*(IF(AND(CL$3&gt;=INDEX(Properties!$T:$T,$B103+5),CL$3&lt;INDEX(Properties!$U:$U,$B103+5)),1,0))</f>
        <v>0</v>
      </c>
      <c r="CM103" cm="1">
        <f t="array" ref="CM103">INDEX(Properties!$D:$D,$B103+5)*(IF(AND(CM$3&gt;=INDEX(Properties!$T:$T,$B103+5),CM$3&lt;INDEX(Properties!$U:$U,$B103+5)),1,0))</f>
        <v>0</v>
      </c>
      <c r="CN103" cm="1">
        <f t="array" ref="CN103">INDEX(Properties!$D:$D,$B103+5)*(IF(AND(CN$3&gt;=INDEX(Properties!$T:$T,$B103+5),CN$3&lt;INDEX(Properties!$U:$U,$B103+5)),1,0))</f>
        <v>0</v>
      </c>
      <c r="CO103" cm="1">
        <f t="array" ref="CO103">INDEX(Properties!$D:$D,$B103+5)*(IF(AND(CO$3&gt;=INDEX(Properties!$T:$T,$B103+5),CO$3&lt;INDEX(Properties!$U:$U,$B103+5)),1,0))</f>
        <v>0</v>
      </c>
      <c r="CP103" cm="1">
        <f t="array" ref="CP103">INDEX(Properties!$D:$D,$B103+5)*(IF(AND(CP$3&gt;=INDEX(Properties!$T:$T,$B103+5),CP$3&lt;INDEX(Properties!$U:$U,$B103+5)),1,0))</f>
        <v>0</v>
      </c>
      <c r="CQ103" cm="1">
        <f t="array" ref="CQ103">INDEX(Properties!$D:$D,$B103+5)*(IF(AND(CQ$3&gt;=INDEX(Properties!$T:$T,$B103+5),CQ$3&lt;INDEX(Properties!$U:$U,$B103+5)),1,0))</f>
        <v>0</v>
      </c>
      <c r="CR103" cm="1">
        <f t="array" ref="CR103">INDEX(Properties!$D:$D,$B103+5)*(IF(AND(CR$3&gt;=INDEX(Properties!$T:$T,$B103+5),CR$3&lt;INDEX(Properties!$U:$U,$B103+5)),1,0))</f>
        <v>0</v>
      </c>
      <c r="CS103" cm="1">
        <f t="array" ref="CS103">INDEX(Properties!$D:$D,$B103+5)*(IF(AND(CS$3&gt;=INDEX(Properties!$T:$T,$B103+5),CS$3&lt;INDEX(Properties!$U:$U,$B103+5)),1,0))</f>
        <v>0</v>
      </c>
      <c r="CT103" cm="1">
        <f t="array" ref="CT103">INDEX(Properties!$D:$D,$B103+5)*(IF(AND(CT$3&gt;=INDEX(Properties!$T:$T,$B103+5),CT$3&lt;INDEX(Properties!$U:$U,$B103+5)),1,0))</f>
        <v>0</v>
      </c>
      <c r="CU103" cm="1">
        <f t="array" ref="CU103">INDEX(Properties!$D:$D,$B103+5)*(IF(AND(CU$3&gt;=INDEX(Properties!$T:$T,$B103+5),CU$3&lt;INDEX(Properties!$U:$U,$B103+5)),1,0))</f>
        <v>0</v>
      </c>
      <c r="CV103" cm="1">
        <f t="array" ref="CV103">INDEX(Properties!$D:$D,$B103+5)*(IF(AND(CV$3&gt;=INDEX(Properties!$T:$T,$B103+5),CV$3&lt;INDEX(Properties!$U:$U,$B103+5)),1,0))</f>
        <v>0</v>
      </c>
      <c r="CW103" cm="1">
        <f t="array" ref="CW103">INDEX(Properties!$D:$D,$B103+5)*(IF(AND(CW$3&gt;=INDEX(Properties!$T:$T,$B103+5),CW$3&lt;INDEX(Properties!$U:$U,$B103+5)),1,0))</f>
        <v>0</v>
      </c>
      <c r="CX103" cm="1">
        <f t="array" ref="CX103">INDEX(Properties!$D:$D,$B103+5)*(IF(AND(CX$3&gt;=INDEX(Properties!$T:$T,$B103+5),CX$3&lt;INDEX(Properties!$U:$U,$B103+5)),1,0))</f>
        <v>0</v>
      </c>
      <c r="CY103" cm="1">
        <f t="array" ref="CY103">INDEX(Properties!$D:$D,$B103+5)*(IF(AND(CY$3&gt;=INDEX(Properties!$T:$T,$B103+5),CY$3&lt;INDEX(Properties!$U:$U,$B103+5)),1,0))</f>
        <v>0</v>
      </c>
      <c r="CZ103" cm="1">
        <f t="array" ref="CZ103">INDEX(Properties!$D:$D,$B103+5)*(IF(AND(CZ$3&gt;=INDEX(Properties!$T:$T,$B103+5),CZ$3&lt;INDEX(Properties!$U:$U,$B103+5)),1,0))</f>
        <v>0</v>
      </c>
      <c r="DA103" cm="1">
        <f t="array" ref="DA103">INDEX(Properties!$D:$D,$B103+5)*(IF(AND(DA$3&gt;=INDEX(Properties!$T:$T,$B103+5),DA$3&lt;INDEX(Properties!$U:$U,$B103+5)),1,0))</f>
        <v>0</v>
      </c>
      <c r="DB103" cm="1">
        <f t="array" ref="DB103">INDEX(Properties!$D:$D,$B103+5)*(IF(AND(DB$3&gt;=INDEX(Properties!$T:$T,$B103+5),DB$3&lt;INDEX(Properties!$U:$U,$B103+5)),1,0))</f>
        <v>0</v>
      </c>
      <c r="DC103" cm="1">
        <f t="array" ref="DC103">INDEX(Properties!$D:$D,$B103+5)*(IF(AND(DC$3&gt;=INDEX(Properties!$T:$T,$B103+5),DC$3&lt;INDEX(Properties!$U:$U,$B103+5)),1,0))</f>
        <v>0</v>
      </c>
      <c r="DD103" cm="1">
        <f t="array" ref="DD103">INDEX(Properties!$D:$D,$B103+5)*(IF(AND(DD$3&gt;=INDEX(Properties!$T:$T,$B103+5),DD$3&lt;INDEX(Properties!$U:$U,$B103+5)),1,0))</f>
        <v>0</v>
      </c>
      <c r="DE103" cm="1">
        <f t="array" ref="DE103">INDEX(Properties!$D:$D,$B103+5)*(IF(AND(DE$3&gt;=INDEX(Properties!$T:$T,$B103+5),DE$3&lt;INDEX(Properties!$U:$U,$B103+5)),1,0))</f>
        <v>0</v>
      </c>
      <c r="DF103" cm="1">
        <f t="array" ref="DF103">INDEX(Properties!$D:$D,$B103+5)*(IF(AND(DF$3&gt;=INDEX(Properties!$T:$T,$B103+5),DF$3&lt;INDEX(Properties!$U:$U,$B103+5)),1,0))</f>
        <v>0</v>
      </c>
      <c r="DG103" cm="1">
        <f t="array" ref="DG103">INDEX(Properties!$D:$D,$B103+5)*(IF(AND(DG$3&gt;=INDEX(Properties!$T:$T,$B103+5),DG$3&lt;INDEX(Properties!$U:$U,$B103+5)),1,0))</f>
        <v>0</v>
      </c>
      <c r="DH103" cm="1">
        <f t="array" ref="DH103">INDEX(Properties!$D:$D,$B103+5)*(IF(AND(DH$3&gt;=INDEX(Properties!$T:$T,$B103+5),DH$3&lt;INDEX(Properties!$U:$U,$B103+5)),1,0))</f>
        <v>0</v>
      </c>
      <c r="DI103" cm="1">
        <f t="array" ref="DI103">INDEX(Properties!$D:$D,$B103+5)*(IF(AND(DI$3&gt;=INDEX(Properties!$T:$T,$B103+5),DI$3&lt;INDEX(Properties!$U:$U,$B103+5)),1,0))</f>
        <v>0</v>
      </c>
      <c r="DJ103" cm="1">
        <f t="array" ref="DJ103">INDEX(Properties!$D:$D,$B103+5)*(IF(AND(DJ$3&gt;=INDEX(Properties!$T:$T,$B103+5),DJ$3&lt;INDEX(Properties!$U:$U,$B103+5)),1,0))</f>
        <v>0</v>
      </c>
      <c r="DK103" cm="1">
        <f t="array" ref="DK103">INDEX(Properties!$D:$D,$B103+5)*(IF(AND(DK$3&gt;=INDEX(Properties!$T:$T,$B103+5),DK$3&lt;INDEX(Properties!$U:$U,$B103+5)),1,0))</f>
        <v>0</v>
      </c>
      <c r="DL103" cm="1">
        <f t="array" ref="DL103">INDEX(Properties!$D:$D,$B103+5)*(IF(AND(DL$3&gt;=INDEX(Properties!$T:$T,$B103+5),DL$3&lt;INDEX(Properties!$U:$U,$B103+5)),1,0))</f>
        <v>0</v>
      </c>
      <c r="DM103" cm="1">
        <f t="array" ref="DM103">INDEX(Properties!$D:$D,$B103+5)*(IF(AND(DM$3&gt;=INDEX(Properties!$T:$T,$B103+5),DM$3&lt;INDEX(Properties!$U:$U,$B103+5)),1,0))</f>
        <v>0</v>
      </c>
      <c r="DN103" cm="1">
        <f t="array" ref="DN103">INDEX(Properties!$D:$D,$B103+5)*(IF(AND(DN$3&gt;=INDEX(Properties!$T:$T,$B103+5),DN$3&lt;INDEX(Properties!$U:$U,$B103+5)),1,0))</f>
        <v>0</v>
      </c>
      <c r="DO103" cm="1">
        <f t="array" ref="DO103">INDEX(Properties!$D:$D,$B103+5)*(IF(AND(DO$3&gt;=INDEX(Properties!$T:$T,$B103+5),DO$3&lt;INDEX(Properties!$U:$U,$B103+5)),1,0))</f>
        <v>0</v>
      </c>
      <c r="DP103" cm="1">
        <f t="array" ref="DP103">INDEX(Properties!$D:$D,$B103+5)*(IF(AND(DP$3&gt;=INDEX(Properties!$T:$T,$B103+5),DP$3&lt;INDEX(Properties!$U:$U,$B103+5)),1,0))</f>
        <v>0</v>
      </c>
      <c r="DQ103" cm="1">
        <f t="array" ref="DQ103">INDEX(Properties!$D:$D,$B103+5)*(IF(AND(DQ$3&gt;=INDEX(Properties!$T:$T,$B103+5),DQ$3&lt;INDEX(Properties!$U:$U,$B103+5)),1,0))</f>
        <v>0</v>
      </c>
      <c r="DR103" cm="1">
        <f t="array" ref="DR103">INDEX(Properties!$D:$D,$B103+5)*(IF(AND(DR$3&gt;=INDEX(Properties!$T:$T,$B103+5),DR$3&lt;INDEX(Properties!$U:$U,$B103+5)),1,0))</f>
        <v>0</v>
      </c>
    </row>
    <row r="104" spans="1:122" ht="14.55" customHeight="1" x14ac:dyDescent="0.3">
      <c r="A104" cm="1">
        <f t="array" ref="A104">INDEX(Properties!$E:$E,$B104+5)</f>
        <v>0</v>
      </c>
      <c r="B104" s="1">
        <v>7</v>
      </c>
      <c r="C104" cm="1">
        <f t="array" ref="C104">INDEX(Properties!$D:$D,$B104+5)*(IF(AND(C$3&gt;=INDEX(Properties!$T:$T,$B104+5),C$3&lt;INDEX(Properties!$U:$U,$B104+5)),1,0))</f>
        <v>0</v>
      </c>
      <c r="D104" cm="1">
        <f t="array" ref="D104">INDEX(Properties!$D:$D,$B104+5)*(IF(AND(D$3&gt;=INDEX(Properties!$T:$T,$B104+5),D$3&lt;INDEX(Properties!$U:$U,$B104+5)),1,0))</f>
        <v>0</v>
      </c>
      <c r="E104" cm="1">
        <f t="array" ref="E104">INDEX(Properties!$D:$D,$B104+5)*(IF(AND(E$3&gt;=INDEX(Properties!$T:$T,$B104+5),E$3&lt;INDEX(Properties!$U:$U,$B104+5)),1,0))</f>
        <v>0</v>
      </c>
      <c r="F104" cm="1">
        <f t="array" ref="F104">INDEX(Properties!$D:$D,$B104+5)*(IF(AND(F$3&gt;=INDEX(Properties!$T:$T,$B104+5),F$3&lt;INDEX(Properties!$U:$U,$B104+5)),1,0))</f>
        <v>0</v>
      </c>
      <c r="G104" cm="1">
        <f t="array" ref="G104">INDEX(Properties!$D:$D,$B104+5)*(IF(AND(G$3&gt;=INDEX(Properties!$T:$T,$B104+5),G$3&lt;INDEX(Properties!$U:$U,$B104+5)),1,0))</f>
        <v>0</v>
      </c>
      <c r="H104" cm="1">
        <f t="array" ref="H104">INDEX(Properties!$D:$D,$B104+5)*(IF(AND(H$3&gt;=INDEX(Properties!$T:$T,$B104+5),H$3&lt;INDEX(Properties!$U:$U,$B104+5)),1,0))</f>
        <v>0</v>
      </c>
      <c r="I104" cm="1">
        <f t="array" ref="I104">INDEX(Properties!$D:$D,$B104+5)*(IF(AND(I$3&gt;=INDEX(Properties!$T:$T,$B104+5),I$3&lt;INDEX(Properties!$U:$U,$B104+5)),1,0))</f>
        <v>0</v>
      </c>
      <c r="J104" cm="1">
        <f t="array" ref="J104">INDEX(Properties!$D:$D,$B104+5)*(IF(AND(J$3&gt;=INDEX(Properties!$T:$T,$B104+5),J$3&lt;INDEX(Properties!$U:$U,$B104+5)),1,0))</f>
        <v>0</v>
      </c>
      <c r="K104" cm="1">
        <f t="array" ref="K104">INDEX(Properties!$D:$D,$B104+5)*(IF(AND(K$3&gt;=INDEX(Properties!$T:$T,$B104+5),K$3&lt;INDEX(Properties!$U:$U,$B104+5)),1,0))</f>
        <v>0</v>
      </c>
      <c r="L104" cm="1">
        <f t="array" ref="L104">INDEX(Properties!$D:$D,$B104+5)*(IF(AND(L$3&gt;=INDEX(Properties!$T:$T,$B104+5),L$3&lt;INDEX(Properties!$U:$U,$B104+5)),1,0))</f>
        <v>0</v>
      </c>
      <c r="M104" cm="1">
        <f t="array" ref="M104">INDEX(Properties!$D:$D,$B104+5)*(IF(AND(M$3&gt;=INDEX(Properties!$T:$T,$B104+5),M$3&lt;INDEX(Properties!$U:$U,$B104+5)),1,0))</f>
        <v>0</v>
      </c>
      <c r="N104" cm="1">
        <f t="array" ref="N104">INDEX(Properties!$D:$D,$B104+5)*(IF(AND(N$3&gt;=INDEX(Properties!$T:$T,$B104+5),N$3&lt;INDEX(Properties!$U:$U,$B104+5)),1,0))</f>
        <v>0</v>
      </c>
      <c r="O104" cm="1">
        <f t="array" ref="O104">INDEX(Properties!$D:$D,$B104+5)*(IF(AND(O$3&gt;=INDEX(Properties!$T:$T,$B104+5),O$3&lt;INDEX(Properties!$U:$U,$B104+5)),1,0))</f>
        <v>0</v>
      </c>
      <c r="P104" cm="1">
        <f t="array" ref="P104">INDEX(Properties!$D:$D,$B104+5)*(IF(AND(P$3&gt;=INDEX(Properties!$T:$T,$B104+5),P$3&lt;INDEX(Properties!$U:$U,$B104+5)),1,0))</f>
        <v>0</v>
      </c>
      <c r="Q104" cm="1">
        <f t="array" ref="Q104">INDEX(Properties!$D:$D,$B104+5)*(IF(AND(Q$3&gt;=INDEX(Properties!$T:$T,$B104+5),Q$3&lt;INDEX(Properties!$U:$U,$B104+5)),1,0))</f>
        <v>0</v>
      </c>
      <c r="R104" cm="1">
        <f t="array" ref="R104">INDEX(Properties!$D:$D,$B104+5)*(IF(AND(R$3&gt;=INDEX(Properties!$T:$T,$B104+5),R$3&lt;INDEX(Properties!$U:$U,$B104+5)),1,0))</f>
        <v>0</v>
      </c>
      <c r="S104" cm="1">
        <f t="array" ref="S104">INDEX(Properties!$D:$D,$B104+5)*(IF(AND(S$3&gt;=INDEX(Properties!$T:$T,$B104+5),S$3&lt;INDEX(Properties!$U:$U,$B104+5)),1,0))</f>
        <v>0</v>
      </c>
      <c r="T104" cm="1">
        <f t="array" ref="T104">INDEX(Properties!$D:$D,$B104+5)*(IF(AND(T$3&gt;=INDEX(Properties!$T:$T,$B104+5),T$3&lt;INDEX(Properties!$U:$U,$B104+5)),1,0))</f>
        <v>0</v>
      </c>
      <c r="U104" cm="1">
        <f t="array" ref="U104">INDEX(Properties!$D:$D,$B104+5)*(IF(AND(U$3&gt;=INDEX(Properties!$T:$T,$B104+5),U$3&lt;INDEX(Properties!$U:$U,$B104+5)),1,0))</f>
        <v>0</v>
      </c>
      <c r="V104" cm="1">
        <f t="array" ref="V104">INDEX(Properties!$D:$D,$B104+5)*(IF(AND(V$3&gt;=INDEX(Properties!$T:$T,$B104+5),V$3&lt;INDEX(Properties!$U:$U,$B104+5)),1,0))</f>
        <v>0</v>
      </c>
      <c r="W104" cm="1">
        <f t="array" ref="W104">INDEX(Properties!$D:$D,$B104+5)*(IF(AND(W$3&gt;=INDEX(Properties!$T:$T,$B104+5),W$3&lt;INDEX(Properties!$U:$U,$B104+5)),1,0))</f>
        <v>0</v>
      </c>
      <c r="X104" cm="1">
        <f t="array" ref="X104">INDEX(Properties!$D:$D,$B104+5)*(IF(AND(X$3&gt;=INDEX(Properties!$T:$T,$B104+5),X$3&lt;INDEX(Properties!$U:$U,$B104+5)),1,0))</f>
        <v>0</v>
      </c>
      <c r="Y104" cm="1">
        <f t="array" ref="Y104">INDEX(Properties!$D:$D,$B104+5)*(IF(AND(Y$3&gt;=INDEX(Properties!$T:$T,$B104+5),Y$3&lt;INDEX(Properties!$U:$U,$B104+5)),1,0))</f>
        <v>0</v>
      </c>
      <c r="Z104" cm="1">
        <f t="array" ref="Z104">INDEX(Properties!$D:$D,$B104+5)*(IF(AND(Z$3&gt;=INDEX(Properties!$T:$T,$B104+5),Z$3&lt;INDEX(Properties!$U:$U,$B104+5)),1,0))</f>
        <v>0</v>
      </c>
      <c r="AA104" cm="1">
        <f t="array" ref="AA104">INDEX(Properties!$D:$D,$B104+5)*(IF(AND(AA$3&gt;=INDEX(Properties!$T:$T,$B104+5),AA$3&lt;INDEX(Properties!$U:$U,$B104+5)),1,0))</f>
        <v>0</v>
      </c>
      <c r="AB104" cm="1">
        <f t="array" ref="AB104">INDEX(Properties!$D:$D,$B104+5)*(IF(AND(AB$3&gt;=INDEX(Properties!$T:$T,$B104+5),AB$3&lt;INDEX(Properties!$U:$U,$B104+5)),1,0))</f>
        <v>0</v>
      </c>
      <c r="AC104" cm="1">
        <f t="array" ref="AC104">INDEX(Properties!$D:$D,$B104+5)*(IF(AND(AC$3&gt;=INDEX(Properties!$T:$T,$B104+5),AC$3&lt;INDEX(Properties!$U:$U,$B104+5)),1,0))</f>
        <v>0</v>
      </c>
      <c r="AD104" cm="1">
        <f t="array" ref="AD104">INDEX(Properties!$D:$D,$B104+5)*(IF(AND(AD$3&gt;=INDEX(Properties!$T:$T,$B104+5),AD$3&lt;INDEX(Properties!$U:$U,$B104+5)),1,0))</f>
        <v>0</v>
      </c>
      <c r="AE104" cm="1">
        <f t="array" ref="AE104">INDEX(Properties!$D:$D,$B104+5)*(IF(AND(AE$3&gt;=INDEX(Properties!$T:$T,$B104+5),AE$3&lt;INDEX(Properties!$U:$U,$B104+5)),1,0))</f>
        <v>0</v>
      </c>
      <c r="AF104" cm="1">
        <f t="array" ref="AF104">INDEX(Properties!$D:$D,$B104+5)*(IF(AND(AF$3&gt;=INDEX(Properties!$T:$T,$B104+5),AF$3&lt;INDEX(Properties!$U:$U,$B104+5)),1,0))</f>
        <v>0</v>
      </c>
      <c r="AG104" cm="1">
        <f t="array" ref="AG104">INDEX(Properties!$D:$D,$B104+5)*(IF(AND(AG$3&gt;=INDEX(Properties!$T:$T,$B104+5),AG$3&lt;INDEX(Properties!$U:$U,$B104+5)),1,0))</f>
        <v>0</v>
      </c>
      <c r="AH104" cm="1">
        <f t="array" ref="AH104">INDEX(Properties!$D:$D,$B104+5)*(IF(AND(AH$3&gt;=INDEX(Properties!$T:$T,$B104+5),AH$3&lt;INDEX(Properties!$U:$U,$B104+5)),1,0))</f>
        <v>0</v>
      </c>
      <c r="AI104" cm="1">
        <f t="array" ref="AI104">INDEX(Properties!$D:$D,$B104+5)*(IF(AND(AI$3&gt;=INDEX(Properties!$T:$T,$B104+5),AI$3&lt;INDEX(Properties!$U:$U,$B104+5)),1,0))</f>
        <v>0</v>
      </c>
      <c r="AJ104" cm="1">
        <f t="array" ref="AJ104">INDEX(Properties!$D:$D,$B104+5)*(IF(AND(AJ$3&gt;=INDEX(Properties!$T:$T,$B104+5),AJ$3&lt;INDEX(Properties!$U:$U,$B104+5)),1,0))</f>
        <v>0</v>
      </c>
      <c r="AK104" cm="1">
        <f t="array" ref="AK104">INDEX(Properties!$D:$D,$B104+5)*(IF(AND(AK$3&gt;=INDEX(Properties!$T:$T,$B104+5),AK$3&lt;INDEX(Properties!$U:$U,$B104+5)),1,0))</f>
        <v>0</v>
      </c>
      <c r="AL104" cm="1">
        <f t="array" ref="AL104">INDEX(Properties!$D:$D,$B104+5)*(IF(AND(AL$3&gt;=INDEX(Properties!$T:$T,$B104+5),AL$3&lt;INDEX(Properties!$U:$U,$B104+5)),1,0))</f>
        <v>0</v>
      </c>
      <c r="AM104" cm="1">
        <f t="array" ref="AM104">INDEX(Properties!$D:$D,$B104+5)*(IF(AND(AM$3&gt;=INDEX(Properties!$T:$T,$B104+5),AM$3&lt;INDEX(Properties!$U:$U,$B104+5)),1,0))</f>
        <v>0</v>
      </c>
      <c r="AN104" cm="1">
        <f t="array" ref="AN104">INDEX(Properties!$D:$D,$B104+5)*(IF(AND(AN$3&gt;=INDEX(Properties!$T:$T,$B104+5),AN$3&lt;INDEX(Properties!$U:$U,$B104+5)),1,0))</f>
        <v>0</v>
      </c>
      <c r="AO104" cm="1">
        <f t="array" ref="AO104">INDEX(Properties!$D:$D,$B104+5)*(IF(AND(AO$3&gt;=INDEX(Properties!$T:$T,$B104+5),AO$3&lt;INDEX(Properties!$U:$U,$B104+5)),1,0))</f>
        <v>0</v>
      </c>
      <c r="AP104" cm="1">
        <f t="array" ref="AP104">INDEX(Properties!$D:$D,$B104+5)*(IF(AND(AP$3&gt;=INDEX(Properties!$T:$T,$B104+5),AP$3&lt;INDEX(Properties!$U:$U,$B104+5)),1,0))</f>
        <v>0</v>
      </c>
      <c r="AQ104" cm="1">
        <f t="array" ref="AQ104">INDEX(Properties!$D:$D,$B104+5)*(IF(AND(AQ$3&gt;=INDEX(Properties!$T:$T,$B104+5),AQ$3&lt;INDEX(Properties!$U:$U,$B104+5)),1,0))</f>
        <v>0</v>
      </c>
      <c r="AR104" cm="1">
        <f t="array" ref="AR104">INDEX(Properties!$D:$D,$B104+5)*(IF(AND(AR$3&gt;=INDEX(Properties!$T:$T,$B104+5),AR$3&lt;INDEX(Properties!$U:$U,$B104+5)),1,0))</f>
        <v>0</v>
      </c>
      <c r="AS104" cm="1">
        <f t="array" ref="AS104">INDEX(Properties!$D:$D,$B104+5)*(IF(AND(AS$3&gt;=INDEX(Properties!$T:$T,$B104+5),AS$3&lt;INDEX(Properties!$U:$U,$B104+5)),1,0))</f>
        <v>0</v>
      </c>
      <c r="AT104" cm="1">
        <f t="array" ref="AT104">INDEX(Properties!$D:$D,$B104+5)*(IF(AND(AT$3&gt;=INDEX(Properties!$T:$T,$B104+5),AT$3&lt;INDEX(Properties!$U:$U,$B104+5)),1,0))</f>
        <v>0</v>
      </c>
      <c r="AU104" cm="1">
        <f t="array" ref="AU104">INDEX(Properties!$D:$D,$B104+5)*(IF(AND(AU$3&gt;=INDEX(Properties!$T:$T,$B104+5),AU$3&lt;INDEX(Properties!$U:$U,$B104+5)),1,0))</f>
        <v>0</v>
      </c>
      <c r="AV104" cm="1">
        <f t="array" ref="AV104">INDEX(Properties!$D:$D,$B104+5)*(IF(AND(AV$3&gt;=INDEX(Properties!$T:$T,$B104+5),AV$3&lt;INDEX(Properties!$U:$U,$B104+5)),1,0))</f>
        <v>0</v>
      </c>
      <c r="AW104" cm="1">
        <f t="array" ref="AW104">INDEX(Properties!$D:$D,$B104+5)*(IF(AND(AW$3&gt;=INDEX(Properties!$T:$T,$B104+5),AW$3&lt;INDEX(Properties!$U:$U,$B104+5)),1,0))</f>
        <v>0</v>
      </c>
      <c r="AX104" cm="1">
        <f t="array" ref="AX104">INDEX(Properties!$D:$D,$B104+5)*(IF(AND(AX$3&gt;=INDEX(Properties!$T:$T,$B104+5),AX$3&lt;INDEX(Properties!$U:$U,$B104+5)),1,0))</f>
        <v>0</v>
      </c>
      <c r="AY104" cm="1">
        <f t="array" ref="AY104">INDEX(Properties!$D:$D,$B104+5)*(IF(AND(AY$3&gt;=INDEX(Properties!$T:$T,$B104+5),AY$3&lt;INDEX(Properties!$U:$U,$B104+5)),1,0))</f>
        <v>0</v>
      </c>
      <c r="AZ104" cm="1">
        <f t="array" ref="AZ104">INDEX(Properties!$D:$D,$B104+5)*(IF(AND(AZ$3&gt;=INDEX(Properties!$T:$T,$B104+5),AZ$3&lt;INDEX(Properties!$U:$U,$B104+5)),1,0))</f>
        <v>0</v>
      </c>
      <c r="BA104" cm="1">
        <f t="array" ref="BA104">INDEX(Properties!$D:$D,$B104+5)*(IF(AND(BA$3&gt;=INDEX(Properties!$T:$T,$B104+5),BA$3&lt;INDEX(Properties!$U:$U,$B104+5)),1,0))</f>
        <v>0</v>
      </c>
      <c r="BB104" cm="1">
        <f t="array" ref="BB104">INDEX(Properties!$D:$D,$B104+5)*(IF(AND(BB$3&gt;=INDEX(Properties!$T:$T,$B104+5),BB$3&lt;INDEX(Properties!$U:$U,$B104+5)),1,0))</f>
        <v>0</v>
      </c>
      <c r="BC104" cm="1">
        <f t="array" ref="BC104">INDEX(Properties!$D:$D,$B104+5)*(IF(AND(BC$3&gt;=INDEX(Properties!$T:$T,$B104+5),BC$3&lt;INDEX(Properties!$U:$U,$B104+5)),1,0))</f>
        <v>0</v>
      </c>
      <c r="BD104" cm="1">
        <f t="array" ref="BD104">INDEX(Properties!$D:$D,$B104+5)*(IF(AND(BD$3&gt;=INDEX(Properties!$T:$T,$B104+5),BD$3&lt;INDEX(Properties!$U:$U,$B104+5)),1,0))</f>
        <v>0</v>
      </c>
      <c r="BE104" cm="1">
        <f t="array" ref="BE104">INDEX(Properties!$D:$D,$B104+5)*(IF(AND(BE$3&gt;=INDEX(Properties!$T:$T,$B104+5),BE$3&lt;INDEX(Properties!$U:$U,$B104+5)),1,0))</f>
        <v>0</v>
      </c>
      <c r="BF104" cm="1">
        <f t="array" ref="BF104">INDEX(Properties!$D:$D,$B104+5)*(IF(AND(BF$3&gt;=INDEX(Properties!$T:$T,$B104+5),BF$3&lt;INDEX(Properties!$U:$U,$B104+5)),1,0))</f>
        <v>0</v>
      </c>
      <c r="BG104" cm="1">
        <f t="array" ref="BG104">INDEX(Properties!$D:$D,$B104+5)*(IF(AND(BG$3&gt;=INDEX(Properties!$T:$T,$B104+5),BG$3&lt;INDEX(Properties!$U:$U,$B104+5)),1,0))</f>
        <v>0</v>
      </c>
      <c r="BH104" cm="1">
        <f t="array" ref="BH104">INDEX(Properties!$D:$D,$B104+5)*(IF(AND(BH$3&gt;=INDEX(Properties!$T:$T,$B104+5),BH$3&lt;INDEX(Properties!$U:$U,$B104+5)),1,0))</f>
        <v>0</v>
      </c>
      <c r="BI104" cm="1">
        <f t="array" ref="BI104">INDEX(Properties!$D:$D,$B104+5)*(IF(AND(BI$3&gt;=INDEX(Properties!$T:$T,$B104+5),BI$3&lt;INDEX(Properties!$U:$U,$B104+5)),1,0))</f>
        <v>0</v>
      </c>
      <c r="BJ104" cm="1">
        <f t="array" ref="BJ104">INDEX(Properties!$D:$D,$B104+5)*(IF(AND(BJ$3&gt;=INDEX(Properties!$T:$T,$B104+5),BJ$3&lt;INDEX(Properties!$U:$U,$B104+5)),1,0))</f>
        <v>0</v>
      </c>
      <c r="BK104" cm="1">
        <f t="array" ref="BK104">INDEX(Properties!$D:$D,$B104+5)*(IF(AND(BK$3&gt;=INDEX(Properties!$T:$T,$B104+5),BK$3&lt;INDEX(Properties!$U:$U,$B104+5)),1,0))</f>
        <v>0</v>
      </c>
      <c r="BL104" cm="1">
        <f t="array" ref="BL104">INDEX(Properties!$D:$D,$B104+5)*(IF(AND(BL$3&gt;=INDEX(Properties!$T:$T,$B104+5),BL$3&lt;INDEX(Properties!$U:$U,$B104+5)),1,0))</f>
        <v>0</v>
      </c>
      <c r="BM104" cm="1">
        <f t="array" ref="BM104">INDEX(Properties!$D:$D,$B104+5)*(IF(AND(BM$3&gt;=INDEX(Properties!$T:$T,$B104+5),BM$3&lt;INDEX(Properties!$U:$U,$B104+5)),1,0))</f>
        <v>0</v>
      </c>
      <c r="BN104" cm="1">
        <f t="array" ref="BN104">INDEX(Properties!$D:$D,$B104+5)*(IF(AND(BN$3&gt;=INDEX(Properties!$T:$T,$B104+5),BN$3&lt;INDEX(Properties!$U:$U,$B104+5)),1,0))</f>
        <v>0</v>
      </c>
      <c r="BO104" cm="1">
        <f t="array" ref="BO104">INDEX(Properties!$D:$D,$B104+5)*(IF(AND(BO$3&gt;=INDEX(Properties!$T:$T,$B104+5),BO$3&lt;INDEX(Properties!$U:$U,$B104+5)),1,0))</f>
        <v>0</v>
      </c>
      <c r="BP104" cm="1">
        <f t="array" ref="BP104">INDEX(Properties!$D:$D,$B104+5)*(IF(AND(BP$3&gt;=INDEX(Properties!$T:$T,$B104+5),BP$3&lt;INDEX(Properties!$U:$U,$B104+5)),1,0))</f>
        <v>0</v>
      </c>
      <c r="BQ104" cm="1">
        <f t="array" ref="BQ104">INDEX(Properties!$D:$D,$B104+5)*(IF(AND(BQ$3&gt;=INDEX(Properties!$T:$T,$B104+5),BQ$3&lt;INDEX(Properties!$U:$U,$B104+5)),1,0))</f>
        <v>0</v>
      </c>
      <c r="BR104" cm="1">
        <f t="array" ref="BR104">INDEX(Properties!$D:$D,$B104+5)*(IF(AND(BR$3&gt;=INDEX(Properties!$T:$T,$B104+5),BR$3&lt;INDEX(Properties!$U:$U,$B104+5)),1,0))</f>
        <v>0</v>
      </c>
      <c r="BS104" cm="1">
        <f t="array" ref="BS104">INDEX(Properties!$D:$D,$B104+5)*(IF(AND(BS$3&gt;=INDEX(Properties!$T:$T,$B104+5),BS$3&lt;INDEX(Properties!$U:$U,$B104+5)),1,0))</f>
        <v>0</v>
      </c>
      <c r="BT104" cm="1">
        <f t="array" ref="BT104">INDEX(Properties!$D:$D,$B104+5)*(IF(AND(BT$3&gt;=INDEX(Properties!$T:$T,$B104+5),BT$3&lt;INDEX(Properties!$U:$U,$B104+5)),1,0))</f>
        <v>0</v>
      </c>
      <c r="BU104" cm="1">
        <f t="array" ref="BU104">INDEX(Properties!$D:$D,$B104+5)*(IF(AND(BU$3&gt;=INDEX(Properties!$T:$T,$B104+5),BU$3&lt;INDEX(Properties!$U:$U,$B104+5)),1,0))</f>
        <v>0</v>
      </c>
      <c r="BV104" cm="1">
        <f t="array" ref="BV104">INDEX(Properties!$D:$D,$B104+5)*(IF(AND(BV$3&gt;=INDEX(Properties!$T:$T,$B104+5),BV$3&lt;INDEX(Properties!$U:$U,$B104+5)),1,0))</f>
        <v>0</v>
      </c>
      <c r="BW104" cm="1">
        <f t="array" ref="BW104">INDEX(Properties!$D:$D,$B104+5)*(IF(AND(BW$3&gt;=INDEX(Properties!$T:$T,$B104+5),BW$3&lt;INDEX(Properties!$U:$U,$B104+5)),1,0))</f>
        <v>0</v>
      </c>
      <c r="BX104" cm="1">
        <f t="array" ref="BX104">INDEX(Properties!$D:$D,$B104+5)*(IF(AND(BX$3&gt;=INDEX(Properties!$T:$T,$B104+5),BX$3&lt;INDEX(Properties!$U:$U,$B104+5)),1,0))</f>
        <v>0</v>
      </c>
      <c r="BY104" cm="1">
        <f t="array" ref="BY104">INDEX(Properties!$D:$D,$B104+5)*(IF(AND(BY$3&gt;=INDEX(Properties!$T:$T,$B104+5),BY$3&lt;INDEX(Properties!$U:$U,$B104+5)),1,0))</f>
        <v>0</v>
      </c>
      <c r="BZ104" cm="1">
        <f t="array" ref="BZ104">INDEX(Properties!$D:$D,$B104+5)*(IF(AND(BZ$3&gt;=INDEX(Properties!$T:$T,$B104+5),BZ$3&lt;INDEX(Properties!$U:$U,$B104+5)),1,0))</f>
        <v>0</v>
      </c>
      <c r="CA104" cm="1">
        <f t="array" ref="CA104">INDEX(Properties!$D:$D,$B104+5)*(IF(AND(CA$3&gt;=INDEX(Properties!$T:$T,$B104+5),CA$3&lt;INDEX(Properties!$U:$U,$B104+5)),1,0))</f>
        <v>0</v>
      </c>
      <c r="CB104" cm="1">
        <f t="array" ref="CB104">INDEX(Properties!$D:$D,$B104+5)*(IF(AND(CB$3&gt;=INDEX(Properties!$T:$T,$B104+5),CB$3&lt;INDEX(Properties!$U:$U,$B104+5)),1,0))</f>
        <v>0</v>
      </c>
      <c r="CC104" cm="1">
        <f t="array" ref="CC104">INDEX(Properties!$D:$D,$B104+5)*(IF(AND(CC$3&gt;=INDEX(Properties!$T:$T,$B104+5),CC$3&lt;INDEX(Properties!$U:$U,$B104+5)),1,0))</f>
        <v>0</v>
      </c>
      <c r="CD104" cm="1">
        <f t="array" ref="CD104">INDEX(Properties!$D:$D,$B104+5)*(IF(AND(CD$3&gt;=INDEX(Properties!$T:$T,$B104+5),CD$3&lt;INDEX(Properties!$U:$U,$B104+5)),1,0))</f>
        <v>0</v>
      </c>
      <c r="CE104" cm="1">
        <f t="array" ref="CE104">INDEX(Properties!$D:$D,$B104+5)*(IF(AND(CE$3&gt;=INDEX(Properties!$T:$T,$B104+5),CE$3&lt;INDEX(Properties!$U:$U,$B104+5)),1,0))</f>
        <v>0</v>
      </c>
      <c r="CF104" cm="1">
        <f t="array" ref="CF104">INDEX(Properties!$D:$D,$B104+5)*(IF(AND(CF$3&gt;=INDEX(Properties!$T:$T,$B104+5),CF$3&lt;INDEX(Properties!$U:$U,$B104+5)),1,0))</f>
        <v>0</v>
      </c>
      <c r="CG104" cm="1">
        <f t="array" ref="CG104">INDEX(Properties!$D:$D,$B104+5)*(IF(AND(CG$3&gt;=INDEX(Properties!$T:$T,$B104+5),CG$3&lt;INDEX(Properties!$U:$U,$B104+5)),1,0))</f>
        <v>0</v>
      </c>
      <c r="CH104" cm="1">
        <f t="array" ref="CH104">INDEX(Properties!$D:$D,$B104+5)*(IF(AND(CH$3&gt;=INDEX(Properties!$T:$T,$B104+5),CH$3&lt;INDEX(Properties!$U:$U,$B104+5)),1,0))</f>
        <v>0</v>
      </c>
      <c r="CI104" cm="1">
        <f t="array" ref="CI104">INDEX(Properties!$D:$D,$B104+5)*(IF(AND(CI$3&gt;=INDEX(Properties!$T:$T,$B104+5),CI$3&lt;INDEX(Properties!$U:$U,$B104+5)),1,0))</f>
        <v>0</v>
      </c>
      <c r="CJ104" cm="1">
        <f t="array" ref="CJ104">INDEX(Properties!$D:$D,$B104+5)*(IF(AND(CJ$3&gt;=INDEX(Properties!$T:$T,$B104+5),CJ$3&lt;INDEX(Properties!$U:$U,$B104+5)),1,0))</f>
        <v>0</v>
      </c>
      <c r="CK104" cm="1">
        <f t="array" ref="CK104">INDEX(Properties!$D:$D,$B104+5)*(IF(AND(CK$3&gt;=INDEX(Properties!$T:$T,$B104+5),CK$3&lt;INDEX(Properties!$U:$U,$B104+5)),1,0))</f>
        <v>0</v>
      </c>
      <c r="CL104" cm="1">
        <f t="array" ref="CL104">INDEX(Properties!$D:$D,$B104+5)*(IF(AND(CL$3&gt;=INDEX(Properties!$T:$T,$B104+5),CL$3&lt;INDEX(Properties!$U:$U,$B104+5)),1,0))</f>
        <v>0</v>
      </c>
      <c r="CM104" cm="1">
        <f t="array" ref="CM104">INDEX(Properties!$D:$D,$B104+5)*(IF(AND(CM$3&gt;=INDEX(Properties!$T:$T,$B104+5),CM$3&lt;INDEX(Properties!$U:$U,$B104+5)),1,0))</f>
        <v>0</v>
      </c>
      <c r="CN104" cm="1">
        <f t="array" ref="CN104">INDEX(Properties!$D:$D,$B104+5)*(IF(AND(CN$3&gt;=INDEX(Properties!$T:$T,$B104+5),CN$3&lt;INDEX(Properties!$U:$U,$B104+5)),1,0))</f>
        <v>0</v>
      </c>
      <c r="CO104" cm="1">
        <f t="array" ref="CO104">INDEX(Properties!$D:$D,$B104+5)*(IF(AND(CO$3&gt;=INDEX(Properties!$T:$T,$B104+5),CO$3&lt;INDEX(Properties!$U:$U,$B104+5)),1,0))</f>
        <v>0</v>
      </c>
      <c r="CP104" cm="1">
        <f t="array" ref="CP104">INDEX(Properties!$D:$D,$B104+5)*(IF(AND(CP$3&gt;=INDEX(Properties!$T:$T,$B104+5),CP$3&lt;INDEX(Properties!$U:$U,$B104+5)),1,0))</f>
        <v>0</v>
      </c>
      <c r="CQ104" cm="1">
        <f t="array" ref="CQ104">INDEX(Properties!$D:$D,$B104+5)*(IF(AND(CQ$3&gt;=INDEX(Properties!$T:$T,$B104+5),CQ$3&lt;INDEX(Properties!$U:$U,$B104+5)),1,0))</f>
        <v>0</v>
      </c>
      <c r="CR104" cm="1">
        <f t="array" ref="CR104">INDEX(Properties!$D:$D,$B104+5)*(IF(AND(CR$3&gt;=INDEX(Properties!$T:$T,$B104+5),CR$3&lt;INDEX(Properties!$U:$U,$B104+5)),1,0))</f>
        <v>0</v>
      </c>
      <c r="CS104" cm="1">
        <f t="array" ref="CS104">INDEX(Properties!$D:$D,$B104+5)*(IF(AND(CS$3&gt;=INDEX(Properties!$T:$T,$B104+5),CS$3&lt;INDEX(Properties!$U:$U,$B104+5)),1,0))</f>
        <v>0</v>
      </c>
      <c r="CT104" cm="1">
        <f t="array" ref="CT104">INDEX(Properties!$D:$D,$B104+5)*(IF(AND(CT$3&gt;=INDEX(Properties!$T:$T,$B104+5),CT$3&lt;INDEX(Properties!$U:$U,$B104+5)),1,0))</f>
        <v>0</v>
      </c>
      <c r="CU104" cm="1">
        <f t="array" ref="CU104">INDEX(Properties!$D:$D,$B104+5)*(IF(AND(CU$3&gt;=INDEX(Properties!$T:$T,$B104+5),CU$3&lt;INDEX(Properties!$U:$U,$B104+5)),1,0))</f>
        <v>0</v>
      </c>
      <c r="CV104" cm="1">
        <f t="array" ref="CV104">INDEX(Properties!$D:$D,$B104+5)*(IF(AND(CV$3&gt;=INDEX(Properties!$T:$T,$B104+5),CV$3&lt;INDEX(Properties!$U:$U,$B104+5)),1,0))</f>
        <v>0</v>
      </c>
      <c r="CW104" cm="1">
        <f t="array" ref="CW104">INDEX(Properties!$D:$D,$B104+5)*(IF(AND(CW$3&gt;=INDEX(Properties!$T:$T,$B104+5),CW$3&lt;INDEX(Properties!$U:$U,$B104+5)),1,0))</f>
        <v>0</v>
      </c>
      <c r="CX104" cm="1">
        <f t="array" ref="CX104">INDEX(Properties!$D:$D,$B104+5)*(IF(AND(CX$3&gt;=INDEX(Properties!$T:$T,$B104+5),CX$3&lt;INDEX(Properties!$U:$U,$B104+5)),1,0))</f>
        <v>0</v>
      </c>
      <c r="CY104" cm="1">
        <f t="array" ref="CY104">INDEX(Properties!$D:$D,$B104+5)*(IF(AND(CY$3&gt;=INDEX(Properties!$T:$T,$B104+5),CY$3&lt;INDEX(Properties!$U:$U,$B104+5)),1,0))</f>
        <v>0</v>
      </c>
      <c r="CZ104" cm="1">
        <f t="array" ref="CZ104">INDEX(Properties!$D:$D,$B104+5)*(IF(AND(CZ$3&gt;=INDEX(Properties!$T:$T,$B104+5),CZ$3&lt;INDEX(Properties!$U:$U,$B104+5)),1,0))</f>
        <v>0</v>
      </c>
      <c r="DA104" cm="1">
        <f t="array" ref="DA104">INDEX(Properties!$D:$D,$B104+5)*(IF(AND(DA$3&gt;=INDEX(Properties!$T:$T,$B104+5),DA$3&lt;INDEX(Properties!$U:$U,$B104+5)),1,0))</f>
        <v>0</v>
      </c>
      <c r="DB104" cm="1">
        <f t="array" ref="DB104">INDEX(Properties!$D:$D,$B104+5)*(IF(AND(DB$3&gt;=INDEX(Properties!$T:$T,$B104+5),DB$3&lt;INDEX(Properties!$U:$U,$B104+5)),1,0))</f>
        <v>0</v>
      </c>
      <c r="DC104" cm="1">
        <f t="array" ref="DC104">INDEX(Properties!$D:$D,$B104+5)*(IF(AND(DC$3&gt;=INDEX(Properties!$T:$T,$B104+5),DC$3&lt;INDEX(Properties!$U:$U,$B104+5)),1,0))</f>
        <v>0</v>
      </c>
      <c r="DD104" cm="1">
        <f t="array" ref="DD104">INDEX(Properties!$D:$D,$B104+5)*(IF(AND(DD$3&gt;=INDEX(Properties!$T:$T,$B104+5),DD$3&lt;INDEX(Properties!$U:$U,$B104+5)),1,0))</f>
        <v>0</v>
      </c>
      <c r="DE104" cm="1">
        <f t="array" ref="DE104">INDEX(Properties!$D:$D,$B104+5)*(IF(AND(DE$3&gt;=INDEX(Properties!$T:$T,$B104+5),DE$3&lt;INDEX(Properties!$U:$U,$B104+5)),1,0))</f>
        <v>0</v>
      </c>
      <c r="DF104" cm="1">
        <f t="array" ref="DF104">INDEX(Properties!$D:$D,$B104+5)*(IF(AND(DF$3&gt;=INDEX(Properties!$T:$T,$B104+5),DF$3&lt;INDEX(Properties!$U:$U,$B104+5)),1,0))</f>
        <v>0</v>
      </c>
      <c r="DG104" cm="1">
        <f t="array" ref="DG104">INDEX(Properties!$D:$D,$B104+5)*(IF(AND(DG$3&gt;=INDEX(Properties!$T:$T,$B104+5),DG$3&lt;INDEX(Properties!$U:$U,$B104+5)),1,0))</f>
        <v>0</v>
      </c>
      <c r="DH104" cm="1">
        <f t="array" ref="DH104">INDEX(Properties!$D:$D,$B104+5)*(IF(AND(DH$3&gt;=INDEX(Properties!$T:$T,$B104+5),DH$3&lt;INDEX(Properties!$U:$U,$B104+5)),1,0))</f>
        <v>0</v>
      </c>
      <c r="DI104" cm="1">
        <f t="array" ref="DI104">INDEX(Properties!$D:$D,$B104+5)*(IF(AND(DI$3&gt;=INDEX(Properties!$T:$T,$B104+5),DI$3&lt;INDEX(Properties!$U:$U,$B104+5)),1,0))</f>
        <v>0</v>
      </c>
      <c r="DJ104" cm="1">
        <f t="array" ref="DJ104">INDEX(Properties!$D:$D,$B104+5)*(IF(AND(DJ$3&gt;=INDEX(Properties!$T:$T,$B104+5),DJ$3&lt;INDEX(Properties!$U:$U,$B104+5)),1,0))</f>
        <v>0</v>
      </c>
      <c r="DK104" cm="1">
        <f t="array" ref="DK104">INDEX(Properties!$D:$D,$B104+5)*(IF(AND(DK$3&gt;=INDEX(Properties!$T:$T,$B104+5),DK$3&lt;INDEX(Properties!$U:$U,$B104+5)),1,0))</f>
        <v>0</v>
      </c>
      <c r="DL104" cm="1">
        <f t="array" ref="DL104">INDEX(Properties!$D:$D,$B104+5)*(IF(AND(DL$3&gt;=INDEX(Properties!$T:$T,$B104+5),DL$3&lt;INDEX(Properties!$U:$U,$B104+5)),1,0))</f>
        <v>0</v>
      </c>
      <c r="DM104" cm="1">
        <f t="array" ref="DM104">INDEX(Properties!$D:$D,$B104+5)*(IF(AND(DM$3&gt;=INDEX(Properties!$T:$T,$B104+5),DM$3&lt;INDEX(Properties!$U:$U,$B104+5)),1,0))</f>
        <v>0</v>
      </c>
      <c r="DN104" cm="1">
        <f t="array" ref="DN104">INDEX(Properties!$D:$D,$B104+5)*(IF(AND(DN$3&gt;=INDEX(Properties!$T:$T,$B104+5),DN$3&lt;INDEX(Properties!$U:$U,$B104+5)),1,0))</f>
        <v>0</v>
      </c>
      <c r="DO104" cm="1">
        <f t="array" ref="DO104">INDEX(Properties!$D:$D,$B104+5)*(IF(AND(DO$3&gt;=INDEX(Properties!$T:$T,$B104+5),DO$3&lt;INDEX(Properties!$U:$U,$B104+5)),1,0))</f>
        <v>0</v>
      </c>
      <c r="DP104" cm="1">
        <f t="array" ref="DP104">INDEX(Properties!$D:$D,$B104+5)*(IF(AND(DP$3&gt;=INDEX(Properties!$T:$T,$B104+5),DP$3&lt;INDEX(Properties!$U:$U,$B104+5)),1,0))</f>
        <v>0</v>
      </c>
      <c r="DQ104" cm="1">
        <f t="array" ref="DQ104">INDEX(Properties!$D:$D,$B104+5)*(IF(AND(DQ$3&gt;=INDEX(Properties!$T:$T,$B104+5),DQ$3&lt;INDEX(Properties!$U:$U,$B104+5)),1,0))</f>
        <v>0</v>
      </c>
      <c r="DR104" cm="1">
        <f t="array" ref="DR104">INDEX(Properties!$D:$D,$B104+5)*(IF(AND(DR$3&gt;=INDEX(Properties!$T:$T,$B104+5),DR$3&lt;INDEX(Properties!$U:$U,$B104+5)),1,0))</f>
        <v>0</v>
      </c>
    </row>
    <row r="105" spans="1:122" ht="14.55" customHeight="1" x14ac:dyDescent="0.3">
      <c r="A105" cm="1">
        <f t="array" ref="A105">INDEX(Properties!$E:$E,$B105+5)</f>
        <v>0</v>
      </c>
      <c r="B105" s="1">
        <v>9</v>
      </c>
      <c r="C105" cm="1">
        <f t="array" ref="C105">INDEX(Properties!$D:$D,$B105+5)*(IF(AND(C$3&gt;=INDEX(Properties!$T:$T,$B105+5),C$3&lt;INDEX(Properties!$U:$U,$B105+5)),1,0))</f>
        <v>0</v>
      </c>
      <c r="D105" cm="1">
        <f t="array" ref="D105">INDEX(Properties!$D:$D,$B105+5)*(IF(AND(D$3&gt;=INDEX(Properties!$T:$T,$B105+5),D$3&lt;INDEX(Properties!$U:$U,$B105+5)),1,0))</f>
        <v>0</v>
      </c>
      <c r="E105" cm="1">
        <f t="array" ref="E105">INDEX(Properties!$D:$D,$B105+5)*(IF(AND(E$3&gt;=INDEX(Properties!$T:$T,$B105+5),E$3&lt;INDEX(Properties!$U:$U,$B105+5)),1,0))</f>
        <v>0</v>
      </c>
      <c r="F105" cm="1">
        <f t="array" ref="F105">INDEX(Properties!$D:$D,$B105+5)*(IF(AND(F$3&gt;=INDEX(Properties!$T:$T,$B105+5),F$3&lt;INDEX(Properties!$U:$U,$B105+5)),1,0))</f>
        <v>0</v>
      </c>
      <c r="G105" cm="1">
        <f t="array" ref="G105">INDEX(Properties!$D:$D,$B105+5)*(IF(AND(G$3&gt;=INDEX(Properties!$T:$T,$B105+5),G$3&lt;INDEX(Properties!$U:$U,$B105+5)),1,0))</f>
        <v>0</v>
      </c>
      <c r="H105" cm="1">
        <f t="array" ref="H105">INDEX(Properties!$D:$D,$B105+5)*(IF(AND(H$3&gt;=INDEX(Properties!$T:$T,$B105+5),H$3&lt;INDEX(Properties!$U:$U,$B105+5)),1,0))</f>
        <v>0</v>
      </c>
      <c r="I105" cm="1">
        <f t="array" ref="I105">INDEX(Properties!$D:$D,$B105+5)*(IF(AND(I$3&gt;=INDEX(Properties!$T:$T,$B105+5),I$3&lt;INDEX(Properties!$U:$U,$B105+5)),1,0))</f>
        <v>0</v>
      </c>
      <c r="J105" cm="1">
        <f t="array" ref="J105">INDEX(Properties!$D:$D,$B105+5)*(IF(AND(J$3&gt;=INDEX(Properties!$T:$T,$B105+5),J$3&lt;INDEX(Properties!$U:$U,$B105+5)),1,0))</f>
        <v>0</v>
      </c>
      <c r="K105" cm="1">
        <f t="array" ref="K105">INDEX(Properties!$D:$D,$B105+5)*(IF(AND(K$3&gt;=INDEX(Properties!$T:$T,$B105+5),K$3&lt;INDEX(Properties!$U:$U,$B105+5)),1,0))</f>
        <v>0</v>
      </c>
      <c r="L105" cm="1">
        <f t="array" ref="L105">INDEX(Properties!$D:$D,$B105+5)*(IF(AND(L$3&gt;=INDEX(Properties!$T:$T,$B105+5),L$3&lt;INDEX(Properties!$U:$U,$B105+5)),1,0))</f>
        <v>0</v>
      </c>
      <c r="M105" cm="1">
        <f t="array" ref="M105">INDEX(Properties!$D:$D,$B105+5)*(IF(AND(M$3&gt;=INDEX(Properties!$T:$T,$B105+5),M$3&lt;INDEX(Properties!$U:$U,$B105+5)),1,0))</f>
        <v>0</v>
      </c>
      <c r="N105" cm="1">
        <f t="array" ref="N105">INDEX(Properties!$D:$D,$B105+5)*(IF(AND(N$3&gt;=INDEX(Properties!$T:$T,$B105+5),N$3&lt;INDEX(Properties!$U:$U,$B105+5)),1,0))</f>
        <v>0</v>
      </c>
      <c r="O105" cm="1">
        <f t="array" ref="O105">INDEX(Properties!$D:$D,$B105+5)*(IF(AND(O$3&gt;=INDEX(Properties!$T:$T,$B105+5),O$3&lt;INDEX(Properties!$U:$U,$B105+5)),1,0))</f>
        <v>0</v>
      </c>
      <c r="P105" cm="1">
        <f t="array" ref="P105">INDEX(Properties!$D:$D,$B105+5)*(IF(AND(P$3&gt;=INDEX(Properties!$T:$T,$B105+5),P$3&lt;INDEX(Properties!$U:$U,$B105+5)),1,0))</f>
        <v>0</v>
      </c>
      <c r="Q105" cm="1">
        <f t="array" ref="Q105">INDEX(Properties!$D:$D,$B105+5)*(IF(AND(Q$3&gt;=INDEX(Properties!$T:$T,$B105+5),Q$3&lt;INDEX(Properties!$U:$U,$B105+5)),1,0))</f>
        <v>0</v>
      </c>
      <c r="R105" cm="1">
        <f t="array" ref="R105">INDEX(Properties!$D:$D,$B105+5)*(IF(AND(R$3&gt;=INDEX(Properties!$T:$T,$B105+5),R$3&lt;INDEX(Properties!$U:$U,$B105+5)),1,0))</f>
        <v>0</v>
      </c>
      <c r="S105" cm="1">
        <f t="array" ref="S105">INDEX(Properties!$D:$D,$B105+5)*(IF(AND(S$3&gt;=INDEX(Properties!$T:$T,$B105+5),S$3&lt;INDEX(Properties!$U:$U,$B105+5)),1,0))</f>
        <v>0</v>
      </c>
      <c r="T105" cm="1">
        <f t="array" ref="T105">INDEX(Properties!$D:$D,$B105+5)*(IF(AND(T$3&gt;=INDEX(Properties!$T:$T,$B105+5),T$3&lt;INDEX(Properties!$U:$U,$B105+5)),1,0))</f>
        <v>0</v>
      </c>
      <c r="U105" cm="1">
        <f t="array" ref="U105">INDEX(Properties!$D:$D,$B105+5)*(IF(AND(U$3&gt;=INDEX(Properties!$T:$T,$B105+5),U$3&lt;INDEX(Properties!$U:$U,$B105+5)),1,0))</f>
        <v>0</v>
      </c>
      <c r="V105" cm="1">
        <f t="array" ref="V105">INDEX(Properties!$D:$D,$B105+5)*(IF(AND(V$3&gt;=INDEX(Properties!$T:$T,$B105+5),V$3&lt;INDEX(Properties!$U:$U,$B105+5)),1,0))</f>
        <v>0</v>
      </c>
      <c r="W105" cm="1">
        <f t="array" ref="W105">INDEX(Properties!$D:$D,$B105+5)*(IF(AND(W$3&gt;=INDEX(Properties!$T:$T,$B105+5),W$3&lt;INDEX(Properties!$U:$U,$B105+5)),1,0))</f>
        <v>0</v>
      </c>
      <c r="X105" cm="1">
        <f t="array" ref="X105">INDEX(Properties!$D:$D,$B105+5)*(IF(AND(X$3&gt;=INDEX(Properties!$T:$T,$B105+5),X$3&lt;INDEX(Properties!$U:$U,$B105+5)),1,0))</f>
        <v>0</v>
      </c>
      <c r="Y105" cm="1">
        <f t="array" ref="Y105">INDEX(Properties!$D:$D,$B105+5)*(IF(AND(Y$3&gt;=INDEX(Properties!$T:$T,$B105+5),Y$3&lt;INDEX(Properties!$U:$U,$B105+5)),1,0))</f>
        <v>0</v>
      </c>
      <c r="Z105" cm="1">
        <f t="array" ref="Z105">INDEX(Properties!$D:$D,$B105+5)*(IF(AND(Z$3&gt;=INDEX(Properties!$T:$T,$B105+5),Z$3&lt;INDEX(Properties!$U:$U,$B105+5)),1,0))</f>
        <v>0</v>
      </c>
      <c r="AA105" cm="1">
        <f t="array" ref="AA105">INDEX(Properties!$D:$D,$B105+5)*(IF(AND(AA$3&gt;=INDEX(Properties!$T:$T,$B105+5),AA$3&lt;INDEX(Properties!$U:$U,$B105+5)),1,0))</f>
        <v>0</v>
      </c>
      <c r="AB105" cm="1">
        <f t="array" ref="AB105">INDEX(Properties!$D:$D,$B105+5)*(IF(AND(AB$3&gt;=INDEX(Properties!$T:$T,$B105+5),AB$3&lt;INDEX(Properties!$U:$U,$B105+5)),1,0))</f>
        <v>0</v>
      </c>
      <c r="AC105" cm="1">
        <f t="array" ref="AC105">INDEX(Properties!$D:$D,$B105+5)*(IF(AND(AC$3&gt;=INDEX(Properties!$T:$T,$B105+5),AC$3&lt;INDEX(Properties!$U:$U,$B105+5)),1,0))</f>
        <v>0</v>
      </c>
      <c r="AD105" cm="1">
        <f t="array" ref="AD105">INDEX(Properties!$D:$D,$B105+5)*(IF(AND(AD$3&gt;=INDEX(Properties!$T:$T,$B105+5),AD$3&lt;INDEX(Properties!$U:$U,$B105+5)),1,0))</f>
        <v>0</v>
      </c>
      <c r="AE105" cm="1">
        <f t="array" ref="AE105">INDEX(Properties!$D:$D,$B105+5)*(IF(AND(AE$3&gt;=INDEX(Properties!$T:$T,$B105+5),AE$3&lt;INDEX(Properties!$U:$U,$B105+5)),1,0))</f>
        <v>0</v>
      </c>
      <c r="AF105" cm="1">
        <f t="array" ref="AF105">INDEX(Properties!$D:$D,$B105+5)*(IF(AND(AF$3&gt;=INDEX(Properties!$T:$T,$B105+5),AF$3&lt;INDEX(Properties!$U:$U,$B105+5)),1,0))</f>
        <v>0</v>
      </c>
      <c r="AG105" cm="1">
        <f t="array" ref="AG105">INDEX(Properties!$D:$D,$B105+5)*(IF(AND(AG$3&gt;=INDEX(Properties!$T:$T,$B105+5),AG$3&lt;INDEX(Properties!$U:$U,$B105+5)),1,0))</f>
        <v>0</v>
      </c>
      <c r="AH105" cm="1">
        <f t="array" ref="AH105">INDEX(Properties!$D:$D,$B105+5)*(IF(AND(AH$3&gt;=INDEX(Properties!$T:$T,$B105+5),AH$3&lt;INDEX(Properties!$U:$U,$B105+5)),1,0))</f>
        <v>0</v>
      </c>
      <c r="AI105" cm="1">
        <f t="array" ref="AI105">INDEX(Properties!$D:$D,$B105+5)*(IF(AND(AI$3&gt;=INDEX(Properties!$T:$T,$B105+5),AI$3&lt;INDEX(Properties!$U:$U,$B105+5)),1,0))</f>
        <v>0</v>
      </c>
      <c r="AJ105" cm="1">
        <f t="array" ref="AJ105">INDEX(Properties!$D:$D,$B105+5)*(IF(AND(AJ$3&gt;=INDEX(Properties!$T:$T,$B105+5),AJ$3&lt;INDEX(Properties!$U:$U,$B105+5)),1,0))</f>
        <v>0</v>
      </c>
      <c r="AK105" cm="1">
        <f t="array" ref="AK105">INDEX(Properties!$D:$D,$B105+5)*(IF(AND(AK$3&gt;=INDEX(Properties!$T:$T,$B105+5),AK$3&lt;INDEX(Properties!$U:$U,$B105+5)),1,0))</f>
        <v>0</v>
      </c>
      <c r="AL105" cm="1">
        <f t="array" ref="AL105">INDEX(Properties!$D:$D,$B105+5)*(IF(AND(AL$3&gt;=INDEX(Properties!$T:$T,$B105+5),AL$3&lt;INDEX(Properties!$U:$U,$B105+5)),1,0))</f>
        <v>0</v>
      </c>
      <c r="AM105" cm="1">
        <f t="array" ref="AM105">INDEX(Properties!$D:$D,$B105+5)*(IF(AND(AM$3&gt;=INDEX(Properties!$T:$T,$B105+5),AM$3&lt;INDEX(Properties!$U:$U,$B105+5)),1,0))</f>
        <v>0</v>
      </c>
      <c r="AN105" cm="1">
        <f t="array" ref="AN105">INDEX(Properties!$D:$D,$B105+5)*(IF(AND(AN$3&gt;=INDEX(Properties!$T:$T,$B105+5),AN$3&lt;INDEX(Properties!$U:$U,$B105+5)),1,0))</f>
        <v>0</v>
      </c>
      <c r="AO105" cm="1">
        <f t="array" ref="AO105">INDEX(Properties!$D:$D,$B105+5)*(IF(AND(AO$3&gt;=INDEX(Properties!$T:$T,$B105+5),AO$3&lt;INDEX(Properties!$U:$U,$B105+5)),1,0))</f>
        <v>0</v>
      </c>
      <c r="AP105" cm="1">
        <f t="array" ref="AP105">INDEX(Properties!$D:$D,$B105+5)*(IF(AND(AP$3&gt;=INDEX(Properties!$T:$T,$B105+5),AP$3&lt;INDEX(Properties!$U:$U,$B105+5)),1,0))</f>
        <v>0</v>
      </c>
      <c r="AQ105" cm="1">
        <f t="array" ref="AQ105">INDEX(Properties!$D:$D,$B105+5)*(IF(AND(AQ$3&gt;=INDEX(Properties!$T:$T,$B105+5),AQ$3&lt;INDEX(Properties!$U:$U,$B105+5)),1,0))</f>
        <v>0</v>
      </c>
      <c r="AR105" cm="1">
        <f t="array" ref="AR105">INDEX(Properties!$D:$D,$B105+5)*(IF(AND(AR$3&gt;=INDEX(Properties!$T:$T,$B105+5),AR$3&lt;INDEX(Properties!$U:$U,$B105+5)),1,0))</f>
        <v>0</v>
      </c>
      <c r="AS105" cm="1">
        <f t="array" ref="AS105">INDEX(Properties!$D:$D,$B105+5)*(IF(AND(AS$3&gt;=INDEX(Properties!$T:$T,$B105+5),AS$3&lt;INDEX(Properties!$U:$U,$B105+5)),1,0))</f>
        <v>0</v>
      </c>
      <c r="AT105" cm="1">
        <f t="array" ref="AT105">INDEX(Properties!$D:$D,$B105+5)*(IF(AND(AT$3&gt;=INDEX(Properties!$T:$T,$B105+5),AT$3&lt;INDEX(Properties!$U:$U,$B105+5)),1,0))</f>
        <v>0</v>
      </c>
      <c r="AU105" cm="1">
        <f t="array" ref="AU105">INDEX(Properties!$D:$D,$B105+5)*(IF(AND(AU$3&gt;=INDEX(Properties!$T:$T,$B105+5),AU$3&lt;INDEX(Properties!$U:$U,$B105+5)),1,0))</f>
        <v>0</v>
      </c>
      <c r="AV105" cm="1">
        <f t="array" ref="AV105">INDEX(Properties!$D:$D,$B105+5)*(IF(AND(AV$3&gt;=INDEX(Properties!$T:$T,$B105+5),AV$3&lt;INDEX(Properties!$U:$U,$B105+5)),1,0))</f>
        <v>0</v>
      </c>
      <c r="AW105" cm="1">
        <f t="array" ref="AW105">INDEX(Properties!$D:$D,$B105+5)*(IF(AND(AW$3&gt;=INDEX(Properties!$T:$T,$B105+5),AW$3&lt;INDEX(Properties!$U:$U,$B105+5)),1,0))</f>
        <v>0</v>
      </c>
      <c r="AX105" cm="1">
        <f t="array" ref="AX105">INDEX(Properties!$D:$D,$B105+5)*(IF(AND(AX$3&gt;=INDEX(Properties!$T:$T,$B105+5),AX$3&lt;INDEX(Properties!$U:$U,$B105+5)),1,0))</f>
        <v>0</v>
      </c>
      <c r="AY105" cm="1">
        <f t="array" ref="AY105">INDEX(Properties!$D:$D,$B105+5)*(IF(AND(AY$3&gt;=INDEX(Properties!$T:$T,$B105+5),AY$3&lt;INDEX(Properties!$U:$U,$B105+5)),1,0))</f>
        <v>0</v>
      </c>
      <c r="AZ105" cm="1">
        <f t="array" ref="AZ105">INDEX(Properties!$D:$D,$B105+5)*(IF(AND(AZ$3&gt;=INDEX(Properties!$T:$T,$B105+5),AZ$3&lt;INDEX(Properties!$U:$U,$B105+5)),1,0))</f>
        <v>0</v>
      </c>
      <c r="BA105" cm="1">
        <f t="array" ref="BA105">INDEX(Properties!$D:$D,$B105+5)*(IF(AND(BA$3&gt;=INDEX(Properties!$T:$T,$B105+5),BA$3&lt;INDEX(Properties!$U:$U,$B105+5)),1,0))</f>
        <v>0</v>
      </c>
      <c r="BB105" cm="1">
        <f t="array" ref="BB105">INDEX(Properties!$D:$D,$B105+5)*(IF(AND(BB$3&gt;=INDEX(Properties!$T:$T,$B105+5),BB$3&lt;INDEX(Properties!$U:$U,$B105+5)),1,0))</f>
        <v>0</v>
      </c>
      <c r="BC105" cm="1">
        <f t="array" ref="BC105">INDEX(Properties!$D:$D,$B105+5)*(IF(AND(BC$3&gt;=INDEX(Properties!$T:$T,$B105+5),BC$3&lt;INDEX(Properties!$U:$U,$B105+5)),1,0))</f>
        <v>0</v>
      </c>
      <c r="BD105" cm="1">
        <f t="array" ref="BD105">INDEX(Properties!$D:$D,$B105+5)*(IF(AND(BD$3&gt;=INDEX(Properties!$T:$T,$B105+5),BD$3&lt;INDEX(Properties!$U:$U,$B105+5)),1,0))</f>
        <v>0</v>
      </c>
      <c r="BE105" cm="1">
        <f t="array" ref="BE105">INDEX(Properties!$D:$D,$B105+5)*(IF(AND(BE$3&gt;=INDEX(Properties!$T:$T,$B105+5),BE$3&lt;INDEX(Properties!$U:$U,$B105+5)),1,0))</f>
        <v>0</v>
      </c>
      <c r="BF105" cm="1">
        <f t="array" ref="BF105">INDEX(Properties!$D:$D,$B105+5)*(IF(AND(BF$3&gt;=INDEX(Properties!$T:$T,$B105+5),BF$3&lt;INDEX(Properties!$U:$U,$B105+5)),1,0))</f>
        <v>0</v>
      </c>
      <c r="BG105" cm="1">
        <f t="array" ref="BG105">INDEX(Properties!$D:$D,$B105+5)*(IF(AND(BG$3&gt;=INDEX(Properties!$T:$T,$B105+5),BG$3&lt;INDEX(Properties!$U:$U,$B105+5)),1,0))</f>
        <v>0</v>
      </c>
      <c r="BH105" cm="1">
        <f t="array" ref="BH105">INDEX(Properties!$D:$D,$B105+5)*(IF(AND(BH$3&gt;=INDEX(Properties!$T:$T,$B105+5),BH$3&lt;INDEX(Properties!$U:$U,$B105+5)),1,0))</f>
        <v>0</v>
      </c>
      <c r="BI105" cm="1">
        <f t="array" ref="BI105">INDEX(Properties!$D:$D,$B105+5)*(IF(AND(BI$3&gt;=INDEX(Properties!$T:$T,$B105+5),BI$3&lt;INDEX(Properties!$U:$U,$B105+5)),1,0))</f>
        <v>0</v>
      </c>
      <c r="BJ105" cm="1">
        <f t="array" ref="BJ105">INDEX(Properties!$D:$D,$B105+5)*(IF(AND(BJ$3&gt;=INDEX(Properties!$T:$T,$B105+5),BJ$3&lt;INDEX(Properties!$U:$U,$B105+5)),1,0))</f>
        <v>0</v>
      </c>
      <c r="BK105" cm="1">
        <f t="array" ref="BK105">INDEX(Properties!$D:$D,$B105+5)*(IF(AND(BK$3&gt;=INDEX(Properties!$T:$T,$B105+5),BK$3&lt;INDEX(Properties!$U:$U,$B105+5)),1,0))</f>
        <v>0</v>
      </c>
      <c r="BL105" cm="1">
        <f t="array" ref="BL105">INDEX(Properties!$D:$D,$B105+5)*(IF(AND(BL$3&gt;=INDEX(Properties!$T:$T,$B105+5),BL$3&lt;INDEX(Properties!$U:$U,$B105+5)),1,0))</f>
        <v>0</v>
      </c>
      <c r="BM105" cm="1">
        <f t="array" ref="BM105">INDEX(Properties!$D:$D,$B105+5)*(IF(AND(BM$3&gt;=INDEX(Properties!$T:$T,$B105+5),BM$3&lt;INDEX(Properties!$U:$U,$B105+5)),1,0))</f>
        <v>0</v>
      </c>
      <c r="BN105" cm="1">
        <f t="array" ref="BN105">INDEX(Properties!$D:$D,$B105+5)*(IF(AND(BN$3&gt;=INDEX(Properties!$T:$T,$B105+5),BN$3&lt;INDEX(Properties!$U:$U,$B105+5)),1,0))</f>
        <v>0</v>
      </c>
      <c r="BO105" cm="1">
        <f t="array" ref="BO105">INDEX(Properties!$D:$D,$B105+5)*(IF(AND(BO$3&gt;=INDEX(Properties!$T:$T,$B105+5),BO$3&lt;INDEX(Properties!$U:$U,$B105+5)),1,0))</f>
        <v>0</v>
      </c>
      <c r="BP105" cm="1">
        <f t="array" ref="BP105">INDEX(Properties!$D:$D,$B105+5)*(IF(AND(BP$3&gt;=INDEX(Properties!$T:$T,$B105+5),BP$3&lt;INDEX(Properties!$U:$U,$B105+5)),1,0))</f>
        <v>0</v>
      </c>
      <c r="BQ105" cm="1">
        <f t="array" ref="BQ105">INDEX(Properties!$D:$D,$B105+5)*(IF(AND(BQ$3&gt;=INDEX(Properties!$T:$T,$B105+5),BQ$3&lt;INDEX(Properties!$U:$U,$B105+5)),1,0))</f>
        <v>0</v>
      </c>
      <c r="BR105" cm="1">
        <f t="array" ref="BR105">INDEX(Properties!$D:$D,$B105+5)*(IF(AND(BR$3&gt;=INDEX(Properties!$T:$T,$B105+5),BR$3&lt;INDEX(Properties!$U:$U,$B105+5)),1,0))</f>
        <v>0</v>
      </c>
      <c r="BS105" cm="1">
        <f t="array" ref="BS105">INDEX(Properties!$D:$D,$B105+5)*(IF(AND(BS$3&gt;=INDEX(Properties!$T:$T,$B105+5),BS$3&lt;INDEX(Properties!$U:$U,$B105+5)),1,0))</f>
        <v>0</v>
      </c>
      <c r="BT105" cm="1">
        <f t="array" ref="BT105">INDEX(Properties!$D:$D,$B105+5)*(IF(AND(BT$3&gt;=INDEX(Properties!$T:$T,$B105+5),BT$3&lt;INDEX(Properties!$U:$U,$B105+5)),1,0))</f>
        <v>0</v>
      </c>
      <c r="BU105" cm="1">
        <f t="array" ref="BU105">INDEX(Properties!$D:$D,$B105+5)*(IF(AND(BU$3&gt;=INDEX(Properties!$T:$T,$B105+5),BU$3&lt;INDEX(Properties!$U:$U,$B105+5)),1,0))</f>
        <v>0</v>
      </c>
      <c r="BV105" cm="1">
        <f t="array" ref="BV105">INDEX(Properties!$D:$D,$B105+5)*(IF(AND(BV$3&gt;=INDEX(Properties!$T:$T,$B105+5),BV$3&lt;INDEX(Properties!$U:$U,$B105+5)),1,0))</f>
        <v>0</v>
      </c>
      <c r="BW105" cm="1">
        <f t="array" ref="BW105">INDEX(Properties!$D:$D,$B105+5)*(IF(AND(BW$3&gt;=INDEX(Properties!$T:$T,$B105+5),BW$3&lt;INDEX(Properties!$U:$U,$B105+5)),1,0))</f>
        <v>0</v>
      </c>
      <c r="BX105" cm="1">
        <f t="array" ref="BX105">INDEX(Properties!$D:$D,$B105+5)*(IF(AND(BX$3&gt;=INDEX(Properties!$T:$T,$B105+5),BX$3&lt;INDEX(Properties!$U:$U,$B105+5)),1,0))</f>
        <v>0</v>
      </c>
      <c r="BY105" cm="1">
        <f t="array" ref="BY105">INDEX(Properties!$D:$D,$B105+5)*(IF(AND(BY$3&gt;=INDEX(Properties!$T:$T,$B105+5),BY$3&lt;INDEX(Properties!$U:$U,$B105+5)),1,0))</f>
        <v>0</v>
      </c>
      <c r="BZ105" cm="1">
        <f t="array" ref="BZ105">INDEX(Properties!$D:$D,$B105+5)*(IF(AND(BZ$3&gt;=INDEX(Properties!$T:$T,$B105+5),BZ$3&lt;INDEX(Properties!$U:$U,$B105+5)),1,0))</f>
        <v>0</v>
      </c>
      <c r="CA105" cm="1">
        <f t="array" ref="CA105">INDEX(Properties!$D:$D,$B105+5)*(IF(AND(CA$3&gt;=INDEX(Properties!$T:$T,$B105+5),CA$3&lt;INDEX(Properties!$U:$U,$B105+5)),1,0))</f>
        <v>0</v>
      </c>
      <c r="CB105" cm="1">
        <f t="array" ref="CB105">INDEX(Properties!$D:$D,$B105+5)*(IF(AND(CB$3&gt;=INDEX(Properties!$T:$T,$B105+5),CB$3&lt;INDEX(Properties!$U:$U,$B105+5)),1,0))</f>
        <v>0</v>
      </c>
      <c r="CC105" cm="1">
        <f t="array" ref="CC105">INDEX(Properties!$D:$D,$B105+5)*(IF(AND(CC$3&gt;=INDEX(Properties!$T:$T,$B105+5),CC$3&lt;INDEX(Properties!$U:$U,$B105+5)),1,0))</f>
        <v>0</v>
      </c>
      <c r="CD105" cm="1">
        <f t="array" ref="CD105">INDEX(Properties!$D:$D,$B105+5)*(IF(AND(CD$3&gt;=INDEX(Properties!$T:$T,$B105+5),CD$3&lt;INDEX(Properties!$U:$U,$B105+5)),1,0))</f>
        <v>0</v>
      </c>
      <c r="CE105" cm="1">
        <f t="array" ref="CE105">INDEX(Properties!$D:$D,$B105+5)*(IF(AND(CE$3&gt;=INDEX(Properties!$T:$T,$B105+5),CE$3&lt;INDEX(Properties!$U:$U,$B105+5)),1,0))</f>
        <v>0</v>
      </c>
      <c r="CF105" cm="1">
        <f t="array" ref="CF105">INDEX(Properties!$D:$D,$B105+5)*(IF(AND(CF$3&gt;=INDEX(Properties!$T:$T,$B105+5),CF$3&lt;INDEX(Properties!$U:$U,$B105+5)),1,0))</f>
        <v>0</v>
      </c>
      <c r="CG105" cm="1">
        <f t="array" ref="CG105">INDEX(Properties!$D:$D,$B105+5)*(IF(AND(CG$3&gt;=INDEX(Properties!$T:$T,$B105+5),CG$3&lt;INDEX(Properties!$U:$U,$B105+5)),1,0))</f>
        <v>0</v>
      </c>
      <c r="CH105" cm="1">
        <f t="array" ref="CH105">INDEX(Properties!$D:$D,$B105+5)*(IF(AND(CH$3&gt;=INDEX(Properties!$T:$T,$B105+5),CH$3&lt;INDEX(Properties!$U:$U,$B105+5)),1,0))</f>
        <v>0</v>
      </c>
      <c r="CI105" cm="1">
        <f t="array" ref="CI105">INDEX(Properties!$D:$D,$B105+5)*(IF(AND(CI$3&gt;=INDEX(Properties!$T:$T,$B105+5),CI$3&lt;INDEX(Properties!$U:$U,$B105+5)),1,0))</f>
        <v>0</v>
      </c>
      <c r="CJ105" cm="1">
        <f t="array" ref="CJ105">INDEX(Properties!$D:$D,$B105+5)*(IF(AND(CJ$3&gt;=INDEX(Properties!$T:$T,$B105+5),CJ$3&lt;INDEX(Properties!$U:$U,$B105+5)),1,0))</f>
        <v>0</v>
      </c>
      <c r="CK105" cm="1">
        <f t="array" ref="CK105">INDEX(Properties!$D:$D,$B105+5)*(IF(AND(CK$3&gt;=INDEX(Properties!$T:$T,$B105+5),CK$3&lt;INDEX(Properties!$U:$U,$B105+5)),1,0))</f>
        <v>0</v>
      </c>
      <c r="CL105" cm="1">
        <f t="array" ref="CL105">INDEX(Properties!$D:$D,$B105+5)*(IF(AND(CL$3&gt;=INDEX(Properties!$T:$T,$B105+5),CL$3&lt;INDEX(Properties!$U:$U,$B105+5)),1,0))</f>
        <v>0</v>
      </c>
      <c r="CM105" cm="1">
        <f t="array" ref="CM105">INDEX(Properties!$D:$D,$B105+5)*(IF(AND(CM$3&gt;=INDEX(Properties!$T:$T,$B105+5),CM$3&lt;INDEX(Properties!$U:$U,$B105+5)),1,0))</f>
        <v>0</v>
      </c>
      <c r="CN105" cm="1">
        <f t="array" ref="CN105">INDEX(Properties!$D:$D,$B105+5)*(IF(AND(CN$3&gt;=INDEX(Properties!$T:$T,$B105+5),CN$3&lt;INDEX(Properties!$U:$U,$B105+5)),1,0))</f>
        <v>0</v>
      </c>
      <c r="CO105" cm="1">
        <f t="array" ref="CO105">INDEX(Properties!$D:$D,$B105+5)*(IF(AND(CO$3&gt;=INDEX(Properties!$T:$T,$B105+5),CO$3&lt;INDEX(Properties!$U:$U,$B105+5)),1,0))</f>
        <v>0</v>
      </c>
      <c r="CP105" cm="1">
        <f t="array" ref="CP105">INDEX(Properties!$D:$D,$B105+5)*(IF(AND(CP$3&gt;=INDEX(Properties!$T:$T,$B105+5),CP$3&lt;INDEX(Properties!$U:$U,$B105+5)),1,0))</f>
        <v>0</v>
      </c>
      <c r="CQ105" cm="1">
        <f t="array" ref="CQ105">INDEX(Properties!$D:$D,$B105+5)*(IF(AND(CQ$3&gt;=INDEX(Properties!$T:$T,$B105+5),CQ$3&lt;INDEX(Properties!$U:$U,$B105+5)),1,0))</f>
        <v>0</v>
      </c>
      <c r="CR105" cm="1">
        <f t="array" ref="CR105">INDEX(Properties!$D:$D,$B105+5)*(IF(AND(CR$3&gt;=INDEX(Properties!$T:$T,$B105+5),CR$3&lt;INDEX(Properties!$U:$U,$B105+5)),1,0))</f>
        <v>0</v>
      </c>
      <c r="CS105" cm="1">
        <f t="array" ref="CS105">INDEX(Properties!$D:$D,$B105+5)*(IF(AND(CS$3&gt;=INDEX(Properties!$T:$T,$B105+5),CS$3&lt;INDEX(Properties!$U:$U,$B105+5)),1,0))</f>
        <v>0</v>
      </c>
      <c r="CT105" cm="1">
        <f t="array" ref="CT105">INDEX(Properties!$D:$D,$B105+5)*(IF(AND(CT$3&gt;=INDEX(Properties!$T:$T,$B105+5),CT$3&lt;INDEX(Properties!$U:$U,$B105+5)),1,0))</f>
        <v>0</v>
      </c>
      <c r="CU105" cm="1">
        <f t="array" ref="CU105">INDEX(Properties!$D:$D,$B105+5)*(IF(AND(CU$3&gt;=INDEX(Properties!$T:$T,$B105+5),CU$3&lt;INDEX(Properties!$U:$U,$B105+5)),1,0))</f>
        <v>0</v>
      </c>
      <c r="CV105" cm="1">
        <f t="array" ref="CV105">INDEX(Properties!$D:$D,$B105+5)*(IF(AND(CV$3&gt;=INDEX(Properties!$T:$T,$B105+5),CV$3&lt;INDEX(Properties!$U:$U,$B105+5)),1,0))</f>
        <v>0</v>
      </c>
      <c r="CW105" cm="1">
        <f t="array" ref="CW105">INDEX(Properties!$D:$D,$B105+5)*(IF(AND(CW$3&gt;=INDEX(Properties!$T:$T,$B105+5),CW$3&lt;INDEX(Properties!$U:$U,$B105+5)),1,0))</f>
        <v>0</v>
      </c>
      <c r="CX105" cm="1">
        <f t="array" ref="CX105">INDEX(Properties!$D:$D,$B105+5)*(IF(AND(CX$3&gt;=INDEX(Properties!$T:$T,$B105+5),CX$3&lt;INDEX(Properties!$U:$U,$B105+5)),1,0))</f>
        <v>0</v>
      </c>
      <c r="CY105" cm="1">
        <f t="array" ref="CY105">INDEX(Properties!$D:$D,$B105+5)*(IF(AND(CY$3&gt;=INDEX(Properties!$T:$T,$B105+5),CY$3&lt;INDEX(Properties!$U:$U,$B105+5)),1,0))</f>
        <v>0</v>
      </c>
      <c r="CZ105" cm="1">
        <f t="array" ref="CZ105">INDEX(Properties!$D:$D,$B105+5)*(IF(AND(CZ$3&gt;=INDEX(Properties!$T:$T,$B105+5),CZ$3&lt;INDEX(Properties!$U:$U,$B105+5)),1,0))</f>
        <v>0</v>
      </c>
      <c r="DA105" cm="1">
        <f t="array" ref="DA105">INDEX(Properties!$D:$D,$B105+5)*(IF(AND(DA$3&gt;=INDEX(Properties!$T:$T,$B105+5),DA$3&lt;INDEX(Properties!$U:$U,$B105+5)),1,0))</f>
        <v>0</v>
      </c>
      <c r="DB105" cm="1">
        <f t="array" ref="DB105">INDEX(Properties!$D:$D,$B105+5)*(IF(AND(DB$3&gt;=INDEX(Properties!$T:$T,$B105+5),DB$3&lt;INDEX(Properties!$U:$U,$B105+5)),1,0))</f>
        <v>0</v>
      </c>
      <c r="DC105" cm="1">
        <f t="array" ref="DC105">INDEX(Properties!$D:$D,$B105+5)*(IF(AND(DC$3&gt;=INDEX(Properties!$T:$T,$B105+5),DC$3&lt;INDEX(Properties!$U:$U,$B105+5)),1,0))</f>
        <v>0</v>
      </c>
      <c r="DD105" cm="1">
        <f t="array" ref="DD105">INDEX(Properties!$D:$D,$B105+5)*(IF(AND(DD$3&gt;=INDEX(Properties!$T:$T,$B105+5),DD$3&lt;INDEX(Properties!$U:$U,$B105+5)),1,0))</f>
        <v>0</v>
      </c>
      <c r="DE105" cm="1">
        <f t="array" ref="DE105">INDEX(Properties!$D:$D,$B105+5)*(IF(AND(DE$3&gt;=INDEX(Properties!$T:$T,$B105+5),DE$3&lt;INDEX(Properties!$U:$U,$B105+5)),1,0))</f>
        <v>0</v>
      </c>
      <c r="DF105" cm="1">
        <f t="array" ref="DF105">INDEX(Properties!$D:$D,$B105+5)*(IF(AND(DF$3&gt;=INDEX(Properties!$T:$T,$B105+5),DF$3&lt;INDEX(Properties!$U:$U,$B105+5)),1,0))</f>
        <v>0</v>
      </c>
      <c r="DG105" cm="1">
        <f t="array" ref="DG105">INDEX(Properties!$D:$D,$B105+5)*(IF(AND(DG$3&gt;=INDEX(Properties!$T:$T,$B105+5),DG$3&lt;INDEX(Properties!$U:$U,$B105+5)),1,0))</f>
        <v>0</v>
      </c>
      <c r="DH105" cm="1">
        <f t="array" ref="DH105">INDEX(Properties!$D:$D,$B105+5)*(IF(AND(DH$3&gt;=INDEX(Properties!$T:$T,$B105+5),DH$3&lt;INDEX(Properties!$U:$U,$B105+5)),1,0))</f>
        <v>0</v>
      </c>
      <c r="DI105" cm="1">
        <f t="array" ref="DI105">INDEX(Properties!$D:$D,$B105+5)*(IF(AND(DI$3&gt;=INDEX(Properties!$T:$T,$B105+5),DI$3&lt;INDEX(Properties!$U:$U,$B105+5)),1,0))</f>
        <v>0</v>
      </c>
      <c r="DJ105" cm="1">
        <f t="array" ref="DJ105">INDEX(Properties!$D:$D,$B105+5)*(IF(AND(DJ$3&gt;=INDEX(Properties!$T:$T,$B105+5),DJ$3&lt;INDEX(Properties!$U:$U,$B105+5)),1,0))</f>
        <v>0</v>
      </c>
      <c r="DK105" cm="1">
        <f t="array" ref="DK105">INDEX(Properties!$D:$D,$B105+5)*(IF(AND(DK$3&gt;=INDEX(Properties!$T:$T,$B105+5),DK$3&lt;INDEX(Properties!$U:$U,$B105+5)),1,0))</f>
        <v>0</v>
      </c>
      <c r="DL105" cm="1">
        <f t="array" ref="DL105">INDEX(Properties!$D:$D,$B105+5)*(IF(AND(DL$3&gt;=INDEX(Properties!$T:$T,$B105+5),DL$3&lt;INDEX(Properties!$U:$U,$B105+5)),1,0))</f>
        <v>0</v>
      </c>
      <c r="DM105" cm="1">
        <f t="array" ref="DM105">INDEX(Properties!$D:$D,$B105+5)*(IF(AND(DM$3&gt;=INDEX(Properties!$T:$T,$B105+5),DM$3&lt;INDEX(Properties!$U:$U,$B105+5)),1,0))</f>
        <v>0</v>
      </c>
      <c r="DN105" cm="1">
        <f t="array" ref="DN105">INDEX(Properties!$D:$D,$B105+5)*(IF(AND(DN$3&gt;=INDEX(Properties!$T:$T,$B105+5),DN$3&lt;INDEX(Properties!$U:$U,$B105+5)),1,0))</f>
        <v>0</v>
      </c>
      <c r="DO105" cm="1">
        <f t="array" ref="DO105">INDEX(Properties!$D:$D,$B105+5)*(IF(AND(DO$3&gt;=INDEX(Properties!$T:$T,$B105+5),DO$3&lt;INDEX(Properties!$U:$U,$B105+5)),1,0))</f>
        <v>0</v>
      </c>
      <c r="DP105" cm="1">
        <f t="array" ref="DP105">INDEX(Properties!$D:$D,$B105+5)*(IF(AND(DP$3&gt;=INDEX(Properties!$T:$T,$B105+5),DP$3&lt;INDEX(Properties!$U:$U,$B105+5)),1,0))</f>
        <v>0</v>
      </c>
      <c r="DQ105" cm="1">
        <f t="array" ref="DQ105">INDEX(Properties!$D:$D,$B105+5)*(IF(AND(DQ$3&gt;=INDEX(Properties!$T:$T,$B105+5),DQ$3&lt;INDEX(Properties!$U:$U,$B105+5)),1,0))</f>
        <v>0</v>
      </c>
      <c r="DR105" cm="1">
        <f t="array" ref="DR105">INDEX(Properties!$D:$D,$B105+5)*(IF(AND(DR$3&gt;=INDEX(Properties!$T:$T,$B105+5),DR$3&lt;INDEX(Properties!$U:$U,$B105+5)),1,0))</f>
        <v>0</v>
      </c>
    </row>
    <row r="106" spans="1:122" ht="14.55" customHeight="1" x14ac:dyDescent="0.3">
      <c r="A106" cm="1">
        <f t="array" ref="A106">INDEX(Properties!$E:$E,$B106+5)</f>
        <v>0</v>
      </c>
      <c r="B106" s="1">
        <v>10</v>
      </c>
      <c r="C106" cm="1">
        <f t="array" ref="C106">INDEX(Properties!$D:$D,$B106+5)*(IF(AND(C$3&gt;=INDEX(Properties!$T:$T,$B106+5),C$3&lt;INDEX(Properties!$U:$U,$B106+5)),1,0))</f>
        <v>0</v>
      </c>
      <c r="D106" cm="1">
        <f t="array" ref="D106">INDEX(Properties!$D:$D,$B106+5)*(IF(AND(D$3&gt;=INDEX(Properties!$T:$T,$B106+5),D$3&lt;INDEX(Properties!$U:$U,$B106+5)),1,0))</f>
        <v>0</v>
      </c>
      <c r="E106" cm="1">
        <f t="array" ref="E106">INDEX(Properties!$D:$D,$B106+5)*(IF(AND(E$3&gt;=INDEX(Properties!$T:$T,$B106+5),E$3&lt;INDEX(Properties!$U:$U,$B106+5)),1,0))</f>
        <v>0</v>
      </c>
      <c r="F106" cm="1">
        <f t="array" ref="F106">INDEX(Properties!$D:$D,$B106+5)*(IF(AND(F$3&gt;=INDEX(Properties!$T:$T,$B106+5),F$3&lt;INDEX(Properties!$U:$U,$B106+5)),1,0))</f>
        <v>0</v>
      </c>
      <c r="G106" cm="1">
        <f t="array" ref="G106">INDEX(Properties!$D:$D,$B106+5)*(IF(AND(G$3&gt;=INDEX(Properties!$T:$T,$B106+5),G$3&lt;INDEX(Properties!$U:$U,$B106+5)),1,0))</f>
        <v>0</v>
      </c>
      <c r="H106" cm="1">
        <f t="array" ref="H106">INDEX(Properties!$D:$D,$B106+5)*(IF(AND(H$3&gt;=INDEX(Properties!$T:$T,$B106+5),H$3&lt;INDEX(Properties!$U:$U,$B106+5)),1,0))</f>
        <v>0</v>
      </c>
      <c r="I106" cm="1">
        <f t="array" ref="I106">INDEX(Properties!$D:$D,$B106+5)*(IF(AND(I$3&gt;=INDEX(Properties!$T:$T,$B106+5),I$3&lt;INDEX(Properties!$U:$U,$B106+5)),1,0))</f>
        <v>0</v>
      </c>
      <c r="J106" cm="1">
        <f t="array" ref="J106">INDEX(Properties!$D:$D,$B106+5)*(IF(AND(J$3&gt;=INDEX(Properties!$T:$T,$B106+5),J$3&lt;INDEX(Properties!$U:$U,$B106+5)),1,0))</f>
        <v>0</v>
      </c>
      <c r="K106" cm="1">
        <f t="array" ref="K106">INDEX(Properties!$D:$D,$B106+5)*(IF(AND(K$3&gt;=INDEX(Properties!$T:$T,$B106+5),K$3&lt;INDEX(Properties!$U:$U,$B106+5)),1,0))</f>
        <v>0</v>
      </c>
      <c r="L106" cm="1">
        <f t="array" ref="L106">INDEX(Properties!$D:$D,$B106+5)*(IF(AND(L$3&gt;=INDEX(Properties!$T:$T,$B106+5),L$3&lt;INDEX(Properties!$U:$U,$B106+5)),1,0))</f>
        <v>0</v>
      </c>
      <c r="M106" cm="1">
        <f t="array" ref="M106">INDEX(Properties!$D:$D,$B106+5)*(IF(AND(M$3&gt;=INDEX(Properties!$T:$T,$B106+5),M$3&lt;INDEX(Properties!$U:$U,$B106+5)),1,0))</f>
        <v>0</v>
      </c>
      <c r="N106" cm="1">
        <f t="array" ref="N106">INDEX(Properties!$D:$D,$B106+5)*(IF(AND(N$3&gt;=INDEX(Properties!$T:$T,$B106+5),N$3&lt;INDEX(Properties!$U:$U,$B106+5)),1,0))</f>
        <v>0</v>
      </c>
      <c r="O106" cm="1">
        <f t="array" ref="O106">INDEX(Properties!$D:$D,$B106+5)*(IF(AND(O$3&gt;=INDEX(Properties!$T:$T,$B106+5),O$3&lt;INDEX(Properties!$U:$U,$B106+5)),1,0))</f>
        <v>0</v>
      </c>
      <c r="P106" cm="1">
        <f t="array" ref="P106">INDEX(Properties!$D:$D,$B106+5)*(IF(AND(P$3&gt;=INDEX(Properties!$T:$T,$B106+5),P$3&lt;INDEX(Properties!$U:$U,$B106+5)),1,0))</f>
        <v>0</v>
      </c>
      <c r="Q106" cm="1">
        <f t="array" ref="Q106">INDEX(Properties!$D:$D,$B106+5)*(IF(AND(Q$3&gt;=INDEX(Properties!$T:$T,$B106+5),Q$3&lt;INDEX(Properties!$U:$U,$B106+5)),1,0))</f>
        <v>0</v>
      </c>
      <c r="R106" cm="1">
        <f t="array" ref="R106">INDEX(Properties!$D:$D,$B106+5)*(IF(AND(R$3&gt;=INDEX(Properties!$T:$T,$B106+5),R$3&lt;INDEX(Properties!$U:$U,$B106+5)),1,0))</f>
        <v>0</v>
      </c>
      <c r="S106" cm="1">
        <f t="array" ref="S106">INDEX(Properties!$D:$D,$B106+5)*(IF(AND(S$3&gt;=INDEX(Properties!$T:$T,$B106+5),S$3&lt;INDEX(Properties!$U:$U,$B106+5)),1,0))</f>
        <v>0</v>
      </c>
      <c r="T106" cm="1">
        <f t="array" ref="T106">INDEX(Properties!$D:$D,$B106+5)*(IF(AND(T$3&gt;=INDEX(Properties!$T:$T,$B106+5),T$3&lt;INDEX(Properties!$U:$U,$B106+5)),1,0))</f>
        <v>0</v>
      </c>
      <c r="U106" cm="1">
        <f t="array" ref="U106">INDEX(Properties!$D:$D,$B106+5)*(IF(AND(U$3&gt;=INDEX(Properties!$T:$T,$B106+5),U$3&lt;INDEX(Properties!$U:$U,$B106+5)),1,0))</f>
        <v>0</v>
      </c>
      <c r="V106" cm="1">
        <f t="array" ref="V106">INDEX(Properties!$D:$D,$B106+5)*(IF(AND(V$3&gt;=INDEX(Properties!$T:$T,$B106+5),V$3&lt;INDEX(Properties!$U:$U,$B106+5)),1,0))</f>
        <v>0</v>
      </c>
      <c r="W106" cm="1">
        <f t="array" ref="W106">INDEX(Properties!$D:$D,$B106+5)*(IF(AND(W$3&gt;=INDEX(Properties!$T:$T,$B106+5),W$3&lt;INDEX(Properties!$U:$U,$B106+5)),1,0))</f>
        <v>0</v>
      </c>
      <c r="X106" cm="1">
        <f t="array" ref="X106">INDEX(Properties!$D:$D,$B106+5)*(IF(AND(X$3&gt;=INDEX(Properties!$T:$T,$B106+5),X$3&lt;INDEX(Properties!$U:$U,$B106+5)),1,0))</f>
        <v>0</v>
      </c>
      <c r="Y106" cm="1">
        <f t="array" ref="Y106">INDEX(Properties!$D:$D,$B106+5)*(IF(AND(Y$3&gt;=INDEX(Properties!$T:$T,$B106+5),Y$3&lt;INDEX(Properties!$U:$U,$B106+5)),1,0))</f>
        <v>0</v>
      </c>
      <c r="Z106" cm="1">
        <f t="array" ref="Z106">INDEX(Properties!$D:$D,$B106+5)*(IF(AND(Z$3&gt;=INDEX(Properties!$T:$T,$B106+5),Z$3&lt;INDEX(Properties!$U:$U,$B106+5)),1,0))</f>
        <v>0</v>
      </c>
      <c r="AA106" cm="1">
        <f t="array" ref="AA106">INDEX(Properties!$D:$D,$B106+5)*(IF(AND(AA$3&gt;=INDEX(Properties!$T:$T,$B106+5),AA$3&lt;INDEX(Properties!$U:$U,$B106+5)),1,0))</f>
        <v>0</v>
      </c>
      <c r="AB106" cm="1">
        <f t="array" ref="AB106">INDEX(Properties!$D:$D,$B106+5)*(IF(AND(AB$3&gt;=INDEX(Properties!$T:$T,$B106+5),AB$3&lt;INDEX(Properties!$U:$U,$B106+5)),1,0))</f>
        <v>0</v>
      </c>
      <c r="AC106" cm="1">
        <f t="array" ref="AC106">INDEX(Properties!$D:$D,$B106+5)*(IF(AND(AC$3&gt;=INDEX(Properties!$T:$T,$B106+5),AC$3&lt;INDEX(Properties!$U:$U,$B106+5)),1,0))</f>
        <v>0</v>
      </c>
      <c r="AD106" cm="1">
        <f t="array" ref="AD106">INDEX(Properties!$D:$D,$B106+5)*(IF(AND(AD$3&gt;=INDEX(Properties!$T:$T,$B106+5),AD$3&lt;INDEX(Properties!$U:$U,$B106+5)),1,0))</f>
        <v>0</v>
      </c>
      <c r="AE106" cm="1">
        <f t="array" ref="AE106">INDEX(Properties!$D:$D,$B106+5)*(IF(AND(AE$3&gt;=INDEX(Properties!$T:$T,$B106+5),AE$3&lt;INDEX(Properties!$U:$U,$B106+5)),1,0))</f>
        <v>0</v>
      </c>
      <c r="AF106" cm="1">
        <f t="array" ref="AF106">INDEX(Properties!$D:$D,$B106+5)*(IF(AND(AF$3&gt;=INDEX(Properties!$T:$T,$B106+5),AF$3&lt;INDEX(Properties!$U:$U,$B106+5)),1,0))</f>
        <v>0</v>
      </c>
      <c r="AG106" cm="1">
        <f t="array" ref="AG106">INDEX(Properties!$D:$D,$B106+5)*(IF(AND(AG$3&gt;=INDEX(Properties!$T:$T,$B106+5),AG$3&lt;INDEX(Properties!$U:$U,$B106+5)),1,0))</f>
        <v>0</v>
      </c>
      <c r="AH106" cm="1">
        <f t="array" ref="AH106">INDEX(Properties!$D:$D,$B106+5)*(IF(AND(AH$3&gt;=INDEX(Properties!$T:$T,$B106+5),AH$3&lt;INDEX(Properties!$U:$U,$B106+5)),1,0))</f>
        <v>0</v>
      </c>
      <c r="AI106" cm="1">
        <f t="array" ref="AI106">INDEX(Properties!$D:$D,$B106+5)*(IF(AND(AI$3&gt;=INDEX(Properties!$T:$T,$B106+5),AI$3&lt;INDEX(Properties!$U:$U,$B106+5)),1,0))</f>
        <v>0</v>
      </c>
      <c r="AJ106" cm="1">
        <f t="array" ref="AJ106">INDEX(Properties!$D:$D,$B106+5)*(IF(AND(AJ$3&gt;=INDEX(Properties!$T:$T,$B106+5),AJ$3&lt;INDEX(Properties!$U:$U,$B106+5)),1,0))</f>
        <v>0</v>
      </c>
      <c r="AK106" cm="1">
        <f t="array" ref="AK106">INDEX(Properties!$D:$D,$B106+5)*(IF(AND(AK$3&gt;=INDEX(Properties!$T:$T,$B106+5),AK$3&lt;INDEX(Properties!$U:$U,$B106+5)),1,0))</f>
        <v>0</v>
      </c>
      <c r="AL106" cm="1">
        <f t="array" ref="AL106">INDEX(Properties!$D:$D,$B106+5)*(IF(AND(AL$3&gt;=INDEX(Properties!$T:$T,$B106+5),AL$3&lt;INDEX(Properties!$U:$U,$B106+5)),1,0))</f>
        <v>0</v>
      </c>
      <c r="AM106" cm="1">
        <f t="array" ref="AM106">INDEX(Properties!$D:$D,$B106+5)*(IF(AND(AM$3&gt;=INDEX(Properties!$T:$T,$B106+5),AM$3&lt;INDEX(Properties!$U:$U,$B106+5)),1,0))</f>
        <v>0</v>
      </c>
      <c r="AN106" cm="1">
        <f t="array" ref="AN106">INDEX(Properties!$D:$D,$B106+5)*(IF(AND(AN$3&gt;=INDEX(Properties!$T:$T,$B106+5),AN$3&lt;INDEX(Properties!$U:$U,$B106+5)),1,0))</f>
        <v>0</v>
      </c>
      <c r="AO106" cm="1">
        <f t="array" ref="AO106">INDEX(Properties!$D:$D,$B106+5)*(IF(AND(AO$3&gt;=INDEX(Properties!$T:$T,$B106+5),AO$3&lt;INDEX(Properties!$U:$U,$B106+5)),1,0))</f>
        <v>0</v>
      </c>
      <c r="AP106" cm="1">
        <f t="array" ref="AP106">INDEX(Properties!$D:$D,$B106+5)*(IF(AND(AP$3&gt;=INDEX(Properties!$T:$T,$B106+5),AP$3&lt;INDEX(Properties!$U:$U,$B106+5)),1,0))</f>
        <v>0</v>
      </c>
      <c r="AQ106" cm="1">
        <f t="array" ref="AQ106">INDEX(Properties!$D:$D,$B106+5)*(IF(AND(AQ$3&gt;=INDEX(Properties!$T:$T,$B106+5),AQ$3&lt;INDEX(Properties!$U:$U,$B106+5)),1,0))</f>
        <v>0</v>
      </c>
      <c r="AR106" cm="1">
        <f t="array" ref="AR106">INDEX(Properties!$D:$D,$B106+5)*(IF(AND(AR$3&gt;=INDEX(Properties!$T:$T,$B106+5),AR$3&lt;INDEX(Properties!$U:$U,$B106+5)),1,0))</f>
        <v>0</v>
      </c>
      <c r="AS106" cm="1">
        <f t="array" ref="AS106">INDEX(Properties!$D:$D,$B106+5)*(IF(AND(AS$3&gt;=INDEX(Properties!$T:$T,$B106+5),AS$3&lt;INDEX(Properties!$U:$U,$B106+5)),1,0))</f>
        <v>0</v>
      </c>
      <c r="AT106" cm="1">
        <f t="array" ref="AT106">INDEX(Properties!$D:$D,$B106+5)*(IF(AND(AT$3&gt;=INDEX(Properties!$T:$T,$B106+5),AT$3&lt;INDEX(Properties!$U:$U,$B106+5)),1,0))</f>
        <v>0</v>
      </c>
      <c r="AU106" cm="1">
        <f t="array" ref="AU106">INDEX(Properties!$D:$D,$B106+5)*(IF(AND(AU$3&gt;=INDEX(Properties!$T:$T,$B106+5),AU$3&lt;INDEX(Properties!$U:$U,$B106+5)),1,0))</f>
        <v>0</v>
      </c>
      <c r="AV106" cm="1">
        <f t="array" ref="AV106">INDEX(Properties!$D:$D,$B106+5)*(IF(AND(AV$3&gt;=INDEX(Properties!$T:$T,$B106+5),AV$3&lt;INDEX(Properties!$U:$U,$B106+5)),1,0))</f>
        <v>0</v>
      </c>
      <c r="AW106" cm="1">
        <f t="array" ref="AW106">INDEX(Properties!$D:$D,$B106+5)*(IF(AND(AW$3&gt;=INDEX(Properties!$T:$T,$B106+5),AW$3&lt;INDEX(Properties!$U:$U,$B106+5)),1,0))</f>
        <v>0</v>
      </c>
      <c r="AX106" cm="1">
        <f t="array" ref="AX106">INDEX(Properties!$D:$D,$B106+5)*(IF(AND(AX$3&gt;=INDEX(Properties!$T:$T,$B106+5),AX$3&lt;INDEX(Properties!$U:$U,$B106+5)),1,0))</f>
        <v>0</v>
      </c>
      <c r="AY106" cm="1">
        <f t="array" ref="AY106">INDEX(Properties!$D:$D,$B106+5)*(IF(AND(AY$3&gt;=INDEX(Properties!$T:$T,$B106+5),AY$3&lt;INDEX(Properties!$U:$U,$B106+5)),1,0))</f>
        <v>0</v>
      </c>
      <c r="AZ106" cm="1">
        <f t="array" ref="AZ106">INDEX(Properties!$D:$D,$B106+5)*(IF(AND(AZ$3&gt;=INDEX(Properties!$T:$T,$B106+5),AZ$3&lt;INDEX(Properties!$U:$U,$B106+5)),1,0))</f>
        <v>0</v>
      </c>
      <c r="BA106" cm="1">
        <f t="array" ref="BA106">INDEX(Properties!$D:$D,$B106+5)*(IF(AND(BA$3&gt;=INDEX(Properties!$T:$T,$B106+5),BA$3&lt;INDEX(Properties!$U:$U,$B106+5)),1,0))</f>
        <v>0</v>
      </c>
      <c r="BB106" cm="1">
        <f t="array" ref="BB106">INDEX(Properties!$D:$D,$B106+5)*(IF(AND(BB$3&gt;=INDEX(Properties!$T:$T,$B106+5),BB$3&lt;INDEX(Properties!$U:$U,$B106+5)),1,0))</f>
        <v>0</v>
      </c>
      <c r="BC106" cm="1">
        <f t="array" ref="BC106">INDEX(Properties!$D:$D,$B106+5)*(IF(AND(BC$3&gt;=INDEX(Properties!$T:$T,$B106+5),BC$3&lt;INDEX(Properties!$U:$U,$B106+5)),1,0))</f>
        <v>0</v>
      </c>
      <c r="BD106" cm="1">
        <f t="array" ref="BD106">INDEX(Properties!$D:$D,$B106+5)*(IF(AND(BD$3&gt;=INDEX(Properties!$T:$T,$B106+5),BD$3&lt;INDEX(Properties!$U:$U,$B106+5)),1,0))</f>
        <v>0</v>
      </c>
      <c r="BE106" cm="1">
        <f t="array" ref="BE106">INDEX(Properties!$D:$D,$B106+5)*(IF(AND(BE$3&gt;=INDEX(Properties!$T:$T,$B106+5),BE$3&lt;INDEX(Properties!$U:$U,$B106+5)),1,0))</f>
        <v>0</v>
      </c>
      <c r="BF106" cm="1">
        <f t="array" ref="BF106">INDEX(Properties!$D:$D,$B106+5)*(IF(AND(BF$3&gt;=INDEX(Properties!$T:$T,$B106+5),BF$3&lt;INDEX(Properties!$U:$U,$B106+5)),1,0))</f>
        <v>0</v>
      </c>
      <c r="BG106" cm="1">
        <f t="array" ref="BG106">INDEX(Properties!$D:$D,$B106+5)*(IF(AND(BG$3&gt;=INDEX(Properties!$T:$T,$B106+5),BG$3&lt;INDEX(Properties!$U:$U,$B106+5)),1,0))</f>
        <v>0</v>
      </c>
      <c r="BH106" cm="1">
        <f t="array" ref="BH106">INDEX(Properties!$D:$D,$B106+5)*(IF(AND(BH$3&gt;=INDEX(Properties!$T:$T,$B106+5),BH$3&lt;INDEX(Properties!$U:$U,$B106+5)),1,0))</f>
        <v>0</v>
      </c>
      <c r="BI106" cm="1">
        <f t="array" ref="BI106">INDEX(Properties!$D:$D,$B106+5)*(IF(AND(BI$3&gt;=INDEX(Properties!$T:$T,$B106+5),BI$3&lt;INDEX(Properties!$U:$U,$B106+5)),1,0))</f>
        <v>0</v>
      </c>
      <c r="BJ106" cm="1">
        <f t="array" ref="BJ106">INDEX(Properties!$D:$D,$B106+5)*(IF(AND(BJ$3&gt;=INDEX(Properties!$T:$T,$B106+5),BJ$3&lt;INDEX(Properties!$U:$U,$B106+5)),1,0))</f>
        <v>0</v>
      </c>
      <c r="BK106" cm="1">
        <f t="array" ref="BK106">INDEX(Properties!$D:$D,$B106+5)*(IF(AND(BK$3&gt;=INDEX(Properties!$T:$T,$B106+5),BK$3&lt;INDEX(Properties!$U:$U,$B106+5)),1,0))</f>
        <v>0</v>
      </c>
      <c r="BL106" cm="1">
        <f t="array" ref="BL106">INDEX(Properties!$D:$D,$B106+5)*(IF(AND(BL$3&gt;=INDEX(Properties!$T:$T,$B106+5),BL$3&lt;INDEX(Properties!$U:$U,$B106+5)),1,0))</f>
        <v>0</v>
      </c>
      <c r="BM106" cm="1">
        <f t="array" ref="BM106">INDEX(Properties!$D:$D,$B106+5)*(IF(AND(BM$3&gt;=INDEX(Properties!$T:$T,$B106+5),BM$3&lt;INDEX(Properties!$U:$U,$B106+5)),1,0))</f>
        <v>0</v>
      </c>
      <c r="BN106" cm="1">
        <f t="array" ref="BN106">INDEX(Properties!$D:$D,$B106+5)*(IF(AND(BN$3&gt;=INDEX(Properties!$T:$T,$B106+5),BN$3&lt;INDEX(Properties!$U:$U,$B106+5)),1,0))</f>
        <v>0</v>
      </c>
      <c r="BO106" cm="1">
        <f t="array" ref="BO106">INDEX(Properties!$D:$D,$B106+5)*(IF(AND(BO$3&gt;=INDEX(Properties!$T:$T,$B106+5),BO$3&lt;INDEX(Properties!$U:$U,$B106+5)),1,0))</f>
        <v>0</v>
      </c>
      <c r="BP106" cm="1">
        <f t="array" ref="BP106">INDEX(Properties!$D:$D,$B106+5)*(IF(AND(BP$3&gt;=INDEX(Properties!$T:$T,$B106+5),BP$3&lt;INDEX(Properties!$U:$U,$B106+5)),1,0))</f>
        <v>0</v>
      </c>
      <c r="BQ106" cm="1">
        <f t="array" ref="BQ106">INDEX(Properties!$D:$D,$B106+5)*(IF(AND(BQ$3&gt;=INDEX(Properties!$T:$T,$B106+5),BQ$3&lt;INDEX(Properties!$U:$U,$B106+5)),1,0))</f>
        <v>0</v>
      </c>
      <c r="BR106" cm="1">
        <f t="array" ref="BR106">INDEX(Properties!$D:$D,$B106+5)*(IF(AND(BR$3&gt;=INDEX(Properties!$T:$T,$B106+5),BR$3&lt;INDEX(Properties!$U:$U,$B106+5)),1,0))</f>
        <v>0</v>
      </c>
      <c r="BS106" cm="1">
        <f t="array" ref="BS106">INDEX(Properties!$D:$D,$B106+5)*(IF(AND(BS$3&gt;=INDEX(Properties!$T:$T,$B106+5),BS$3&lt;INDEX(Properties!$U:$U,$B106+5)),1,0))</f>
        <v>0</v>
      </c>
      <c r="BT106" cm="1">
        <f t="array" ref="BT106">INDEX(Properties!$D:$D,$B106+5)*(IF(AND(BT$3&gt;=INDEX(Properties!$T:$T,$B106+5),BT$3&lt;INDEX(Properties!$U:$U,$B106+5)),1,0))</f>
        <v>0</v>
      </c>
      <c r="BU106" cm="1">
        <f t="array" ref="BU106">INDEX(Properties!$D:$D,$B106+5)*(IF(AND(BU$3&gt;=INDEX(Properties!$T:$T,$B106+5),BU$3&lt;INDEX(Properties!$U:$U,$B106+5)),1,0))</f>
        <v>0</v>
      </c>
      <c r="BV106" cm="1">
        <f t="array" ref="BV106">INDEX(Properties!$D:$D,$B106+5)*(IF(AND(BV$3&gt;=INDEX(Properties!$T:$T,$B106+5),BV$3&lt;INDEX(Properties!$U:$U,$B106+5)),1,0))</f>
        <v>0</v>
      </c>
      <c r="BW106" cm="1">
        <f t="array" ref="BW106">INDEX(Properties!$D:$D,$B106+5)*(IF(AND(BW$3&gt;=INDEX(Properties!$T:$T,$B106+5),BW$3&lt;INDEX(Properties!$U:$U,$B106+5)),1,0))</f>
        <v>0</v>
      </c>
      <c r="BX106" cm="1">
        <f t="array" ref="BX106">INDEX(Properties!$D:$D,$B106+5)*(IF(AND(BX$3&gt;=INDEX(Properties!$T:$T,$B106+5),BX$3&lt;INDEX(Properties!$U:$U,$B106+5)),1,0))</f>
        <v>0</v>
      </c>
      <c r="BY106" cm="1">
        <f t="array" ref="BY106">INDEX(Properties!$D:$D,$B106+5)*(IF(AND(BY$3&gt;=INDEX(Properties!$T:$T,$B106+5),BY$3&lt;INDEX(Properties!$U:$U,$B106+5)),1,0))</f>
        <v>0</v>
      </c>
      <c r="BZ106" cm="1">
        <f t="array" ref="BZ106">INDEX(Properties!$D:$D,$B106+5)*(IF(AND(BZ$3&gt;=INDEX(Properties!$T:$T,$B106+5),BZ$3&lt;INDEX(Properties!$U:$U,$B106+5)),1,0))</f>
        <v>0</v>
      </c>
      <c r="CA106" cm="1">
        <f t="array" ref="CA106">INDEX(Properties!$D:$D,$B106+5)*(IF(AND(CA$3&gt;=INDEX(Properties!$T:$T,$B106+5),CA$3&lt;INDEX(Properties!$U:$U,$B106+5)),1,0))</f>
        <v>0</v>
      </c>
      <c r="CB106" cm="1">
        <f t="array" ref="CB106">INDEX(Properties!$D:$D,$B106+5)*(IF(AND(CB$3&gt;=INDEX(Properties!$T:$T,$B106+5),CB$3&lt;INDEX(Properties!$U:$U,$B106+5)),1,0))</f>
        <v>0</v>
      </c>
      <c r="CC106" cm="1">
        <f t="array" ref="CC106">INDEX(Properties!$D:$D,$B106+5)*(IF(AND(CC$3&gt;=INDEX(Properties!$T:$T,$B106+5),CC$3&lt;INDEX(Properties!$U:$U,$B106+5)),1,0))</f>
        <v>0</v>
      </c>
      <c r="CD106" cm="1">
        <f t="array" ref="CD106">INDEX(Properties!$D:$D,$B106+5)*(IF(AND(CD$3&gt;=INDEX(Properties!$T:$T,$B106+5),CD$3&lt;INDEX(Properties!$U:$U,$B106+5)),1,0))</f>
        <v>0</v>
      </c>
      <c r="CE106" cm="1">
        <f t="array" ref="CE106">INDEX(Properties!$D:$D,$B106+5)*(IF(AND(CE$3&gt;=INDEX(Properties!$T:$T,$B106+5),CE$3&lt;INDEX(Properties!$U:$U,$B106+5)),1,0))</f>
        <v>0</v>
      </c>
      <c r="CF106" cm="1">
        <f t="array" ref="CF106">INDEX(Properties!$D:$D,$B106+5)*(IF(AND(CF$3&gt;=INDEX(Properties!$T:$T,$B106+5),CF$3&lt;INDEX(Properties!$U:$U,$B106+5)),1,0))</f>
        <v>0</v>
      </c>
      <c r="CG106" cm="1">
        <f t="array" ref="CG106">INDEX(Properties!$D:$D,$B106+5)*(IF(AND(CG$3&gt;=INDEX(Properties!$T:$T,$B106+5),CG$3&lt;INDEX(Properties!$U:$U,$B106+5)),1,0))</f>
        <v>0</v>
      </c>
      <c r="CH106" cm="1">
        <f t="array" ref="CH106">INDEX(Properties!$D:$D,$B106+5)*(IF(AND(CH$3&gt;=INDEX(Properties!$T:$T,$B106+5),CH$3&lt;INDEX(Properties!$U:$U,$B106+5)),1,0))</f>
        <v>0</v>
      </c>
      <c r="CI106" cm="1">
        <f t="array" ref="CI106">INDEX(Properties!$D:$D,$B106+5)*(IF(AND(CI$3&gt;=INDEX(Properties!$T:$T,$B106+5),CI$3&lt;INDEX(Properties!$U:$U,$B106+5)),1,0))</f>
        <v>0</v>
      </c>
      <c r="CJ106" cm="1">
        <f t="array" ref="CJ106">INDEX(Properties!$D:$D,$B106+5)*(IF(AND(CJ$3&gt;=INDEX(Properties!$T:$T,$B106+5),CJ$3&lt;INDEX(Properties!$U:$U,$B106+5)),1,0))</f>
        <v>0</v>
      </c>
      <c r="CK106" cm="1">
        <f t="array" ref="CK106">INDEX(Properties!$D:$D,$B106+5)*(IF(AND(CK$3&gt;=INDEX(Properties!$T:$T,$B106+5),CK$3&lt;INDEX(Properties!$U:$U,$B106+5)),1,0))</f>
        <v>0</v>
      </c>
      <c r="CL106" cm="1">
        <f t="array" ref="CL106">INDEX(Properties!$D:$D,$B106+5)*(IF(AND(CL$3&gt;=INDEX(Properties!$T:$T,$B106+5),CL$3&lt;INDEX(Properties!$U:$U,$B106+5)),1,0))</f>
        <v>0</v>
      </c>
      <c r="CM106" cm="1">
        <f t="array" ref="CM106">INDEX(Properties!$D:$D,$B106+5)*(IF(AND(CM$3&gt;=INDEX(Properties!$T:$T,$B106+5),CM$3&lt;INDEX(Properties!$U:$U,$B106+5)),1,0))</f>
        <v>0</v>
      </c>
      <c r="CN106" cm="1">
        <f t="array" ref="CN106">INDEX(Properties!$D:$D,$B106+5)*(IF(AND(CN$3&gt;=INDEX(Properties!$T:$T,$B106+5),CN$3&lt;INDEX(Properties!$U:$U,$B106+5)),1,0))</f>
        <v>0</v>
      </c>
      <c r="CO106" cm="1">
        <f t="array" ref="CO106">INDEX(Properties!$D:$D,$B106+5)*(IF(AND(CO$3&gt;=INDEX(Properties!$T:$T,$B106+5),CO$3&lt;INDEX(Properties!$U:$U,$B106+5)),1,0))</f>
        <v>0</v>
      </c>
      <c r="CP106" cm="1">
        <f t="array" ref="CP106">INDEX(Properties!$D:$D,$B106+5)*(IF(AND(CP$3&gt;=INDEX(Properties!$T:$T,$B106+5),CP$3&lt;INDEX(Properties!$U:$U,$B106+5)),1,0))</f>
        <v>0</v>
      </c>
      <c r="CQ106" cm="1">
        <f t="array" ref="CQ106">INDEX(Properties!$D:$D,$B106+5)*(IF(AND(CQ$3&gt;=INDEX(Properties!$T:$T,$B106+5),CQ$3&lt;INDEX(Properties!$U:$U,$B106+5)),1,0))</f>
        <v>0</v>
      </c>
      <c r="CR106" cm="1">
        <f t="array" ref="CR106">INDEX(Properties!$D:$D,$B106+5)*(IF(AND(CR$3&gt;=INDEX(Properties!$T:$T,$B106+5),CR$3&lt;INDEX(Properties!$U:$U,$B106+5)),1,0))</f>
        <v>0</v>
      </c>
      <c r="CS106" cm="1">
        <f t="array" ref="CS106">INDEX(Properties!$D:$D,$B106+5)*(IF(AND(CS$3&gt;=INDEX(Properties!$T:$T,$B106+5),CS$3&lt;INDEX(Properties!$U:$U,$B106+5)),1,0))</f>
        <v>0</v>
      </c>
      <c r="CT106" cm="1">
        <f t="array" ref="CT106">INDEX(Properties!$D:$D,$B106+5)*(IF(AND(CT$3&gt;=INDEX(Properties!$T:$T,$B106+5),CT$3&lt;INDEX(Properties!$U:$U,$B106+5)),1,0))</f>
        <v>0</v>
      </c>
      <c r="CU106" cm="1">
        <f t="array" ref="CU106">INDEX(Properties!$D:$D,$B106+5)*(IF(AND(CU$3&gt;=INDEX(Properties!$T:$T,$B106+5),CU$3&lt;INDEX(Properties!$U:$U,$B106+5)),1,0))</f>
        <v>0</v>
      </c>
      <c r="CV106" cm="1">
        <f t="array" ref="CV106">INDEX(Properties!$D:$D,$B106+5)*(IF(AND(CV$3&gt;=INDEX(Properties!$T:$T,$B106+5),CV$3&lt;INDEX(Properties!$U:$U,$B106+5)),1,0))</f>
        <v>0</v>
      </c>
      <c r="CW106" cm="1">
        <f t="array" ref="CW106">INDEX(Properties!$D:$D,$B106+5)*(IF(AND(CW$3&gt;=INDEX(Properties!$T:$T,$B106+5),CW$3&lt;INDEX(Properties!$U:$U,$B106+5)),1,0))</f>
        <v>0</v>
      </c>
      <c r="CX106" cm="1">
        <f t="array" ref="CX106">INDEX(Properties!$D:$D,$B106+5)*(IF(AND(CX$3&gt;=INDEX(Properties!$T:$T,$B106+5),CX$3&lt;INDEX(Properties!$U:$U,$B106+5)),1,0))</f>
        <v>0</v>
      </c>
      <c r="CY106" cm="1">
        <f t="array" ref="CY106">INDEX(Properties!$D:$D,$B106+5)*(IF(AND(CY$3&gt;=INDEX(Properties!$T:$T,$B106+5),CY$3&lt;INDEX(Properties!$U:$U,$B106+5)),1,0))</f>
        <v>0</v>
      </c>
      <c r="CZ106" cm="1">
        <f t="array" ref="CZ106">INDEX(Properties!$D:$D,$B106+5)*(IF(AND(CZ$3&gt;=INDEX(Properties!$T:$T,$B106+5),CZ$3&lt;INDEX(Properties!$U:$U,$B106+5)),1,0))</f>
        <v>0</v>
      </c>
      <c r="DA106" cm="1">
        <f t="array" ref="DA106">INDEX(Properties!$D:$D,$B106+5)*(IF(AND(DA$3&gt;=INDEX(Properties!$T:$T,$B106+5),DA$3&lt;INDEX(Properties!$U:$U,$B106+5)),1,0))</f>
        <v>0</v>
      </c>
      <c r="DB106" cm="1">
        <f t="array" ref="DB106">INDEX(Properties!$D:$D,$B106+5)*(IF(AND(DB$3&gt;=INDEX(Properties!$T:$T,$B106+5),DB$3&lt;INDEX(Properties!$U:$U,$B106+5)),1,0))</f>
        <v>0</v>
      </c>
      <c r="DC106" cm="1">
        <f t="array" ref="DC106">INDEX(Properties!$D:$D,$B106+5)*(IF(AND(DC$3&gt;=INDEX(Properties!$T:$T,$B106+5),DC$3&lt;INDEX(Properties!$U:$U,$B106+5)),1,0))</f>
        <v>0</v>
      </c>
      <c r="DD106" cm="1">
        <f t="array" ref="DD106">INDEX(Properties!$D:$D,$B106+5)*(IF(AND(DD$3&gt;=INDEX(Properties!$T:$T,$B106+5),DD$3&lt;INDEX(Properties!$U:$U,$B106+5)),1,0))</f>
        <v>0</v>
      </c>
      <c r="DE106" cm="1">
        <f t="array" ref="DE106">INDEX(Properties!$D:$D,$B106+5)*(IF(AND(DE$3&gt;=INDEX(Properties!$T:$T,$B106+5),DE$3&lt;INDEX(Properties!$U:$U,$B106+5)),1,0))</f>
        <v>0</v>
      </c>
      <c r="DF106" cm="1">
        <f t="array" ref="DF106">INDEX(Properties!$D:$D,$B106+5)*(IF(AND(DF$3&gt;=INDEX(Properties!$T:$T,$B106+5),DF$3&lt;INDEX(Properties!$U:$U,$B106+5)),1,0))</f>
        <v>0</v>
      </c>
      <c r="DG106" cm="1">
        <f t="array" ref="DG106">INDEX(Properties!$D:$D,$B106+5)*(IF(AND(DG$3&gt;=INDEX(Properties!$T:$T,$B106+5),DG$3&lt;INDEX(Properties!$U:$U,$B106+5)),1,0))</f>
        <v>0</v>
      </c>
      <c r="DH106" cm="1">
        <f t="array" ref="DH106">INDEX(Properties!$D:$D,$B106+5)*(IF(AND(DH$3&gt;=INDEX(Properties!$T:$T,$B106+5),DH$3&lt;INDEX(Properties!$U:$U,$B106+5)),1,0))</f>
        <v>0</v>
      </c>
      <c r="DI106" cm="1">
        <f t="array" ref="DI106">INDEX(Properties!$D:$D,$B106+5)*(IF(AND(DI$3&gt;=INDEX(Properties!$T:$T,$B106+5),DI$3&lt;INDEX(Properties!$U:$U,$B106+5)),1,0))</f>
        <v>0</v>
      </c>
      <c r="DJ106" cm="1">
        <f t="array" ref="DJ106">INDEX(Properties!$D:$D,$B106+5)*(IF(AND(DJ$3&gt;=INDEX(Properties!$T:$T,$B106+5),DJ$3&lt;INDEX(Properties!$U:$U,$B106+5)),1,0))</f>
        <v>0</v>
      </c>
      <c r="DK106" cm="1">
        <f t="array" ref="DK106">INDEX(Properties!$D:$D,$B106+5)*(IF(AND(DK$3&gt;=INDEX(Properties!$T:$T,$B106+5),DK$3&lt;INDEX(Properties!$U:$U,$B106+5)),1,0))</f>
        <v>0</v>
      </c>
      <c r="DL106" cm="1">
        <f t="array" ref="DL106">INDEX(Properties!$D:$D,$B106+5)*(IF(AND(DL$3&gt;=INDEX(Properties!$T:$T,$B106+5),DL$3&lt;INDEX(Properties!$U:$U,$B106+5)),1,0))</f>
        <v>0</v>
      </c>
      <c r="DM106" cm="1">
        <f t="array" ref="DM106">INDEX(Properties!$D:$D,$B106+5)*(IF(AND(DM$3&gt;=INDEX(Properties!$T:$T,$B106+5),DM$3&lt;INDEX(Properties!$U:$U,$B106+5)),1,0))</f>
        <v>0</v>
      </c>
      <c r="DN106" cm="1">
        <f t="array" ref="DN106">INDEX(Properties!$D:$D,$B106+5)*(IF(AND(DN$3&gt;=INDEX(Properties!$T:$T,$B106+5),DN$3&lt;INDEX(Properties!$U:$U,$B106+5)),1,0))</f>
        <v>0</v>
      </c>
      <c r="DO106" cm="1">
        <f t="array" ref="DO106">INDEX(Properties!$D:$D,$B106+5)*(IF(AND(DO$3&gt;=INDEX(Properties!$T:$T,$B106+5),DO$3&lt;INDEX(Properties!$U:$U,$B106+5)),1,0))</f>
        <v>0</v>
      </c>
      <c r="DP106" cm="1">
        <f t="array" ref="DP106">INDEX(Properties!$D:$D,$B106+5)*(IF(AND(DP$3&gt;=INDEX(Properties!$T:$T,$B106+5),DP$3&lt;INDEX(Properties!$U:$U,$B106+5)),1,0))</f>
        <v>0</v>
      </c>
      <c r="DQ106" cm="1">
        <f t="array" ref="DQ106">INDEX(Properties!$D:$D,$B106+5)*(IF(AND(DQ$3&gt;=INDEX(Properties!$T:$T,$B106+5),DQ$3&lt;INDEX(Properties!$U:$U,$B106+5)),1,0))</f>
        <v>0</v>
      </c>
      <c r="DR106" cm="1">
        <f t="array" ref="DR106">INDEX(Properties!$D:$D,$B106+5)*(IF(AND(DR$3&gt;=INDEX(Properties!$T:$T,$B106+5),DR$3&lt;INDEX(Properties!$U:$U,$B106+5)),1,0))</f>
        <v>0</v>
      </c>
    </row>
    <row r="107" spans="1:122" ht="14.55" customHeight="1" x14ac:dyDescent="0.3">
      <c r="A107" cm="1">
        <f t="array" ref="A107">INDEX(Properties!$E:$E,$B107+5)</f>
        <v>0</v>
      </c>
      <c r="B107" s="1">
        <v>8</v>
      </c>
      <c r="C107" cm="1">
        <f t="array" ref="C107">INDEX(Properties!$D:$D,$B107+5)*(IF(AND(C$3&gt;=INDEX(Properties!$T:$T,$B107+5),C$3&lt;INDEX(Properties!$U:$U,$B107+5)),1,0))</f>
        <v>0</v>
      </c>
      <c r="D107" cm="1">
        <f t="array" ref="D107">INDEX(Properties!$D:$D,$B107+5)*(IF(AND(D$3&gt;=INDEX(Properties!$T:$T,$B107+5),D$3&lt;INDEX(Properties!$U:$U,$B107+5)),1,0))</f>
        <v>0</v>
      </c>
      <c r="E107" cm="1">
        <f t="array" ref="E107">INDEX(Properties!$D:$D,$B107+5)*(IF(AND(E$3&gt;=INDEX(Properties!$T:$T,$B107+5),E$3&lt;INDEX(Properties!$U:$U,$B107+5)),1,0))</f>
        <v>0</v>
      </c>
      <c r="F107" cm="1">
        <f t="array" ref="F107">INDEX(Properties!$D:$D,$B107+5)*(IF(AND(F$3&gt;=INDEX(Properties!$T:$T,$B107+5),F$3&lt;INDEX(Properties!$U:$U,$B107+5)),1,0))</f>
        <v>0</v>
      </c>
      <c r="G107" cm="1">
        <f t="array" ref="G107">INDEX(Properties!$D:$D,$B107+5)*(IF(AND(G$3&gt;=INDEX(Properties!$T:$T,$B107+5),G$3&lt;INDEX(Properties!$U:$U,$B107+5)),1,0))</f>
        <v>0</v>
      </c>
      <c r="H107" cm="1">
        <f t="array" ref="H107">INDEX(Properties!$D:$D,$B107+5)*(IF(AND(H$3&gt;=INDEX(Properties!$T:$T,$B107+5),H$3&lt;INDEX(Properties!$U:$U,$B107+5)),1,0))</f>
        <v>0</v>
      </c>
      <c r="I107" cm="1">
        <f t="array" ref="I107">INDEX(Properties!$D:$D,$B107+5)*(IF(AND(I$3&gt;=INDEX(Properties!$T:$T,$B107+5),I$3&lt;INDEX(Properties!$U:$U,$B107+5)),1,0))</f>
        <v>0</v>
      </c>
      <c r="J107" cm="1">
        <f t="array" ref="J107">INDEX(Properties!$D:$D,$B107+5)*(IF(AND(J$3&gt;=INDEX(Properties!$T:$T,$B107+5),J$3&lt;INDEX(Properties!$U:$U,$B107+5)),1,0))</f>
        <v>0</v>
      </c>
      <c r="K107" cm="1">
        <f t="array" ref="K107">INDEX(Properties!$D:$D,$B107+5)*(IF(AND(K$3&gt;=INDEX(Properties!$T:$T,$B107+5),K$3&lt;INDEX(Properties!$U:$U,$B107+5)),1,0))</f>
        <v>0</v>
      </c>
      <c r="L107" cm="1">
        <f t="array" ref="L107">INDEX(Properties!$D:$D,$B107+5)*(IF(AND(L$3&gt;=INDEX(Properties!$T:$T,$B107+5),L$3&lt;INDEX(Properties!$U:$U,$B107+5)),1,0))</f>
        <v>0</v>
      </c>
      <c r="M107" cm="1">
        <f t="array" ref="M107">INDEX(Properties!$D:$D,$B107+5)*(IF(AND(M$3&gt;=INDEX(Properties!$T:$T,$B107+5),M$3&lt;INDEX(Properties!$U:$U,$B107+5)),1,0))</f>
        <v>0</v>
      </c>
      <c r="N107" cm="1">
        <f t="array" ref="N107">INDEX(Properties!$D:$D,$B107+5)*(IF(AND(N$3&gt;=INDEX(Properties!$T:$T,$B107+5),N$3&lt;INDEX(Properties!$U:$U,$B107+5)),1,0))</f>
        <v>0</v>
      </c>
      <c r="O107" cm="1">
        <f t="array" ref="O107">INDEX(Properties!$D:$D,$B107+5)*(IF(AND(O$3&gt;=INDEX(Properties!$T:$T,$B107+5),O$3&lt;INDEX(Properties!$U:$U,$B107+5)),1,0))</f>
        <v>0</v>
      </c>
      <c r="P107" cm="1">
        <f t="array" ref="P107">INDEX(Properties!$D:$D,$B107+5)*(IF(AND(P$3&gt;=INDEX(Properties!$T:$T,$B107+5),P$3&lt;INDEX(Properties!$U:$U,$B107+5)),1,0))</f>
        <v>0</v>
      </c>
      <c r="Q107" cm="1">
        <f t="array" ref="Q107">INDEX(Properties!$D:$D,$B107+5)*(IF(AND(Q$3&gt;=INDEX(Properties!$T:$T,$B107+5),Q$3&lt;INDEX(Properties!$U:$U,$B107+5)),1,0))</f>
        <v>0</v>
      </c>
      <c r="R107" cm="1">
        <f t="array" ref="R107">INDEX(Properties!$D:$D,$B107+5)*(IF(AND(R$3&gt;=INDEX(Properties!$T:$T,$B107+5),R$3&lt;INDEX(Properties!$U:$U,$B107+5)),1,0))</f>
        <v>0</v>
      </c>
      <c r="S107" cm="1">
        <f t="array" ref="S107">INDEX(Properties!$D:$D,$B107+5)*(IF(AND(S$3&gt;=INDEX(Properties!$T:$T,$B107+5),S$3&lt;INDEX(Properties!$U:$U,$B107+5)),1,0))</f>
        <v>0</v>
      </c>
      <c r="T107" cm="1">
        <f t="array" ref="T107">INDEX(Properties!$D:$D,$B107+5)*(IF(AND(T$3&gt;=INDEX(Properties!$T:$T,$B107+5),T$3&lt;INDEX(Properties!$U:$U,$B107+5)),1,0))</f>
        <v>0</v>
      </c>
      <c r="U107" cm="1">
        <f t="array" ref="U107">INDEX(Properties!$D:$D,$B107+5)*(IF(AND(U$3&gt;=INDEX(Properties!$T:$T,$B107+5),U$3&lt;INDEX(Properties!$U:$U,$B107+5)),1,0))</f>
        <v>0</v>
      </c>
      <c r="V107" cm="1">
        <f t="array" ref="V107">INDEX(Properties!$D:$D,$B107+5)*(IF(AND(V$3&gt;=INDEX(Properties!$T:$T,$B107+5),V$3&lt;INDEX(Properties!$U:$U,$B107+5)),1,0))</f>
        <v>0</v>
      </c>
      <c r="W107" cm="1">
        <f t="array" ref="W107">INDEX(Properties!$D:$D,$B107+5)*(IF(AND(W$3&gt;=INDEX(Properties!$T:$T,$B107+5),W$3&lt;INDEX(Properties!$U:$U,$B107+5)),1,0))</f>
        <v>0</v>
      </c>
      <c r="X107" cm="1">
        <f t="array" ref="X107">INDEX(Properties!$D:$D,$B107+5)*(IF(AND(X$3&gt;=INDEX(Properties!$T:$T,$B107+5),X$3&lt;INDEX(Properties!$U:$U,$B107+5)),1,0))</f>
        <v>0</v>
      </c>
      <c r="Y107" cm="1">
        <f t="array" ref="Y107">INDEX(Properties!$D:$D,$B107+5)*(IF(AND(Y$3&gt;=INDEX(Properties!$T:$T,$B107+5),Y$3&lt;INDEX(Properties!$U:$U,$B107+5)),1,0))</f>
        <v>0</v>
      </c>
      <c r="Z107" cm="1">
        <f t="array" ref="Z107">INDEX(Properties!$D:$D,$B107+5)*(IF(AND(Z$3&gt;=INDEX(Properties!$T:$T,$B107+5),Z$3&lt;INDEX(Properties!$U:$U,$B107+5)),1,0))</f>
        <v>0</v>
      </c>
      <c r="AA107" cm="1">
        <f t="array" ref="AA107">INDEX(Properties!$D:$D,$B107+5)*(IF(AND(AA$3&gt;=INDEX(Properties!$T:$T,$B107+5),AA$3&lt;INDEX(Properties!$U:$U,$B107+5)),1,0))</f>
        <v>0</v>
      </c>
      <c r="AB107" cm="1">
        <f t="array" ref="AB107">INDEX(Properties!$D:$D,$B107+5)*(IF(AND(AB$3&gt;=INDEX(Properties!$T:$T,$B107+5),AB$3&lt;INDEX(Properties!$U:$U,$B107+5)),1,0))</f>
        <v>0</v>
      </c>
      <c r="AC107" cm="1">
        <f t="array" ref="AC107">INDEX(Properties!$D:$D,$B107+5)*(IF(AND(AC$3&gt;=INDEX(Properties!$T:$T,$B107+5),AC$3&lt;INDEX(Properties!$U:$U,$B107+5)),1,0))</f>
        <v>0</v>
      </c>
      <c r="AD107" cm="1">
        <f t="array" ref="AD107">INDEX(Properties!$D:$D,$B107+5)*(IF(AND(AD$3&gt;=INDEX(Properties!$T:$T,$B107+5),AD$3&lt;INDEX(Properties!$U:$U,$B107+5)),1,0))</f>
        <v>0</v>
      </c>
      <c r="AE107" cm="1">
        <f t="array" ref="AE107">INDEX(Properties!$D:$D,$B107+5)*(IF(AND(AE$3&gt;=INDEX(Properties!$T:$T,$B107+5),AE$3&lt;INDEX(Properties!$U:$U,$B107+5)),1,0))</f>
        <v>0</v>
      </c>
      <c r="AF107" cm="1">
        <f t="array" ref="AF107">INDEX(Properties!$D:$D,$B107+5)*(IF(AND(AF$3&gt;=INDEX(Properties!$T:$T,$B107+5),AF$3&lt;INDEX(Properties!$U:$U,$B107+5)),1,0))</f>
        <v>0</v>
      </c>
      <c r="AG107" cm="1">
        <f t="array" ref="AG107">INDEX(Properties!$D:$D,$B107+5)*(IF(AND(AG$3&gt;=INDEX(Properties!$T:$T,$B107+5),AG$3&lt;INDEX(Properties!$U:$U,$B107+5)),1,0))</f>
        <v>0</v>
      </c>
      <c r="AH107" cm="1">
        <f t="array" ref="AH107">INDEX(Properties!$D:$D,$B107+5)*(IF(AND(AH$3&gt;=INDEX(Properties!$T:$T,$B107+5),AH$3&lt;INDEX(Properties!$U:$U,$B107+5)),1,0))</f>
        <v>0</v>
      </c>
      <c r="AI107" cm="1">
        <f t="array" ref="AI107">INDEX(Properties!$D:$D,$B107+5)*(IF(AND(AI$3&gt;=INDEX(Properties!$T:$T,$B107+5),AI$3&lt;INDEX(Properties!$U:$U,$B107+5)),1,0))</f>
        <v>0</v>
      </c>
      <c r="AJ107" cm="1">
        <f t="array" ref="AJ107">INDEX(Properties!$D:$D,$B107+5)*(IF(AND(AJ$3&gt;=INDEX(Properties!$T:$T,$B107+5),AJ$3&lt;INDEX(Properties!$U:$U,$B107+5)),1,0))</f>
        <v>0</v>
      </c>
      <c r="AK107" cm="1">
        <f t="array" ref="AK107">INDEX(Properties!$D:$D,$B107+5)*(IF(AND(AK$3&gt;=INDEX(Properties!$T:$T,$B107+5),AK$3&lt;INDEX(Properties!$U:$U,$B107+5)),1,0))</f>
        <v>0</v>
      </c>
      <c r="AL107" cm="1">
        <f t="array" ref="AL107">INDEX(Properties!$D:$D,$B107+5)*(IF(AND(AL$3&gt;=INDEX(Properties!$T:$T,$B107+5),AL$3&lt;INDEX(Properties!$U:$U,$B107+5)),1,0))</f>
        <v>0</v>
      </c>
      <c r="AM107" cm="1">
        <f t="array" ref="AM107">INDEX(Properties!$D:$D,$B107+5)*(IF(AND(AM$3&gt;=INDEX(Properties!$T:$T,$B107+5),AM$3&lt;INDEX(Properties!$U:$U,$B107+5)),1,0))</f>
        <v>0</v>
      </c>
      <c r="AN107" cm="1">
        <f t="array" ref="AN107">INDEX(Properties!$D:$D,$B107+5)*(IF(AND(AN$3&gt;=INDEX(Properties!$T:$T,$B107+5),AN$3&lt;INDEX(Properties!$U:$U,$B107+5)),1,0))</f>
        <v>0</v>
      </c>
      <c r="AO107" cm="1">
        <f t="array" ref="AO107">INDEX(Properties!$D:$D,$B107+5)*(IF(AND(AO$3&gt;=INDEX(Properties!$T:$T,$B107+5),AO$3&lt;INDEX(Properties!$U:$U,$B107+5)),1,0))</f>
        <v>0</v>
      </c>
      <c r="AP107" cm="1">
        <f t="array" ref="AP107">INDEX(Properties!$D:$D,$B107+5)*(IF(AND(AP$3&gt;=INDEX(Properties!$T:$T,$B107+5),AP$3&lt;INDEX(Properties!$U:$U,$B107+5)),1,0))</f>
        <v>0</v>
      </c>
      <c r="AQ107" cm="1">
        <f t="array" ref="AQ107">INDEX(Properties!$D:$D,$B107+5)*(IF(AND(AQ$3&gt;=INDEX(Properties!$T:$T,$B107+5),AQ$3&lt;INDEX(Properties!$U:$U,$B107+5)),1,0))</f>
        <v>0</v>
      </c>
      <c r="AR107" cm="1">
        <f t="array" ref="AR107">INDEX(Properties!$D:$D,$B107+5)*(IF(AND(AR$3&gt;=INDEX(Properties!$T:$T,$B107+5),AR$3&lt;INDEX(Properties!$U:$U,$B107+5)),1,0))</f>
        <v>0</v>
      </c>
      <c r="AS107" cm="1">
        <f t="array" ref="AS107">INDEX(Properties!$D:$D,$B107+5)*(IF(AND(AS$3&gt;=INDEX(Properties!$T:$T,$B107+5),AS$3&lt;INDEX(Properties!$U:$U,$B107+5)),1,0))</f>
        <v>0</v>
      </c>
      <c r="AT107" cm="1">
        <f t="array" ref="AT107">INDEX(Properties!$D:$D,$B107+5)*(IF(AND(AT$3&gt;=INDEX(Properties!$T:$T,$B107+5),AT$3&lt;INDEX(Properties!$U:$U,$B107+5)),1,0))</f>
        <v>0</v>
      </c>
      <c r="AU107" cm="1">
        <f t="array" ref="AU107">INDEX(Properties!$D:$D,$B107+5)*(IF(AND(AU$3&gt;=INDEX(Properties!$T:$T,$B107+5),AU$3&lt;INDEX(Properties!$U:$U,$B107+5)),1,0))</f>
        <v>0</v>
      </c>
      <c r="AV107" cm="1">
        <f t="array" ref="AV107">INDEX(Properties!$D:$D,$B107+5)*(IF(AND(AV$3&gt;=INDEX(Properties!$T:$T,$B107+5),AV$3&lt;INDEX(Properties!$U:$U,$B107+5)),1,0))</f>
        <v>0</v>
      </c>
      <c r="AW107" cm="1">
        <f t="array" ref="AW107">INDEX(Properties!$D:$D,$B107+5)*(IF(AND(AW$3&gt;=INDEX(Properties!$T:$T,$B107+5),AW$3&lt;INDEX(Properties!$U:$U,$B107+5)),1,0))</f>
        <v>0</v>
      </c>
      <c r="AX107" cm="1">
        <f t="array" ref="AX107">INDEX(Properties!$D:$D,$B107+5)*(IF(AND(AX$3&gt;=INDEX(Properties!$T:$T,$B107+5),AX$3&lt;INDEX(Properties!$U:$U,$B107+5)),1,0))</f>
        <v>0</v>
      </c>
      <c r="AY107" cm="1">
        <f t="array" ref="AY107">INDEX(Properties!$D:$D,$B107+5)*(IF(AND(AY$3&gt;=INDEX(Properties!$T:$T,$B107+5),AY$3&lt;INDEX(Properties!$U:$U,$B107+5)),1,0))</f>
        <v>0</v>
      </c>
      <c r="AZ107" cm="1">
        <f t="array" ref="AZ107">INDEX(Properties!$D:$D,$B107+5)*(IF(AND(AZ$3&gt;=INDEX(Properties!$T:$T,$B107+5),AZ$3&lt;INDEX(Properties!$U:$U,$B107+5)),1,0))</f>
        <v>0</v>
      </c>
      <c r="BA107" cm="1">
        <f t="array" ref="BA107">INDEX(Properties!$D:$D,$B107+5)*(IF(AND(BA$3&gt;=INDEX(Properties!$T:$T,$B107+5),BA$3&lt;INDEX(Properties!$U:$U,$B107+5)),1,0))</f>
        <v>0</v>
      </c>
      <c r="BB107" cm="1">
        <f t="array" ref="BB107">INDEX(Properties!$D:$D,$B107+5)*(IF(AND(BB$3&gt;=INDEX(Properties!$T:$T,$B107+5),BB$3&lt;INDEX(Properties!$U:$U,$B107+5)),1,0))</f>
        <v>0</v>
      </c>
      <c r="BC107" cm="1">
        <f t="array" ref="BC107">INDEX(Properties!$D:$D,$B107+5)*(IF(AND(BC$3&gt;=INDEX(Properties!$T:$T,$B107+5),BC$3&lt;INDEX(Properties!$U:$U,$B107+5)),1,0))</f>
        <v>0</v>
      </c>
      <c r="BD107" cm="1">
        <f t="array" ref="BD107">INDEX(Properties!$D:$D,$B107+5)*(IF(AND(BD$3&gt;=INDEX(Properties!$T:$T,$B107+5),BD$3&lt;INDEX(Properties!$U:$U,$B107+5)),1,0))</f>
        <v>0</v>
      </c>
      <c r="BE107" cm="1">
        <f t="array" ref="BE107">INDEX(Properties!$D:$D,$B107+5)*(IF(AND(BE$3&gt;=INDEX(Properties!$T:$T,$B107+5),BE$3&lt;INDEX(Properties!$U:$U,$B107+5)),1,0))</f>
        <v>0</v>
      </c>
      <c r="BF107" cm="1">
        <f t="array" ref="BF107">INDEX(Properties!$D:$D,$B107+5)*(IF(AND(BF$3&gt;=INDEX(Properties!$T:$T,$B107+5),BF$3&lt;INDEX(Properties!$U:$U,$B107+5)),1,0))</f>
        <v>0</v>
      </c>
      <c r="BG107" cm="1">
        <f t="array" ref="BG107">INDEX(Properties!$D:$D,$B107+5)*(IF(AND(BG$3&gt;=INDEX(Properties!$T:$T,$B107+5),BG$3&lt;INDEX(Properties!$U:$U,$B107+5)),1,0))</f>
        <v>0</v>
      </c>
      <c r="BH107" cm="1">
        <f t="array" ref="BH107">INDEX(Properties!$D:$D,$B107+5)*(IF(AND(BH$3&gt;=INDEX(Properties!$T:$T,$B107+5),BH$3&lt;INDEX(Properties!$U:$U,$B107+5)),1,0))</f>
        <v>0</v>
      </c>
      <c r="BI107" cm="1">
        <f t="array" ref="BI107">INDEX(Properties!$D:$D,$B107+5)*(IF(AND(BI$3&gt;=INDEX(Properties!$T:$T,$B107+5),BI$3&lt;INDEX(Properties!$U:$U,$B107+5)),1,0))</f>
        <v>0</v>
      </c>
      <c r="BJ107" cm="1">
        <f t="array" ref="BJ107">INDEX(Properties!$D:$D,$B107+5)*(IF(AND(BJ$3&gt;=INDEX(Properties!$T:$T,$B107+5),BJ$3&lt;INDEX(Properties!$U:$U,$B107+5)),1,0))</f>
        <v>0</v>
      </c>
      <c r="BK107" cm="1">
        <f t="array" ref="BK107">INDEX(Properties!$D:$D,$B107+5)*(IF(AND(BK$3&gt;=INDEX(Properties!$T:$T,$B107+5),BK$3&lt;INDEX(Properties!$U:$U,$B107+5)),1,0))</f>
        <v>0</v>
      </c>
      <c r="BL107" cm="1">
        <f t="array" ref="BL107">INDEX(Properties!$D:$D,$B107+5)*(IF(AND(BL$3&gt;=INDEX(Properties!$T:$T,$B107+5),BL$3&lt;INDEX(Properties!$U:$U,$B107+5)),1,0))</f>
        <v>0</v>
      </c>
      <c r="BM107" cm="1">
        <f t="array" ref="BM107">INDEX(Properties!$D:$D,$B107+5)*(IF(AND(BM$3&gt;=INDEX(Properties!$T:$T,$B107+5),BM$3&lt;INDEX(Properties!$U:$U,$B107+5)),1,0))</f>
        <v>0</v>
      </c>
      <c r="BN107" cm="1">
        <f t="array" ref="BN107">INDEX(Properties!$D:$D,$B107+5)*(IF(AND(BN$3&gt;=INDEX(Properties!$T:$T,$B107+5),BN$3&lt;INDEX(Properties!$U:$U,$B107+5)),1,0))</f>
        <v>0</v>
      </c>
      <c r="BO107" cm="1">
        <f t="array" ref="BO107">INDEX(Properties!$D:$D,$B107+5)*(IF(AND(BO$3&gt;=INDEX(Properties!$T:$T,$B107+5),BO$3&lt;INDEX(Properties!$U:$U,$B107+5)),1,0))</f>
        <v>0</v>
      </c>
      <c r="BP107" cm="1">
        <f t="array" ref="BP107">INDEX(Properties!$D:$D,$B107+5)*(IF(AND(BP$3&gt;=INDEX(Properties!$T:$T,$B107+5),BP$3&lt;INDEX(Properties!$U:$U,$B107+5)),1,0))</f>
        <v>0</v>
      </c>
      <c r="BQ107" cm="1">
        <f t="array" ref="BQ107">INDEX(Properties!$D:$D,$B107+5)*(IF(AND(BQ$3&gt;=INDEX(Properties!$T:$T,$B107+5),BQ$3&lt;INDEX(Properties!$U:$U,$B107+5)),1,0))</f>
        <v>0</v>
      </c>
      <c r="BR107" cm="1">
        <f t="array" ref="BR107">INDEX(Properties!$D:$D,$B107+5)*(IF(AND(BR$3&gt;=INDEX(Properties!$T:$T,$B107+5),BR$3&lt;INDEX(Properties!$U:$U,$B107+5)),1,0))</f>
        <v>0</v>
      </c>
      <c r="BS107" cm="1">
        <f t="array" ref="BS107">INDEX(Properties!$D:$D,$B107+5)*(IF(AND(BS$3&gt;=INDEX(Properties!$T:$T,$B107+5),BS$3&lt;INDEX(Properties!$U:$U,$B107+5)),1,0))</f>
        <v>0</v>
      </c>
      <c r="BT107" cm="1">
        <f t="array" ref="BT107">INDEX(Properties!$D:$D,$B107+5)*(IF(AND(BT$3&gt;=INDEX(Properties!$T:$T,$B107+5),BT$3&lt;INDEX(Properties!$U:$U,$B107+5)),1,0))</f>
        <v>0</v>
      </c>
      <c r="BU107" cm="1">
        <f t="array" ref="BU107">INDEX(Properties!$D:$D,$B107+5)*(IF(AND(BU$3&gt;=INDEX(Properties!$T:$T,$B107+5),BU$3&lt;INDEX(Properties!$U:$U,$B107+5)),1,0))</f>
        <v>0</v>
      </c>
      <c r="BV107" cm="1">
        <f t="array" ref="BV107">INDEX(Properties!$D:$D,$B107+5)*(IF(AND(BV$3&gt;=INDEX(Properties!$T:$T,$B107+5),BV$3&lt;INDEX(Properties!$U:$U,$B107+5)),1,0))</f>
        <v>0</v>
      </c>
      <c r="BW107" cm="1">
        <f t="array" ref="BW107">INDEX(Properties!$D:$D,$B107+5)*(IF(AND(BW$3&gt;=INDEX(Properties!$T:$T,$B107+5),BW$3&lt;INDEX(Properties!$U:$U,$B107+5)),1,0))</f>
        <v>0</v>
      </c>
      <c r="BX107" cm="1">
        <f t="array" ref="BX107">INDEX(Properties!$D:$D,$B107+5)*(IF(AND(BX$3&gt;=INDEX(Properties!$T:$T,$B107+5),BX$3&lt;INDEX(Properties!$U:$U,$B107+5)),1,0))</f>
        <v>0</v>
      </c>
      <c r="BY107" cm="1">
        <f t="array" ref="BY107">INDEX(Properties!$D:$D,$B107+5)*(IF(AND(BY$3&gt;=INDEX(Properties!$T:$T,$B107+5),BY$3&lt;INDEX(Properties!$U:$U,$B107+5)),1,0))</f>
        <v>0</v>
      </c>
      <c r="BZ107" cm="1">
        <f t="array" ref="BZ107">INDEX(Properties!$D:$D,$B107+5)*(IF(AND(BZ$3&gt;=INDEX(Properties!$T:$T,$B107+5),BZ$3&lt;INDEX(Properties!$U:$U,$B107+5)),1,0))</f>
        <v>0</v>
      </c>
      <c r="CA107" cm="1">
        <f t="array" ref="CA107">INDEX(Properties!$D:$D,$B107+5)*(IF(AND(CA$3&gt;=INDEX(Properties!$T:$T,$B107+5),CA$3&lt;INDEX(Properties!$U:$U,$B107+5)),1,0))</f>
        <v>0</v>
      </c>
      <c r="CB107" cm="1">
        <f t="array" ref="CB107">INDEX(Properties!$D:$D,$B107+5)*(IF(AND(CB$3&gt;=INDEX(Properties!$T:$T,$B107+5),CB$3&lt;INDEX(Properties!$U:$U,$B107+5)),1,0))</f>
        <v>0</v>
      </c>
      <c r="CC107" cm="1">
        <f t="array" ref="CC107">INDEX(Properties!$D:$D,$B107+5)*(IF(AND(CC$3&gt;=INDEX(Properties!$T:$T,$B107+5),CC$3&lt;INDEX(Properties!$U:$U,$B107+5)),1,0))</f>
        <v>0</v>
      </c>
      <c r="CD107" cm="1">
        <f t="array" ref="CD107">INDEX(Properties!$D:$D,$B107+5)*(IF(AND(CD$3&gt;=INDEX(Properties!$T:$T,$B107+5),CD$3&lt;INDEX(Properties!$U:$U,$B107+5)),1,0))</f>
        <v>0</v>
      </c>
      <c r="CE107" cm="1">
        <f t="array" ref="CE107">INDEX(Properties!$D:$D,$B107+5)*(IF(AND(CE$3&gt;=INDEX(Properties!$T:$T,$B107+5),CE$3&lt;INDEX(Properties!$U:$U,$B107+5)),1,0))</f>
        <v>0</v>
      </c>
      <c r="CF107" cm="1">
        <f t="array" ref="CF107">INDEX(Properties!$D:$D,$B107+5)*(IF(AND(CF$3&gt;=INDEX(Properties!$T:$T,$B107+5),CF$3&lt;INDEX(Properties!$U:$U,$B107+5)),1,0))</f>
        <v>0</v>
      </c>
      <c r="CG107" cm="1">
        <f t="array" ref="CG107">INDEX(Properties!$D:$D,$B107+5)*(IF(AND(CG$3&gt;=INDEX(Properties!$T:$T,$B107+5),CG$3&lt;INDEX(Properties!$U:$U,$B107+5)),1,0))</f>
        <v>0</v>
      </c>
      <c r="CH107" cm="1">
        <f t="array" ref="CH107">INDEX(Properties!$D:$D,$B107+5)*(IF(AND(CH$3&gt;=INDEX(Properties!$T:$T,$B107+5),CH$3&lt;INDEX(Properties!$U:$U,$B107+5)),1,0))</f>
        <v>0</v>
      </c>
      <c r="CI107" cm="1">
        <f t="array" ref="CI107">INDEX(Properties!$D:$D,$B107+5)*(IF(AND(CI$3&gt;=INDEX(Properties!$T:$T,$B107+5),CI$3&lt;INDEX(Properties!$U:$U,$B107+5)),1,0))</f>
        <v>0</v>
      </c>
      <c r="CJ107" cm="1">
        <f t="array" ref="CJ107">INDEX(Properties!$D:$D,$B107+5)*(IF(AND(CJ$3&gt;=INDEX(Properties!$T:$T,$B107+5),CJ$3&lt;INDEX(Properties!$U:$U,$B107+5)),1,0))</f>
        <v>0</v>
      </c>
      <c r="CK107" cm="1">
        <f t="array" ref="CK107">INDEX(Properties!$D:$D,$B107+5)*(IF(AND(CK$3&gt;=INDEX(Properties!$T:$T,$B107+5),CK$3&lt;INDEX(Properties!$U:$U,$B107+5)),1,0))</f>
        <v>0</v>
      </c>
      <c r="CL107" cm="1">
        <f t="array" ref="CL107">INDEX(Properties!$D:$D,$B107+5)*(IF(AND(CL$3&gt;=INDEX(Properties!$T:$T,$B107+5),CL$3&lt;INDEX(Properties!$U:$U,$B107+5)),1,0))</f>
        <v>0</v>
      </c>
      <c r="CM107" cm="1">
        <f t="array" ref="CM107">INDEX(Properties!$D:$D,$B107+5)*(IF(AND(CM$3&gt;=INDEX(Properties!$T:$T,$B107+5),CM$3&lt;INDEX(Properties!$U:$U,$B107+5)),1,0))</f>
        <v>0</v>
      </c>
      <c r="CN107" cm="1">
        <f t="array" ref="CN107">INDEX(Properties!$D:$D,$B107+5)*(IF(AND(CN$3&gt;=INDEX(Properties!$T:$T,$B107+5),CN$3&lt;INDEX(Properties!$U:$U,$B107+5)),1,0))</f>
        <v>0</v>
      </c>
      <c r="CO107" cm="1">
        <f t="array" ref="CO107">INDEX(Properties!$D:$D,$B107+5)*(IF(AND(CO$3&gt;=INDEX(Properties!$T:$T,$B107+5),CO$3&lt;INDEX(Properties!$U:$U,$B107+5)),1,0))</f>
        <v>0</v>
      </c>
      <c r="CP107" cm="1">
        <f t="array" ref="CP107">INDEX(Properties!$D:$D,$B107+5)*(IF(AND(CP$3&gt;=INDEX(Properties!$T:$T,$B107+5),CP$3&lt;INDEX(Properties!$U:$U,$B107+5)),1,0))</f>
        <v>0</v>
      </c>
      <c r="CQ107" cm="1">
        <f t="array" ref="CQ107">INDEX(Properties!$D:$D,$B107+5)*(IF(AND(CQ$3&gt;=INDEX(Properties!$T:$T,$B107+5),CQ$3&lt;INDEX(Properties!$U:$U,$B107+5)),1,0))</f>
        <v>0</v>
      </c>
      <c r="CR107" cm="1">
        <f t="array" ref="CR107">INDEX(Properties!$D:$D,$B107+5)*(IF(AND(CR$3&gt;=INDEX(Properties!$T:$T,$B107+5),CR$3&lt;INDEX(Properties!$U:$U,$B107+5)),1,0))</f>
        <v>0</v>
      </c>
      <c r="CS107" cm="1">
        <f t="array" ref="CS107">INDEX(Properties!$D:$D,$B107+5)*(IF(AND(CS$3&gt;=INDEX(Properties!$T:$T,$B107+5),CS$3&lt;INDEX(Properties!$U:$U,$B107+5)),1,0))</f>
        <v>0</v>
      </c>
      <c r="CT107" cm="1">
        <f t="array" ref="CT107">INDEX(Properties!$D:$D,$B107+5)*(IF(AND(CT$3&gt;=INDEX(Properties!$T:$T,$B107+5),CT$3&lt;INDEX(Properties!$U:$U,$B107+5)),1,0))</f>
        <v>0</v>
      </c>
      <c r="CU107" cm="1">
        <f t="array" ref="CU107">INDEX(Properties!$D:$D,$B107+5)*(IF(AND(CU$3&gt;=INDEX(Properties!$T:$T,$B107+5),CU$3&lt;INDEX(Properties!$U:$U,$B107+5)),1,0))</f>
        <v>0</v>
      </c>
      <c r="CV107" cm="1">
        <f t="array" ref="CV107">INDEX(Properties!$D:$D,$B107+5)*(IF(AND(CV$3&gt;=INDEX(Properties!$T:$T,$B107+5),CV$3&lt;INDEX(Properties!$U:$U,$B107+5)),1,0))</f>
        <v>0</v>
      </c>
      <c r="CW107" cm="1">
        <f t="array" ref="CW107">INDEX(Properties!$D:$D,$B107+5)*(IF(AND(CW$3&gt;=INDEX(Properties!$T:$T,$B107+5),CW$3&lt;INDEX(Properties!$U:$U,$B107+5)),1,0))</f>
        <v>0</v>
      </c>
      <c r="CX107" cm="1">
        <f t="array" ref="CX107">INDEX(Properties!$D:$D,$B107+5)*(IF(AND(CX$3&gt;=INDEX(Properties!$T:$T,$B107+5),CX$3&lt;INDEX(Properties!$U:$U,$B107+5)),1,0))</f>
        <v>0</v>
      </c>
      <c r="CY107" cm="1">
        <f t="array" ref="CY107">INDEX(Properties!$D:$D,$B107+5)*(IF(AND(CY$3&gt;=INDEX(Properties!$T:$T,$B107+5),CY$3&lt;INDEX(Properties!$U:$U,$B107+5)),1,0))</f>
        <v>0</v>
      </c>
      <c r="CZ107" cm="1">
        <f t="array" ref="CZ107">INDEX(Properties!$D:$D,$B107+5)*(IF(AND(CZ$3&gt;=INDEX(Properties!$T:$T,$B107+5),CZ$3&lt;INDEX(Properties!$U:$U,$B107+5)),1,0))</f>
        <v>0</v>
      </c>
      <c r="DA107" cm="1">
        <f t="array" ref="DA107">INDEX(Properties!$D:$D,$B107+5)*(IF(AND(DA$3&gt;=INDEX(Properties!$T:$T,$B107+5),DA$3&lt;INDEX(Properties!$U:$U,$B107+5)),1,0))</f>
        <v>0</v>
      </c>
      <c r="DB107" cm="1">
        <f t="array" ref="DB107">INDEX(Properties!$D:$D,$B107+5)*(IF(AND(DB$3&gt;=INDEX(Properties!$T:$T,$B107+5),DB$3&lt;INDEX(Properties!$U:$U,$B107+5)),1,0))</f>
        <v>0</v>
      </c>
      <c r="DC107" cm="1">
        <f t="array" ref="DC107">INDEX(Properties!$D:$D,$B107+5)*(IF(AND(DC$3&gt;=INDEX(Properties!$T:$T,$B107+5),DC$3&lt;INDEX(Properties!$U:$U,$B107+5)),1,0))</f>
        <v>0</v>
      </c>
      <c r="DD107" cm="1">
        <f t="array" ref="DD107">INDEX(Properties!$D:$D,$B107+5)*(IF(AND(DD$3&gt;=INDEX(Properties!$T:$T,$B107+5),DD$3&lt;INDEX(Properties!$U:$U,$B107+5)),1,0))</f>
        <v>0</v>
      </c>
      <c r="DE107" cm="1">
        <f t="array" ref="DE107">INDEX(Properties!$D:$D,$B107+5)*(IF(AND(DE$3&gt;=INDEX(Properties!$T:$T,$B107+5),DE$3&lt;INDEX(Properties!$U:$U,$B107+5)),1,0))</f>
        <v>0</v>
      </c>
      <c r="DF107" cm="1">
        <f t="array" ref="DF107">INDEX(Properties!$D:$D,$B107+5)*(IF(AND(DF$3&gt;=INDEX(Properties!$T:$T,$B107+5),DF$3&lt;INDEX(Properties!$U:$U,$B107+5)),1,0))</f>
        <v>0</v>
      </c>
      <c r="DG107" cm="1">
        <f t="array" ref="DG107">INDEX(Properties!$D:$D,$B107+5)*(IF(AND(DG$3&gt;=INDEX(Properties!$T:$T,$B107+5),DG$3&lt;INDEX(Properties!$U:$U,$B107+5)),1,0))</f>
        <v>0</v>
      </c>
      <c r="DH107" cm="1">
        <f t="array" ref="DH107">INDEX(Properties!$D:$D,$B107+5)*(IF(AND(DH$3&gt;=INDEX(Properties!$T:$T,$B107+5),DH$3&lt;INDEX(Properties!$U:$U,$B107+5)),1,0))</f>
        <v>0</v>
      </c>
      <c r="DI107" cm="1">
        <f t="array" ref="DI107">INDEX(Properties!$D:$D,$B107+5)*(IF(AND(DI$3&gt;=INDEX(Properties!$T:$T,$B107+5),DI$3&lt;INDEX(Properties!$U:$U,$B107+5)),1,0))</f>
        <v>0</v>
      </c>
      <c r="DJ107" cm="1">
        <f t="array" ref="DJ107">INDEX(Properties!$D:$D,$B107+5)*(IF(AND(DJ$3&gt;=INDEX(Properties!$T:$T,$B107+5),DJ$3&lt;INDEX(Properties!$U:$U,$B107+5)),1,0))</f>
        <v>0</v>
      </c>
      <c r="DK107" cm="1">
        <f t="array" ref="DK107">INDEX(Properties!$D:$D,$B107+5)*(IF(AND(DK$3&gt;=INDEX(Properties!$T:$T,$B107+5),DK$3&lt;INDEX(Properties!$U:$U,$B107+5)),1,0))</f>
        <v>0</v>
      </c>
      <c r="DL107" cm="1">
        <f t="array" ref="DL107">INDEX(Properties!$D:$D,$B107+5)*(IF(AND(DL$3&gt;=INDEX(Properties!$T:$T,$B107+5),DL$3&lt;INDEX(Properties!$U:$U,$B107+5)),1,0))</f>
        <v>0</v>
      </c>
      <c r="DM107" cm="1">
        <f t="array" ref="DM107">INDEX(Properties!$D:$D,$B107+5)*(IF(AND(DM$3&gt;=INDEX(Properties!$T:$T,$B107+5),DM$3&lt;INDEX(Properties!$U:$U,$B107+5)),1,0))</f>
        <v>0</v>
      </c>
      <c r="DN107" cm="1">
        <f t="array" ref="DN107">INDEX(Properties!$D:$D,$B107+5)*(IF(AND(DN$3&gt;=INDEX(Properties!$T:$T,$B107+5),DN$3&lt;INDEX(Properties!$U:$U,$B107+5)),1,0))</f>
        <v>0</v>
      </c>
      <c r="DO107" cm="1">
        <f t="array" ref="DO107">INDEX(Properties!$D:$D,$B107+5)*(IF(AND(DO$3&gt;=INDEX(Properties!$T:$T,$B107+5),DO$3&lt;INDEX(Properties!$U:$U,$B107+5)),1,0))</f>
        <v>0</v>
      </c>
      <c r="DP107" cm="1">
        <f t="array" ref="DP107">INDEX(Properties!$D:$D,$B107+5)*(IF(AND(DP$3&gt;=INDEX(Properties!$T:$T,$B107+5),DP$3&lt;INDEX(Properties!$U:$U,$B107+5)),1,0))</f>
        <v>0</v>
      </c>
      <c r="DQ107" cm="1">
        <f t="array" ref="DQ107">INDEX(Properties!$D:$D,$B107+5)*(IF(AND(DQ$3&gt;=INDEX(Properties!$T:$T,$B107+5),DQ$3&lt;INDEX(Properties!$U:$U,$B107+5)),1,0))</f>
        <v>0</v>
      </c>
      <c r="DR107" cm="1">
        <f t="array" ref="DR107">INDEX(Properties!$D:$D,$B107+5)*(IF(AND(DR$3&gt;=INDEX(Properties!$T:$T,$B107+5),DR$3&lt;INDEX(Properties!$U:$U,$B107+5)),1,0))</f>
        <v>0</v>
      </c>
    </row>
    <row r="109" spans="1:122" ht="14.55" customHeight="1" x14ac:dyDescent="0.3">
      <c r="A109" t="s">
        <v>858</v>
      </c>
    </row>
    <row r="110" spans="1:122" ht="14.55" customHeight="1" x14ac:dyDescent="0.3">
      <c r="A110" t="str" cm="1">
        <f t="array" ref="A110">INDEX(Properties!$E:$E,$B110+5)</f>
        <v>Aires de Campestre Apto 801 (Penthouse)</v>
      </c>
      <c r="B110" s="1">
        <v>1</v>
      </c>
      <c r="C110" cm="1">
        <f t="array" ref="C110">INDEX(Properties!$D:$D,$B110+5)*(IF(AND(C$3&gt;=INDEX(Properties!$T:$T,$B110+5),C$3&lt;INDEX(Properties!$U:$U,$B110+5)),INDEX(Properties!$P:$P,$B110+5),0))</f>
        <v>0</v>
      </c>
      <c r="D110" cm="1">
        <f t="array" ref="D110">INDEX(Properties!$D:$D,$B110+5)*(IF(AND(D$3&gt;=INDEX(Properties!$T:$T,$B110+5),D$3&lt;INDEX(Properties!$U:$U,$B110+5)),INDEX(Properties!$P:$P,$B110+5),0))</f>
        <v>0</v>
      </c>
      <c r="E110" cm="1">
        <f t="array" ref="E110">INDEX(Properties!$D:$D,$B110+5)*(IF(AND(E$3&gt;=INDEX(Properties!$T:$T,$B110+5),E$3&lt;INDEX(Properties!$U:$U,$B110+5)),INDEX(Properties!$P:$P,$B110+5),0))</f>
        <v>0</v>
      </c>
      <c r="F110" cm="1">
        <f t="array" ref="F110">INDEX(Properties!$D:$D,$B110+5)*(IF(AND(F$3&gt;=INDEX(Properties!$T:$T,$B110+5),F$3&lt;INDEX(Properties!$U:$U,$B110+5)),INDEX(Properties!$P:$P,$B110+5),0))</f>
        <v>0</v>
      </c>
      <c r="G110" cm="1">
        <f t="array" ref="G110">INDEX(Properties!$D:$D,$B110+5)*(IF(AND(G$3&gt;=INDEX(Properties!$T:$T,$B110+5),G$3&lt;INDEX(Properties!$U:$U,$B110+5)),INDEX(Properties!$P:$P,$B110+5),0))</f>
        <v>0</v>
      </c>
      <c r="H110" cm="1">
        <f t="array" ref="H110">INDEX(Properties!$D:$D,$B110+5)*(IF(AND(H$3&gt;=INDEX(Properties!$T:$T,$B110+5),H$3&lt;INDEX(Properties!$U:$U,$B110+5)),INDEX(Properties!$P:$P,$B110+5),0))</f>
        <v>0</v>
      </c>
      <c r="I110" cm="1">
        <f t="array" ref="I110">INDEX(Properties!$D:$D,$B110+5)*(IF(AND(I$3&gt;=INDEX(Properties!$T:$T,$B110+5),I$3&lt;INDEX(Properties!$U:$U,$B110+5)),INDEX(Properties!$P:$P,$B110+5),0))</f>
        <v>0</v>
      </c>
      <c r="J110" cm="1">
        <f t="array" ref="J110">INDEX(Properties!$D:$D,$B110+5)*(IF(AND(J$3&gt;=INDEX(Properties!$T:$T,$B110+5),J$3&lt;INDEX(Properties!$U:$U,$B110+5)),INDEX(Properties!$P:$P,$B110+5),0))</f>
        <v>1168770.2265372169</v>
      </c>
      <c r="K110" cm="1">
        <f t="array" ref="K110">INDEX(Properties!$D:$D,$B110+5)*(IF(AND(K$3&gt;=INDEX(Properties!$T:$T,$B110+5),K$3&lt;INDEX(Properties!$U:$U,$B110+5)),INDEX(Properties!$P:$P,$B110+5),0))</f>
        <v>1168770.2265372169</v>
      </c>
      <c r="L110" cm="1">
        <f t="array" ref="L110">INDEX(Properties!$D:$D,$B110+5)*(IF(AND(L$3&gt;=INDEX(Properties!$T:$T,$B110+5),L$3&lt;INDEX(Properties!$U:$U,$B110+5)),INDEX(Properties!$P:$P,$B110+5),0))</f>
        <v>1168770.2265372169</v>
      </c>
      <c r="M110" cm="1">
        <f t="array" ref="M110">INDEX(Properties!$D:$D,$B110+5)*(IF(AND(M$3&gt;=INDEX(Properties!$T:$T,$B110+5),M$3&lt;INDEX(Properties!$U:$U,$B110+5)),INDEX(Properties!$P:$P,$B110+5),0))</f>
        <v>1168770.2265372169</v>
      </c>
      <c r="N110" cm="1">
        <f t="array" ref="N110">INDEX(Properties!$D:$D,$B110+5)*(IF(AND(N$3&gt;=INDEX(Properties!$T:$T,$B110+5),N$3&lt;INDEX(Properties!$U:$U,$B110+5)),INDEX(Properties!$P:$P,$B110+5),0))</f>
        <v>1168770.2265372169</v>
      </c>
      <c r="O110" cm="1">
        <f t="array" ref="O110">INDEX(Properties!$D:$D,$B110+5)*(IF(AND(O$3&gt;=INDEX(Properties!$T:$T,$B110+5),O$3&lt;INDEX(Properties!$U:$U,$B110+5)),INDEX(Properties!$P:$P,$B110+5),0))</f>
        <v>1168770.2265372169</v>
      </c>
      <c r="P110" cm="1">
        <f t="array" ref="P110">INDEX(Properties!$D:$D,$B110+5)*(IF(AND(P$3&gt;=INDEX(Properties!$T:$T,$B110+5),P$3&lt;INDEX(Properties!$U:$U,$B110+5)),INDEX(Properties!$P:$P,$B110+5),0))</f>
        <v>1168770.2265372169</v>
      </c>
      <c r="Q110" cm="1">
        <f t="array" ref="Q110">INDEX(Properties!$D:$D,$B110+5)*(IF(AND(Q$3&gt;=INDEX(Properties!$T:$T,$B110+5),Q$3&lt;INDEX(Properties!$U:$U,$B110+5)),INDEX(Properties!$P:$P,$B110+5),0))</f>
        <v>1168770.2265372169</v>
      </c>
      <c r="R110" cm="1">
        <f t="array" ref="R110">INDEX(Properties!$D:$D,$B110+5)*(IF(AND(R$3&gt;=INDEX(Properties!$T:$T,$B110+5),R$3&lt;INDEX(Properties!$U:$U,$B110+5)),INDEX(Properties!$P:$P,$B110+5),0))</f>
        <v>1168770.2265372169</v>
      </c>
      <c r="S110" cm="1">
        <f t="array" ref="S110">INDEX(Properties!$D:$D,$B110+5)*(IF(AND(S$3&gt;=INDEX(Properties!$T:$T,$B110+5),S$3&lt;INDEX(Properties!$U:$U,$B110+5)),INDEX(Properties!$P:$P,$B110+5),0))</f>
        <v>1168770.2265372169</v>
      </c>
      <c r="T110" cm="1">
        <f t="array" ref="T110">INDEX(Properties!$D:$D,$B110+5)*(IF(AND(T$3&gt;=INDEX(Properties!$T:$T,$B110+5),T$3&lt;INDEX(Properties!$U:$U,$B110+5)),INDEX(Properties!$P:$P,$B110+5),0))</f>
        <v>1168770.2265372169</v>
      </c>
      <c r="U110" cm="1">
        <f t="array" ref="U110">INDEX(Properties!$D:$D,$B110+5)*(IF(AND(U$3&gt;=INDEX(Properties!$T:$T,$B110+5),U$3&lt;INDEX(Properties!$U:$U,$B110+5)),INDEX(Properties!$P:$P,$B110+5),0))</f>
        <v>1168770.2265372169</v>
      </c>
      <c r="V110" cm="1">
        <f t="array" ref="V110">INDEX(Properties!$D:$D,$B110+5)*(IF(AND(V$3&gt;=INDEX(Properties!$T:$T,$B110+5),V$3&lt;INDEX(Properties!$U:$U,$B110+5)),INDEX(Properties!$P:$P,$B110+5),0))</f>
        <v>1168770.2265372169</v>
      </c>
      <c r="W110" cm="1">
        <f t="array" ref="W110">INDEX(Properties!$D:$D,$B110+5)*(IF(AND(W$3&gt;=INDEX(Properties!$T:$T,$B110+5),W$3&lt;INDEX(Properties!$U:$U,$B110+5)),INDEX(Properties!$P:$P,$B110+5),0))</f>
        <v>1168770.2265372169</v>
      </c>
      <c r="X110" cm="1">
        <f t="array" ref="X110">INDEX(Properties!$D:$D,$B110+5)*(IF(AND(X$3&gt;=INDEX(Properties!$T:$T,$B110+5),X$3&lt;INDEX(Properties!$U:$U,$B110+5)),INDEX(Properties!$P:$P,$B110+5),0))</f>
        <v>1168770.2265372169</v>
      </c>
      <c r="Y110" cm="1">
        <f t="array" ref="Y110">INDEX(Properties!$D:$D,$B110+5)*(IF(AND(Y$3&gt;=INDEX(Properties!$T:$T,$B110+5),Y$3&lt;INDEX(Properties!$U:$U,$B110+5)),INDEX(Properties!$P:$P,$B110+5),0))</f>
        <v>1168770.2265372169</v>
      </c>
      <c r="Z110" cm="1">
        <f t="array" ref="Z110">INDEX(Properties!$D:$D,$B110+5)*(IF(AND(Z$3&gt;=INDEX(Properties!$T:$T,$B110+5),Z$3&lt;INDEX(Properties!$U:$U,$B110+5)),INDEX(Properties!$P:$P,$B110+5),0))</f>
        <v>1168770.2265372169</v>
      </c>
      <c r="AA110" cm="1">
        <f t="array" ref="AA110">INDEX(Properties!$D:$D,$B110+5)*(IF(AND(AA$3&gt;=INDEX(Properties!$T:$T,$B110+5),AA$3&lt;INDEX(Properties!$U:$U,$B110+5)),INDEX(Properties!$P:$P,$B110+5),0))</f>
        <v>1168770.2265372169</v>
      </c>
      <c r="AB110" cm="1">
        <f t="array" ref="AB110">INDEX(Properties!$D:$D,$B110+5)*(IF(AND(AB$3&gt;=INDEX(Properties!$T:$T,$B110+5),AB$3&lt;INDEX(Properties!$U:$U,$B110+5)),INDEX(Properties!$P:$P,$B110+5),0))</f>
        <v>1168770.2265372169</v>
      </c>
      <c r="AC110" cm="1">
        <f t="array" ref="AC110">INDEX(Properties!$D:$D,$B110+5)*(IF(AND(AC$3&gt;=INDEX(Properties!$T:$T,$B110+5),AC$3&lt;INDEX(Properties!$U:$U,$B110+5)),INDEX(Properties!$P:$P,$B110+5),0))</f>
        <v>1168770.2265372169</v>
      </c>
      <c r="AD110" cm="1">
        <f t="array" ref="AD110">INDEX(Properties!$D:$D,$B110+5)*(IF(AND(AD$3&gt;=INDEX(Properties!$T:$T,$B110+5),AD$3&lt;INDEX(Properties!$U:$U,$B110+5)),INDEX(Properties!$P:$P,$B110+5),0))</f>
        <v>1168770.2265372169</v>
      </c>
      <c r="AE110" cm="1">
        <f t="array" ref="AE110">INDEX(Properties!$D:$D,$B110+5)*(IF(AND(AE$3&gt;=INDEX(Properties!$T:$T,$B110+5),AE$3&lt;INDEX(Properties!$U:$U,$B110+5)),INDEX(Properties!$P:$P,$B110+5),0))</f>
        <v>1168770.2265372169</v>
      </c>
      <c r="AF110" cm="1">
        <f t="array" ref="AF110">INDEX(Properties!$D:$D,$B110+5)*(IF(AND(AF$3&gt;=INDEX(Properties!$T:$T,$B110+5),AF$3&lt;INDEX(Properties!$U:$U,$B110+5)),INDEX(Properties!$P:$P,$B110+5),0))</f>
        <v>0</v>
      </c>
      <c r="AG110" cm="1">
        <f t="array" ref="AG110">INDEX(Properties!$D:$D,$B110+5)*(IF(AND(AG$3&gt;=INDEX(Properties!$T:$T,$B110+5),AG$3&lt;INDEX(Properties!$U:$U,$B110+5)),INDEX(Properties!$P:$P,$B110+5),0))</f>
        <v>0</v>
      </c>
      <c r="AH110" cm="1">
        <f t="array" ref="AH110">INDEX(Properties!$D:$D,$B110+5)*(IF(AND(AH$3&gt;=INDEX(Properties!$T:$T,$B110+5),AH$3&lt;INDEX(Properties!$U:$U,$B110+5)),INDEX(Properties!$P:$P,$B110+5),0))</f>
        <v>0</v>
      </c>
      <c r="AI110" cm="1">
        <f t="array" ref="AI110">INDEX(Properties!$D:$D,$B110+5)*(IF(AND(AI$3&gt;=INDEX(Properties!$T:$T,$B110+5),AI$3&lt;INDEX(Properties!$U:$U,$B110+5)),INDEX(Properties!$P:$P,$B110+5),0))</f>
        <v>0</v>
      </c>
      <c r="AJ110" cm="1">
        <f t="array" ref="AJ110">INDEX(Properties!$D:$D,$B110+5)*(IF(AND(AJ$3&gt;=INDEX(Properties!$T:$T,$B110+5),AJ$3&lt;INDEX(Properties!$U:$U,$B110+5)),INDEX(Properties!$P:$P,$B110+5),0))</f>
        <v>0</v>
      </c>
      <c r="AK110" cm="1">
        <f t="array" ref="AK110">INDEX(Properties!$D:$D,$B110+5)*(IF(AND(AK$3&gt;=INDEX(Properties!$T:$T,$B110+5),AK$3&lt;INDEX(Properties!$U:$U,$B110+5)),INDEX(Properties!$P:$P,$B110+5),0))</f>
        <v>0</v>
      </c>
      <c r="AL110" cm="1">
        <f t="array" ref="AL110">INDEX(Properties!$D:$D,$B110+5)*(IF(AND(AL$3&gt;=INDEX(Properties!$T:$T,$B110+5),AL$3&lt;INDEX(Properties!$U:$U,$B110+5)),INDEX(Properties!$P:$P,$B110+5),0))</f>
        <v>0</v>
      </c>
      <c r="AM110" cm="1">
        <f t="array" ref="AM110">INDEX(Properties!$D:$D,$B110+5)*(IF(AND(AM$3&gt;=INDEX(Properties!$T:$T,$B110+5),AM$3&lt;INDEX(Properties!$U:$U,$B110+5)),INDEX(Properties!$P:$P,$B110+5),0))</f>
        <v>0</v>
      </c>
      <c r="AN110" cm="1">
        <f t="array" ref="AN110">INDEX(Properties!$D:$D,$B110+5)*(IF(AND(AN$3&gt;=INDEX(Properties!$T:$T,$B110+5),AN$3&lt;INDEX(Properties!$U:$U,$B110+5)),INDEX(Properties!$P:$P,$B110+5),0))</f>
        <v>0</v>
      </c>
      <c r="AO110" cm="1">
        <f t="array" ref="AO110">INDEX(Properties!$D:$D,$B110+5)*(IF(AND(AO$3&gt;=INDEX(Properties!$T:$T,$B110+5),AO$3&lt;INDEX(Properties!$U:$U,$B110+5)),INDEX(Properties!$P:$P,$B110+5),0))</f>
        <v>0</v>
      </c>
      <c r="AP110" cm="1">
        <f t="array" ref="AP110">INDEX(Properties!$D:$D,$B110+5)*(IF(AND(AP$3&gt;=INDEX(Properties!$T:$T,$B110+5),AP$3&lt;INDEX(Properties!$U:$U,$B110+5)),INDEX(Properties!$P:$P,$B110+5),0))</f>
        <v>0</v>
      </c>
      <c r="AQ110" cm="1">
        <f t="array" ref="AQ110">INDEX(Properties!$D:$D,$B110+5)*(IF(AND(AQ$3&gt;=INDEX(Properties!$T:$T,$B110+5),AQ$3&lt;INDEX(Properties!$U:$U,$B110+5)),INDEX(Properties!$P:$P,$B110+5),0))</f>
        <v>0</v>
      </c>
      <c r="AR110" cm="1">
        <f t="array" ref="AR110">INDEX(Properties!$D:$D,$B110+5)*(IF(AND(AR$3&gt;=INDEX(Properties!$T:$T,$B110+5),AR$3&lt;INDEX(Properties!$U:$U,$B110+5)),INDEX(Properties!$P:$P,$B110+5),0))</f>
        <v>0</v>
      </c>
      <c r="AS110" cm="1">
        <f t="array" ref="AS110">INDEX(Properties!$D:$D,$B110+5)*(IF(AND(AS$3&gt;=INDEX(Properties!$T:$T,$B110+5),AS$3&lt;INDEX(Properties!$U:$U,$B110+5)),INDEX(Properties!$P:$P,$B110+5),0))</f>
        <v>0</v>
      </c>
      <c r="AT110" cm="1">
        <f t="array" ref="AT110">INDEX(Properties!$D:$D,$B110+5)*(IF(AND(AT$3&gt;=INDEX(Properties!$T:$T,$B110+5),AT$3&lt;INDEX(Properties!$U:$U,$B110+5)),INDEX(Properties!$P:$P,$B110+5),0))</f>
        <v>0</v>
      </c>
      <c r="AU110" cm="1">
        <f t="array" ref="AU110">INDEX(Properties!$D:$D,$B110+5)*(IF(AND(AU$3&gt;=INDEX(Properties!$T:$T,$B110+5),AU$3&lt;INDEX(Properties!$U:$U,$B110+5)),INDEX(Properties!$P:$P,$B110+5),0))</f>
        <v>0</v>
      </c>
      <c r="AV110" cm="1">
        <f t="array" ref="AV110">INDEX(Properties!$D:$D,$B110+5)*(IF(AND(AV$3&gt;=INDEX(Properties!$T:$T,$B110+5),AV$3&lt;INDEX(Properties!$U:$U,$B110+5)),INDEX(Properties!$P:$P,$B110+5),0))</f>
        <v>0</v>
      </c>
      <c r="AW110" cm="1">
        <f t="array" ref="AW110">INDEX(Properties!$D:$D,$B110+5)*(IF(AND(AW$3&gt;=INDEX(Properties!$T:$T,$B110+5),AW$3&lt;INDEX(Properties!$U:$U,$B110+5)),INDEX(Properties!$P:$P,$B110+5),0))</f>
        <v>0</v>
      </c>
      <c r="AX110" cm="1">
        <f t="array" ref="AX110">INDEX(Properties!$D:$D,$B110+5)*(IF(AND(AX$3&gt;=INDEX(Properties!$T:$T,$B110+5),AX$3&lt;INDEX(Properties!$U:$U,$B110+5)),INDEX(Properties!$P:$P,$B110+5),0))</f>
        <v>0</v>
      </c>
      <c r="AY110" cm="1">
        <f t="array" ref="AY110">INDEX(Properties!$D:$D,$B110+5)*(IF(AND(AY$3&gt;=INDEX(Properties!$T:$T,$B110+5),AY$3&lt;INDEX(Properties!$U:$U,$B110+5)),INDEX(Properties!$P:$P,$B110+5),0))</f>
        <v>0</v>
      </c>
      <c r="AZ110" cm="1">
        <f t="array" ref="AZ110">INDEX(Properties!$D:$D,$B110+5)*(IF(AND(AZ$3&gt;=INDEX(Properties!$T:$T,$B110+5),AZ$3&lt;INDEX(Properties!$U:$U,$B110+5)),INDEX(Properties!$P:$P,$B110+5),0))</f>
        <v>0</v>
      </c>
      <c r="BA110" cm="1">
        <f t="array" ref="BA110">INDEX(Properties!$D:$D,$B110+5)*(IF(AND(BA$3&gt;=INDEX(Properties!$T:$T,$B110+5),BA$3&lt;INDEX(Properties!$U:$U,$B110+5)),INDEX(Properties!$P:$P,$B110+5),0))</f>
        <v>0</v>
      </c>
      <c r="BB110" cm="1">
        <f t="array" ref="BB110">INDEX(Properties!$D:$D,$B110+5)*(IF(AND(BB$3&gt;=INDEX(Properties!$T:$T,$B110+5),BB$3&lt;INDEX(Properties!$U:$U,$B110+5)),INDEX(Properties!$P:$P,$B110+5),0))</f>
        <v>0</v>
      </c>
      <c r="BC110" cm="1">
        <f t="array" ref="BC110">INDEX(Properties!$D:$D,$B110+5)*(IF(AND(BC$3&gt;=INDEX(Properties!$T:$T,$B110+5),BC$3&lt;INDEX(Properties!$U:$U,$B110+5)),INDEX(Properties!$P:$P,$B110+5),0))</f>
        <v>0</v>
      </c>
      <c r="BD110" cm="1">
        <f t="array" ref="BD110">INDEX(Properties!$D:$D,$B110+5)*(IF(AND(BD$3&gt;=INDEX(Properties!$T:$T,$B110+5),BD$3&lt;INDEX(Properties!$U:$U,$B110+5)),INDEX(Properties!$P:$P,$B110+5),0))</f>
        <v>0</v>
      </c>
      <c r="BE110" cm="1">
        <f t="array" ref="BE110">INDEX(Properties!$D:$D,$B110+5)*(IF(AND(BE$3&gt;=INDEX(Properties!$T:$T,$B110+5),BE$3&lt;INDEX(Properties!$U:$U,$B110+5)),INDEX(Properties!$P:$P,$B110+5),0))</f>
        <v>0</v>
      </c>
      <c r="BF110" cm="1">
        <f t="array" ref="BF110">INDEX(Properties!$D:$D,$B110+5)*(IF(AND(BF$3&gt;=INDEX(Properties!$T:$T,$B110+5),BF$3&lt;INDEX(Properties!$U:$U,$B110+5)),INDEX(Properties!$P:$P,$B110+5),0))</f>
        <v>0</v>
      </c>
      <c r="BG110" cm="1">
        <f t="array" ref="BG110">INDEX(Properties!$D:$D,$B110+5)*(IF(AND(BG$3&gt;=INDEX(Properties!$T:$T,$B110+5),BG$3&lt;INDEX(Properties!$U:$U,$B110+5)),INDEX(Properties!$P:$P,$B110+5),0))</f>
        <v>0</v>
      </c>
      <c r="BH110" cm="1">
        <f t="array" ref="BH110">INDEX(Properties!$D:$D,$B110+5)*(IF(AND(BH$3&gt;=INDEX(Properties!$T:$T,$B110+5),BH$3&lt;INDEX(Properties!$U:$U,$B110+5)),INDEX(Properties!$P:$P,$B110+5),0))</f>
        <v>0</v>
      </c>
      <c r="BI110" cm="1">
        <f t="array" ref="BI110">INDEX(Properties!$D:$D,$B110+5)*(IF(AND(BI$3&gt;=INDEX(Properties!$T:$T,$B110+5),BI$3&lt;INDEX(Properties!$U:$U,$B110+5)),INDEX(Properties!$P:$P,$B110+5),0))</f>
        <v>0</v>
      </c>
      <c r="BJ110" cm="1">
        <f t="array" ref="BJ110">INDEX(Properties!$D:$D,$B110+5)*(IF(AND(BJ$3&gt;=INDEX(Properties!$T:$T,$B110+5),BJ$3&lt;INDEX(Properties!$U:$U,$B110+5)),INDEX(Properties!$P:$P,$B110+5),0))</f>
        <v>0</v>
      </c>
      <c r="BK110" cm="1">
        <f t="array" ref="BK110">INDEX(Properties!$D:$D,$B110+5)*(IF(AND(BK$3&gt;=INDEX(Properties!$T:$T,$B110+5),BK$3&lt;INDEX(Properties!$U:$U,$B110+5)),INDEX(Properties!$P:$P,$B110+5),0))</f>
        <v>0</v>
      </c>
      <c r="BL110" cm="1">
        <f t="array" ref="BL110">INDEX(Properties!$D:$D,$B110+5)*(IF(AND(BL$3&gt;=INDEX(Properties!$T:$T,$B110+5),BL$3&lt;INDEX(Properties!$U:$U,$B110+5)),INDEX(Properties!$P:$P,$B110+5),0))</f>
        <v>0</v>
      </c>
      <c r="BM110" cm="1">
        <f t="array" ref="BM110">INDEX(Properties!$D:$D,$B110+5)*(IF(AND(BM$3&gt;=INDEX(Properties!$T:$T,$B110+5),BM$3&lt;INDEX(Properties!$U:$U,$B110+5)),INDEX(Properties!$P:$P,$B110+5),0))</f>
        <v>0</v>
      </c>
      <c r="BN110" cm="1">
        <f t="array" ref="BN110">INDEX(Properties!$D:$D,$B110+5)*(IF(AND(BN$3&gt;=INDEX(Properties!$T:$T,$B110+5),BN$3&lt;INDEX(Properties!$U:$U,$B110+5)),INDEX(Properties!$P:$P,$B110+5),0))</f>
        <v>0</v>
      </c>
      <c r="BO110" cm="1">
        <f t="array" ref="BO110">INDEX(Properties!$D:$D,$B110+5)*(IF(AND(BO$3&gt;=INDEX(Properties!$T:$T,$B110+5),BO$3&lt;INDEX(Properties!$U:$U,$B110+5)),INDEX(Properties!$P:$P,$B110+5),0))</f>
        <v>0</v>
      </c>
      <c r="BP110" cm="1">
        <f t="array" ref="BP110">INDEX(Properties!$D:$D,$B110+5)*(IF(AND(BP$3&gt;=INDEX(Properties!$T:$T,$B110+5),BP$3&lt;INDEX(Properties!$U:$U,$B110+5)),INDEX(Properties!$P:$P,$B110+5),0))</f>
        <v>0</v>
      </c>
      <c r="BQ110" cm="1">
        <f t="array" ref="BQ110">INDEX(Properties!$D:$D,$B110+5)*(IF(AND(BQ$3&gt;=INDEX(Properties!$T:$T,$B110+5),BQ$3&lt;INDEX(Properties!$U:$U,$B110+5)),INDEX(Properties!$P:$P,$B110+5),0))</f>
        <v>0</v>
      </c>
      <c r="BR110" cm="1">
        <f t="array" ref="BR110">INDEX(Properties!$D:$D,$B110+5)*(IF(AND(BR$3&gt;=INDEX(Properties!$T:$T,$B110+5),BR$3&lt;INDEX(Properties!$U:$U,$B110+5)),INDEX(Properties!$P:$P,$B110+5),0))</f>
        <v>0</v>
      </c>
      <c r="BS110" cm="1">
        <f t="array" ref="BS110">INDEX(Properties!$D:$D,$B110+5)*(IF(AND(BS$3&gt;=INDEX(Properties!$T:$T,$B110+5),BS$3&lt;INDEX(Properties!$U:$U,$B110+5)),INDEX(Properties!$P:$P,$B110+5),0))</f>
        <v>0</v>
      </c>
      <c r="BT110" cm="1">
        <f t="array" ref="BT110">INDEX(Properties!$D:$D,$B110+5)*(IF(AND(BT$3&gt;=INDEX(Properties!$T:$T,$B110+5),BT$3&lt;INDEX(Properties!$U:$U,$B110+5)),INDEX(Properties!$P:$P,$B110+5),0))</f>
        <v>0</v>
      </c>
      <c r="BU110" cm="1">
        <f t="array" ref="BU110">INDEX(Properties!$D:$D,$B110+5)*(IF(AND(BU$3&gt;=INDEX(Properties!$T:$T,$B110+5),BU$3&lt;INDEX(Properties!$U:$U,$B110+5)),INDEX(Properties!$P:$P,$B110+5),0))</f>
        <v>0</v>
      </c>
      <c r="BV110" cm="1">
        <f t="array" ref="BV110">INDEX(Properties!$D:$D,$B110+5)*(IF(AND(BV$3&gt;=INDEX(Properties!$T:$T,$B110+5),BV$3&lt;INDEX(Properties!$U:$U,$B110+5)),INDEX(Properties!$P:$P,$B110+5),0))</f>
        <v>0</v>
      </c>
      <c r="BW110" cm="1">
        <f t="array" ref="BW110">INDEX(Properties!$D:$D,$B110+5)*(IF(AND(BW$3&gt;=INDEX(Properties!$T:$T,$B110+5),BW$3&lt;INDEX(Properties!$U:$U,$B110+5)),INDEX(Properties!$P:$P,$B110+5),0))</f>
        <v>0</v>
      </c>
      <c r="BX110" cm="1">
        <f t="array" ref="BX110">INDEX(Properties!$D:$D,$B110+5)*(IF(AND(BX$3&gt;=INDEX(Properties!$T:$T,$B110+5),BX$3&lt;INDEX(Properties!$U:$U,$B110+5)),INDEX(Properties!$P:$P,$B110+5),0))</f>
        <v>0</v>
      </c>
      <c r="BY110" cm="1">
        <f t="array" ref="BY110">INDEX(Properties!$D:$D,$B110+5)*(IF(AND(BY$3&gt;=INDEX(Properties!$T:$T,$B110+5),BY$3&lt;INDEX(Properties!$U:$U,$B110+5)),INDEX(Properties!$P:$P,$B110+5),0))</f>
        <v>0</v>
      </c>
      <c r="BZ110" cm="1">
        <f t="array" ref="BZ110">INDEX(Properties!$D:$D,$B110+5)*(IF(AND(BZ$3&gt;=INDEX(Properties!$T:$T,$B110+5),BZ$3&lt;INDEX(Properties!$U:$U,$B110+5)),INDEX(Properties!$P:$P,$B110+5),0))</f>
        <v>0</v>
      </c>
      <c r="CA110" cm="1">
        <f t="array" ref="CA110">INDEX(Properties!$D:$D,$B110+5)*(IF(AND(CA$3&gt;=INDEX(Properties!$T:$T,$B110+5),CA$3&lt;INDEX(Properties!$U:$U,$B110+5)),INDEX(Properties!$P:$P,$B110+5),0))</f>
        <v>0</v>
      </c>
      <c r="CB110" cm="1">
        <f t="array" ref="CB110">INDEX(Properties!$D:$D,$B110+5)*(IF(AND(CB$3&gt;=INDEX(Properties!$T:$T,$B110+5),CB$3&lt;INDEX(Properties!$U:$U,$B110+5)),INDEX(Properties!$P:$P,$B110+5),0))</f>
        <v>0</v>
      </c>
      <c r="CC110" cm="1">
        <f t="array" ref="CC110">INDEX(Properties!$D:$D,$B110+5)*(IF(AND(CC$3&gt;=INDEX(Properties!$T:$T,$B110+5),CC$3&lt;INDEX(Properties!$U:$U,$B110+5)),INDEX(Properties!$P:$P,$B110+5),0))</f>
        <v>0</v>
      </c>
      <c r="CD110" cm="1">
        <f t="array" ref="CD110">INDEX(Properties!$D:$D,$B110+5)*(IF(AND(CD$3&gt;=INDEX(Properties!$T:$T,$B110+5),CD$3&lt;INDEX(Properties!$U:$U,$B110+5)),INDEX(Properties!$P:$P,$B110+5),0))</f>
        <v>0</v>
      </c>
      <c r="CE110" cm="1">
        <f t="array" ref="CE110">INDEX(Properties!$D:$D,$B110+5)*(IF(AND(CE$3&gt;=INDEX(Properties!$T:$T,$B110+5),CE$3&lt;INDEX(Properties!$U:$U,$B110+5)),INDEX(Properties!$P:$P,$B110+5),0))</f>
        <v>0</v>
      </c>
      <c r="CF110" cm="1">
        <f t="array" ref="CF110">INDEX(Properties!$D:$D,$B110+5)*(IF(AND(CF$3&gt;=INDEX(Properties!$T:$T,$B110+5),CF$3&lt;INDEX(Properties!$U:$U,$B110+5)),INDEX(Properties!$P:$P,$B110+5),0))</f>
        <v>0</v>
      </c>
      <c r="CG110" cm="1">
        <f t="array" ref="CG110">INDEX(Properties!$D:$D,$B110+5)*(IF(AND(CG$3&gt;=INDEX(Properties!$T:$T,$B110+5),CG$3&lt;INDEX(Properties!$U:$U,$B110+5)),INDEX(Properties!$P:$P,$B110+5),0))</f>
        <v>0</v>
      </c>
      <c r="CH110" cm="1">
        <f t="array" ref="CH110">INDEX(Properties!$D:$D,$B110+5)*(IF(AND(CH$3&gt;=INDEX(Properties!$T:$T,$B110+5),CH$3&lt;INDEX(Properties!$U:$U,$B110+5)),INDEX(Properties!$P:$P,$B110+5),0))</f>
        <v>0</v>
      </c>
      <c r="CI110" cm="1">
        <f t="array" ref="CI110">INDEX(Properties!$D:$D,$B110+5)*(IF(AND(CI$3&gt;=INDEX(Properties!$T:$T,$B110+5),CI$3&lt;INDEX(Properties!$U:$U,$B110+5)),INDEX(Properties!$P:$P,$B110+5),0))</f>
        <v>0</v>
      </c>
      <c r="CJ110" cm="1">
        <f t="array" ref="CJ110">INDEX(Properties!$D:$D,$B110+5)*(IF(AND(CJ$3&gt;=INDEX(Properties!$T:$T,$B110+5),CJ$3&lt;INDEX(Properties!$U:$U,$B110+5)),INDEX(Properties!$P:$P,$B110+5),0))</f>
        <v>0</v>
      </c>
      <c r="CK110" cm="1">
        <f t="array" ref="CK110">INDEX(Properties!$D:$D,$B110+5)*(IF(AND(CK$3&gt;=INDEX(Properties!$T:$T,$B110+5),CK$3&lt;INDEX(Properties!$U:$U,$B110+5)),INDEX(Properties!$P:$P,$B110+5),0))</f>
        <v>0</v>
      </c>
      <c r="CL110" cm="1">
        <f t="array" ref="CL110">INDEX(Properties!$D:$D,$B110+5)*(IF(AND(CL$3&gt;=INDEX(Properties!$T:$T,$B110+5),CL$3&lt;INDEX(Properties!$U:$U,$B110+5)),INDEX(Properties!$P:$P,$B110+5),0))</f>
        <v>0</v>
      </c>
      <c r="CM110" cm="1">
        <f t="array" ref="CM110">INDEX(Properties!$D:$D,$B110+5)*(IF(AND(CM$3&gt;=INDEX(Properties!$T:$T,$B110+5),CM$3&lt;INDEX(Properties!$U:$U,$B110+5)),INDEX(Properties!$P:$P,$B110+5),0))</f>
        <v>0</v>
      </c>
      <c r="CN110" cm="1">
        <f t="array" ref="CN110">INDEX(Properties!$D:$D,$B110+5)*(IF(AND(CN$3&gt;=INDEX(Properties!$T:$T,$B110+5),CN$3&lt;INDEX(Properties!$U:$U,$B110+5)),INDEX(Properties!$P:$P,$B110+5),0))</f>
        <v>0</v>
      </c>
      <c r="CO110" cm="1">
        <f t="array" ref="CO110">INDEX(Properties!$D:$D,$B110+5)*(IF(AND(CO$3&gt;=INDEX(Properties!$T:$T,$B110+5),CO$3&lt;INDEX(Properties!$U:$U,$B110+5)),INDEX(Properties!$P:$P,$B110+5),0))</f>
        <v>0</v>
      </c>
      <c r="CP110" cm="1">
        <f t="array" ref="CP110">INDEX(Properties!$D:$D,$B110+5)*(IF(AND(CP$3&gt;=INDEX(Properties!$T:$T,$B110+5),CP$3&lt;INDEX(Properties!$U:$U,$B110+5)),INDEX(Properties!$P:$P,$B110+5),0))</f>
        <v>0</v>
      </c>
      <c r="CQ110" cm="1">
        <f t="array" ref="CQ110">INDEX(Properties!$D:$D,$B110+5)*(IF(AND(CQ$3&gt;=INDEX(Properties!$T:$T,$B110+5),CQ$3&lt;INDEX(Properties!$U:$U,$B110+5)),INDEX(Properties!$P:$P,$B110+5),0))</f>
        <v>0</v>
      </c>
      <c r="CR110" cm="1">
        <f t="array" ref="CR110">INDEX(Properties!$D:$D,$B110+5)*(IF(AND(CR$3&gt;=INDEX(Properties!$T:$T,$B110+5),CR$3&lt;INDEX(Properties!$U:$U,$B110+5)),INDEX(Properties!$P:$P,$B110+5),0))</f>
        <v>0</v>
      </c>
      <c r="CS110" cm="1">
        <f t="array" ref="CS110">INDEX(Properties!$D:$D,$B110+5)*(IF(AND(CS$3&gt;=INDEX(Properties!$T:$T,$B110+5),CS$3&lt;INDEX(Properties!$U:$U,$B110+5)),INDEX(Properties!$P:$P,$B110+5),0))</f>
        <v>0</v>
      </c>
      <c r="CT110" cm="1">
        <f t="array" ref="CT110">INDEX(Properties!$D:$D,$B110+5)*(IF(AND(CT$3&gt;=INDEX(Properties!$T:$T,$B110+5),CT$3&lt;INDEX(Properties!$U:$U,$B110+5)),INDEX(Properties!$P:$P,$B110+5),0))</f>
        <v>0</v>
      </c>
      <c r="CU110" cm="1">
        <f t="array" ref="CU110">INDEX(Properties!$D:$D,$B110+5)*(IF(AND(CU$3&gt;=INDEX(Properties!$T:$T,$B110+5),CU$3&lt;INDEX(Properties!$U:$U,$B110+5)),INDEX(Properties!$P:$P,$B110+5),0))</f>
        <v>0</v>
      </c>
      <c r="CV110" cm="1">
        <f t="array" ref="CV110">INDEX(Properties!$D:$D,$B110+5)*(IF(AND(CV$3&gt;=INDEX(Properties!$T:$T,$B110+5),CV$3&lt;INDEX(Properties!$U:$U,$B110+5)),INDEX(Properties!$P:$P,$B110+5),0))</f>
        <v>0</v>
      </c>
      <c r="CW110" cm="1">
        <f t="array" ref="CW110">INDEX(Properties!$D:$D,$B110+5)*(IF(AND(CW$3&gt;=INDEX(Properties!$T:$T,$B110+5),CW$3&lt;INDEX(Properties!$U:$U,$B110+5)),INDEX(Properties!$P:$P,$B110+5),0))</f>
        <v>0</v>
      </c>
      <c r="CX110" cm="1">
        <f t="array" ref="CX110">INDEX(Properties!$D:$D,$B110+5)*(IF(AND(CX$3&gt;=INDEX(Properties!$T:$T,$B110+5),CX$3&lt;INDEX(Properties!$U:$U,$B110+5)),INDEX(Properties!$P:$P,$B110+5),0))</f>
        <v>0</v>
      </c>
      <c r="CY110" cm="1">
        <f t="array" ref="CY110">INDEX(Properties!$D:$D,$B110+5)*(IF(AND(CY$3&gt;=INDEX(Properties!$T:$T,$B110+5),CY$3&lt;INDEX(Properties!$U:$U,$B110+5)),INDEX(Properties!$P:$P,$B110+5),0))</f>
        <v>0</v>
      </c>
      <c r="CZ110" cm="1">
        <f t="array" ref="CZ110">INDEX(Properties!$D:$D,$B110+5)*(IF(AND(CZ$3&gt;=INDEX(Properties!$T:$T,$B110+5),CZ$3&lt;INDEX(Properties!$U:$U,$B110+5)),INDEX(Properties!$P:$P,$B110+5),0))</f>
        <v>0</v>
      </c>
      <c r="DA110" cm="1">
        <f t="array" ref="DA110">INDEX(Properties!$D:$D,$B110+5)*(IF(AND(DA$3&gt;=INDEX(Properties!$T:$T,$B110+5),DA$3&lt;INDEX(Properties!$U:$U,$B110+5)),INDEX(Properties!$P:$P,$B110+5),0))</f>
        <v>0</v>
      </c>
      <c r="DB110" cm="1">
        <f t="array" ref="DB110">INDEX(Properties!$D:$D,$B110+5)*(IF(AND(DB$3&gt;=INDEX(Properties!$T:$T,$B110+5),DB$3&lt;INDEX(Properties!$U:$U,$B110+5)),INDEX(Properties!$P:$P,$B110+5),0))</f>
        <v>0</v>
      </c>
      <c r="DC110" cm="1">
        <f t="array" ref="DC110">INDEX(Properties!$D:$D,$B110+5)*(IF(AND(DC$3&gt;=INDEX(Properties!$T:$T,$B110+5),DC$3&lt;INDEX(Properties!$U:$U,$B110+5)),INDEX(Properties!$P:$P,$B110+5),0))</f>
        <v>0</v>
      </c>
      <c r="DD110" cm="1">
        <f t="array" ref="DD110">INDEX(Properties!$D:$D,$B110+5)*(IF(AND(DD$3&gt;=INDEX(Properties!$T:$T,$B110+5),DD$3&lt;INDEX(Properties!$U:$U,$B110+5)),INDEX(Properties!$P:$P,$B110+5),0))</f>
        <v>0</v>
      </c>
      <c r="DE110" cm="1">
        <f t="array" ref="DE110">INDEX(Properties!$D:$D,$B110+5)*(IF(AND(DE$3&gt;=INDEX(Properties!$T:$T,$B110+5),DE$3&lt;INDEX(Properties!$U:$U,$B110+5)),INDEX(Properties!$P:$P,$B110+5),0))</f>
        <v>0</v>
      </c>
      <c r="DF110" cm="1">
        <f t="array" ref="DF110">INDEX(Properties!$D:$D,$B110+5)*(IF(AND(DF$3&gt;=INDEX(Properties!$T:$T,$B110+5),DF$3&lt;INDEX(Properties!$U:$U,$B110+5)),INDEX(Properties!$P:$P,$B110+5),0))</f>
        <v>0</v>
      </c>
      <c r="DG110" cm="1">
        <f t="array" ref="DG110">INDEX(Properties!$D:$D,$B110+5)*(IF(AND(DG$3&gt;=INDEX(Properties!$T:$T,$B110+5),DG$3&lt;INDEX(Properties!$U:$U,$B110+5)),INDEX(Properties!$P:$P,$B110+5),0))</f>
        <v>0</v>
      </c>
      <c r="DH110" cm="1">
        <f t="array" ref="DH110">INDEX(Properties!$D:$D,$B110+5)*(IF(AND(DH$3&gt;=INDEX(Properties!$T:$T,$B110+5),DH$3&lt;INDEX(Properties!$U:$U,$B110+5)),INDEX(Properties!$P:$P,$B110+5),0))</f>
        <v>0</v>
      </c>
      <c r="DI110" cm="1">
        <f t="array" ref="DI110">INDEX(Properties!$D:$D,$B110+5)*(IF(AND(DI$3&gt;=INDEX(Properties!$T:$T,$B110+5),DI$3&lt;INDEX(Properties!$U:$U,$B110+5)),INDEX(Properties!$P:$P,$B110+5),0))</f>
        <v>0</v>
      </c>
      <c r="DJ110" cm="1">
        <f t="array" ref="DJ110">INDEX(Properties!$D:$D,$B110+5)*(IF(AND(DJ$3&gt;=INDEX(Properties!$T:$T,$B110+5),DJ$3&lt;INDEX(Properties!$U:$U,$B110+5)),INDEX(Properties!$P:$P,$B110+5),0))</f>
        <v>0</v>
      </c>
      <c r="DK110" cm="1">
        <f t="array" ref="DK110">INDEX(Properties!$D:$D,$B110+5)*(IF(AND(DK$3&gt;=INDEX(Properties!$T:$T,$B110+5),DK$3&lt;INDEX(Properties!$U:$U,$B110+5)),INDEX(Properties!$P:$P,$B110+5),0))</f>
        <v>0</v>
      </c>
      <c r="DL110" cm="1">
        <f t="array" ref="DL110">INDEX(Properties!$D:$D,$B110+5)*(IF(AND(DL$3&gt;=INDEX(Properties!$T:$T,$B110+5),DL$3&lt;INDEX(Properties!$U:$U,$B110+5)),INDEX(Properties!$P:$P,$B110+5),0))</f>
        <v>0</v>
      </c>
      <c r="DM110" cm="1">
        <f t="array" ref="DM110">INDEX(Properties!$D:$D,$B110+5)*(IF(AND(DM$3&gt;=INDEX(Properties!$T:$T,$B110+5),DM$3&lt;INDEX(Properties!$U:$U,$B110+5)),INDEX(Properties!$P:$P,$B110+5),0))</f>
        <v>0</v>
      </c>
      <c r="DN110" cm="1">
        <f t="array" ref="DN110">INDEX(Properties!$D:$D,$B110+5)*(IF(AND(DN$3&gt;=INDEX(Properties!$T:$T,$B110+5),DN$3&lt;INDEX(Properties!$U:$U,$B110+5)),INDEX(Properties!$P:$P,$B110+5),0))</f>
        <v>0</v>
      </c>
      <c r="DO110" cm="1">
        <f t="array" ref="DO110">INDEX(Properties!$D:$D,$B110+5)*(IF(AND(DO$3&gt;=INDEX(Properties!$T:$T,$B110+5),DO$3&lt;INDEX(Properties!$U:$U,$B110+5)),INDEX(Properties!$P:$P,$B110+5),0))</f>
        <v>0</v>
      </c>
      <c r="DP110" cm="1">
        <f t="array" ref="DP110">INDEX(Properties!$D:$D,$B110+5)*(IF(AND(DP$3&gt;=INDEX(Properties!$T:$T,$B110+5),DP$3&lt;INDEX(Properties!$U:$U,$B110+5)),INDEX(Properties!$P:$P,$B110+5),0))</f>
        <v>0</v>
      </c>
      <c r="DQ110" cm="1">
        <f t="array" ref="DQ110">INDEX(Properties!$D:$D,$B110+5)*(IF(AND(DQ$3&gt;=INDEX(Properties!$T:$T,$B110+5),DQ$3&lt;INDEX(Properties!$U:$U,$B110+5)),INDEX(Properties!$P:$P,$B110+5),0))</f>
        <v>0</v>
      </c>
      <c r="DR110" cm="1">
        <f t="array" ref="DR110">INDEX(Properties!$D:$D,$B110+5)*(IF(AND(DR$3&gt;=INDEX(Properties!$T:$T,$B110+5),DR$3&lt;INDEX(Properties!$U:$U,$B110+5)),INDEX(Properties!$P:$P,$B110+5),0))</f>
        <v>0</v>
      </c>
    </row>
    <row r="111" spans="1:122" ht="14.55" customHeight="1" x14ac:dyDescent="0.3">
      <c r="A111" t="str" cm="1">
        <f t="array" ref="A111">INDEX(Properties!$E:$E,$B111+5)</f>
        <v>Fontanar Apto 201 (Penthouse)</v>
      </c>
      <c r="B111" s="1">
        <v>2</v>
      </c>
      <c r="C111" cm="1">
        <f t="array" ref="C111">INDEX(Properties!$D:$D,$B111+5)*(IF(AND(C$3&gt;=INDEX(Properties!$T:$T,$B111+5),C$3&lt;INDEX(Properties!$U:$U,$B111+5)),INDEX(Properties!$P:$P,$B111+5),0))</f>
        <v>0</v>
      </c>
      <c r="D111" cm="1">
        <f t="array" ref="D111">INDEX(Properties!$D:$D,$B111+5)*(IF(AND(D$3&gt;=INDEX(Properties!$T:$T,$B111+5),D$3&lt;INDEX(Properties!$U:$U,$B111+5)),INDEX(Properties!$P:$P,$B111+5),0))</f>
        <v>0</v>
      </c>
      <c r="E111" cm="1">
        <f t="array" ref="E111">INDEX(Properties!$D:$D,$B111+5)*(IF(AND(E$3&gt;=INDEX(Properties!$T:$T,$B111+5),E$3&lt;INDEX(Properties!$U:$U,$B111+5)),INDEX(Properties!$P:$P,$B111+5),0))</f>
        <v>0</v>
      </c>
      <c r="F111" cm="1">
        <f t="array" ref="F111">INDEX(Properties!$D:$D,$B111+5)*(IF(AND(F$3&gt;=INDEX(Properties!$T:$T,$B111+5),F$3&lt;INDEX(Properties!$U:$U,$B111+5)),INDEX(Properties!$P:$P,$B111+5),0))</f>
        <v>0</v>
      </c>
      <c r="G111" cm="1">
        <f t="array" ref="G111">INDEX(Properties!$D:$D,$B111+5)*(IF(AND(G$3&gt;=INDEX(Properties!$T:$T,$B111+5),G$3&lt;INDEX(Properties!$U:$U,$B111+5)),INDEX(Properties!$P:$P,$B111+5),0))</f>
        <v>0</v>
      </c>
      <c r="H111" cm="1">
        <f t="array" ref="H111">INDEX(Properties!$D:$D,$B111+5)*(IF(AND(H$3&gt;=INDEX(Properties!$T:$T,$B111+5),H$3&lt;INDEX(Properties!$U:$U,$B111+5)),INDEX(Properties!$P:$P,$B111+5),0))</f>
        <v>0</v>
      </c>
      <c r="I111" cm="1">
        <f t="array" ref="I111">INDEX(Properties!$D:$D,$B111+5)*(IF(AND(I$3&gt;=INDEX(Properties!$T:$T,$B111+5),I$3&lt;INDEX(Properties!$U:$U,$B111+5)),INDEX(Properties!$P:$P,$B111+5),0))</f>
        <v>1290857.6051779937</v>
      </c>
      <c r="J111" cm="1">
        <f t="array" ref="J111">INDEX(Properties!$D:$D,$B111+5)*(IF(AND(J$3&gt;=INDEX(Properties!$T:$T,$B111+5),J$3&lt;INDEX(Properties!$U:$U,$B111+5)),INDEX(Properties!$P:$P,$B111+5),0))</f>
        <v>1290857.6051779937</v>
      </c>
      <c r="K111" cm="1">
        <f t="array" ref="K111">INDEX(Properties!$D:$D,$B111+5)*(IF(AND(K$3&gt;=INDEX(Properties!$T:$T,$B111+5),K$3&lt;INDEX(Properties!$U:$U,$B111+5)),INDEX(Properties!$P:$P,$B111+5),0))</f>
        <v>1290857.6051779937</v>
      </c>
      <c r="L111" cm="1">
        <f t="array" ref="L111">INDEX(Properties!$D:$D,$B111+5)*(IF(AND(L$3&gt;=INDEX(Properties!$T:$T,$B111+5),L$3&lt;INDEX(Properties!$U:$U,$B111+5)),INDEX(Properties!$P:$P,$B111+5),0))</f>
        <v>1290857.6051779937</v>
      </c>
      <c r="M111" cm="1">
        <f t="array" ref="M111">INDEX(Properties!$D:$D,$B111+5)*(IF(AND(M$3&gt;=INDEX(Properties!$T:$T,$B111+5),M$3&lt;INDEX(Properties!$U:$U,$B111+5)),INDEX(Properties!$P:$P,$B111+5),0))</f>
        <v>1290857.6051779937</v>
      </c>
      <c r="N111" cm="1">
        <f t="array" ref="N111">INDEX(Properties!$D:$D,$B111+5)*(IF(AND(N$3&gt;=INDEX(Properties!$T:$T,$B111+5),N$3&lt;INDEX(Properties!$U:$U,$B111+5)),INDEX(Properties!$P:$P,$B111+5),0))</f>
        <v>1290857.6051779937</v>
      </c>
      <c r="O111" cm="1">
        <f t="array" ref="O111">INDEX(Properties!$D:$D,$B111+5)*(IF(AND(O$3&gt;=INDEX(Properties!$T:$T,$B111+5),O$3&lt;INDEX(Properties!$U:$U,$B111+5)),INDEX(Properties!$P:$P,$B111+5),0))</f>
        <v>1290857.6051779937</v>
      </c>
      <c r="P111" cm="1">
        <f t="array" ref="P111">INDEX(Properties!$D:$D,$B111+5)*(IF(AND(P$3&gt;=INDEX(Properties!$T:$T,$B111+5),P$3&lt;INDEX(Properties!$U:$U,$B111+5)),INDEX(Properties!$P:$P,$B111+5),0))</f>
        <v>1290857.6051779937</v>
      </c>
      <c r="Q111" cm="1">
        <f t="array" ref="Q111">INDEX(Properties!$D:$D,$B111+5)*(IF(AND(Q$3&gt;=INDEX(Properties!$T:$T,$B111+5),Q$3&lt;INDEX(Properties!$U:$U,$B111+5)),INDEX(Properties!$P:$P,$B111+5),0))</f>
        <v>1290857.6051779937</v>
      </c>
      <c r="R111" cm="1">
        <f t="array" ref="R111">INDEX(Properties!$D:$D,$B111+5)*(IF(AND(R$3&gt;=INDEX(Properties!$T:$T,$B111+5),R$3&lt;INDEX(Properties!$U:$U,$B111+5)),INDEX(Properties!$P:$P,$B111+5),0))</f>
        <v>1290857.6051779937</v>
      </c>
      <c r="S111" cm="1">
        <f t="array" ref="S111">INDEX(Properties!$D:$D,$B111+5)*(IF(AND(S$3&gt;=INDEX(Properties!$T:$T,$B111+5),S$3&lt;INDEX(Properties!$U:$U,$B111+5)),INDEX(Properties!$P:$P,$B111+5),0))</f>
        <v>1290857.6051779937</v>
      </c>
      <c r="T111" cm="1">
        <f t="array" ref="T111">INDEX(Properties!$D:$D,$B111+5)*(IF(AND(T$3&gt;=INDEX(Properties!$T:$T,$B111+5),T$3&lt;INDEX(Properties!$U:$U,$B111+5)),INDEX(Properties!$P:$P,$B111+5),0))</f>
        <v>1290857.6051779937</v>
      </c>
      <c r="U111" cm="1">
        <f t="array" ref="U111">INDEX(Properties!$D:$D,$B111+5)*(IF(AND(U$3&gt;=INDEX(Properties!$T:$T,$B111+5),U$3&lt;INDEX(Properties!$U:$U,$B111+5)),INDEX(Properties!$P:$P,$B111+5),0))</f>
        <v>1290857.6051779937</v>
      </c>
      <c r="V111" cm="1">
        <f t="array" ref="V111">INDEX(Properties!$D:$D,$B111+5)*(IF(AND(V$3&gt;=INDEX(Properties!$T:$T,$B111+5),V$3&lt;INDEX(Properties!$U:$U,$B111+5)),INDEX(Properties!$P:$P,$B111+5),0))</f>
        <v>1290857.6051779937</v>
      </c>
      <c r="W111" cm="1">
        <f t="array" ref="W111">INDEX(Properties!$D:$D,$B111+5)*(IF(AND(W$3&gt;=INDEX(Properties!$T:$T,$B111+5),W$3&lt;INDEX(Properties!$U:$U,$B111+5)),INDEX(Properties!$P:$P,$B111+5),0))</f>
        <v>1290857.6051779937</v>
      </c>
      <c r="X111" cm="1">
        <f t="array" ref="X111">INDEX(Properties!$D:$D,$B111+5)*(IF(AND(X$3&gt;=INDEX(Properties!$T:$T,$B111+5),X$3&lt;INDEX(Properties!$U:$U,$B111+5)),INDEX(Properties!$P:$P,$B111+5),0))</f>
        <v>1290857.6051779937</v>
      </c>
      <c r="Y111" cm="1">
        <f t="array" ref="Y111">INDEX(Properties!$D:$D,$B111+5)*(IF(AND(Y$3&gt;=INDEX(Properties!$T:$T,$B111+5),Y$3&lt;INDEX(Properties!$U:$U,$B111+5)),INDEX(Properties!$P:$P,$B111+5),0))</f>
        <v>1290857.6051779937</v>
      </c>
      <c r="Z111" cm="1">
        <f t="array" ref="Z111">INDEX(Properties!$D:$D,$B111+5)*(IF(AND(Z$3&gt;=INDEX(Properties!$T:$T,$B111+5),Z$3&lt;INDEX(Properties!$U:$U,$B111+5)),INDEX(Properties!$P:$P,$B111+5),0))</f>
        <v>1290857.6051779937</v>
      </c>
      <c r="AA111" cm="1">
        <f t="array" ref="AA111">INDEX(Properties!$D:$D,$B111+5)*(IF(AND(AA$3&gt;=INDEX(Properties!$T:$T,$B111+5),AA$3&lt;INDEX(Properties!$U:$U,$B111+5)),INDEX(Properties!$P:$P,$B111+5),0))</f>
        <v>1290857.6051779937</v>
      </c>
      <c r="AB111" cm="1">
        <f t="array" ref="AB111">INDEX(Properties!$D:$D,$B111+5)*(IF(AND(AB$3&gt;=INDEX(Properties!$T:$T,$B111+5),AB$3&lt;INDEX(Properties!$U:$U,$B111+5)),INDEX(Properties!$P:$P,$B111+5),0))</f>
        <v>1290857.6051779937</v>
      </c>
      <c r="AC111" cm="1">
        <f t="array" ref="AC111">INDEX(Properties!$D:$D,$B111+5)*(IF(AND(AC$3&gt;=INDEX(Properties!$T:$T,$B111+5),AC$3&lt;INDEX(Properties!$U:$U,$B111+5)),INDEX(Properties!$P:$P,$B111+5),0))</f>
        <v>1290857.6051779937</v>
      </c>
      <c r="AD111" cm="1">
        <f t="array" ref="AD111">INDEX(Properties!$D:$D,$B111+5)*(IF(AND(AD$3&gt;=INDEX(Properties!$T:$T,$B111+5),AD$3&lt;INDEX(Properties!$U:$U,$B111+5)),INDEX(Properties!$P:$P,$B111+5),0))</f>
        <v>1290857.6051779937</v>
      </c>
      <c r="AE111" cm="1">
        <f t="array" ref="AE111">INDEX(Properties!$D:$D,$B111+5)*(IF(AND(AE$3&gt;=INDEX(Properties!$T:$T,$B111+5),AE$3&lt;INDEX(Properties!$U:$U,$B111+5)),INDEX(Properties!$P:$P,$B111+5),0))</f>
        <v>1290857.6051779937</v>
      </c>
      <c r="AF111" cm="1">
        <f t="array" ref="AF111">INDEX(Properties!$D:$D,$B111+5)*(IF(AND(AF$3&gt;=INDEX(Properties!$T:$T,$B111+5),AF$3&lt;INDEX(Properties!$U:$U,$B111+5)),INDEX(Properties!$P:$P,$B111+5),0))</f>
        <v>1290857.6051779937</v>
      </c>
      <c r="AG111" cm="1">
        <f t="array" ref="AG111">INDEX(Properties!$D:$D,$B111+5)*(IF(AND(AG$3&gt;=INDEX(Properties!$T:$T,$B111+5),AG$3&lt;INDEX(Properties!$U:$U,$B111+5)),INDEX(Properties!$P:$P,$B111+5),0))</f>
        <v>0</v>
      </c>
      <c r="AH111" cm="1">
        <f t="array" ref="AH111">INDEX(Properties!$D:$D,$B111+5)*(IF(AND(AH$3&gt;=INDEX(Properties!$T:$T,$B111+5),AH$3&lt;INDEX(Properties!$U:$U,$B111+5)),INDEX(Properties!$P:$P,$B111+5),0))</f>
        <v>0</v>
      </c>
      <c r="AI111" cm="1">
        <f t="array" ref="AI111">INDEX(Properties!$D:$D,$B111+5)*(IF(AND(AI$3&gt;=INDEX(Properties!$T:$T,$B111+5),AI$3&lt;INDEX(Properties!$U:$U,$B111+5)),INDEX(Properties!$P:$P,$B111+5),0))</f>
        <v>0</v>
      </c>
      <c r="AJ111" cm="1">
        <f t="array" ref="AJ111">INDEX(Properties!$D:$D,$B111+5)*(IF(AND(AJ$3&gt;=INDEX(Properties!$T:$T,$B111+5),AJ$3&lt;INDEX(Properties!$U:$U,$B111+5)),INDEX(Properties!$P:$P,$B111+5),0))</f>
        <v>0</v>
      </c>
      <c r="AK111" cm="1">
        <f t="array" ref="AK111">INDEX(Properties!$D:$D,$B111+5)*(IF(AND(AK$3&gt;=INDEX(Properties!$T:$T,$B111+5),AK$3&lt;INDEX(Properties!$U:$U,$B111+5)),INDEX(Properties!$P:$P,$B111+5),0))</f>
        <v>0</v>
      </c>
      <c r="AL111" cm="1">
        <f t="array" ref="AL111">INDEX(Properties!$D:$D,$B111+5)*(IF(AND(AL$3&gt;=INDEX(Properties!$T:$T,$B111+5),AL$3&lt;INDEX(Properties!$U:$U,$B111+5)),INDEX(Properties!$P:$P,$B111+5),0))</f>
        <v>0</v>
      </c>
      <c r="AM111" cm="1">
        <f t="array" ref="AM111">INDEX(Properties!$D:$D,$B111+5)*(IF(AND(AM$3&gt;=INDEX(Properties!$T:$T,$B111+5),AM$3&lt;INDEX(Properties!$U:$U,$B111+5)),INDEX(Properties!$P:$P,$B111+5),0))</f>
        <v>0</v>
      </c>
      <c r="AN111" cm="1">
        <f t="array" ref="AN111">INDEX(Properties!$D:$D,$B111+5)*(IF(AND(AN$3&gt;=INDEX(Properties!$T:$T,$B111+5),AN$3&lt;INDEX(Properties!$U:$U,$B111+5)),INDEX(Properties!$P:$P,$B111+5),0))</f>
        <v>0</v>
      </c>
      <c r="AO111" cm="1">
        <f t="array" ref="AO111">INDEX(Properties!$D:$D,$B111+5)*(IF(AND(AO$3&gt;=INDEX(Properties!$T:$T,$B111+5),AO$3&lt;INDEX(Properties!$U:$U,$B111+5)),INDEX(Properties!$P:$P,$B111+5),0))</f>
        <v>0</v>
      </c>
      <c r="AP111" cm="1">
        <f t="array" ref="AP111">INDEX(Properties!$D:$D,$B111+5)*(IF(AND(AP$3&gt;=INDEX(Properties!$T:$T,$B111+5),AP$3&lt;INDEX(Properties!$U:$U,$B111+5)),INDEX(Properties!$P:$P,$B111+5),0))</f>
        <v>0</v>
      </c>
      <c r="AQ111" cm="1">
        <f t="array" ref="AQ111">INDEX(Properties!$D:$D,$B111+5)*(IF(AND(AQ$3&gt;=INDEX(Properties!$T:$T,$B111+5),AQ$3&lt;INDEX(Properties!$U:$U,$B111+5)),INDEX(Properties!$P:$P,$B111+5),0))</f>
        <v>0</v>
      </c>
      <c r="AR111" cm="1">
        <f t="array" ref="AR111">INDEX(Properties!$D:$D,$B111+5)*(IF(AND(AR$3&gt;=INDEX(Properties!$T:$T,$B111+5),AR$3&lt;INDEX(Properties!$U:$U,$B111+5)),INDEX(Properties!$P:$P,$B111+5),0))</f>
        <v>0</v>
      </c>
      <c r="AS111" cm="1">
        <f t="array" ref="AS111">INDEX(Properties!$D:$D,$B111+5)*(IF(AND(AS$3&gt;=INDEX(Properties!$T:$T,$B111+5),AS$3&lt;INDEX(Properties!$U:$U,$B111+5)),INDEX(Properties!$P:$P,$B111+5),0))</f>
        <v>0</v>
      </c>
      <c r="AT111" cm="1">
        <f t="array" ref="AT111">INDEX(Properties!$D:$D,$B111+5)*(IF(AND(AT$3&gt;=INDEX(Properties!$T:$T,$B111+5),AT$3&lt;INDEX(Properties!$U:$U,$B111+5)),INDEX(Properties!$P:$P,$B111+5),0))</f>
        <v>0</v>
      </c>
      <c r="AU111" cm="1">
        <f t="array" ref="AU111">INDEX(Properties!$D:$D,$B111+5)*(IF(AND(AU$3&gt;=INDEX(Properties!$T:$T,$B111+5),AU$3&lt;INDEX(Properties!$U:$U,$B111+5)),INDEX(Properties!$P:$P,$B111+5),0))</f>
        <v>0</v>
      </c>
      <c r="AV111" cm="1">
        <f t="array" ref="AV111">INDEX(Properties!$D:$D,$B111+5)*(IF(AND(AV$3&gt;=INDEX(Properties!$T:$T,$B111+5),AV$3&lt;INDEX(Properties!$U:$U,$B111+5)),INDEX(Properties!$P:$P,$B111+5),0))</f>
        <v>0</v>
      </c>
      <c r="AW111" cm="1">
        <f t="array" ref="AW111">INDEX(Properties!$D:$D,$B111+5)*(IF(AND(AW$3&gt;=INDEX(Properties!$T:$T,$B111+5),AW$3&lt;INDEX(Properties!$U:$U,$B111+5)),INDEX(Properties!$P:$P,$B111+5),0))</f>
        <v>0</v>
      </c>
      <c r="AX111" cm="1">
        <f t="array" ref="AX111">INDEX(Properties!$D:$D,$B111+5)*(IF(AND(AX$3&gt;=INDEX(Properties!$T:$T,$B111+5),AX$3&lt;INDEX(Properties!$U:$U,$B111+5)),INDEX(Properties!$P:$P,$B111+5),0))</f>
        <v>0</v>
      </c>
      <c r="AY111" cm="1">
        <f t="array" ref="AY111">INDEX(Properties!$D:$D,$B111+5)*(IF(AND(AY$3&gt;=INDEX(Properties!$T:$T,$B111+5),AY$3&lt;INDEX(Properties!$U:$U,$B111+5)),INDEX(Properties!$P:$P,$B111+5),0))</f>
        <v>0</v>
      </c>
      <c r="AZ111" cm="1">
        <f t="array" ref="AZ111">INDEX(Properties!$D:$D,$B111+5)*(IF(AND(AZ$3&gt;=INDEX(Properties!$T:$T,$B111+5),AZ$3&lt;INDEX(Properties!$U:$U,$B111+5)),INDEX(Properties!$P:$P,$B111+5),0))</f>
        <v>0</v>
      </c>
      <c r="BA111" cm="1">
        <f t="array" ref="BA111">INDEX(Properties!$D:$D,$B111+5)*(IF(AND(BA$3&gt;=INDEX(Properties!$T:$T,$B111+5),BA$3&lt;INDEX(Properties!$U:$U,$B111+5)),INDEX(Properties!$P:$P,$B111+5),0))</f>
        <v>0</v>
      </c>
      <c r="BB111" cm="1">
        <f t="array" ref="BB111">INDEX(Properties!$D:$D,$B111+5)*(IF(AND(BB$3&gt;=INDEX(Properties!$T:$T,$B111+5),BB$3&lt;INDEX(Properties!$U:$U,$B111+5)),INDEX(Properties!$P:$P,$B111+5),0))</f>
        <v>0</v>
      </c>
      <c r="BC111" cm="1">
        <f t="array" ref="BC111">INDEX(Properties!$D:$D,$B111+5)*(IF(AND(BC$3&gt;=INDEX(Properties!$T:$T,$B111+5),BC$3&lt;INDEX(Properties!$U:$U,$B111+5)),INDEX(Properties!$P:$P,$B111+5),0))</f>
        <v>0</v>
      </c>
      <c r="BD111" cm="1">
        <f t="array" ref="BD111">INDEX(Properties!$D:$D,$B111+5)*(IF(AND(BD$3&gt;=INDEX(Properties!$T:$T,$B111+5),BD$3&lt;INDEX(Properties!$U:$U,$B111+5)),INDEX(Properties!$P:$P,$B111+5),0))</f>
        <v>0</v>
      </c>
      <c r="BE111" cm="1">
        <f t="array" ref="BE111">INDEX(Properties!$D:$D,$B111+5)*(IF(AND(BE$3&gt;=INDEX(Properties!$T:$T,$B111+5),BE$3&lt;INDEX(Properties!$U:$U,$B111+5)),INDEX(Properties!$P:$P,$B111+5),0))</f>
        <v>0</v>
      </c>
      <c r="BF111" cm="1">
        <f t="array" ref="BF111">INDEX(Properties!$D:$D,$B111+5)*(IF(AND(BF$3&gt;=INDEX(Properties!$T:$T,$B111+5),BF$3&lt;INDEX(Properties!$U:$U,$B111+5)),INDEX(Properties!$P:$P,$B111+5),0))</f>
        <v>0</v>
      </c>
      <c r="BG111" cm="1">
        <f t="array" ref="BG111">INDEX(Properties!$D:$D,$B111+5)*(IF(AND(BG$3&gt;=INDEX(Properties!$T:$T,$B111+5),BG$3&lt;INDEX(Properties!$U:$U,$B111+5)),INDEX(Properties!$P:$P,$B111+5),0))</f>
        <v>0</v>
      </c>
      <c r="BH111" cm="1">
        <f t="array" ref="BH111">INDEX(Properties!$D:$D,$B111+5)*(IF(AND(BH$3&gt;=INDEX(Properties!$T:$T,$B111+5),BH$3&lt;INDEX(Properties!$U:$U,$B111+5)),INDEX(Properties!$P:$P,$B111+5),0))</f>
        <v>0</v>
      </c>
      <c r="BI111" cm="1">
        <f t="array" ref="BI111">INDEX(Properties!$D:$D,$B111+5)*(IF(AND(BI$3&gt;=INDEX(Properties!$T:$T,$B111+5),BI$3&lt;INDEX(Properties!$U:$U,$B111+5)),INDEX(Properties!$P:$P,$B111+5),0))</f>
        <v>0</v>
      </c>
      <c r="BJ111" cm="1">
        <f t="array" ref="BJ111">INDEX(Properties!$D:$D,$B111+5)*(IF(AND(BJ$3&gt;=INDEX(Properties!$T:$T,$B111+5),BJ$3&lt;INDEX(Properties!$U:$U,$B111+5)),INDEX(Properties!$P:$P,$B111+5),0))</f>
        <v>0</v>
      </c>
      <c r="BK111" cm="1">
        <f t="array" ref="BK111">INDEX(Properties!$D:$D,$B111+5)*(IF(AND(BK$3&gt;=INDEX(Properties!$T:$T,$B111+5),BK$3&lt;INDEX(Properties!$U:$U,$B111+5)),INDEX(Properties!$P:$P,$B111+5),0))</f>
        <v>0</v>
      </c>
      <c r="BL111" cm="1">
        <f t="array" ref="BL111">INDEX(Properties!$D:$D,$B111+5)*(IF(AND(BL$3&gt;=INDEX(Properties!$T:$T,$B111+5),BL$3&lt;INDEX(Properties!$U:$U,$B111+5)),INDEX(Properties!$P:$P,$B111+5),0))</f>
        <v>0</v>
      </c>
      <c r="BM111" cm="1">
        <f t="array" ref="BM111">INDEX(Properties!$D:$D,$B111+5)*(IF(AND(BM$3&gt;=INDEX(Properties!$T:$T,$B111+5),BM$3&lt;INDEX(Properties!$U:$U,$B111+5)),INDEX(Properties!$P:$P,$B111+5),0))</f>
        <v>0</v>
      </c>
      <c r="BN111" cm="1">
        <f t="array" ref="BN111">INDEX(Properties!$D:$D,$B111+5)*(IF(AND(BN$3&gt;=INDEX(Properties!$T:$T,$B111+5),BN$3&lt;INDEX(Properties!$U:$U,$B111+5)),INDEX(Properties!$P:$P,$B111+5),0))</f>
        <v>0</v>
      </c>
      <c r="BO111" cm="1">
        <f t="array" ref="BO111">INDEX(Properties!$D:$D,$B111+5)*(IF(AND(BO$3&gt;=INDEX(Properties!$T:$T,$B111+5),BO$3&lt;INDEX(Properties!$U:$U,$B111+5)),INDEX(Properties!$P:$P,$B111+5),0))</f>
        <v>0</v>
      </c>
      <c r="BP111" cm="1">
        <f t="array" ref="BP111">INDEX(Properties!$D:$D,$B111+5)*(IF(AND(BP$3&gt;=INDEX(Properties!$T:$T,$B111+5),BP$3&lt;INDEX(Properties!$U:$U,$B111+5)),INDEX(Properties!$P:$P,$B111+5),0))</f>
        <v>0</v>
      </c>
      <c r="BQ111" cm="1">
        <f t="array" ref="BQ111">INDEX(Properties!$D:$D,$B111+5)*(IF(AND(BQ$3&gt;=INDEX(Properties!$T:$T,$B111+5),BQ$3&lt;INDEX(Properties!$U:$U,$B111+5)),INDEX(Properties!$P:$P,$B111+5),0))</f>
        <v>0</v>
      </c>
      <c r="BR111" cm="1">
        <f t="array" ref="BR111">INDEX(Properties!$D:$D,$B111+5)*(IF(AND(BR$3&gt;=INDEX(Properties!$T:$T,$B111+5),BR$3&lt;INDEX(Properties!$U:$U,$B111+5)),INDEX(Properties!$P:$P,$B111+5),0))</f>
        <v>0</v>
      </c>
      <c r="BS111" cm="1">
        <f t="array" ref="BS111">INDEX(Properties!$D:$D,$B111+5)*(IF(AND(BS$3&gt;=INDEX(Properties!$T:$T,$B111+5),BS$3&lt;INDEX(Properties!$U:$U,$B111+5)),INDEX(Properties!$P:$P,$B111+5),0))</f>
        <v>0</v>
      </c>
      <c r="BT111" cm="1">
        <f t="array" ref="BT111">INDEX(Properties!$D:$D,$B111+5)*(IF(AND(BT$3&gt;=INDEX(Properties!$T:$T,$B111+5),BT$3&lt;INDEX(Properties!$U:$U,$B111+5)),INDEX(Properties!$P:$P,$B111+5),0))</f>
        <v>0</v>
      </c>
      <c r="BU111" cm="1">
        <f t="array" ref="BU111">INDEX(Properties!$D:$D,$B111+5)*(IF(AND(BU$3&gt;=INDEX(Properties!$T:$T,$B111+5),BU$3&lt;INDEX(Properties!$U:$U,$B111+5)),INDEX(Properties!$P:$P,$B111+5),0))</f>
        <v>0</v>
      </c>
      <c r="BV111" cm="1">
        <f t="array" ref="BV111">INDEX(Properties!$D:$D,$B111+5)*(IF(AND(BV$3&gt;=INDEX(Properties!$T:$T,$B111+5),BV$3&lt;INDEX(Properties!$U:$U,$B111+5)),INDEX(Properties!$P:$P,$B111+5),0))</f>
        <v>0</v>
      </c>
      <c r="BW111" cm="1">
        <f t="array" ref="BW111">INDEX(Properties!$D:$D,$B111+5)*(IF(AND(BW$3&gt;=INDEX(Properties!$T:$T,$B111+5),BW$3&lt;INDEX(Properties!$U:$U,$B111+5)),INDEX(Properties!$P:$P,$B111+5),0))</f>
        <v>0</v>
      </c>
      <c r="BX111" cm="1">
        <f t="array" ref="BX111">INDEX(Properties!$D:$D,$B111+5)*(IF(AND(BX$3&gt;=INDEX(Properties!$T:$T,$B111+5),BX$3&lt;INDEX(Properties!$U:$U,$B111+5)),INDEX(Properties!$P:$P,$B111+5),0))</f>
        <v>0</v>
      </c>
      <c r="BY111" cm="1">
        <f t="array" ref="BY111">INDEX(Properties!$D:$D,$B111+5)*(IF(AND(BY$3&gt;=INDEX(Properties!$T:$T,$B111+5),BY$3&lt;INDEX(Properties!$U:$U,$B111+5)),INDEX(Properties!$P:$P,$B111+5),0))</f>
        <v>0</v>
      </c>
      <c r="BZ111" cm="1">
        <f t="array" ref="BZ111">INDEX(Properties!$D:$D,$B111+5)*(IF(AND(BZ$3&gt;=INDEX(Properties!$T:$T,$B111+5),BZ$3&lt;INDEX(Properties!$U:$U,$B111+5)),INDEX(Properties!$P:$P,$B111+5),0))</f>
        <v>0</v>
      </c>
      <c r="CA111" cm="1">
        <f t="array" ref="CA111">INDEX(Properties!$D:$D,$B111+5)*(IF(AND(CA$3&gt;=INDEX(Properties!$T:$T,$B111+5),CA$3&lt;INDEX(Properties!$U:$U,$B111+5)),INDEX(Properties!$P:$P,$B111+5),0))</f>
        <v>0</v>
      </c>
      <c r="CB111" cm="1">
        <f t="array" ref="CB111">INDEX(Properties!$D:$D,$B111+5)*(IF(AND(CB$3&gt;=INDEX(Properties!$T:$T,$B111+5),CB$3&lt;INDEX(Properties!$U:$U,$B111+5)),INDEX(Properties!$P:$P,$B111+5),0))</f>
        <v>0</v>
      </c>
      <c r="CC111" cm="1">
        <f t="array" ref="CC111">INDEX(Properties!$D:$D,$B111+5)*(IF(AND(CC$3&gt;=INDEX(Properties!$T:$T,$B111+5),CC$3&lt;INDEX(Properties!$U:$U,$B111+5)),INDEX(Properties!$P:$P,$B111+5),0))</f>
        <v>0</v>
      </c>
      <c r="CD111" cm="1">
        <f t="array" ref="CD111">INDEX(Properties!$D:$D,$B111+5)*(IF(AND(CD$3&gt;=INDEX(Properties!$T:$T,$B111+5),CD$3&lt;INDEX(Properties!$U:$U,$B111+5)),INDEX(Properties!$P:$P,$B111+5),0))</f>
        <v>0</v>
      </c>
      <c r="CE111" cm="1">
        <f t="array" ref="CE111">INDEX(Properties!$D:$D,$B111+5)*(IF(AND(CE$3&gt;=INDEX(Properties!$T:$T,$B111+5),CE$3&lt;INDEX(Properties!$U:$U,$B111+5)),INDEX(Properties!$P:$P,$B111+5),0))</f>
        <v>0</v>
      </c>
      <c r="CF111" cm="1">
        <f t="array" ref="CF111">INDEX(Properties!$D:$D,$B111+5)*(IF(AND(CF$3&gt;=INDEX(Properties!$T:$T,$B111+5),CF$3&lt;INDEX(Properties!$U:$U,$B111+5)),INDEX(Properties!$P:$P,$B111+5),0))</f>
        <v>0</v>
      </c>
      <c r="CG111" cm="1">
        <f t="array" ref="CG111">INDEX(Properties!$D:$D,$B111+5)*(IF(AND(CG$3&gt;=INDEX(Properties!$T:$T,$B111+5),CG$3&lt;INDEX(Properties!$U:$U,$B111+5)),INDEX(Properties!$P:$P,$B111+5),0))</f>
        <v>0</v>
      </c>
      <c r="CH111" cm="1">
        <f t="array" ref="CH111">INDEX(Properties!$D:$D,$B111+5)*(IF(AND(CH$3&gt;=INDEX(Properties!$T:$T,$B111+5),CH$3&lt;INDEX(Properties!$U:$U,$B111+5)),INDEX(Properties!$P:$P,$B111+5),0))</f>
        <v>0</v>
      </c>
      <c r="CI111" cm="1">
        <f t="array" ref="CI111">INDEX(Properties!$D:$D,$B111+5)*(IF(AND(CI$3&gt;=INDEX(Properties!$T:$T,$B111+5),CI$3&lt;INDEX(Properties!$U:$U,$B111+5)),INDEX(Properties!$P:$P,$B111+5),0))</f>
        <v>0</v>
      </c>
      <c r="CJ111" cm="1">
        <f t="array" ref="CJ111">INDEX(Properties!$D:$D,$B111+5)*(IF(AND(CJ$3&gt;=INDEX(Properties!$T:$T,$B111+5),CJ$3&lt;INDEX(Properties!$U:$U,$B111+5)),INDEX(Properties!$P:$P,$B111+5),0))</f>
        <v>0</v>
      </c>
      <c r="CK111" cm="1">
        <f t="array" ref="CK111">INDEX(Properties!$D:$D,$B111+5)*(IF(AND(CK$3&gt;=INDEX(Properties!$T:$T,$B111+5),CK$3&lt;INDEX(Properties!$U:$U,$B111+5)),INDEX(Properties!$P:$P,$B111+5),0))</f>
        <v>0</v>
      </c>
      <c r="CL111" cm="1">
        <f t="array" ref="CL111">INDEX(Properties!$D:$D,$B111+5)*(IF(AND(CL$3&gt;=INDEX(Properties!$T:$T,$B111+5),CL$3&lt;INDEX(Properties!$U:$U,$B111+5)),INDEX(Properties!$P:$P,$B111+5),0))</f>
        <v>0</v>
      </c>
      <c r="CM111" cm="1">
        <f t="array" ref="CM111">INDEX(Properties!$D:$D,$B111+5)*(IF(AND(CM$3&gt;=INDEX(Properties!$T:$T,$B111+5),CM$3&lt;INDEX(Properties!$U:$U,$B111+5)),INDEX(Properties!$P:$P,$B111+5),0))</f>
        <v>0</v>
      </c>
      <c r="CN111" cm="1">
        <f t="array" ref="CN111">INDEX(Properties!$D:$D,$B111+5)*(IF(AND(CN$3&gt;=INDEX(Properties!$T:$T,$B111+5),CN$3&lt;INDEX(Properties!$U:$U,$B111+5)),INDEX(Properties!$P:$P,$B111+5),0))</f>
        <v>0</v>
      </c>
      <c r="CO111" cm="1">
        <f t="array" ref="CO111">INDEX(Properties!$D:$D,$B111+5)*(IF(AND(CO$3&gt;=INDEX(Properties!$T:$T,$B111+5),CO$3&lt;INDEX(Properties!$U:$U,$B111+5)),INDEX(Properties!$P:$P,$B111+5),0))</f>
        <v>0</v>
      </c>
      <c r="CP111" cm="1">
        <f t="array" ref="CP111">INDEX(Properties!$D:$D,$B111+5)*(IF(AND(CP$3&gt;=INDEX(Properties!$T:$T,$B111+5),CP$3&lt;INDEX(Properties!$U:$U,$B111+5)),INDEX(Properties!$P:$P,$B111+5),0))</f>
        <v>0</v>
      </c>
      <c r="CQ111" cm="1">
        <f t="array" ref="CQ111">INDEX(Properties!$D:$D,$B111+5)*(IF(AND(CQ$3&gt;=INDEX(Properties!$T:$T,$B111+5),CQ$3&lt;INDEX(Properties!$U:$U,$B111+5)),INDEX(Properties!$P:$P,$B111+5),0))</f>
        <v>0</v>
      </c>
      <c r="CR111" cm="1">
        <f t="array" ref="CR111">INDEX(Properties!$D:$D,$B111+5)*(IF(AND(CR$3&gt;=INDEX(Properties!$T:$T,$B111+5),CR$3&lt;INDEX(Properties!$U:$U,$B111+5)),INDEX(Properties!$P:$P,$B111+5),0))</f>
        <v>0</v>
      </c>
      <c r="CS111" cm="1">
        <f t="array" ref="CS111">INDEX(Properties!$D:$D,$B111+5)*(IF(AND(CS$3&gt;=INDEX(Properties!$T:$T,$B111+5),CS$3&lt;INDEX(Properties!$U:$U,$B111+5)),INDEX(Properties!$P:$P,$B111+5),0))</f>
        <v>0</v>
      </c>
      <c r="CT111" cm="1">
        <f t="array" ref="CT111">INDEX(Properties!$D:$D,$B111+5)*(IF(AND(CT$3&gt;=INDEX(Properties!$T:$T,$B111+5),CT$3&lt;INDEX(Properties!$U:$U,$B111+5)),INDEX(Properties!$P:$P,$B111+5),0))</f>
        <v>0</v>
      </c>
      <c r="CU111" cm="1">
        <f t="array" ref="CU111">INDEX(Properties!$D:$D,$B111+5)*(IF(AND(CU$3&gt;=INDEX(Properties!$T:$T,$B111+5),CU$3&lt;INDEX(Properties!$U:$U,$B111+5)),INDEX(Properties!$P:$P,$B111+5),0))</f>
        <v>0</v>
      </c>
      <c r="CV111" cm="1">
        <f t="array" ref="CV111">INDEX(Properties!$D:$D,$B111+5)*(IF(AND(CV$3&gt;=INDEX(Properties!$T:$T,$B111+5),CV$3&lt;INDEX(Properties!$U:$U,$B111+5)),INDEX(Properties!$P:$P,$B111+5),0))</f>
        <v>0</v>
      </c>
      <c r="CW111" cm="1">
        <f t="array" ref="CW111">INDEX(Properties!$D:$D,$B111+5)*(IF(AND(CW$3&gt;=INDEX(Properties!$T:$T,$B111+5),CW$3&lt;INDEX(Properties!$U:$U,$B111+5)),INDEX(Properties!$P:$P,$B111+5),0))</f>
        <v>0</v>
      </c>
      <c r="CX111" cm="1">
        <f t="array" ref="CX111">INDEX(Properties!$D:$D,$B111+5)*(IF(AND(CX$3&gt;=INDEX(Properties!$T:$T,$B111+5),CX$3&lt;INDEX(Properties!$U:$U,$B111+5)),INDEX(Properties!$P:$P,$B111+5),0))</f>
        <v>0</v>
      </c>
      <c r="CY111" cm="1">
        <f t="array" ref="CY111">INDEX(Properties!$D:$D,$B111+5)*(IF(AND(CY$3&gt;=INDEX(Properties!$T:$T,$B111+5),CY$3&lt;INDEX(Properties!$U:$U,$B111+5)),INDEX(Properties!$P:$P,$B111+5),0))</f>
        <v>0</v>
      </c>
      <c r="CZ111" cm="1">
        <f t="array" ref="CZ111">INDEX(Properties!$D:$D,$B111+5)*(IF(AND(CZ$3&gt;=INDEX(Properties!$T:$T,$B111+5),CZ$3&lt;INDEX(Properties!$U:$U,$B111+5)),INDEX(Properties!$P:$P,$B111+5),0))</f>
        <v>0</v>
      </c>
      <c r="DA111" cm="1">
        <f t="array" ref="DA111">INDEX(Properties!$D:$D,$B111+5)*(IF(AND(DA$3&gt;=INDEX(Properties!$T:$T,$B111+5),DA$3&lt;INDEX(Properties!$U:$U,$B111+5)),INDEX(Properties!$P:$P,$B111+5),0))</f>
        <v>0</v>
      </c>
      <c r="DB111" cm="1">
        <f t="array" ref="DB111">INDEX(Properties!$D:$D,$B111+5)*(IF(AND(DB$3&gt;=INDEX(Properties!$T:$T,$B111+5),DB$3&lt;INDEX(Properties!$U:$U,$B111+5)),INDEX(Properties!$P:$P,$B111+5),0))</f>
        <v>0</v>
      </c>
      <c r="DC111" cm="1">
        <f t="array" ref="DC111">INDEX(Properties!$D:$D,$B111+5)*(IF(AND(DC$3&gt;=INDEX(Properties!$T:$T,$B111+5),DC$3&lt;INDEX(Properties!$U:$U,$B111+5)),INDEX(Properties!$P:$P,$B111+5),0))</f>
        <v>0</v>
      </c>
      <c r="DD111" cm="1">
        <f t="array" ref="DD111">INDEX(Properties!$D:$D,$B111+5)*(IF(AND(DD$3&gt;=INDEX(Properties!$T:$T,$B111+5),DD$3&lt;INDEX(Properties!$U:$U,$B111+5)),INDEX(Properties!$P:$P,$B111+5),0))</f>
        <v>0</v>
      </c>
      <c r="DE111" cm="1">
        <f t="array" ref="DE111">INDEX(Properties!$D:$D,$B111+5)*(IF(AND(DE$3&gt;=INDEX(Properties!$T:$T,$B111+5),DE$3&lt;INDEX(Properties!$U:$U,$B111+5)),INDEX(Properties!$P:$P,$B111+5),0))</f>
        <v>0</v>
      </c>
      <c r="DF111" cm="1">
        <f t="array" ref="DF111">INDEX(Properties!$D:$D,$B111+5)*(IF(AND(DF$3&gt;=INDEX(Properties!$T:$T,$B111+5),DF$3&lt;INDEX(Properties!$U:$U,$B111+5)),INDEX(Properties!$P:$P,$B111+5),0))</f>
        <v>0</v>
      </c>
      <c r="DG111" cm="1">
        <f t="array" ref="DG111">INDEX(Properties!$D:$D,$B111+5)*(IF(AND(DG$3&gt;=INDEX(Properties!$T:$T,$B111+5),DG$3&lt;INDEX(Properties!$U:$U,$B111+5)),INDEX(Properties!$P:$P,$B111+5),0))</f>
        <v>0</v>
      </c>
      <c r="DH111" cm="1">
        <f t="array" ref="DH111">INDEX(Properties!$D:$D,$B111+5)*(IF(AND(DH$3&gt;=INDEX(Properties!$T:$T,$B111+5),DH$3&lt;INDEX(Properties!$U:$U,$B111+5)),INDEX(Properties!$P:$P,$B111+5),0))</f>
        <v>0</v>
      </c>
      <c r="DI111" cm="1">
        <f t="array" ref="DI111">INDEX(Properties!$D:$D,$B111+5)*(IF(AND(DI$3&gt;=INDEX(Properties!$T:$T,$B111+5),DI$3&lt;INDEX(Properties!$U:$U,$B111+5)),INDEX(Properties!$P:$P,$B111+5),0))</f>
        <v>0</v>
      </c>
      <c r="DJ111" cm="1">
        <f t="array" ref="DJ111">INDEX(Properties!$D:$D,$B111+5)*(IF(AND(DJ$3&gt;=INDEX(Properties!$T:$T,$B111+5),DJ$3&lt;INDEX(Properties!$U:$U,$B111+5)),INDEX(Properties!$P:$P,$B111+5),0))</f>
        <v>0</v>
      </c>
      <c r="DK111" cm="1">
        <f t="array" ref="DK111">INDEX(Properties!$D:$D,$B111+5)*(IF(AND(DK$3&gt;=INDEX(Properties!$T:$T,$B111+5),DK$3&lt;INDEX(Properties!$U:$U,$B111+5)),INDEX(Properties!$P:$P,$B111+5),0))</f>
        <v>0</v>
      </c>
      <c r="DL111" cm="1">
        <f t="array" ref="DL111">INDEX(Properties!$D:$D,$B111+5)*(IF(AND(DL$3&gt;=INDEX(Properties!$T:$T,$B111+5),DL$3&lt;INDEX(Properties!$U:$U,$B111+5)),INDEX(Properties!$P:$P,$B111+5),0))</f>
        <v>0</v>
      </c>
      <c r="DM111" cm="1">
        <f t="array" ref="DM111">INDEX(Properties!$D:$D,$B111+5)*(IF(AND(DM$3&gt;=INDEX(Properties!$T:$T,$B111+5),DM$3&lt;INDEX(Properties!$U:$U,$B111+5)),INDEX(Properties!$P:$P,$B111+5),0))</f>
        <v>0</v>
      </c>
      <c r="DN111" cm="1">
        <f t="array" ref="DN111">INDEX(Properties!$D:$D,$B111+5)*(IF(AND(DN$3&gt;=INDEX(Properties!$T:$T,$B111+5),DN$3&lt;INDEX(Properties!$U:$U,$B111+5)),INDEX(Properties!$P:$P,$B111+5),0))</f>
        <v>0</v>
      </c>
      <c r="DO111" cm="1">
        <f t="array" ref="DO111">INDEX(Properties!$D:$D,$B111+5)*(IF(AND(DO$3&gt;=INDEX(Properties!$T:$T,$B111+5),DO$3&lt;INDEX(Properties!$U:$U,$B111+5)),INDEX(Properties!$P:$P,$B111+5),0))</f>
        <v>0</v>
      </c>
      <c r="DP111" cm="1">
        <f t="array" ref="DP111">INDEX(Properties!$D:$D,$B111+5)*(IF(AND(DP$3&gt;=INDEX(Properties!$T:$T,$B111+5),DP$3&lt;INDEX(Properties!$U:$U,$B111+5)),INDEX(Properties!$P:$P,$B111+5),0))</f>
        <v>0</v>
      </c>
      <c r="DQ111" cm="1">
        <f t="array" ref="DQ111">INDEX(Properties!$D:$D,$B111+5)*(IF(AND(DQ$3&gt;=INDEX(Properties!$T:$T,$B111+5),DQ$3&lt;INDEX(Properties!$U:$U,$B111+5)),INDEX(Properties!$P:$P,$B111+5),0))</f>
        <v>0</v>
      </c>
      <c r="DR111" cm="1">
        <f t="array" ref="DR111">INDEX(Properties!$D:$D,$B111+5)*(IF(AND(DR$3&gt;=INDEX(Properties!$T:$T,$B111+5),DR$3&lt;INDEX(Properties!$U:$U,$B111+5)),INDEX(Properties!$P:$P,$B111+5),0))</f>
        <v>0</v>
      </c>
    </row>
    <row r="112" spans="1:122" ht="14.55" customHeight="1" x14ac:dyDescent="0.3">
      <c r="A112" t="str" cm="1">
        <f t="array" ref="A112">INDEX(Properties!$E:$E,$B112+5)</f>
        <v>San Lucas Apto 101</v>
      </c>
      <c r="B112" s="1">
        <v>3</v>
      </c>
      <c r="C112" cm="1">
        <f t="array" ref="C112">INDEX(Properties!$D:$D,$B112+5)*(IF(AND(C$3&gt;=INDEX(Properties!$T:$T,$B112+5),C$3&lt;INDEX(Properties!$U:$U,$B112+5)),INDEX(Properties!$P:$P,$B112+5),0))</f>
        <v>0</v>
      </c>
      <c r="D112" cm="1">
        <f t="array" ref="D112">INDEX(Properties!$D:$D,$B112+5)*(IF(AND(D$3&gt;=INDEX(Properties!$T:$T,$B112+5),D$3&lt;INDEX(Properties!$U:$U,$B112+5)),INDEX(Properties!$P:$P,$B112+5),0))</f>
        <v>0</v>
      </c>
      <c r="E112" cm="1">
        <f t="array" ref="E112">INDEX(Properties!$D:$D,$B112+5)*(IF(AND(E$3&gt;=INDEX(Properties!$T:$T,$B112+5),E$3&lt;INDEX(Properties!$U:$U,$B112+5)),INDEX(Properties!$P:$P,$B112+5),0))</f>
        <v>0</v>
      </c>
      <c r="F112" cm="1">
        <f t="array" ref="F112">INDEX(Properties!$D:$D,$B112+5)*(IF(AND(F$3&gt;=INDEX(Properties!$T:$T,$B112+5),F$3&lt;INDEX(Properties!$U:$U,$B112+5)),INDEX(Properties!$P:$P,$B112+5),0))</f>
        <v>0</v>
      </c>
      <c r="G112" cm="1">
        <f t="array" ref="G112">INDEX(Properties!$D:$D,$B112+5)*(IF(AND(G$3&gt;=INDEX(Properties!$T:$T,$B112+5),G$3&lt;INDEX(Properties!$U:$U,$B112+5)),INDEX(Properties!$P:$P,$B112+5),0))</f>
        <v>0</v>
      </c>
      <c r="H112" cm="1">
        <f t="array" ref="H112">INDEX(Properties!$D:$D,$B112+5)*(IF(AND(H$3&gt;=INDEX(Properties!$T:$T,$B112+5),H$3&lt;INDEX(Properties!$U:$U,$B112+5)),INDEX(Properties!$P:$P,$B112+5),0))</f>
        <v>0</v>
      </c>
      <c r="I112" cm="1">
        <f t="array" ref="I112">INDEX(Properties!$D:$D,$B112+5)*(IF(AND(I$3&gt;=INDEX(Properties!$T:$T,$B112+5),I$3&lt;INDEX(Properties!$U:$U,$B112+5)),INDEX(Properties!$P:$P,$B112+5),0))</f>
        <v>0</v>
      </c>
      <c r="J112" cm="1">
        <f t="array" ref="J112">INDEX(Properties!$D:$D,$B112+5)*(IF(AND(J$3&gt;=INDEX(Properties!$T:$T,$B112+5),J$3&lt;INDEX(Properties!$U:$U,$B112+5)),INDEX(Properties!$P:$P,$B112+5),0))</f>
        <v>0</v>
      </c>
      <c r="K112" cm="1">
        <f t="array" ref="K112">INDEX(Properties!$D:$D,$B112+5)*(IF(AND(K$3&gt;=INDEX(Properties!$T:$T,$B112+5),K$3&lt;INDEX(Properties!$U:$U,$B112+5)),INDEX(Properties!$P:$P,$B112+5),0))</f>
        <v>747370.55016181234</v>
      </c>
      <c r="L112" cm="1">
        <f t="array" ref="L112">INDEX(Properties!$D:$D,$B112+5)*(IF(AND(L$3&gt;=INDEX(Properties!$T:$T,$B112+5),L$3&lt;INDEX(Properties!$U:$U,$B112+5)),INDEX(Properties!$P:$P,$B112+5),0))</f>
        <v>747370.55016181234</v>
      </c>
      <c r="M112" cm="1">
        <f t="array" ref="M112">INDEX(Properties!$D:$D,$B112+5)*(IF(AND(M$3&gt;=INDEX(Properties!$T:$T,$B112+5),M$3&lt;INDEX(Properties!$U:$U,$B112+5)),INDEX(Properties!$P:$P,$B112+5),0))</f>
        <v>747370.55016181234</v>
      </c>
      <c r="N112" cm="1">
        <f t="array" ref="N112">INDEX(Properties!$D:$D,$B112+5)*(IF(AND(N$3&gt;=INDEX(Properties!$T:$T,$B112+5),N$3&lt;INDEX(Properties!$U:$U,$B112+5)),INDEX(Properties!$P:$P,$B112+5),0))</f>
        <v>747370.55016181234</v>
      </c>
      <c r="O112" cm="1">
        <f t="array" ref="O112">INDEX(Properties!$D:$D,$B112+5)*(IF(AND(O$3&gt;=INDEX(Properties!$T:$T,$B112+5),O$3&lt;INDEX(Properties!$U:$U,$B112+5)),INDEX(Properties!$P:$P,$B112+5),0))</f>
        <v>747370.55016181234</v>
      </c>
      <c r="P112" cm="1">
        <f t="array" ref="P112">INDEX(Properties!$D:$D,$B112+5)*(IF(AND(P$3&gt;=INDEX(Properties!$T:$T,$B112+5),P$3&lt;INDEX(Properties!$U:$U,$B112+5)),INDEX(Properties!$P:$P,$B112+5),0))</f>
        <v>747370.55016181234</v>
      </c>
      <c r="Q112" cm="1">
        <f t="array" ref="Q112">INDEX(Properties!$D:$D,$B112+5)*(IF(AND(Q$3&gt;=INDEX(Properties!$T:$T,$B112+5),Q$3&lt;INDEX(Properties!$U:$U,$B112+5)),INDEX(Properties!$P:$P,$B112+5),0))</f>
        <v>747370.55016181234</v>
      </c>
      <c r="R112" cm="1">
        <f t="array" ref="R112">INDEX(Properties!$D:$D,$B112+5)*(IF(AND(R$3&gt;=INDEX(Properties!$T:$T,$B112+5),R$3&lt;INDEX(Properties!$U:$U,$B112+5)),INDEX(Properties!$P:$P,$B112+5),0))</f>
        <v>747370.55016181234</v>
      </c>
      <c r="S112" cm="1">
        <f t="array" ref="S112">INDEX(Properties!$D:$D,$B112+5)*(IF(AND(S$3&gt;=INDEX(Properties!$T:$T,$B112+5),S$3&lt;INDEX(Properties!$U:$U,$B112+5)),INDEX(Properties!$P:$P,$B112+5),0))</f>
        <v>747370.55016181234</v>
      </c>
      <c r="T112" cm="1">
        <f t="array" ref="T112">INDEX(Properties!$D:$D,$B112+5)*(IF(AND(T$3&gt;=INDEX(Properties!$T:$T,$B112+5),T$3&lt;INDEX(Properties!$U:$U,$B112+5)),INDEX(Properties!$P:$P,$B112+5),0))</f>
        <v>747370.55016181234</v>
      </c>
      <c r="U112" cm="1">
        <f t="array" ref="U112">INDEX(Properties!$D:$D,$B112+5)*(IF(AND(U$3&gt;=INDEX(Properties!$T:$T,$B112+5),U$3&lt;INDEX(Properties!$U:$U,$B112+5)),INDEX(Properties!$P:$P,$B112+5),0))</f>
        <v>747370.55016181234</v>
      </c>
      <c r="V112" cm="1">
        <f t="array" ref="V112">INDEX(Properties!$D:$D,$B112+5)*(IF(AND(V$3&gt;=INDEX(Properties!$T:$T,$B112+5),V$3&lt;INDEX(Properties!$U:$U,$B112+5)),INDEX(Properties!$P:$P,$B112+5),0))</f>
        <v>747370.55016181234</v>
      </c>
      <c r="W112" cm="1">
        <f t="array" ref="W112">INDEX(Properties!$D:$D,$B112+5)*(IF(AND(W$3&gt;=INDEX(Properties!$T:$T,$B112+5),W$3&lt;INDEX(Properties!$U:$U,$B112+5)),INDEX(Properties!$P:$P,$B112+5),0))</f>
        <v>747370.55016181234</v>
      </c>
      <c r="X112" cm="1">
        <f t="array" ref="X112">INDEX(Properties!$D:$D,$B112+5)*(IF(AND(X$3&gt;=INDEX(Properties!$T:$T,$B112+5),X$3&lt;INDEX(Properties!$U:$U,$B112+5)),INDEX(Properties!$P:$P,$B112+5),0))</f>
        <v>747370.55016181234</v>
      </c>
      <c r="Y112" cm="1">
        <f t="array" ref="Y112">INDEX(Properties!$D:$D,$B112+5)*(IF(AND(Y$3&gt;=INDEX(Properties!$T:$T,$B112+5),Y$3&lt;INDEX(Properties!$U:$U,$B112+5)),INDEX(Properties!$P:$P,$B112+5),0))</f>
        <v>747370.55016181234</v>
      </c>
      <c r="Z112" cm="1">
        <f t="array" ref="Z112">INDEX(Properties!$D:$D,$B112+5)*(IF(AND(Z$3&gt;=INDEX(Properties!$T:$T,$B112+5),Z$3&lt;INDEX(Properties!$U:$U,$B112+5)),INDEX(Properties!$P:$P,$B112+5),0))</f>
        <v>747370.55016181234</v>
      </c>
      <c r="AA112" cm="1">
        <f t="array" ref="AA112">INDEX(Properties!$D:$D,$B112+5)*(IF(AND(AA$3&gt;=INDEX(Properties!$T:$T,$B112+5),AA$3&lt;INDEX(Properties!$U:$U,$B112+5)),INDEX(Properties!$P:$P,$B112+5),0))</f>
        <v>747370.55016181234</v>
      </c>
      <c r="AB112" cm="1">
        <f t="array" ref="AB112">INDEX(Properties!$D:$D,$B112+5)*(IF(AND(AB$3&gt;=INDEX(Properties!$T:$T,$B112+5),AB$3&lt;INDEX(Properties!$U:$U,$B112+5)),INDEX(Properties!$P:$P,$B112+5),0))</f>
        <v>747370.55016181234</v>
      </c>
      <c r="AC112" cm="1">
        <f t="array" ref="AC112">INDEX(Properties!$D:$D,$B112+5)*(IF(AND(AC$3&gt;=INDEX(Properties!$T:$T,$B112+5),AC$3&lt;INDEX(Properties!$U:$U,$B112+5)),INDEX(Properties!$P:$P,$B112+5),0))</f>
        <v>747370.55016181234</v>
      </c>
      <c r="AD112" cm="1">
        <f t="array" ref="AD112">INDEX(Properties!$D:$D,$B112+5)*(IF(AND(AD$3&gt;=INDEX(Properties!$T:$T,$B112+5),AD$3&lt;INDEX(Properties!$U:$U,$B112+5)),INDEX(Properties!$P:$P,$B112+5),0))</f>
        <v>0</v>
      </c>
      <c r="AE112" cm="1">
        <f t="array" ref="AE112">INDEX(Properties!$D:$D,$B112+5)*(IF(AND(AE$3&gt;=INDEX(Properties!$T:$T,$B112+5),AE$3&lt;INDEX(Properties!$U:$U,$B112+5)),INDEX(Properties!$P:$P,$B112+5),0))</f>
        <v>0</v>
      </c>
      <c r="AF112" cm="1">
        <f t="array" ref="AF112">INDEX(Properties!$D:$D,$B112+5)*(IF(AND(AF$3&gt;=INDEX(Properties!$T:$T,$B112+5),AF$3&lt;INDEX(Properties!$U:$U,$B112+5)),INDEX(Properties!$P:$P,$B112+5),0))</f>
        <v>0</v>
      </c>
      <c r="AG112" cm="1">
        <f t="array" ref="AG112">INDEX(Properties!$D:$D,$B112+5)*(IF(AND(AG$3&gt;=INDEX(Properties!$T:$T,$B112+5),AG$3&lt;INDEX(Properties!$U:$U,$B112+5)),INDEX(Properties!$P:$P,$B112+5),0))</f>
        <v>0</v>
      </c>
      <c r="AH112" cm="1">
        <f t="array" ref="AH112">INDEX(Properties!$D:$D,$B112+5)*(IF(AND(AH$3&gt;=INDEX(Properties!$T:$T,$B112+5),AH$3&lt;INDEX(Properties!$U:$U,$B112+5)),INDEX(Properties!$P:$P,$B112+5),0))</f>
        <v>0</v>
      </c>
      <c r="AI112" cm="1">
        <f t="array" ref="AI112">INDEX(Properties!$D:$D,$B112+5)*(IF(AND(AI$3&gt;=INDEX(Properties!$T:$T,$B112+5),AI$3&lt;INDEX(Properties!$U:$U,$B112+5)),INDEX(Properties!$P:$P,$B112+5),0))</f>
        <v>0</v>
      </c>
      <c r="AJ112" cm="1">
        <f t="array" ref="AJ112">INDEX(Properties!$D:$D,$B112+5)*(IF(AND(AJ$3&gt;=INDEX(Properties!$T:$T,$B112+5),AJ$3&lt;INDEX(Properties!$U:$U,$B112+5)),INDEX(Properties!$P:$P,$B112+5),0))</f>
        <v>0</v>
      </c>
      <c r="AK112" cm="1">
        <f t="array" ref="AK112">INDEX(Properties!$D:$D,$B112+5)*(IF(AND(AK$3&gt;=INDEX(Properties!$T:$T,$B112+5),AK$3&lt;INDEX(Properties!$U:$U,$B112+5)),INDEX(Properties!$P:$P,$B112+5),0))</f>
        <v>0</v>
      </c>
      <c r="AL112" cm="1">
        <f t="array" ref="AL112">INDEX(Properties!$D:$D,$B112+5)*(IF(AND(AL$3&gt;=INDEX(Properties!$T:$T,$B112+5),AL$3&lt;INDEX(Properties!$U:$U,$B112+5)),INDEX(Properties!$P:$P,$B112+5),0))</f>
        <v>0</v>
      </c>
      <c r="AM112" cm="1">
        <f t="array" ref="AM112">INDEX(Properties!$D:$D,$B112+5)*(IF(AND(AM$3&gt;=INDEX(Properties!$T:$T,$B112+5),AM$3&lt;INDEX(Properties!$U:$U,$B112+5)),INDEX(Properties!$P:$P,$B112+5),0))</f>
        <v>0</v>
      </c>
      <c r="AN112" cm="1">
        <f t="array" ref="AN112">INDEX(Properties!$D:$D,$B112+5)*(IF(AND(AN$3&gt;=INDEX(Properties!$T:$T,$B112+5),AN$3&lt;INDEX(Properties!$U:$U,$B112+5)),INDEX(Properties!$P:$P,$B112+5),0))</f>
        <v>0</v>
      </c>
      <c r="AO112" cm="1">
        <f t="array" ref="AO112">INDEX(Properties!$D:$D,$B112+5)*(IF(AND(AO$3&gt;=INDEX(Properties!$T:$T,$B112+5),AO$3&lt;INDEX(Properties!$U:$U,$B112+5)),INDEX(Properties!$P:$P,$B112+5),0))</f>
        <v>0</v>
      </c>
      <c r="AP112" cm="1">
        <f t="array" ref="AP112">INDEX(Properties!$D:$D,$B112+5)*(IF(AND(AP$3&gt;=INDEX(Properties!$T:$T,$B112+5),AP$3&lt;INDEX(Properties!$U:$U,$B112+5)),INDEX(Properties!$P:$P,$B112+5),0))</f>
        <v>0</v>
      </c>
      <c r="AQ112" cm="1">
        <f t="array" ref="AQ112">INDEX(Properties!$D:$D,$B112+5)*(IF(AND(AQ$3&gt;=INDEX(Properties!$T:$T,$B112+5),AQ$3&lt;INDEX(Properties!$U:$U,$B112+5)),INDEX(Properties!$P:$P,$B112+5),0))</f>
        <v>0</v>
      </c>
      <c r="AR112" cm="1">
        <f t="array" ref="AR112">INDEX(Properties!$D:$D,$B112+5)*(IF(AND(AR$3&gt;=INDEX(Properties!$T:$T,$B112+5),AR$3&lt;INDEX(Properties!$U:$U,$B112+5)),INDEX(Properties!$P:$P,$B112+5),0))</f>
        <v>0</v>
      </c>
      <c r="AS112" cm="1">
        <f t="array" ref="AS112">INDEX(Properties!$D:$D,$B112+5)*(IF(AND(AS$3&gt;=INDEX(Properties!$T:$T,$B112+5),AS$3&lt;INDEX(Properties!$U:$U,$B112+5)),INDEX(Properties!$P:$P,$B112+5),0))</f>
        <v>0</v>
      </c>
      <c r="AT112" cm="1">
        <f t="array" ref="AT112">INDEX(Properties!$D:$D,$B112+5)*(IF(AND(AT$3&gt;=INDEX(Properties!$T:$T,$B112+5),AT$3&lt;INDEX(Properties!$U:$U,$B112+5)),INDEX(Properties!$P:$P,$B112+5),0))</f>
        <v>0</v>
      </c>
      <c r="AU112" cm="1">
        <f t="array" ref="AU112">INDEX(Properties!$D:$D,$B112+5)*(IF(AND(AU$3&gt;=INDEX(Properties!$T:$T,$B112+5),AU$3&lt;INDEX(Properties!$U:$U,$B112+5)),INDEX(Properties!$P:$P,$B112+5),0))</f>
        <v>0</v>
      </c>
      <c r="AV112" cm="1">
        <f t="array" ref="AV112">INDEX(Properties!$D:$D,$B112+5)*(IF(AND(AV$3&gt;=INDEX(Properties!$T:$T,$B112+5),AV$3&lt;INDEX(Properties!$U:$U,$B112+5)),INDEX(Properties!$P:$P,$B112+5),0))</f>
        <v>0</v>
      </c>
      <c r="AW112" cm="1">
        <f t="array" ref="AW112">INDEX(Properties!$D:$D,$B112+5)*(IF(AND(AW$3&gt;=INDEX(Properties!$T:$T,$B112+5),AW$3&lt;INDEX(Properties!$U:$U,$B112+5)),INDEX(Properties!$P:$P,$B112+5),0))</f>
        <v>0</v>
      </c>
      <c r="AX112" cm="1">
        <f t="array" ref="AX112">INDEX(Properties!$D:$D,$B112+5)*(IF(AND(AX$3&gt;=INDEX(Properties!$T:$T,$B112+5),AX$3&lt;INDEX(Properties!$U:$U,$B112+5)),INDEX(Properties!$P:$P,$B112+5),0))</f>
        <v>0</v>
      </c>
      <c r="AY112" cm="1">
        <f t="array" ref="AY112">INDEX(Properties!$D:$D,$B112+5)*(IF(AND(AY$3&gt;=INDEX(Properties!$T:$T,$B112+5),AY$3&lt;INDEX(Properties!$U:$U,$B112+5)),INDEX(Properties!$P:$P,$B112+5),0))</f>
        <v>0</v>
      </c>
      <c r="AZ112" cm="1">
        <f t="array" ref="AZ112">INDEX(Properties!$D:$D,$B112+5)*(IF(AND(AZ$3&gt;=INDEX(Properties!$T:$T,$B112+5),AZ$3&lt;INDEX(Properties!$U:$U,$B112+5)),INDEX(Properties!$P:$P,$B112+5),0))</f>
        <v>0</v>
      </c>
      <c r="BA112" cm="1">
        <f t="array" ref="BA112">INDEX(Properties!$D:$D,$B112+5)*(IF(AND(BA$3&gt;=INDEX(Properties!$T:$T,$B112+5),BA$3&lt;INDEX(Properties!$U:$U,$B112+5)),INDEX(Properties!$P:$P,$B112+5),0))</f>
        <v>0</v>
      </c>
      <c r="BB112" cm="1">
        <f t="array" ref="BB112">INDEX(Properties!$D:$D,$B112+5)*(IF(AND(BB$3&gt;=INDEX(Properties!$T:$T,$B112+5),BB$3&lt;INDEX(Properties!$U:$U,$B112+5)),INDEX(Properties!$P:$P,$B112+5),0))</f>
        <v>0</v>
      </c>
      <c r="BC112" cm="1">
        <f t="array" ref="BC112">INDEX(Properties!$D:$D,$B112+5)*(IF(AND(BC$3&gt;=INDEX(Properties!$T:$T,$B112+5),BC$3&lt;INDEX(Properties!$U:$U,$B112+5)),INDEX(Properties!$P:$P,$B112+5),0))</f>
        <v>0</v>
      </c>
      <c r="BD112" cm="1">
        <f t="array" ref="BD112">INDEX(Properties!$D:$D,$B112+5)*(IF(AND(BD$3&gt;=INDEX(Properties!$T:$T,$B112+5),BD$3&lt;INDEX(Properties!$U:$U,$B112+5)),INDEX(Properties!$P:$P,$B112+5),0))</f>
        <v>0</v>
      </c>
      <c r="BE112" cm="1">
        <f t="array" ref="BE112">INDEX(Properties!$D:$D,$B112+5)*(IF(AND(BE$3&gt;=INDEX(Properties!$T:$T,$B112+5),BE$3&lt;INDEX(Properties!$U:$U,$B112+5)),INDEX(Properties!$P:$P,$B112+5),0))</f>
        <v>0</v>
      </c>
      <c r="BF112" cm="1">
        <f t="array" ref="BF112">INDEX(Properties!$D:$D,$B112+5)*(IF(AND(BF$3&gt;=INDEX(Properties!$T:$T,$B112+5),BF$3&lt;INDEX(Properties!$U:$U,$B112+5)),INDEX(Properties!$P:$P,$B112+5),0))</f>
        <v>0</v>
      </c>
      <c r="BG112" cm="1">
        <f t="array" ref="BG112">INDEX(Properties!$D:$D,$B112+5)*(IF(AND(BG$3&gt;=INDEX(Properties!$T:$T,$B112+5),BG$3&lt;INDEX(Properties!$U:$U,$B112+5)),INDEX(Properties!$P:$P,$B112+5),0))</f>
        <v>0</v>
      </c>
      <c r="BH112" cm="1">
        <f t="array" ref="BH112">INDEX(Properties!$D:$D,$B112+5)*(IF(AND(BH$3&gt;=INDEX(Properties!$T:$T,$B112+5),BH$3&lt;INDEX(Properties!$U:$U,$B112+5)),INDEX(Properties!$P:$P,$B112+5),0))</f>
        <v>0</v>
      </c>
      <c r="BI112" cm="1">
        <f t="array" ref="BI112">INDEX(Properties!$D:$D,$B112+5)*(IF(AND(BI$3&gt;=INDEX(Properties!$T:$T,$B112+5),BI$3&lt;INDEX(Properties!$U:$U,$B112+5)),INDEX(Properties!$P:$P,$B112+5),0))</f>
        <v>0</v>
      </c>
      <c r="BJ112" cm="1">
        <f t="array" ref="BJ112">INDEX(Properties!$D:$D,$B112+5)*(IF(AND(BJ$3&gt;=INDEX(Properties!$T:$T,$B112+5),BJ$3&lt;INDEX(Properties!$U:$U,$B112+5)),INDEX(Properties!$P:$P,$B112+5),0))</f>
        <v>0</v>
      </c>
      <c r="BK112" cm="1">
        <f t="array" ref="BK112">INDEX(Properties!$D:$D,$B112+5)*(IF(AND(BK$3&gt;=INDEX(Properties!$T:$T,$B112+5),BK$3&lt;INDEX(Properties!$U:$U,$B112+5)),INDEX(Properties!$P:$P,$B112+5),0))</f>
        <v>0</v>
      </c>
      <c r="BL112" cm="1">
        <f t="array" ref="BL112">INDEX(Properties!$D:$D,$B112+5)*(IF(AND(BL$3&gt;=INDEX(Properties!$T:$T,$B112+5),BL$3&lt;INDEX(Properties!$U:$U,$B112+5)),INDEX(Properties!$P:$P,$B112+5),0))</f>
        <v>0</v>
      </c>
      <c r="BM112" cm="1">
        <f t="array" ref="BM112">INDEX(Properties!$D:$D,$B112+5)*(IF(AND(BM$3&gt;=INDEX(Properties!$T:$T,$B112+5),BM$3&lt;INDEX(Properties!$U:$U,$B112+5)),INDEX(Properties!$P:$P,$B112+5),0))</f>
        <v>0</v>
      </c>
      <c r="BN112" cm="1">
        <f t="array" ref="BN112">INDEX(Properties!$D:$D,$B112+5)*(IF(AND(BN$3&gt;=INDEX(Properties!$T:$T,$B112+5),BN$3&lt;INDEX(Properties!$U:$U,$B112+5)),INDEX(Properties!$P:$P,$B112+5),0))</f>
        <v>0</v>
      </c>
      <c r="BO112" cm="1">
        <f t="array" ref="BO112">INDEX(Properties!$D:$D,$B112+5)*(IF(AND(BO$3&gt;=INDEX(Properties!$T:$T,$B112+5),BO$3&lt;INDEX(Properties!$U:$U,$B112+5)),INDEX(Properties!$P:$P,$B112+5),0))</f>
        <v>0</v>
      </c>
      <c r="BP112" cm="1">
        <f t="array" ref="BP112">INDEX(Properties!$D:$D,$B112+5)*(IF(AND(BP$3&gt;=INDEX(Properties!$T:$T,$B112+5),BP$3&lt;INDEX(Properties!$U:$U,$B112+5)),INDEX(Properties!$P:$P,$B112+5),0))</f>
        <v>0</v>
      </c>
      <c r="BQ112" cm="1">
        <f t="array" ref="BQ112">INDEX(Properties!$D:$D,$B112+5)*(IF(AND(BQ$3&gt;=INDEX(Properties!$T:$T,$B112+5),BQ$3&lt;INDEX(Properties!$U:$U,$B112+5)),INDEX(Properties!$P:$P,$B112+5),0))</f>
        <v>0</v>
      </c>
      <c r="BR112" cm="1">
        <f t="array" ref="BR112">INDEX(Properties!$D:$D,$B112+5)*(IF(AND(BR$3&gt;=INDEX(Properties!$T:$T,$B112+5),BR$3&lt;INDEX(Properties!$U:$U,$B112+5)),INDEX(Properties!$P:$P,$B112+5),0))</f>
        <v>0</v>
      </c>
      <c r="BS112" cm="1">
        <f t="array" ref="BS112">INDEX(Properties!$D:$D,$B112+5)*(IF(AND(BS$3&gt;=INDEX(Properties!$T:$T,$B112+5),BS$3&lt;INDEX(Properties!$U:$U,$B112+5)),INDEX(Properties!$P:$P,$B112+5),0))</f>
        <v>0</v>
      </c>
      <c r="BT112" cm="1">
        <f t="array" ref="BT112">INDEX(Properties!$D:$D,$B112+5)*(IF(AND(BT$3&gt;=INDEX(Properties!$T:$T,$B112+5),BT$3&lt;INDEX(Properties!$U:$U,$B112+5)),INDEX(Properties!$P:$P,$B112+5),0))</f>
        <v>0</v>
      </c>
      <c r="BU112" cm="1">
        <f t="array" ref="BU112">INDEX(Properties!$D:$D,$B112+5)*(IF(AND(BU$3&gt;=INDEX(Properties!$T:$T,$B112+5),BU$3&lt;INDEX(Properties!$U:$U,$B112+5)),INDEX(Properties!$P:$P,$B112+5),0))</f>
        <v>0</v>
      </c>
      <c r="BV112" cm="1">
        <f t="array" ref="BV112">INDEX(Properties!$D:$D,$B112+5)*(IF(AND(BV$3&gt;=INDEX(Properties!$T:$T,$B112+5),BV$3&lt;INDEX(Properties!$U:$U,$B112+5)),INDEX(Properties!$P:$P,$B112+5),0))</f>
        <v>0</v>
      </c>
      <c r="BW112" cm="1">
        <f t="array" ref="BW112">INDEX(Properties!$D:$D,$B112+5)*(IF(AND(BW$3&gt;=INDEX(Properties!$T:$T,$B112+5),BW$3&lt;INDEX(Properties!$U:$U,$B112+5)),INDEX(Properties!$P:$P,$B112+5),0))</f>
        <v>0</v>
      </c>
      <c r="BX112" cm="1">
        <f t="array" ref="BX112">INDEX(Properties!$D:$D,$B112+5)*(IF(AND(BX$3&gt;=INDEX(Properties!$T:$T,$B112+5),BX$3&lt;INDEX(Properties!$U:$U,$B112+5)),INDEX(Properties!$P:$P,$B112+5),0))</f>
        <v>0</v>
      </c>
      <c r="BY112" cm="1">
        <f t="array" ref="BY112">INDEX(Properties!$D:$D,$B112+5)*(IF(AND(BY$3&gt;=INDEX(Properties!$T:$T,$B112+5),BY$3&lt;INDEX(Properties!$U:$U,$B112+5)),INDEX(Properties!$P:$P,$B112+5),0))</f>
        <v>0</v>
      </c>
      <c r="BZ112" cm="1">
        <f t="array" ref="BZ112">INDEX(Properties!$D:$D,$B112+5)*(IF(AND(BZ$3&gt;=INDEX(Properties!$T:$T,$B112+5),BZ$3&lt;INDEX(Properties!$U:$U,$B112+5)),INDEX(Properties!$P:$P,$B112+5),0))</f>
        <v>0</v>
      </c>
      <c r="CA112" cm="1">
        <f t="array" ref="CA112">INDEX(Properties!$D:$D,$B112+5)*(IF(AND(CA$3&gt;=INDEX(Properties!$T:$T,$B112+5),CA$3&lt;INDEX(Properties!$U:$U,$B112+5)),INDEX(Properties!$P:$P,$B112+5),0))</f>
        <v>0</v>
      </c>
      <c r="CB112" cm="1">
        <f t="array" ref="CB112">INDEX(Properties!$D:$D,$B112+5)*(IF(AND(CB$3&gt;=INDEX(Properties!$T:$T,$B112+5),CB$3&lt;INDEX(Properties!$U:$U,$B112+5)),INDEX(Properties!$P:$P,$B112+5),0))</f>
        <v>0</v>
      </c>
      <c r="CC112" cm="1">
        <f t="array" ref="CC112">INDEX(Properties!$D:$D,$B112+5)*(IF(AND(CC$3&gt;=INDEX(Properties!$T:$T,$B112+5),CC$3&lt;INDEX(Properties!$U:$U,$B112+5)),INDEX(Properties!$P:$P,$B112+5),0))</f>
        <v>0</v>
      </c>
      <c r="CD112" cm="1">
        <f t="array" ref="CD112">INDEX(Properties!$D:$D,$B112+5)*(IF(AND(CD$3&gt;=INDEX(Properties!$T:$T,$B112+5),CD$3&lt;INDEX(Properties!$U:$U,$B112+5)),INDEX(Properties!$P:$P,$B112+5),0))</f>
        <v>0</v>
      </c>
      <c r="CE112" cm="1">
        <f t="array" ref="CE112">INDEX(Properties!$D:$D,$B112+5)*(IF(AND(CE$3&gt;=INDEX(Properties!$T:$T,$B112+5),CE$3&lt;INDEX(Properties!$U:$U,$B112+5)),INDEX(Properties!$P:$P,$B112+5),0))</f>
        <v>0</v>
      </c>
      <c r="CF112" cm="1">
        <f t="array" ref="CF112">INDEX(Properties!$D:$D,$B112+5)*(IF(AND(CF$3&gt;=INDEX(Properties!$T:$T,$B112+5),CF$3&lt;INDEX(Properties!$U:$U,$B112+5)),INDEX(Properties!$P:$P,$B112+5),0))</f>
        <v>0</v>
      </c>
      <c r="CG112" cm="1">
        <f t="array" ref="CG112">INDEX(Properties!$D:$D,$B112+5)*(IF(AND(CG$3&gt;=INDEX(Properties!$T:$T,$B112+5),CG$3&lt;INDEX(Properties!$U:$U,$B112+5)),INDEX(Properties!$P:$P,$B112+5),0))</f>
        <v>0</v>
      </c>
      <c r="CH112" cm="1">
        <f t="array" ref="CH112">INDEX(Properties!$D:$D,$B112+5)*(IF(AND(CH$3&gt;=INDEX(Properties!$T:$T,$B112+5),CH$3&lt;INDEX(Properties!$U:$U,$B112+5)),INDEX(Properties!$P:$P,$B112+5),0))</f>
        <v>0</v>
      </c>
      <c r="CI112" cm="1">
        <f t="array" ref="CI112">INDEX(Properties!$D:$D,$B112+5)*(IF(AND(CI$3&gt;=INDEX(Properties!$T:$T,$B112+5),CI$3&lt;INDEX(Properties!$U:$U,$B112+5)),INDEX(Properties!$P:$P,$B112+5),0))</f>
        <v>0</v>
      </c>
      <c r="CJ112" cm="1">
        <f t="array" ref="CJ112">INDEX(Properties!$D:$D,$B112+5)*(IF(AND(CJ$3&gt;=INDEX(Properties!$T:$T,$B112+5),CJ$3&lt;INDEX(Properties!$U:$U,$B112+5)),INDEX(Properties!$P:$P,$B112+5),0))</f>
        <v>0</v>
      </c>
      <c r="CK112" cm="1">
        <f t="array" ref="CK112">INDEX(Properties!$D:$D,$B112+5)*(IF(AND(CK$3&gt;=INDEX(Properties!$T:$T,$B112+5),CK$3&lt;INDEX(Properties!$U:$U,$B112+5)),INDEX(Properties!$P:$P,$B112+5),0))</f>
        <v>0</v>
      </c>
      <c r="CL112" cm="1">
        <f t="array" ref="CL112">INDEX(Properties!$D:$D,$B112+5)*(IF(AND(CL$3&gt;=INDEX(Properties!$T:$T,$B112+5),CL$3&lt;INDEX(Properties!$U:$U,$B112+5)),INDEX(Properties!$P:$P,$B112+5),0))</f>
        <v>0</v>
      </c>
      <c r="CM112" cm="1">
        <f t="array" ref="CM112">INDEX(Properties!$D:$D,$B112+5)*(IF(AND(CM$3&gt;=INDEX(Properties!$T:$T,$B112+5),CM$3&lt;INDEX(Properties!$U:$U,$B112+5)),INDEX(Properties!$P:$P,$B112+5),0))</f>
        <v>0</v>
      </c>
      <c r="CN112" cm="1">
        <f t="array" ref="CN112">INDEX(Properties!$D:$D,$B112+5)*(IF(AND(CN$3&gt;=INDEX(Properties!$T:$T,$B112+5),CN$3&lt;INDEX(Properties!$U:$U,$B112+5)),INDEX(Properties!$P:$P,$B112+5),0))</f>
        <v>0</v>
      </c>
      <c r="CO112" cm="1">
        <f t="array" ref="CO112">INDEX(Properties!$D:$D,$B112+5)*(IF(AND(CO$3&gt;=INDEX(Properties!$T:$T,$B112+5),CO$3&lt;INDEX(Properties!$U:$U,$B112+5)),INDEX(Properties!$P:$P,$B112+5),0))</f>
        <v>0</v>
      </c>
      <c r="CP112" cm="1">
        <f t="array" ref="CP112">INDEX(Properties!$D:$D,$B112+5)*(IF(AND(CP$3&gt;=INDEX(Properties!$T:$T,$B112+5),CP$3&lt;INDEX(Properties!$U:$U,$B112+5)),INDEX(Properties!$P:$P,$B112+5),0))</f>
        <v>0</v>
      </c>
      <c r="CQ112" cm="1">
        <f t="array" ref="CQ112">INDEX(Properties!$D:$D,$B112+5)*(IF(AND(CQ$3&gt;=INDEX(Properties!$T:$T,$B112+5),CQ$3&lt;INDEX(Properties!$U:$U,$B112+5)),INDEX(Properties!$P:$P,$B112+5),0))</f>
        <v>0</v>
      </c>
      <c r="CR112" cm="1">
        <f t="array" ref="CR112">INDEX(Properties!$D:$D,$B112+5)*(IF(AND(CR$3&gt;=INDEX(Properties!$T:$T,$B112+5),CR$3&lt;INDEX(Properties!$U:$U,$B112+5)),INDEX(Properties!$P:$P,$B112+5),0))</f>
        <v>0</v>
      </c>
      <c r="CS112" cm="1">
        <f t="array" ref="CS112">INDEX(Properties!$D:$D,$B112+5)*(IF(AND(CS$3&gt;=INDEX(Properties!$T:$T,$B112+5),CS$3&lt;INDEX(Properties!$U:$U,$B112+5)),INDEX(Properties!$P:$P,$B112+5),0))</f>
        <v>0</v>
      </c>
      <c r="CT112" cm="1">
        <f t="array" ref="CT112">INDEX(Properties!$D:$D,$B112+5)*(IF(AND(CT$3&gt;=INDEX(Properties!$T:$T,$B112+5),CT$3&lt;INDEX(Properties!$U:$U,$B112+5)),INDEX(Properties!$P:$P,$B112+5),0))</f>
        <v>0</v>
      </c>
      <c r="CU112" cm="1">
        <f t="array" ref="CU112">INDEX(Properties!$D:$D,$B112+5)*(IF(AND(CU$3&gt;=INDEX(Properties!$T:$T,$B112+5),CU$3&lt;INDEX(Properties!$U:$U,$B112+5)),INDEX(Properties!$P:$P,$B112+5),0))</f>
        <v>0</v>
      </c>
      <c r="CV112" cm="1">
        <f t="array" ref="CV112">INDEX(Properties!$D:$D,$B112+5)*(IF(AND(CV$3&gt;=INDEX(Properties!$T:$T,$B112+5),CV$3&lt;INDEX(Properties!$U:$U,$B112+5)),INDEX(Properties!$P:$P,$B112+5),0))</f>
        <v>0</v>
      </c>
      <c r="CW112" cm="1">
        <f t="array" ref="CW112">INDEX(Properties!$D:$D,$B112+5)*(IF(AND(CW$3&gt;=INDEX(Properties!$T:$T,$B112+5),CW$3&lt;INDEX(Properties!$U:$U,$B112+5)),INDEX(Properties!$P:$P,$B112+5),0))</f>
        <v>0</v>
      </c>
      <c r="CX112" cm="1">
        <f t="array" ref="CX112">INDEX(Properties!$D:$D,$B112+5)*(IF(AND(CX$3&gt;=INDEX(Properties!$T:$T,$B112+5),CX$3&lt;INDEX(Properties!$U:$U,$B112+5)),INDEX(Properties!$P:$P,$B112+5),0))</f>
        <v>0</v>
      </c>
      <c r="CY112" cm="1">
        <f t="array" ref="CY112">INDEX(Properties!$D:$D,$B112+5)*(IF(AND(CY$3&gt;=INDEX(Properties!$T:$T,$B112+5),CY$3&lt;INDEX(Properties!$U:$U,$B112+5)),INDEX(Properties!$P:$P,$B112+5),0))</f>
        <v>0</v>
      </c>
      <c r="CZ112" cm="1">
        <f t="array" ref="CZ112">INDEX(Properties!$D:$D,$B112+5)*(IF(AND(CZ$3&gt;=INDEX(Properties!$T:$T,$B112+5),CZ$3&lt;INDEX(Properties!$U:$U,$B112+5)),INDEX(Properties!$P:$P,$B112+5),0))</f>
        <v>0</v>
      </c>
      <c r="DA112" cm="1">
        <f t="array" ref="DA112">INDEX(Properties!$D:$D,$B112+5)*(IF(AND(DA$3&gt;=INDEX(Properties!$T:$T,$B112+5),DA$3&lt;INDEX(Properties!$U:$U,$B112+5)),INDEX(Properties!$P:$P,$B112+5),0))</f>
        <v>0</v>
      </c>
      <c r="DB112" cm="1">
        <f t="array" ref="DB112">INDEX(Properties!$D:$D,$B112+5)*(IF(AND(DB$3&gt;=INDEX(Properties!$T:$T,$B112+5),DB$3&lt;INDEX(Properties!$U:$U,$B112+5)),INDEX(Properties!$P:$P,$B112+5),0))</f>
        <v>0</v>
      </c>
      <c r="DC112" cm="1">
        <f t="array" ref="DC112">INDEX(Properties!$D:$D,$B112+5)*(IF(AND(DC$3&gt;=INDEX(Properties!$T:$T,$B112+5),DC$3&lt;INDEX(Properties!$U:$U,$B112+5)),INDEX(Properties!$P:$P,$B112+5),0))</f>
        <v>0</v>
      </c>
      <c r="DD112" cm="1">
        <f t="array" ref="DD112">INDEX(Properties!$D:$D,$B112+5)*(IF(AND(DD$3&gt;=INDEX(Properties!$T:$T,$B112+5),DD$3&lt;INDEX(Properties!$U:$U,$B112+5)),INDEX(Properties!$P:$P,$B112+5),0))</f>
        <v>0</v>
      </c>
      <c r="DE112" cm="1">
        <f t="array" ref="DE112">INDEX(Properties!$D:$D,$B112+5)*(IF(AND(DE$3&gt;=INDEX(Properties!$T:$T,$B112+5),DE$3&lt;INDEX(Properties!$U:$U,$B112+5)),INDEX(Properties!$P:$P,$B112+5),0))</f>
        <v>0</v>
      </c>
      <c r="DF112" cm="1">
        <f t="array" ref="DF112">INDEX(Properties!$D:$D,$B112+5)*(IF(AND(DF$3&gt;=INDEX(Properties!$T:$T,$B112+5),DF$3&lt;INDEX(Properties!$U:$U,$B112+5)),INDEX(Properties!$P:$P,$B112+5),0))</f>
        <v>0</v>
      </c>
      <c r="DG112" cm="1">
        <f t="array" ref="DG112">INDEX(Properties!$D:$D,$B112+5)*(IF(AND(DG$3&gt;=INDEX(Properties!$T:$T,$B112+5),DG$3&lt;INDEX(Properties!$U:$U,$B112+5)),INDEX(Properties!$P:$P,$B112+5),0))</f>
        <v>0</v>
      </c>
      <c r="DH112" cm="1">
        <f t="array" ref="DH112">INDEX(Properties!$D:$D,$B112+5)*(IF(AND(DH$3&gt;=INDEX(Properties!$T:$T,$B112+5),DH$3&lt;INDEX(Properties!$U:$U,$B112+5)),INDEX(Properties!$P:$P,$B112+5),0))</f>
        <v>0</v>
      </c>
      <c r="DI112" cm="1">
        <f t="array" ref="DI112">INDEX(Properties!$D:$D,$B112+5)*(IF(AND(DI$3&gt;=INDEX(Properties!$T:$T,$B112+5),DI$3&lt;INDEX(Properties!$U:$U,$B112+5)),INDEX(Properties!$P:$P,$B112+5),0))</f>
        <v>0</v>
      </c>
      <c r="DJ112" cm="1">
        <f t="array" ref="DJ112">INDEX(Properties!$D:$D,$B112+5)*(IF(AND(DJ$3&gt;=INDEX(Properties!$T:$T,$B112+5),DJ$3&lt;INDEX(Properties!$U:$U,$B112+5)),INDEX(Properties!$P:$P,$B112+5),0))</f>
        <v>0</v>
      </c>
      <c r="DK112" cm="1">
        <f t="array" ref="DK112">INDEX(Properties!$D:$D,$B112+5)*(IF(AND(DK$3&gt;=INDEX(Properties!$T:$T,$B112+5),DK$3&lt;INDEX(Properties!$U:$U,$B112+5)),INDEX(Properties!$P:$P,$B112+5),0))</f>
        <v>0</v>
      </c>
      <c r="DL112" cm="1">
        <f t="array" ref="DL112">INDEX(Properties!$D:$D,$B112+5)*(IF(AND(DL$3&gt;=INDEX(Properties!$T:$T,$B112+5),DL$3&lt;INDEX(Properties!$U:$U,$B112+5)),INDEX(Properties!$P:$P,$B112+5),0))</f>
        <v>0</v>
      </c>
      <c r="DM112" cm="1">
        <f t="array" ref="DM112">INDEX(Properties!$D:$D,$B112+5)*(IF(AND(DM$3&gt;=INDEX(Properties!$T:$T,$B112+5),DM$3&lt;INDEX(Properties!$U:$U,$B112+5)),INDEX(Properties!$P:$P,$B112+5),0))</f>
        <v>0</v>
      </c>
      <c r="DN112" cm="1">
        <f t="array" ref="DN112">INDEX(Properties!$D:$D,$B112+5)*(IF(AND(DN$3&gt;=INDEX(Properties!$T:$T,$B112+5),DN$3&lt;INDEX(Properties!$U:$U,$B112+5)),INDEX(Properties!$P:$P,$B112+5),0))</f>
        <v>0</v>
      </c>
      <c r="DO112" cm="1">
        <f t="array" ref="DO112">INDEX(Properties!$D:$D,$B112+5)*(IF(AND(DO$3&gt;=INDEX(Properties!$T:$T,$B112+5),DO$3&lt;INDEX(Properties!$U:$U,$B112+5)),INDEX(Properties!$P:$P,$B112+5),0))</f>
        <v>0</v>
      </c>
      <c r="DP112" cm="1">
        <f t="array" ref="DP112">INDEX(Properties!$D:$D,$B112+5)*(IF(AND(DP$3&gt;=INDEX(Properties!$T:$T,$B112+5),DP$3&lt;INDEX(Properties!$U:$U,$B112+5)),INDEX(Properties!$P:$P,$B112+5),0))</f>
        <v>0</v>
      </c>
      <c r="DQ112" cm="1">
        <f t="array" ref="DQ112">INDEX(Properties!$D:$D,$B112+5)*(IF(AND(DQ$3&gt;=INDEX(Properties!$T:$T,$B112+5),DQ$3&lt;INDEX(Properties!$U:$U,$B112+5)),INDEX(Properties!$P:$P,$B112+5),0))</f>
        <v>0</v>
      </c>
      <c r="DR112" cm="1">
        <f t="array" ref="DR112">INDEX(Properties!$D:$D,$B112+5)*(IF(AND(DR$3&gt;=INDEX(Properties!$T:$T,$B112+5),DR$3&lt;INDEX(Properties!$U:$U,$B112+5)),INDEX(Properties!$P:$P,$B112+5),0))</f>
        <v>0</v>
      </c>
    </row>
    <row r="113" spans="1:122" ht="14.55" customHeight="1" x14ac:dyDescent="0.3">
      <c r="A113" t="str" cm="1">
        <f t="array" ref="A113">INDEX(Properties!$E:$E,$B113+5)</f>
        <v>Casa Montana Lote 2 (Samuel Gaviria House)</v>
      </c>
      <c r="B113" s="1">
        <v>4</v>
      </c>
      <c r="C113" cm="1">
        <f t="array" ref="C113">INDEX(Properties!$D:$D,$B113+5)*(IF(AND(C$3&gt;=INDEX(Properties!$T:$T,$B113+5),C$3&lt;INDEX(Properties!$U:$U,$B113+5)),INDEX(Properties!$P:$P,$B113+5),0))</f>
        <v>0</v>
      </c>
      <c r="D113" cm="1">
        <f t="array" ref="D113">INDEX(Properties!$D:$D,$B113+5)*(IF(AND(D$3&gt;=INDEX(Properties!$T:$T,$B113+5),D$3&lt;INDEX(Properties!$U:$U,$B113+5)),INDEX(Properties!$P:$P,$B113+5),0))</f>
        <v>0</v>
      </c>
      <c r="E113" cm="1">
        <f t="array" ref="E113">INDEX(Properties!$D:$D,$B113+5)*(IF(AND(E$3&gt;=INDEX(Properties!$T:$T,$B113+5),E$3&lt;INDEX(Properties!$U:$U,$B113+5)),INDEX(Properties!$P:$P,$B113+5),0))</f>
        <v>0</v>
      </c>
      <c r="F113" cm="1">
        <f t="array" ref="F113">INDEX(Properties!$D:$D,$B113+5)*(IF(AND(F$3&gt;=INDEX(Properties!$T:$T,$B113+5),F$3&lt;INDEX(Properties!$U:$U,$B113+5)),INDEX(Properties!$P:$P,$B113+5),0))</f>
        <v>0</v>
      </c>
      <c r="G113" cm="1">
        <f t="array" ref="G113">INDEX(Properties!$D:$D,$B113+5)*(IF(AND(G$3&gt;=INDEX(Properties!$T:$T,$B113+5),G$3&lt;INDEX(Properties!$U:$U,$B113+5)),INDEX(Properties!$P:$P,$B113+5),0))</f>
        <v>0</v>
      </c>
      <c r="H113" cm="1">
        <f t="array" ref="H113">INDEX(Properties!$D:$D,$B113+5)*(IF(AND(H$3&gt;=INDEX(Properties!$T:$T,$B113+5),H$3&lt;INDEX(Properties!$U:$U,$B113+5)),INDEX(Properties!$P:$P,$B113+5),0))</f>
        <v>0</v>
      </c>
      <c r="I113" cm="1">
        <f t="array" ref="I113">INDEX(Properties!$D:$D,$B113+5)*(IF(AND(I$3&gt;=INDEX(Properties!$T:$T,$B113+5),I$3&lt;INDEX(Properties!$U:$U,$B113+5)),INDEX(Properties!$P:$P,$B113+5),0))</f>
        <v>0</v>
      </c>
      <c r="J113" cm="1">
        <f t="array" ref="J113">INDEX(Properties!$D:$D,$B113+5)*(IF(AND(J$3&gt;=INDEX(Properties!$T:$T,$B113+5),J$3&lt;INDEX(Properties!$U:$U,$B113+5)),INDEX(Properties!$P:$P,$B113+5),0))</f>
        <v>0</v>
      </c>
      <c r="K113" cm="1">
        <f t="array" ref="K113">INDEX(Properties!$D:$D,$B113+5)*(IF(AND(K$3&gt;=INDEX(Properties!$T:$T,$B113+5),K$3&lt;INDEX(Properties!$U:$U,$B113+5)),INDEX(Properties!$P:$P,$B113+5),0))</f>
        <v>0</v>
      </c>
      <c r="L113" cm="1">
        <f t="array" ref="L113">INDEX(Properties!$D:$D,$B113+5)*(IF(AND(L$3&gt;=INDEX(Properties!$T:$T,$B113+5),L$3&lt;INDEX(Properties!$U:$U,$B113+5)),INDEX(Properties!$P:$P,$B113+5),0))</f>
        <v>0</v>
      </c>
      <c r="M113" cm="1">
        <f t="array" ref="M113">INDEX(Properties!$D:$D,$B113+5)*(IF(AND(M$3&gt;=INDEX(Properties!$T:$T,$B113+5),M$3&lt;INDEX(Properties!$U:$U,$B113+5)),INDEX(Properties!$P:$P,$B113+5),0))</f>
        <v>0</v>
      </c>
      <c r="N113" cm="1">
        <f t="array" ref="N113">INDEX(Properties!$D:$D,$B113+5)*(IF(AND(N$3&gt;=INDEX(Properties!$T:$T,$B113+5),N$3&lt;INDEX(Properties!$U:$U,$B113+5)),INDEX(Properties!$P:$P,$B113+5),0))</f>
        <v>0</v>
      </c>
      <c r="O113" cm="1">
        <f t="array" ref="O113">INDEX(Properties!$D:$D,$B113+5)*(IF(AND(O$3&gt;=INDEX(Properties!$T:$T,$B113+5),O$3&lt;INDEX(Properties!$U:$U,$B113+5)),INDEX(Properties!$P:$P,$B113+5),0))</f>
        <v>0</v>
      </c>
      <c r="P113" cm="1">
        <f t="array" ref="P113">INDEX(Properties!$D:$D,$B113+5)*(IF(AND(P$3&gt;=INDEX(Properties!$T:$T,$B113+5),P$3&lt;INDEX(Properties!$U:$U,$B113+5)),INDEX(Properties!$P:$P,$B113+5),0))</f>
        <v>1714482.2006472494</v>
      </c>
      <c r="Q113" cm="1">
        <f t="array" ref="Q113">INDEX(Properties!$D:$D,$B113+5)*(IF(AND(Q$3&gt;=INDEX(Properties!$T:$T,$B113+5),Q$3&lt;INDEX(Properties!$U:$U,$B113+5)),INDEX(Properties!$P:$P,$B113+5),0))</f>
        <v>1714482.2006472494</v>
      </c>
      <c r="R113" cm="1">
        <f t="array" ref="R113">INDEX(Properties!$D:$D,$B113+5)*(IF(AND(R$3&gt;=INDEX(Properties!$T:$T,$B113+5),R$3&lt;INDEX(Properties!$U:$U,$B113+5)),INDEX(Properties!$P:$P,$B113+5),0))</f>
        <v>1714482.2006472494</v>
      </c>
      <c r="S113" cm="1">
        <f t="array" ref="S113">INDEX(Properties!$D:$D,$B113+5)*(IF(AND(S$3&gt;=INDEX(Properties!$T:$T,$B113+5),S$3&lt;INDEX(Properties!$U:$U,$B113+5)),INDEX(Properties!$P:$P,$B113+5),0))</f>
        <v>1714482.2006472494</v>
      </c>
      <c r="T113" cm="1">
        <f t="array" ref="T113">INDEX(Properties!$D:$D,$B113+5)*(IF(AND(T$3&gt;=INDEX(Properties!$T:$T,$B113+5),T$3&lt;INDEX(Properties!$U:$U,$B113+5)),INDEX(Properties!$P:$P,$B113+5),0))</f>
        <v>1714482.2006472494</v>
      </c>
      <c r="U113" cm="1">
        <f t="array" ref="U113">INDEX(Properties!$D:$D,$B113+5)*(IF(AND(U$3&gt;=INDEX(Properties!$T:$T,$B113+5),U$3&lt;INDEX(Properties!$U:$U,$B113+5)),INDEX(Properties!$P:$P,$B113+5),0))</f>
        <v>1714482.2006472494</v>
      </c>
      <c r="V113" cm="1">
        <f t="array" ref="V113">INDEX(Properties!$D:$D,$B113+5)*(IF(AND(V$3&gt;=INDEX(Properties!$T:$T,$B113+5),V$3&lt;INDEX(Properties!$U:$U,$B113+5)),INDEX(Properties!$P:$P,$B113+5),0))</f>
        <v>1714482.2006472494</v>
      </c>
      <c r="W113" cm="1">
        <f t="array" ref="W113">INDEX(Properties!$D:$D,$B113+5)*(IF(AND(W$3&gt;=INDEX(Properties!$T:$T,$B113+5),W$3&lt;INDEX(Properties!$U:$U,$B113+5)),INDEX(Properties!$P:$P,$B113+5),0))</f>
        <v>1714482.2006472494</v>
      </c>
      <c r="X113" cm="1">
        <f t="array" ref="X113">INDEX(Properties!$D:$D,$B113+5)*(IF(AND(X$3&gt;=INDEX(Properties!$T:$T,$B113+5),X$3&lt;INDEX(Properties!$U:$U,$B113+5)),INDEX(Properties!$P:$P,$B113+5),0))</f>
        <v>1714482.2006472494</v>
      </c>
      <c r="Y113" cm="1">
        <f t="array" ref="Y113">INDEX(Properties!$D:$D,$B113+5)*(IF(AND(Y$3&gt;=INDEX(Properties!$T:$T,$B113+5),Y$3&lt;INDEX(Properties!$U:$U,$B113+5)),INDEX(Properties!$P:$P,$B113+5),0))</f>
        <v>1714482.2006472494</v>
      </c>
      <c r="Z113" cm="1">
        <f t="array" ref="Z113">INDEX(Properties!$D:$D,$B113+5)*(IF(AND(Z$3&gt;=INDEX(Properties!$T:$T,$B113+5),Z$3&lt;INDEX(Properties!$U:$U,$B113+5)),INDEX(Properties!$P:$P,$B113+5),0))</f>
        <v>1714482.2006472494</v>
      </c>
      <c r="AA113" cm="1">
        <f t="array" ref="AA113">INDEX(Properties!$D:$D,$B113+5)*(IF(AND(AA$3&gt;=INDEX(Properties!$T:$T,$B113+5),AA$3&lt;INDEX(Properties!$U:$U,$B113+5)),INDEX(Properties!$P:$P,$B113+5),0))</f>
        <v>1714482.2006472494</v>
      </c>
      <c r="AB113" cm="1">
        <f t="array" ref="AB113">INDEX(Properties!$D:$D,$B113+5)*(IF(AND(AB$3&gt;=INDEX(Properties!$T:$T,$B113+5),AB$3&lt;INDEX(Properties!$U:$U,$B113+5)),INDEX(Properties!$P:$P,$B113+5),0))</f>
        <v>1714482.2006472494</v>
      </c>
      <c r="AC113" cm="1">
        <f t="array" ref="AC113">INDEX(Properties!$D:$D,$B113+5)*(IF(AND(AC$3&gt;=INDEX(Properties!$T:$T,$B113+5),AC$3&lt;INDEX(Properties!$U:$U,$B113+5)),INDEX(Properties!$P:$P,$B113+5),0))</f>
        <v>1714482.2006472494</v>
      </c>
      <c r="AD113" cm="1">
        <f t="array" ref="AD113">INDEX(Properties!$D:$D,$B113+5)*(IF(AND(AD$3&gt;=INDEX(Properties!$T:$T,$B113+5),AD$3&lt;INDEX(Properties!$U:$U,$B113+5)),INDEX(Properties!$P:$P,$B113+5),0))</f>
        <v>1714482.2006472494</v>
      </c>
      <c r="AE113" cm="1">
        <f t="array" ref="AE113">INDEX(Properties!$D:$D,$B113+5)*(IF(AND(AE$3&gt;=INDEX(Properties!$T:$T,$B113+5),AE$3&lt;INDEX(Properties!$U:$U,$B113+5)),INDEX(Properties!$P:$P,$B113+5),0))</f>
        <v>1714482.2006472494</v>
      </c>
      <c r="AF113" cm="1">
        <f t="array" ref="AF113">INDEX(Properties!$D:$D,$B113+5)*(IF(AND(AF$3&gt;=INDEX(Properties!$T:$T,$B113+5),AF$3&lt;INDEX(Properties!$U:$U,$B113+5)),INDEX(Properties!$P:$P,$B113+5),0))</f>
        <v>1714482.2006472494</v>
      </c>
      <c r="AG113" cm="1">
        <f t="array" ref="AG113">INDEX(Properties!$D:$D,$B113+5)*(IF(AND(AG$3&gt;=INDEX(Properties!$T:$T,$B113+5),AG$3&lt;INDEX(Properties!$U:$U,$B113+5)),INDEX(Properties!$P:$P,$B113+5),0))</f>
        <v>1714482.2006472494</v>
      </c>
      <c r="AH113" cm="1">
        <f t="array" ref="AH113">INDEX(Properties!$D:$D,$B113+5)*(IF(AND(AH$3&gt;=INDEX(Properties!$T:$T,$B113+5),AH$3&lt;INDEX(Properties!$U:$U,$B113+5)),INDEX(Properties!$P:$P,$B113+5),0))</f>
        <v>1714482.2006472494</v>
      </c>
      <c r="AI113" cm="1">
        <f t="array" ref="AI113">INDEX(Properties!$D:$D,$B113+5)*(IF(AND(AI$3&gt;=INDEX(Properties!$T:$T,$B113+5),AI$3&lt;INDEX(Properties!$U:$U,$B113+5)),INDEX(Properties!$P:$P,$B113+5),0))</f>
        <v>1714482.2006472494</v>
      </c>
      <c r="AJ113" cm="1">
        <f t="array" ref="AJ113">INDEX(Properties!$D:$D,$B113+5)*(IF(AND(AJ$3&gt;=INDEX(Properties!$T:$T,$B113+5),AJ$3&lt;INDEX(Properties!$U:$U,$B113+5)),INDEX(Properties!$P:$P,$B113+5),0))</f>
        <v>1714482.2006472494</v>
      </c>
      <c r="AK113" cm="1">
        <f t="array" ref="AK113">INDEX(Properties!$D:$D,$B113+5)*(IF(AND(AK$3&gt;=INDEX(Properties!$T:$T,$B113+5),AK$3&lt;INDEX(Properties!$U:$U,$B113+5)),INDEX(Properties!$P:$P,$B113+5),0))</f>
        <v>1714482.2006472494</v>
      </c>
      <c r="AL113" cm="1">
        <f t="array" ref="AL113">INDEX(Properties!$D:$D,$B113+5)*(IF(AND(AL$3&gt;=INDEX(Properties!$T:$T,$B113+5),AL$3&lt;INDEX(Properties!$U:$U,$B113+5)),INDEX(Properties!$P:$P,$B113+5),0))</f>
        <v>1714482.2006472494</v>
      </c>
      <c r="AM113" cm="1">
        <f t="array" ref="AM113">INDEX(Properties!$D:$D,$B113+5)*(IF(AND(AM$3&gt;=INDEX(Properties!$T:$T,$B113+5),AM$3&lt;INDEX(Properties!$U:$U,$B113+5)),INDEX(Properties!$P:$P,$B113+5),0))</f>
        <v>1714482.2006472494</v>
      </c>
      <c r="AN113" cm="1">
        <f t="array" ref="AN113">INDEX(Properties!$D:$D,$B113+5)*(IF(AND(AN$3&gt;=INDEX(Properties!$T:$T,$B113+5),AN$3&lt;INDEX(Properties!$U:$U,$B113+5)),INDEX(Properties!$P:$P,$B113+5),0))</f>
        <v>1714482.2006472494</v>
      </c>
      <c r="AO113" cm="1">
        <f t="array" ref="AO113">INDEX(Properties!$D:$D,$B113+5)*(IF(AND(AO$3&gt;=INDEX(Properties!$T:$T,$B113+5),AO$3&lt;INDEX(Properties!$U:$U,$B113+5)),INDEX(Properties!$P:$P,$B113+5),0))</f>
        <v>1714482.2006472494</v>
      </c>
      <c r="AP113" cm="1">
        <f t="array" ref="AP113">INDEX(Properties!$D:$D,$B113+5)*(IF(AND(AP$3&gt;=INDEX(Properties!$T:$T,$B113+5),AP$3&lt;INDEX(Properties!$U:$U,$B113+5)),INDEX(Properties!$P:$P,$B113+5),0))</f>
        <v>1714482.2006472494</v>
      </c>
      <c r="AQ113" cm="1">
        <f t="array" ref="AQ113">INDEX(Properties!$D:$D,$B113+5)*(IF(AND(AQ$3&gt;=INDEX(Properties!$T:$T,$B113+5),AQ$3&lt;INDEX(Properties!$U:$U,$B113+5)),INDEX(Properties!$P:$P,$B113+5),0))</f>
        <v>1714482.2006472494</v>
      </c>
      <c r="AR113" cm="1">
        <f t="array" ref="AR113">INDEX(Properties!$D:$D,$B113+5)*(IF(AND(AR$3&gt;=INDEX(Properties!$T:$T,$B113+5),AR$3&lt;INDEX(Properties!$U:$U,$B113+5)),INDEX(Properties!$P:$P,$B113+5),0))</f>
        <v>1714482.2006472494</v>
      </c>
      <c r="AS113" cm="1">
        <f t="array" ref="AS113">INDEX(Properties!$D:$D,$B113+5)*(IF(AND(AS$3&gt;=INDEX(Properties!$T:$T,$B113+5),AS$3&lt;INDEX(Properties!$U:$U,$B113+5)),INDEX(Properties!$P:$P,$B113+5),0))</f>
        <v>0</v>
      </c>
      <c r="AT113" cm="1">
        <f t="array" ref="AT113">INDEX(Properties!$D:$D,$B113+5)*(IF(AND(AT$3&gt;=INDEX(Properties!$T:$T,$B113+5),AT$3&lt;INDEX(Properties!$U:$U,$B113+5)),INDEX(Properties!$P:$P,$B113+5),0))</f>
        <v>0</v>
      </c>
      <c r="AU113" cm="1">
        <f t="array" ref="AU113">INDEX(Properties!$D:$D,$B113+5)*(IF(AND(AU$3&gt;=INDEX(Properties!$T:$T,$B113+5),AU$3&lt;INDEX(Properties!$U:$U,$B113+5)),INDEX(Properties!$P:$P,$B113+5),0))</f>
        <v>0</v>
      </c>
      <c r="AV113" cm="1">
        <f t="array" ref="AV113">INDEX(Properties!$D:$D,$B113+5)*(IF(AND(AV$3&gt;=INDEX(Properties!$T:$T,$B113+5),AV$3&lt;INDEX(Properties!$U:$U,$B113+5)),INDEX(Properties!$P:$P,$B113+5),0))</f>
        <v>0</v>
      </c>
      <c r="AW113" cm="1">
        <f t="array" ref="AW113">INDEX(Properties!$D:$D,$B113+5)*(IF(AND(AW$3&gt;=INDEX(Properties!$T:$T,$B113+5),AW$3&lt;INDEX(Properties!$U:$U,$B113+5)),INDEX(Properties!$P:$P,$B113+5),0))</f>
        <v>0</v>
      </c>
      <c r="AX113" cm="1">
        <f t="array" ref="AX113">INDEX(Properties!$D:$D,$B113+5)*(IF(AND(AX$3&gt;=INDEX(Properties!$T:$T,$B113+5),AX$3&lt;INDEX(Properties!$U:$U,$B113+5)),INDEX(Properties!$P:$P,$B113+5),0))</f>
        <v>0</v>
      </c>
      <c r="AY113" cm="1">
        <f t="array" ref="AY113">INDEX(Properties!$D:$D,$B113+5)*(IF(AND(AY$3&gt;=INDEX(Properties!$T:$T,$B113+5),AY$3&lt;INDEX(Properties!$U:$U,$B113+5)),INDEX(Properties!$P:$P,$B113+5),0))</f>
        <v>0</v>
      </c>
      <c r="AZ113" cm="1">
        <f t="array" ref="AZ113">INDEX(Properties!$D:$D,$B113+5)*(IF(AND(AZ$3&gt;=INDEX(Properties!$T:$T,$B113+5),AZ$3&lt;INDEX(Properties!$U:$U,$B113+5)),INDEX(Properties!$P:$P,$B113+5),0))</f>
        <v>0</v>
      </c>
      <c r="BA113" cm="1">
        <f t="array" ref="BA113">INDEX(Properties!$D:$D,$B113+5)*(IF(AND(BA$3&gt;=INDEX(Properties!$T:$T,$B113+5),BA$3&lt;INDEX(Properties!$U:$U,$B113+5)),INDEX(Properties!$P:$P,$B113+5),0))</f>
        <v>0</v>
      </c>
      <c r="BB113" cm="1">
        <f t="array" ref="BB113">INDEX(Properties!$D:$D,$B113+5)*(IF(AND(BB$3&gt;=INDEX(Properties!$T:$T,$B113+5),BB$3&lt;INDEX(Properties!$U:$U,$B113+5)),INDEX(Properties!$P:$P,$B113+5),0))</f>
        <v>0</v>
      </c>
      <c r="BC113" cm="1">
        <f t="array" ref="BC113">INDEX(Properties!$D:$D,$B113+5)*(IF(AND(BC$3&gt;=INDEX(Properties!$T:$T,$B113+5),BC$3&lt;INDEX(Properties!$U:$U,$B113+5)),INDEX(Properties!$P:$P,$B113+5),0))</f>
        <v>0</v>
      </c>
      <c r="BD113" cm="1">
        <f t="array" ref="BD113">INDEX(Properties!$D:$D,$B113+5)*(IF(AND(BD$3&gt;=INDEX(Properties!$T:$T,$B113+5),BD$3&lt;INDEX(Properties!$U:$U,$B113+5)),INDEX(Properties!$P:$P,$B113+5),0))</f>
        <v>0</v>
      </c>
      <c r="BE113" cm="1">
        <f t="array" ref="BE113">INDEX(Properties!$D:$D,$B113+5)*(IF(AND(BE$3&gt;=INDEX(Properties!$T:$T,$B113+5),BE$3&lt;INDEX(Properties!$U:$U,$B113+5)),INDEX(Properties!$P:$P,$B113+5),0))</f>
        <v>0</v>
      </c>
      <c r="BF113" cm="1">
        <f t="array" ref="BF113">INDEX(Properties!$D:$D,$B113+5)*(IF(AND(BF$3&gt;=INDEX(Properties!$T:$T,$B113+5),BF$3&lt;INDEX(Properties!$U:$U,$B113+5)),INDEX(Properties!$P:$P,$B113+5),0))</f>
        <v>0</v>
      </c>
      <c r="BG113" cm="1">
        <f t="array" ref="BG113">INDEX(Properties!$D:$D,$B113+5)*(IF(AND(BG$3&gt;=INDEX(Properties!$T:$T,$B113+5),BG$3&lt;INDEX(Properties!$U:$U,$B113+5)),INDEX(Properties!$P:$P,$B113+5),0))</f>
        <v>0</v>
      </c>
      <c r="BH113" cm="1">
        <f t="array" ref="BH113">INDEX(Properties!$D:$D,$B113+5)*(IF(AND(BH$3&gt;=INDEX(Properties!$T:$T,$B113+5),BH$3&lt;INDEX(Properties!$U:$U,$B113+5)),INDEX(Properties!$P:$P,$B113+5),0))</f>
        <v>0</v>
      </c>
      <c r="BI113" cm="1">
        <f t="array" ref="BI113">INDEX(Properties!$D:$D,$B113+5)*(IF(AND(BI$3&gt;=INDEX(Properties!$T:$T,$B113+5),BI$3&lt;INDEX(Properties!$U:$U,$B113+5)),INDEX(Properties!$P:$P,$B113+5),0))</f>
        <v>0</v>
      </c>
      <c r="BJ113" cm="1">
        <f t="array" ref="BJ113">INDEX(Properties!$D:$D,$B113+5)*(IF(AND(BJ$3&gt;=INDEX(Properties!$T:$T,$B113+5),BJ$3&lt;INDEX(Properties!$U:$U,$B113+5)),INDEX(Properties!$P:$P,$B113+5),0))</f>
        <v>0</v>
      </c>
      <c r="BK113" cm="1">
        <f t="array" ref="BK113">INDEX(Properties!$D:$D,$B113+5)*(IF(AND(BK$3&gt;=INDEX(Properties!$T:$T,$B113+5),BK$3&lt;INDEX(Properties!$U:$U,$B113+5)),INDEX(Properties!$P:$P,$B113+5),0))</f>
        <v>0</v>
      </c>
      <c r="BL113" cm="1">
        <f t="array" ref="BL113">INDEX(Properties!$D:$D,$B113+5)*(IF(AND(BL$3&gt;=INDEX(Properties!$T:$T,$B113+5),BL$3&lt;INDEX(Properties!$U:$U,$B113+5)),INDEX(Properties!$P:$P,$B113+5),0))</f>
        <v>0</v>
      </c>
      <c r="BM113" cm="1">
        <f t="array" ref="BM113">INDEX(Properties!$D:$D,$B113+5)*(IF(AND(BM$3&gt;=INDEX(Properties!$T:$T,$B113+5),BM$3&lt;INDEX(Properties!$U:$U,$B113+5)),INDEX(Properties!$P:$P,$B113+5),0))</f>
        <v>0</v>
      </c>
      <c r="BN113" cm="1">
        <f t="array" ref="BN113">INDEX(Properties!$D:$D,$B113+5)*(IF(AND(BN$3&gt;=INDEX(Properties!$T:$T,$B113+5),BN$3&lt;INDEX(Properties!$U:$U,$B113+5)),INDEX(Properties!$P:$P,$B113+5),0))</f>
        <v>0</v>
      </c>
      <c r="BO113" cm="1">
        <f t="array" ref="BO113">INDEX(Properties!$D:$D,$B113+5)*(IF(AND(BO$3&gt;=INDEX(Properties!$T:$T,$B113+5),BO$3&lt;INDEX(Properties!$U:$U,$B113+5)),INDEX(Properties!$P:$P,$B113+5),0))</f>
        <v>0</v>
      </c>
      <c r="BP113" cm="1">
        <f t="array" ref="BP113">INDEX(Properties!$D:$D,$B113+5)*(IF(AND(BP$3&gt;=INDEX(Properties!$T:$T,$B113+5),BP$3&lt;INDEX(Properties!$U:$U,$B113+5)),INDEX(Properties!$P:$P,$B113+5),0))</f>
        <v>0</v>
      </c>
      <c r="BQ113" cm="1">
        <f t="array" ref="BQ113">INDEX(Properties!$D:$D,$B113+5)*(IF(AND(BQ$3&gt;=INDEX(Properties!$T:$T,$B113+5),BQ$3&lt;INDEX(Properties!$U:$U,$B113+5)),INDEX(Properties!$P:$P,$B113+5),0))</f>
        <v>0</v>
      </c>
      <c r="BR113" cm="1">
        <f t="array" ref="BR113">INDEX(Properties!$D:$D,$B113+5)*(IF(AND(BR$3&gt;=INDEX(Properties!$T:$T,$B113+5),BR$3&lt;INDEX(Properties!$U:$U,$B113+5)),INDEX(Properties!$P:$P,$B113+5),0))</f>
        <v>0</v>
      </c>
      <c r="BS113" cm="1">
        <f t="array" ref="BS113">INDEX(Properties!$D:$D,$B113+5)*(IF(AND(BS$3&gt;=INDEX(Properties!$T:$T,$B113+5),BS$3&lt;INDEX(Properties!$U:$U,$B113+5)),INDEX(Properties!$P:$P,$B113+5),0))</f>
        <v>0</v>
      </c>
      <c r="BT113" cm="1">
        <f t="array" ref="BT113">INDEX(Properties!$D:$D,$B113+5)*(IF(AND(BT$3&gt;=INDEX(Properties!$T:$T,$B113+5),BT$3&lt;INDEX(Properties!$U:$U,$B113+5)),INDEX(Properties!$P:$P,$B113+5),0))</f>
        <v>0</v>
      </c>
      <c r="BU113" cm="1">
        <f t="array" ref="BU113">INDEX(Properties!$D:$D,$B113+5)*(IF(AND(BU$3&gt;=INDEX(Properties!$T:$T,$B113+5),BU$3&lt;INDEX(Properties!$U:$U,$B113+5)),INDEX(Properties!$P:$P,$B113+5),0))</f>
        <v>0</v>
      </c>
      <c r="BV113" cm="1">
        <f t="array" ref="BV113">INDEX(Properties!$D:$D,$B113+5)*(IF(AND(BV$3&gt;=INDEX(Properties!$T:$T,$B113+5),BV$3&lt;INDEX(Properties!$U:$U,$B113+5)),INDEX(Properties!$P:$P,$B113+5),0))</f>
        <v>0</v>
      </c>
      <c r="BW113" cm="1">
        <f t="array" ref="BW113">INDEX(Properties!$D:$D,$B113+5)*(IF(AND(BW$3&gt;=INDEX(Properties!$T:$T,$B113+5),BW$3&lt;INDEX(Properties!$U:$U,$B113+5)),INDEX(Properties!$P:$P,$B113+5),0))</f>
        <v>0</v>
      </c>
      <c r="BX113" cm="1">
        <f t="array" ref="BX113">INDEX(Properties!$D:$D,$B113+5)*(IF(AND(BX$3&gt;=INDEX(Properties!$T:$T,$B113+5),BX$3&lt;INDEX(Properties!$U:$U,$B113+5)),INDEX(Properties!$P:$P,$B113+5),0))</f>
        <v>0</v>
      </c>
      <c r="BY113" cm="1">
        <f t="array" ref="BY113">INDEX(Properties!$D:$D,$B113+5)*(IF(AND(BY$3&gt;=INDEX(Properties!$T:$T,$B113+5),BY$3&lt;INDEX(Properties!$U:$U,$B113+5)),INDEX(Properties!$P:$P,$B113+5),0))</f>
        <v>0</v>
      </c>
      <c r="BZ113" cm="1">
        <f t="array" ref="BZ113">INDEX(Properties!$D:$D,$B113+5)*(IF(AND(BZ$3&gt;=INDEX(Properties!$T:$T,$B113+5),BZ$3&lt;INDEX(Properties!$U:$U,$B113+5)),INDEX(Properties!$P:$P,$B113+5),0))</f>
        <v>0</v>
      </c>
      <c r="CA113" cm="1">
        <f t="array" ref="CA113">INDEX(Properties!$D:$D,$B113+5)*(IF(AND(CA$3&gt;=INDEX(Properties!$T:$T,$B113+5),CA$3&lt;INDEX(Properties!$U:$U,$B113+5)),INDEX(Properties!$P:$P,$B113+5),0))</f>
        <v>0</v>
      </c>
      <c r="CB113" cm="1">
        <f t="array" ref="CB113">INDEX(Properties!$D:$D,$B113+5)*(IF(AND(CB$3&gt;=INDEX(Properties!$T:$T,$B113+5),CB$3&lt;INDEX(Properties!$U:$U,$B113+5)),INDEX(Properties!$P:$P,$B113+5),0))</f>
        <v>0</v>
      </c>
      <c r="CC113" cm="1">
        <f t="array" ref="CC113">INDEX(Properties!$D:$D,$B113+5)*(IF(AND(CC$3&gt;=INDEX(Properties!$T:$T,$B113+5),CC$3&lt;INDEX(Properties!$U:$U,$B113+5)),INDEX(Properties!$P:$P,$B113+5),0))</f>
        <v>0</v>
      </c>
      <c r="CD113" cm="1">
        <f t="array" ref="CD113">INDEX(Properties!$D:$D,$B113+5)*(IF(AND(CD$3&gt;=INDEX(Properties!$T:$T,$B113+5),CD$3&lt;INDEX(Properties!$U:$U,$B113+5)),INDEX(Properties!$P:$P,$B113+5),0))</f>
        <v>0</v>
      </c>
      <c r="CE113" cm="1">
        <f t="array" ref="CE113">INDEX(Properties!$D:$D,$B113+5)*(IF(AND(CE$3&gt;=INDEX(Properties!$T:$T,$B113+5),CE$3&lt;INDEX(Properties!$U:$U,$B113+5)),INDEX(Properties!$P:$P,$B113+5),0))</f>
        <v>0</v>
      </c>
      <c r="CF113" cm="1">
        <f t="array" ref="CF113">INDEX(Properties!$D:$D,$B113+5)*(IF(AND(CF$3&gt;=INDEX(Properties!$T:$T,$B113+5),CF$3&lt;INDEX(Properties!$U:$U,$B113+5)),INDEX(Properties!$P:$P,$B113+5),0))</f>
        <v>0</v>
      </c>
      <c r="CG113" cm="1">
        <f t="array" ref="CG113">INDEX(Properties!$D:$D,$B113+5)*(IF(AND(CG$3&gt;=INDEX(Properties!$T:$T,$B113+5),CG$3&lt;INDEX(Properties!$U:$U,$B113+5)),INDEX(Properties!$P:$P,$B113+5),0))</f>
        <v>0</v>
      </c>
      <c r="CH113" cm="1">
        <f t="array" ref="CH113">INDEX(Properties!$D:$D,$B113+5)*(IF(AND(CH$3&gt;=INDEX(Properties!$T:$T,$B113+5),CH$3&lt;INDEX(Properties!$U:$U,$B113+5)),INDEX(Properties!$P:$P,$B113+5),0))</f>
        <v>0</v>
      </c>
      <c r="CI113" cm="1">
        <f t="array" ref="CI113">INDEX(Properties!$D:$D,$B113+5)*(IF(AND(CI$3&gt;=INDEX(Properties!$T:$T,$B113+5),CI$3&lt;INDEX(Properties!$U:$U,$B113+5)),INDEX(Properties!$P:$P,$B113+5),0))</f>
        <v>0</v>
      </c>
      <c r="CJ113" cm="1">
        <f t="array" ref="CJ113">INDEX(Properties!$D:$D,$B113+5)*(IF(AND(CJ$3&gt;=INDEX(Properties!$T:$T,$B113+5),CJ$3&lt;INDEX(Properties!$U:$U,$B113+5)),INDEX(Properties!$P:$P,$B113+5),0))</f>
        <v>0</v>
      </c>
      <c r="CK113" cm="1">
        <f t="array" ref="CK113">INDEX(Properties!$D:$D,$B113+5)*(IF(AND(CK$3&gt;=INDEX(Properties!$T:$T,$B113+5),CK$3&lt;INDEX(Properties!$U:$U,$B113+5)),INDEX(Properties!$P:$P,$B113+5),0))</f>
        <v>0</v>
      </c>
      <c r="CL113" cm="1">
        <f t="array" ref="CL113">INDEX(Properties!$D:$D,$B113+5)*(IF(AND(CL$3&gt;=INDEX(Properties!$T:$T,$B113+5),CL$3&lt;INDEX(Properties!$U:$U,$B113+5)),INDEX(Properties!$P:$P,$B113+5),0))</f>
        <v>0</v>
      </c>
      <c r="CM113" cm="1">
        <f t="array" ref="CM113">INDEX(Properties!$D:$D,$B113+5)*(IF(AND(CM$3&gt;=INDEX(Properties!$T:$T,$B113+5),CM$3&lt;INDEX(Properties!$U:$U,$B113+5)),INDEX(Properties!$P:$P,$B113+5),0))</f>
        <v>0</v>
      </c>
      <c r="CN113" cm="1">
        <f t="array" ref="CN113">INDEX(Properties!$D:$D,$B113+5)*(IF(AND(CN$3&gt;=INDEX(Properties!$T:$T,$B113+5),CN$3&lt;INDEX(Properties!$U:$U,$B113+5)),INDEX(Properties!$P:$P,$B113+5),0))</f>
        <v>0</v>
      </c>
      <c r="CO113" cm="1">
        <f t="array" ref="CO113">INDEX(Properties!$D:$D,$B113+5)*(IF(AND(CO$3&gt;=INDEX(Properties!$T:$T,$B113+5),CO$3&lt;INDEX(Properties!$U:$U,$B113+5)),INDEX(Properties!$P:$P,$B113+5),0))</f>
        <v>0</v>
      </c>
      <c r="CP113" cm="1">
        <f t="array" ref="CP113">INDEX(Properties!$D:$D,$B113+5)*(IF(AND(CP$3&gt;=INDEX(Properties!$T:$T,$B113+5),CP$3&lt;INDEX(Properties!$U:$U,$B113+5)),INDEX(Properties!$P:$P,$B113+5),0))</f>
        <v>0</v>
      </c>
      <c r="CQ113" cm="1">
        <f t="array" ref="CQ113">INDEX(Properties!$D:$D,$B113+5)*(IF(AND(CQ$3&gt;=INDEX(Properties!$T:$T,$B113+5),CQ$3&lt;INDEX(Properties!$U:$U,$B113+5)),INDEX(Properties!$P:$P,$B113+5),0))</f>
        <v>0</v>
      </c>
      <c r="CR113" cm="1">
        <f t="array" ref="CR113">INDEX(Properties!$D:$D,$B113+5)*(IF(AND(CR$3&gt;=INDEX(Properties!$T:$T,$B113+5),CR$3&lt;INDEX(Properties!$U:$U,$B113+5)),INDEX(Properties!$P:$P,$B113+5),0))</f>
        <v>0</v>
      </c>
      <c r="CS113" cm="1">
        <f t="array" ref="CS113">INDEX(Properties!$D:$D,$B113+5)*(IF(AND(CS$3&gt;=INDEX(Properties!$T:$T,$B113+5),CS$3&lt;INDEX(Properties!$U:$U,$B113+5)),INDEX(Properties!$P:$P,$B113+5),0))</f>
        <v>0</v>
      </c>
      <c r="CT113" cm="1">
        <f t="array" ref="CT113">INDEX(Properties!$D:$D,$B113+5)*(IF(AND(CT$3&gt;=INDEX(Properties!$T:$T,$B113+5),CT$3&lt;INDEX(Properties!$U:$U,$B113+5)),INDEX(Properties!$P:$P,$B113+5),0))</f>
        <v>0</v>
      </c>
      <c r="CU113" cm="1">
        <f t="array" ref="CU113">INDEX(Properties!$D:$D,$B113+5)*(IF(AND(CU$3&gt;=INDEX(Properties!$T:$T,$B113+5),CU$3&lt;INDEX(Properties!$U:$U,$B113+5)),INDEX(Properties!$P:$P,$B113+5),0))</f>
        <v>0</v>
      </c>
      <c r="CV113" cm="1">
        <f t="array" ref="CV113">INDEX(Properties!$D:$D,$B113+5)*(IF(AND(CV$3&gt;=INDEX(Properties!$T:$T,$B113+5),CV$3&lt;INDEX(Properties!$U:$U,$B113+5)),INDEX(Properties!$P:$P,$B113+5),0))</f>
        <v>0</v>
      </c>
      <c r="CW113" cm="1">
        <f t="array" ref="CW113">INDEX(Properties!$D:$D,$B113+5)*(IF(AND(CW$3&gt;=INDEX(Properties!$T:$T,$B113+5),CW$3&lt;INDEX(Properties!$U:$U,$B113+5)),INDEX(Properties!$P:$P,$B113+5),0))</f>
        <v>0</v>
      </c>
      <c r="CX113" cm="1">
        <f t="array" ref="CX113">INDEX(Properties!$D:$D,$B113+5)*(IF(AND(CX$3&gt;=INDEX(Properties!$T:$T,$B113+5),CX$3&lt;INDEX(Properties!$U:$U,$B113+5)),INDEX(Properties!$P:$P,$B113+5),0))</f>
        <v>0</v>
      </c>
      <c r="CY113" cm="1">
        <f t="array" ref="CY113">INDEX(Properties!$D:$D,$B113+5)*(IF(AND(CY$3&gt;=INDEX(Properties!$T:$T,$B113+5),CY$3&lt;INDEX(Properties!$U:$U,$B113+5)),INDEX(Properties!$P:$P,$B113+5),0))</f>
        <v>0</v>
      </c>
      <c r="CZ113" cm="1">
        <f t="array" ref="CZ113">INDEX(Properties!$D:$D,$B113+5)*(IF(AND(CZ$3&gt;=INDEX(Properties!$T:$T,$B113+5),CZ$3&lt;INDEX(Properties!$U:$U,$B113+5)),INDEX(Properties!$P:$P,$B113+5),0))</f>
        <v>0</v>
      </c>
      <c r="DA113" cm="1">
        <f t="array" ref="DA113">INDEX(Properties!$D:$D,$B113+5)*(IF(AND(DA$3&gt;=INDEX(Properties!$T:$T,$B113+5),DA$3&lt;INDEX(Properties!$U:$U,$B113+5)),INDEX(Properties!$P:$P,$B113+5),0))</f>
        <v>0</v>
      </c>
      <c r="DB113" cm="1">
        <f t="array" ref="DB113">INDEX(Properties!$D:$D,$B113+5)*(IF(AND(DB$3&gt;=INDEX(Properties!$T:$T,$B113+5),DB$3&lt;INDEX(Properties!$U:$U,$B113+5)),INDEX(Properties!$P:$P,$B113+5),0))</f>
        <v>0</v>
      </c>
      <c r="DC113" cm="1">
        <f t="array" ref="DC113">INDEX(Properties!$D:$D,$B113+5)*(IF(AND(DC$3&gt;=INDEX(Properties!$T:$T,$B113+5),DC$3&lt;INDEX(Properties!$U:$U,$B113+5)),INDEX(Properties!$P:$P,$B113+5),0))</f>
        <v>0</v>
      </c>
      <c r="DD113" cm="1">
        <f t="array" ref="DD113">INDEX(Properties!$D:$D,$B113+5)*(IF(AND(DD$3&gt;=INDEX(Properties!$T:$T,$B113+5),DD$3&lt;INDEX(Properties!$U:$U,$B113+5)),INDEX(Properties!$P:$P,$B113+5),0))</f>
        <v>0</v>
      </c>
      <c r="DE113" cm="1">
        <f t="array" ref="DE113">INDEX(Properties!$D:$D,$B113+5)*(IF(AND(DE$3&gt;=INDEX(Properties!$T:$T,$B113+5),DE$3&lt;INDEX(Properties!$U:$U,$B113+5)),INDEX(Properties!$P:$P,$B113+5),0))</f>
        <v>0</v>
      </c>
      <c r="DF113" cm="1">
        <f t="array" ref="DF113">INDEX(Properties!$D:$D,$B113+5)*(IF(AND(DF$3&gt;=INDEX(Properties!$T:$T,$B113+5),DF$3&lt;INDEX(Properties!$U:$U,$B113+5)),INDEX(Properties!$P:$P,$B113+5),0))</f>
        <v>0</v>
      </c>
      <c r="DG113" cm="1">
        <f t="array" ref="DG113">INDEX(Properties!$D:$D,$B113+5)*(IF(AND(DG$3&gt;=INDEX(Properties!$T:$T,$B113+5),DG$3&lt;INDEX(Properties!$U:$U,$B113+5)),INDEX(Properties!$P:$P,$B113+5),0))</f>
        <v>0</v>
      </c>
      <c r="DH113" cm="1">
        <f t="array" ref="DH113">INDEX(Properties!$D:$D,$B113+5)*(IF(AND(DH$3&gt;=INDEX(Properties!$T:$T,$B113+5),DH$3&lt;INDEX(Properties!$U:$U,$B113+5)),INDEX(Properties!$P:$P,$B113+5),0))</f>
        <v>0</v>
      </c>
      <c r="DI113" cm="1">
        <f t="array" ref="DI113">INDEX(Properties!$D:$D,$B113+5)*(IF(AND(DI$3&gt;=INDEX(Properties!$T:$T,$B113+5),DI$3&lt;INDEX(Properties!$U:$U,$B113+5)),INDEX(Properties!$P:$P,$B113+5),0))</f>
        <v>0</v>
      </c>
      <c r="DJ113" cm="1">
        <f t="array" ref="DJ113">INDEX(Properties!$D:$D,$B113+5)*(IF(AND(DJ$3&gt;=INDEX(Properties!$T:$T,$B113+5),DJ$3&lt;INDEX(Properties!$U:$U,$B113+5)),INDEX(Properties!$P:$P,$B113+5),0))</f>
        <v>0</v>
      </c>
      <c r="DK113" cm="1">
        <f t="array" ref="DK113">INDEX(Properties!$D:$D,$B113+5)*(IF(AND(DK$3&gt;=INDEX(Properties!$T:$T,$B113+5),DK$3&lt;INDEX(Properties!$U:$U,$B113+5)),INDEX(Properties!$P:$P,$B113+5),0))</f>
        <v>0</v>
      </c>
      <c r="DL113" cm="1">
        <f t="array" ref="DL113">INDEX(Properties!$D:$D,$B113+5)*(IF(AND(DL$3&gt;=INDEX(Properties!$T:$T,$B113+5),DL$3&lt;INDEX(Properties!$U:$U,$B113+5)),INDEX(Properties!$P:$P,$B113+5),0))</f>
        <v>0</v>
      </c>
      <c r="DM113" cm="1">
        <f t="array" ref="DM113">INDEX(Properties!$D:$D,$B113+5)*(IF(AND(DM$3&gt;=INDEX(Properties!$T:$T,$B113+5),DM$3&lt;INDEX(Properties!$U:$U,$B113+5)),INDEX(Properties!$P:$P,$B113+5),0))</f>
        <v>0</v>
      </c>
      <c r="DN113" cm="1">
        <f t="array" ref="DN113">INDEX(Properties!$D:$D,$B113+5)*(IF(AND(DN$3&gt;=INDEX(Properties!$T:$T,$B113+5),DN$3&lt;INDEX(Properties!$U:$U,$B113+5)),INDEX(Properties!$P:$P,$B113+5),0))</f>
        <v>0</v>
      </c>
      <c r="DO113" cm="1">
        <f t="array" ref="DO113">INDEX(Properties!$D:$D,$B113+5)*(IF(AND(DO$3&gt;=INDEX(Properties!$T:$T,$B113+5),DO$3&lt;INDEX(Properties!$U:$U,$B113+5)),INDEX(Properties!$P:$P,$B113+5),0))</f>
        <v>0</v>
      </c>
      <c r="DP113" cm="1">
        <f t="array" ref="DP113">INDEX(Properties!$D:$D,$B113+5)*(IF(AND(DP$3&gt;=INDEX(Properties!$T:$T,$B113+5),DP$3&lt;INDEX(Properties!$U:$U,$B113+5)),INDEX(Properties!$P:$P,$B113+5),0))</f>
        <v>0</v>
      </c>
      <c r="DQ113" cm="1">
        <f t="array" ref="DQ113">INDEX(Properties!$D:$D,$B113+5)*(IF(AND(DQ$3&gt;=INDEX(Properties!$T:$T,$B113+5),DQ$3&lt;INDEX(Properties!$U:$U,$B113+5)),INDEX(Properties!$P:$P,$B113+5),0))</f>
        <v>0</v>
      </c>
      <c r="DR113" cm="1">
        <f t="array" ref="DR113">INDEX(Properties!$D:$D,$B113+5)*(IF(AND(DR$3&gt;=INDEX(Properties!$T:$T,$B113+5),DR$3&lt;INDEX(Properties!$U:$U,$B113+5)),INDEX(Properties!$P:$P,$B113+5),0))</f>
        <v>0</v>
      </c>
    </row>
    <row r="114" spans="1:122" ht="14.55" customHeight="1" x14ac:dyDescent="0.3">
      <c r="A114" t="str" cm="1">
        <f t="array" ref="A114">INDEX(Properties!$E:$E,$B114+5)</f>
        <v>Casa Monte Sereno</v>
      </c>
      <c r="B114" s="1">
        <v>5</v>
      </c>
      <c r="C114" cm="1">
        <f t="array" ref="C114">INDEX(Properties!$D:$D,$B114+5)*(IF(AND(C$3&gt;=INDEX(Properties!$T:$T,$B114+5),C$3&lt;INDEX(Properties!$U:$U,$B114+5)),INDEX(Properties!$P:$P,$B114+5),0))</f>
        <v>0</v>
      </c>
      <c r="D114" cm="1">
        <f t="array" ref="D114">INDEX(Properties!$D:$D,$B114+5)*(IF(AND(D$3&gt;=INDEX(Properties!$T:$T,$B114+5),D$3&lt;INDEX(Properties!$U:$U,$B114+5)),INDEX(Properties!$P:$P,$B114+5),0))</f>
        <v>0</v>
      </c>
      <c r="E114" cm="1">
        <f t="array" ref="E114">INDEX(Properties!$D:$D,$B114+5)*(IF(AND(E$3&gt;=INDEX(Properties!$T:$T,$B114+5),E$3&lt;INDEX(Properties!$U:$U,$B114+5)),INDEX(Properties!$P:$P,$B114+5),0))</f>
        <v>0</v>
      </c>
      <c r="F114" cm="1">
        <f t="array" ref="F114">INDEX(Properties!$D:$D,$B114+5)*(IF(AND(F$3&gt;=INDEX(Properties!$T:$T,$B114+5),F$3&lt;INDEX(Properties!$U:$U,$B114+5)),INDEX(Properties!$P:$P,$B114+5),0))</f>
        <v>0</v>
      </c>
      <c r="G114" cm="1">
        <f t="array" ref="G114">INDEX(Properties!$D:$D,$B114+5)*(IF(AND(G$3&gt;=INDEX(Properties!$T:$T,$B114+5),G$3&lt;INDEX(Properties!$U:$U,$B114+5)),INDEX(Properties!$P:$P,$B114+5),0))</f>
        <v>0</v>
      </c>
      <c r="H114" cm="1">
        <f t="array" ref="H114">INDEX(Properties!$D:$D,$B114+5)*(IF(AND(H$3&gt;=INDEX(Properties!$T:$T,$B114+5),H$3&lt;INDEX(Properties!$U:$U,$B114+5)),INDEX(Properties!$P:$P,$B114+5),0))</f>
        <v>0</v>
      </c>
      <c r="I114" cm="1">
        <f t="array" ref="I114">INDEX(Properties!$D:$D,$B114+5)*(IF(AND(I$3&gt;=INDEX(Properties!$T:$T,$B114+5),I$3&lt;INDEX(Properties!$U:$U,$B114+5)),INDEX(Properties!$P:$P,$B114+5),0))</f>
        <v>0</v>
      </c>
      <c r="J114" cm="1">
        <f t="array" ref="J114">INDEX(Properties!$D:$D,$B114+5)*(IF(AND(J$3&gt;=INDEX(Properties!$T:$T,$B114+5),J$3&lt;INDEX(Properties!$U:$U,$B114+5)),INDEX(Properties!$P:$P,$B114+5),0))</f>
        <v>0</v>
      </c>
      <c r="K114" cm="1">
        <f t="array" ref="K114">INDEX(Properties!$D:$D,$B114+5)*(IF(AND(K$3&gt;=INDEX(Properties!$T:$T,$B114+5),K$3&lt;INDEX(Properties!$U:$U,$B114+5)),INDEX(Properties!$P:$P,$B114+5),0))</f>
        <v>0</v>
      </c>
      <c r="L114" cm="1">
        <f t="array" ref="L114">INDEX(Properties!$D:$D,$B114+5)*(IF(AND(L$3&gt;=INDEX(Properties!$T:$T,$B114+5),L$3&lt;INDEX(Properties!$U:$U,$B114+5)),INDEX(Properties!$P:$P,$B114+5),0))</f>
        <v>0</v>
      </c>
      <c r="M114" cm="1">
        <f t="array" ref="M114">INDEX(Properties!$D:$D,$B114+5)*(IF(AND(M$3&gt;=INDEX(Properties!$T:$T,$B114+5),M$3&lt;INDEX(Properties!$U:$U,$B114+5)),INDEX(Properties!$P:$P,$B114+5),0))</f>
        <v>1650485.4368932038</v>
      </c>
      <c r="N114" cm="1">
        <f t="array" ref="N114">INDEX(Properties!$D:$D,$B114+5)*(IF(AND(N$3&gt;=INDEX(Properties!$T:$T,$B114+5),N$3&lt;INDEX(Properties!$U:$U,$B114+5)),INDEX(Properties!$P:$P,$B114+5),0))</f>
        <v>1650485.4368932038</v>
      </c>
      <c r="O114" cm="1">
        <f t="array" ref="O114">INDEX(Properties!$D:$D,$B114+5)*(IF(AND(O$3&gt;=INDEX(Properties!$T:$T,$B114+5),O$3&lt;INDEX(Properties!$U:$U,$B114+5)),INDEX(Properties!$P:$P,$B114+5),0))</f>
        <v>1650485.4368932038</v>
      </c>
      <c r="P114" cm="1">
        <f t="array" ref="P114">INDEX(Properties!$D:$D,$B114+5)*(IF(AND(P$3&gt;=INDEX(Properties!$T:$T,$B114+5),P$3&lt;INDEX(Properties!$U:$U,$B114+5)),INDEX(Properties!$P:$P,$B114+5),0))</f>
        <v>1650485.4368932038</v>
      </c>
      <c r="Q114" cm="1">
        <f t="array" ref="Q114">INDEX(Properties!$D:$D,$B114+5)*(IF(AND(Q$3&gt;=INDEX(Properties!$T:$T,$B114+5),Q$3&lt;INDEX(Properties!$U:$U,$B114+5)),INDEX(Properties!$P:$P,$B114+5),0))</f>
        <v>1650485.4368932038</v>
      </c>
      <c r="R114" cm="1">
        <f t="array" ref="R114">INDEX(Properties!$D:$D,$B114+5)*(IF(AND(R$3&gt;=INDEX(Properties!$T:$T,$B114+5),R$3&lt;INDEX(Properties!$U:$U,$B114+5)),INDEX(Properties!$P:$P,$B114+5),0))</f>
        <v>1650485.4368932038</v>
      </c>
      <c r="S114" cm="1">
        <f t="array" ref="S114">INDEX(Properties!$D:$D,$B114+5)*(IF(AND(S$3&gt;=INDEX(Properties!$T:$T,$B114+5),S$3&lt;INDEX(Properties!$U:$U,$B114+5)),INDEX(Properties!$P:$P,$B114+5),0))</f>
        <v>1650485.4368932038</v>
      </c>
      <c r="T114" cm="1">
        <f t="array" ref="T114">INDEX(Properties!$D:$D,$B114+5)*(IF(AND(T$3&gt;=INDEX(Properties!$T:$T,$B114+5),T$3&lt;INDEX(Properties!$U:$U,$B114+5)),INDEX(Properties!$P:$P,$B114+5),0))</f>
        <v>1650485.4368932038</v>
      </c>
      <c r="U114" cm="1">
        <f t="array" ref="U114">INDEX(Properties!$D:$D,$B114+5)*(IF(AND(U$3&gt;=INDEX(Properties!$T:$T,$B114+5),U$3&lt;INDEX(Properties!$U:$U,$B114+5)),INDEX(Properties!$P:$P,$B114+5),0))</f>
        <v>1650485.4368932038</v>
      </c>
      <c r="V114" cm="1">
        <f t="array" ref="V114">INDEX(Properties!$D:$D,$B114+5)*(IF(AND(V$3&gt;=INDEX(Properties!$T:$T,$B114+5),V$3&lt;INDEX(Properties!$U:$U,$B114+5)),INDEX(Properties!$P:$P,$B114+5),0))</f>
        <v>1650485.4368932038</v>
      </c>
      <c r="W114" cm="1">
        <f t="array" ref="W114">INDEX(Properties!$D:$D,$B114+5)*(IF(AND(W$3&gt;=INDEX(Properties!$T:$T,$B114+5),W$3&lt;INDEX(Properties!$U:$U,$B114+5)),INDEX(Properties!$P:$P,$B114+5),0))</f>
        <v>1650485.4368932038</v>
      </c>
      <c r="X114" cm="1">
        <f t="array" ref="X114">INDEX(Properties!$D:$D,$B114+5)*(IF(AND(X$3&gt;=INDEX(Properties!$T:$T,$B114+5),X$3&lt;INDEX(Properties!$U:$U,$B114+5)),INDEX(Properties!$P:$P,$B114+5),0))</f>
        <v>1650485.4368932038</v>
      </c>
      <c r="Y114" cm="1">
        <f t="array" ref="Y114">INDEX(Properties!$D:$D,$B114+5)*(IF(AND(Y$3&gt;=INDEX(Properties!$T:$T,$B114+5),Y$3&lt;INDEX(Properties!$U:$U,$B114+5)),INDEX(Properties!$P:$P,$B114+5),0))</f>
        <v>1650485.4368932038</v>
      </c>
      <c r="Z114" cm="1">
        <f t="array" ref="Z114">INDEX(Properties!$D:$D,$B114+5)*(IF(AND(Z$3&gt;=INDEX(Properties!$T:$T,$B114+5),Z$3&lt;INDEX(Properties!$U:$U,$B114+5)),INDEX(Properties!$P:$P,$B114+5),0))</f>
        <v>1650485.4368932038</v>
      </c>
      <c r="AA114" cm="1">
        <f t="array" ref="AA114">INDEX(Properties!$D:$D,$B114+5)*(IF(AND(AA$3&gt;=INDEX(Properties!$T:$T,$B114+5),AA$3&lt;INDEX(Properties!$U:$U,$B114+5)),INDEX(Properties!$P:$P,$B114+5),0))</f>
        <v>1650485.4368932038</v>
      </c>
      <c r="AB114" cm="1">
        <f t="array" ref="AB114">INDEX(Properties!$D:$D,$B114+5)*(IF(AND(AB$3&gt;=INDEX(Properties!$T:$T,$B114+5),AB$3&lt;INDEX(Properties!$U:$U,$B114+5)),INDEX(Properties!$P:$P,$B114+5),0))</f>
        <v>1650485.4368932038</v>
      </c>
      <c r="AC114" cm="1">
        <f t="array" ref="AC114">INDEX(Properties!$D:$D,$B114+5)*(IF(AND(AC$3&gt;=INDEX(Properties!$T:$T,$B114+5),AC$3&lt;INDEX(Properties!$U:$U,$B114+5)),INDEX(Properties!$P:$P,$B114+5),0))</f>
        <v>1650485.4368932038</v>
      </c>
      <c r="AD114" cm="1">
        <f t="array" ref="AD114">INDEX(Properties!$D:$D,$B114+5)*(IF(AND(AD$3&gt;=INDEX(Properties!$T:$T,$B114+5),AD$3&lt;INDEX(Properties!$U:$U,$B114+5)),INDEX(Properties!$P:$P,$B114+5),0))</f>
        <v>1650485.4368932038</v>
      </c>
      <c r="AE114" cm="1">
        <f t="array" ref="AE114">INDEX(Properties!$D:$D,$B114+5)*(IF(AND(AE$3&gt;=INDEX(Properties!$T:$T,$B114+5),AE$3&lt;INDEX(Properties!$U:$U,$B114+5)),INDEX(Properties!$P:$P,$B114+5),0))</f>
        <v>1650485.4368932038</v>
      </c>
      <c r="AF114" cm="1">
        <f t="array" ref="AF114">INDEX(Properties!$D:$D,$B114+5)*(IF(AND(AF$3&gt;=INDEX(Properties!$T:$T,$B114+5),AF$3&lt;INDEX(Properties!$U:$U,$B114+5)),INDEX(Properties!$P:$P,$B114+5),0))</f>
        <v>1650485.4368932038</v>
      </c>
      <c r="AG114" cm="1">
        <f t="array" ref="AG114">INDEX(Properties!$D:$D,$B114+5)*(IF(AND(AG$3&gt;=INDEX(Properties!$T:$T,$B114+5),AG$3&lt;INDEX(Properties!$U:$U,$B114+5)),INDEX(Properties!$P:$P,$B114+5),0))</f>
        <v>1650485.4368932038</v>
      </c>
      <c r="AH114" cm="1">
        <f t="array" ref="AH114">INDEX(Properties!$D:$D,$B114+5)*(IF(AND(AH$3&gt;=INDEX(Properties!$T:$T,$B114+5),AH$3&lt;INDEX(Properties!$U:$U,$B114+5)),INDEX(Properties!$P:$P,$B114+5),0))</f>
        <v>1650485.4368932038</v>
      </c>
      <c r="AI114" cm="1">
        <f t="array" ref="AI114">INDEX(Properties!$D:$D,$B114+5)*(IF(AND(AI$3&gt;=INDEX(Properties!$T:$T,$B114+5),AI$3&lt;INDEX(Properties!$U:$U,$B114+5)),INDEX(Properties!$P:$P,$B114+5),0))</f>
        <v>1650485.4368932038</v>
      </c>
      <c r="AJ114" cm="1">
        <f t="array" ref="AJ114">INDEX(Properties!$D:$D,$B114+5)*(IF(AND(AJ$3&gt;=INDEX(Properties!$T:$T,$B114+5),AJ$3&lt;INDEX(Properties!$U:$U,$B114+5)),INDEX(Properties!$P:$P,$B114+5),0))</f>
        <v>1650485.4368932038</v>
      </c>
      <c r="AK114" cm="1">
        <f t="array" ref="AK114">INDEX(Properties!$D:$D,$B114+5)*(IF(AND(AK$3&gt;=INDEX(Properties!$T:$T,$B114+5),AK$3&lt;INDEX(Properties!$U:$U,$B114+5)),INDEX(Properties!$P:$P,$B114+5),0))</f>
        <v>1650485.4368932038</v>
      </c>
      <c r="AL114" cm="1">
        <f t="array" ref="AL114">INDEX(Properties!$D:$D,$B114+5)*(IF(AND(AL$3&gt;=INDEX(Properties!$T:$T,$B114+5),AL$3&lt;INDEX(Properties!$U:$U,$B114+5)),INDEX(Properties!$P:$P,$B114+5),0))</f>
        <v>1650485.4368932038</v>
      </c>
      <c r="AM114" cm="1">
        <f t="array" ref="AM114">INDEX(Properties!$D:$D,$B114+5)*(IF(AND(AM$3&gt;=INDEX(Properties!$T:$T,$B114+5),AM$3&lt;INDEX(Properties!$U:$U,$B114+5)),INDEX(Properties!$P:$P,$B114+5),0))</f>
        <v>0</v>
      </c>
      <c r="AN114" cm="1">
        <f t="array" ref="AN114">INDEX(Properties!$D:$D,$B114+5)*(IF(AND(AN$3&gt;=INDEX(Properties!$T:$T,$B114+5),AN$3&lt;INDEX(Properties!$U:$U,$B114+5)),INDEX(Properties!$P:$P,$B114+5),0))</f>
        <v>0</v>
      </c>
      <c r="AO114" cm="1">
        <f t="array" ref="AO114">INDEX(Properties!$D:$D,$B114+5)*(IF(AND(AO$3&gt;=INDEX(Properties!$T:$T,$B114+5),AO$3&lt;INDEX(Properties!$U:$U,$B114+5)),INDEX(Properties!$P:$P,$B114+5),0))</f>
        <v>0</v>
      </c>
      <c r="AP114" cm="1">
        <f t="array" ref="AP114">INDEX(Properties!$D:$D,$B114+5)*(IF(AND(AP$3&gt;=INDEX(Properties!$T:$T,$B114+5),AP$3&lt;INDEX(Properties!$U:$U,$B114+5)),INDEX(Properties!$P:$P,$B114+5),0))</f>
        <v>0</v>
      </c>
      <c r="AQ114" cm="1">
        <f t="array" ref="AQ114">INDEX(Properties!$D:$D,$B114+5)*(IF(AND(AQ$3&gt;=INDEX(Properties!$T:$T,$B114+5),AQ$3&lt;INDEX(Properties!$U:$U,$B114+5)),INDEX(Properties!$P:$P,$B114+5),0))</f>
        <v>0</v>
      </c>
      <c r="AR114" cm="1">
        <f t="array" ref="AR114">INDEX(Properties!$D:$D,$B114+5)*(IF(AND(AR$3&gt;=INDEX(Properties!$T:$T,$B114+5),AR$3&lt;INDEX(Properties!$U:$U,$B114+5)),INDEX(Properties!$P:$P,$B114+5),0))</f>
        <v>0</v>
      </c>
      <c r="AS114" cm="1">
        <f t="array" ref="AS114">INDEX(Properties!$D:$D,$B114+5)*(IF(AND(AS$3&gt;=INDEX(Properties!$T:$T,$B114+5),AS$3&lt;INDEX(Properties!$U:$U,$B114+5)),INDEX(Properties!$P:$P,$B114+5),0))</f>
        <v>0</v>
      </c>
      <c r="AT114" cm="1">
        <f t="array" ref="AT114">INDEX(Properties!$D:$D,$B114+5)*(IF(AND(AT$3&gt;=INDEX(Properties!$T:$T,$B114+5),AT$3&lt;INDEX(Properties!$U:$U,$B114+5)),INDEX(Properties!$P:$P,$B114+5),0))</f>
        <v>0</v>
      </c>
      <c r="AU114" cm="1">
        <f t="array" ref="AU114">INDEX(Properties!$D:$D,$B114+5)*(IF(AND(AU$3&gt;=INDEX(Properties!$T:$T,$B114+5),AU$3&lt;INDEX(Properties!$U:$U,$B114+5)),INDEX(Properties!$P:$P,$B114+5),0))</f>
        <v>0</v>
      </c>
      <c r="AV114" cm="1">
        <f t="array" ref="AV114">INDEX(Properties!$D:$D,$B114+5)*(IF(AND(AV$3&gt;=INDEX(Properties!$T:$T,$B114+5),AV$3&lt;INDEX(Properties!$U:$U,$B114+5)),INDEX(Properties!$P:$P,$B114+5),0))</f>
        <v>0</v>
      </c>
      <c r="AW114" cm="1">
        <f t="array" ref="AW114">INDEX(Properties!$D:$D,$B114+5)*(IF(AND(AW$3&gt;=INDEX(Properties!$T:$T,$B114+5),AW$3&lt;INDEX(Properties!$U:$U,$B114+5)),INDEX(Properties!$P:$P,$B114+5),0))</f>
        <v>0</v>
      </c>
      <c r="AX114" cm="1">
        <f t="array" ref="AX114">INDEX(Properties!$D:$D,$B114+5)*(IF(AND(AX$3&gt;=INDEX(Properties!$T:$T,$B114+5),AX$3&lt;INDEX(Properties!$U:$U,$B114+5)),INDEX(Properties!$P:$P,$B114+5),0))</f>
        <v>0</v>
      </c>
      <c r="AY114" cm="1">
        <f t="array" ref="AY114">INDEX(Properties!$D:$D,$B114+5)*(IF(AND(AY$3&gt;=INDEX(Properties!$T:$T,$B114+5),AY$3&lt;INDEX(Properties!$U:$U,$B114+5)),INDEX(Properties!$P:$P,$B114+5),0))</f>
        <v>0</v>
      </c>
      <c r="AZ114" cm="1">
        <f t="array" ref="AZ114">INDEX(Properties!$D:$D,$B114+5)*(IF(AND(AZ$3&gt;=INDEX(Properties!$T:$T,$B114+5),AZ$3&lt;INDEX(Properties!$U:$U,$B114+5)),INDEX(Properties!$P:$P,$B114+5),0))</f>
        <v>0</v>
      </c>
      <c r="BA114" cm="1">
        <f t="array" ref="BA114">INDEX(Properties!$D:$D,$B114+5)*(IF(AND(BA$3&gt;=INDEX(Properties!$T:$T,$B114+5),BA$3&lt;INDEX(Properties!$U:$U,$B114+5)),INDEX(Properties!$P:$P,$B114+5),0))</f>
        <v>0</v>
      </c>
      <c r="BB114" cm="1">
        <f t="array" ref="BB114">INDEX(Properties!$D:$D,$B114+5)*(IF(AND(BB$3&gt;=INDEX(Properties!$T:$T,$B114+5),BB$3&lt;INDEX(Properties!$U:$U,$B114+5)),INDEX(Properties!$P:$P,$B114+5),0))</f>
        <v>0</v>
      </c>
      <c r="BC114" cm="1">
        <f t="array" ref="BC114">INDEX(Properties!$D:$D,$B114+5)*(IF(AND(BC$3&gt;=INDEX(Properties!$T:$T,$B114+5),BC$3&lt;INDEX(Properties!$U:$U,$B114+5)),INDEX(Properties!$P:$P,$B114+5),0))</f>
        <v>0</v>
      </c>
      <c r="BD114" cm="1">
        <f t="array" ref="BD114">INDEX(Properties!$D:$D,$B114+5)*(IF(AND(BD$3&gt;=INDEX(Properties!$T:$T,$B114+5),BD$3&lt;INDEX(Properties!$U:$U,$B114+5)),INDEX(Properties!$P:$P,$B114+5),0))</f>
        <v>0</v>
      </c>
      <c r="BE114" cm="1">
        <f t="array" ref="BE114">INDEX(Properties!$D:$D,$B114+5)*(IF(AND(BE$3&gt;=INDEX(Properties!$T:$T,$B114+5),BE$3&lt;INDEX(Properties!$U:$U,$B114+5)),INDEX(Properties!$P:$P,$B114+5),0))</f>
        <v>0</v>
      </c>
      <c r="BF114" cm="1">
        <f t="array" ref="BF114">INDEX(Properties!$D:$D,$B114+5)*(IF(AND(BF$3&gt;=INDEX(Properties!$T:$T,$B114+5),BF$3&lt;INDEX(Properties!$U:$U,$B114+5)),INDEX(Properties!$P:$P,$B114+5),0))</f>
        <v>0</v>
      </c>
      <c r="BG114" cm="1">
        <f t="array" ref="BG114">INDEX(Properties!$D:$D,$B114+5)*(IF(AND(BG$3&gt;=INDEX(Properties!$T:$T,$B114+5),BG$3&lt;INDEX(Properties!$U:$U,$B114+5)),INDEX(Properties!$P:$P,$B114+5),0))</f>
        <v>0</v>
      </c>
      <c r="BH114" cm="1">
        <f t="array" ref="BH114">INDEX(Properties!$D:$D,$B114+5)*(IF(AND(BH$3&gt;=INDEX(Properties!$T:$T,$B114+5),BH$3&lt;INDEX(Properties!$U:$U,$B114+5)),INDEX(Properties!$P:$P,$B114+5),0))</f>
        <v>0</v>
      </c>
      <c r="BI114" cm="1">
        <f t="array" ref="BI114">INDEX(Properties!$D:$D,$B114+5)*(IF(AND(BI$3&gt;=INDEX(Properties!$T:$T,$B114+5),BI$3&lt;INDEX(Properties!$U:$U,$B114+5)),INDEX(Properties!$P:$P,$B114+5),0))</f>
        <v>0</v>
      </c>
      <c r="BJ114" cm="1">
        <f t="array" ref="BJ114">INDEX(Properties!$D:$D,$B114+5)*(IF(AND(BJ$3&gt;=INDEX(Properties!$T:$T,$B114+5),BJ$3&lt;INDEX(Properties!$U:$U,$B114+5)),INDEX(Properties!$P:$P,$B114+5),0))</f>
        <v>0</v>
      </c>
      <c r="BK114" cm="1">
        <f t="array" ref="BK114">INDEX(Properties!$D:$D,$B114+5)*(IF(AND(BK$3&gt;=INDEX(Properties!$T:$T,$B114+5),BK$3&lt;INDEX(Properties!$U:$U,$B114+5)),INDEX(Properties!$P:$P,$B114+5),0))</f>
        <v>0</v>
      </c>
      <c r="BL114" cm="1">
        <f t="array" ref="BL114">INDEX(Properties!$D:$D,$B114+5)*(IF(AND(BL$3&gt;=INDEX(Properties!$T:$T,$B114+5),BL$3&lt;INDEX(Properties!$U:$U,$B114+5)),INDEX(Properties!$P:$P,$B114+5),0))</f>
        <v>0</v>
      </c>
      <c r="BM114" cm="1">
        <f t="array" ref="BM114">INDEX(Properties!$D:$D,$B114+5)*(IF(AND(BM$3&gt;=INDEX(Properties!$T:$T,$B114+5),BM$3&lt;INDEX(Properties!$U:$U,$B114+5)),INDEX(Properties!$P:$P,$B114+5),0))</f>
        <v>0</v>
      </c>
      <c r="BN114" cm="1">
        <f t="array" ref="BN114">INDEX(Properties!$D:$D,$B114+5)*(IF(AND(BN$3&gt;=INDEX(Properties!$T:$T,$B114+5),BN$3&lt;INDEX(Properties!$U:$U,$B114+5)),INDEX(Properties!$P:$P,$B114+5),0))</f>
        <v>0</v>
      </c>
      <c r="BO114" cm="1">
        <f t="array" ref="BO114">INDEX(Properties!$D:$D,$B114+5)*(IF(AND(BO$3&gt;=INDEX(Properties!$T:$T,$B114+5),BO$3&lt;INDEX(Properties!$U:$U,$B114+5)),INDEX(Properties!$P:$P,$B114+5),0))</f>
        <v>0</v>
      </c>
      <c r="BP114" cm="1">
        <f t="array" ref="BP114">INDEX(Properties!$D:$D,$B114+5)*(IF(AND(BP$3&gt;=INDEX(Properties!$T:$T,$B114+5),BP$3&lt;INDEX(Properties!$U:$U,$B114+5)),INDEX(Properties!$P:$P,$B114+5),0))</f>
        <v>0</v>
      </c>
      <c r="BQ114" cm="1">
        <f t="array" ref="BQ114">INDEX(Properties!$D:$D,$B114+5)*(IF(AND(BQ$3&gt;=INDEX(Properties!$T:$T,$B114+5),BQ$3&lt;INDEX(Properties!$U:$U,$B114+5)),INDEX(Properties!$P:$P,$B114+5),0))</f>
        <v>0</v>
      </c>
      <c r="BR114" cm="1">
        <f t="array" ref="BR114">INDEX(Properties!$D:$D,$B114+5)*(IF(AND(BR$3&gt;=INDEX(Properties!$T:$T,$B114+5),BR$3&lt;INDEX(Properties!$U:$U,$B114+5)),INDEX(Properties!$P:$P,$B114+5),0))</f>
        <v>0</v>
      </c>
      <c r="BS114" cm="1">
        <f t="array" ref="BS114">INDEX(Properties!$D:$D,$B114+5)*(IF(AND(BS$3&gt;=INDEX(Properties!$T:$T,$B114+5),BS$3&lt;INDEX(Properties!$U:$U,$B114+5)),INDEX(Properties!$P:$P,$B114+5),0))</f>
        <v>0</v>
      </c>
      <c r="BT114" cm="1">
        <f t="array" ref="BT114">INDEX(Properties!$D:$D,$B114+5)*(IF(AND(BT$3&gt;=INDEX(Properties!$T:$T,$B114+5),BT$3&lt;INDEX(Properties!$U:$U,$B114+5)),INDEX(Properties!$P:$P,$B114+5),0))</f>
        <v>0</v>
      </c>
      <c r="BU114" cm="1">
        <f t="array" ref="BU114">INDEX(Properties!$D:$D,$B114+5)*(IF(AND(BU$3&gt;=INDEX(Properties!$T:$T,$B114+5),BU$3&lt;INDEX(Properties!$U:$U,$B114+5)),INDEX(Properties!$P:$P,$B114+5),0))</f>
        <v>0</v>
      </c>
      <c r="BV114" cm="1">
        <f t="array" ref="BV114">INDEX(Properties!$D:$D,$B114+5)*(IF(AND(BV$3&gt;=INDEX(Properties!$T:$T,$B114+5),BV$3&lt;INDEX(Properties!$U:$U,$B114+5)),INDEX(Properties!$P:$P,$B114+5),0))</f>
        <v>0</v>
      </c>
      <c r="BW114" cm="1">
        <f t="array" ref="BW114">INDEX(Properties!$D:$D,$B114+5)*(IF(AND(BW$3&gt;=INDEX(Properties!$T:$T,$B114+5),BW$3&lt;INDEX(Properties!$U:$U,$B114+5)),INDEX(Properties!$P:$P,$B114+5),0))</f>
        <v>0</v>
      </c>
      <c r="BX114" cm="1">
        <f t="array" ref="BX114">INDEX(Properties!$D:$D,$B114+5)*(IF(AND(BX$3&gt;=INDEX(Properties!$T:$T,$B114+5),BX$3&lt;INDEX(Properties!$U:$U,$B114+5)),INDEX(Properties!$P:$P,$B114+5),0))</f>
        <v>0</v>
      </c>
      <c r="BY114" cm="1">
        <f t="array" ref="BY114">INDEX(Properties!$D:$D,$B114+5)*(IF(AND(BY$3&gt;=INDEX(Properties!$T:$T,$B114+5),BY$3&lt;INDEX(Properties!$U:$U,$B114+5)),INDEX(Properties!$P:$P,$B114+5),0))</f>
        <v>0</v>
      </c>
      <c r="BZ114" cm="1">
        <f t="array" ref="BZ114">INDEX(Properties!$D:$D,$B114+5)*(IF(AND(BZ$3&gt;=INDEX(Properties!$T:$T,$B114+5),BZ$3&lt;INDEX(Properties!$U:$U,$B114+5)),INDEX(Properties!$P:$P,$B114+5),0))</f>
        <v>0</v>
      </c>
      <c r="CA114" cm="1">
        <f t="array" ref="CA114">INDEX(Properties!$D:$D,$B114+5)*(IF(AND(CA$3&gt;=INDEX(Properties!$T:$T,$B114+5),CA$3&lt;INDEX(Properties!$U:$U,$B114+5)),INDEX(Properties!$P:$P,$B114+5),0))</f>
        <v>0</v>
      </c>
      <c r="CB114" cm="1">
        <f t="array" ref="CB114">INDEX(Properties!$D:$D,$B114+5)*(IF(AND(CB$3&gt;=INDEX(Properties!$T:$T,$B114+5),CB$3&lt;INDEX(Properties!$U:$U,$B114+5)),INDEX(Properties!$P:$P,$B114+5),0))</f>
        <v>0</v>
      </c>
      <c r="CC114" cm="1">
        <f t="array" ref="CC114">INDEX(Properties!$D:$D,$B114+5)*(IF(AND(CC$3&gt;=INDEX(Properties!$T:$T,$B114+5),CC$3&lt;INDEX(Properties!$U:$U,$B114+5)),INDEX(Properties!$P:$P,$B114+5),0))</f>
        <v>0</v>
      </c>
      <c r="CD114" cm="1">
        <f t="array" ref="CD114">INDEX(Properties!$D:$D,$B114+5)*(IF(AND(CD$3&gt;=INDEX(Properties!$T:$T,$B114+5),CD$3&lt;INDEX(Properties!$U:$U,$B114+5)),INDEX(Properties!$P:$P,$B114+5),0))</f>
        <v>0</v>
      </c>
      <c r="CE114" cm="1">
        <f t="array" ref="CE114">INDEX(Properties!$D:$D,$B114+5)*(IF(AND(CE$3&gt;=INDEX(Properties!$T:$T,$B114+5),CE$3&lt;INDEX(Properties!$U:$U,$B114+5)),INDEX(Properties!$P:$P,$B114+5),0))</f>
        <v>0</v>
      </c>
      <c r="CF114" cm="1">
        <f t="array" ref="CF114">INDEX(Properties!$D:$D,$B114+5)*(IF(AND(CF$3&gt;=INDEX(Properties!$T:$T,$B114+5),CF$3&lt;INDEX(Properties!$U:$U,$B114+5)),INDEX(Properties!$P:$P,$B114+5),0))</f>
        <v>0</v>
      </c>
      <c r="CG114" cm="1">
        <f t="array" ref="CG114">INDEX(Properties!$D:$D,$B114+5)*(IF(AND(CG$3&gt;=INDEX(Properties!$T:$T,$B114+5),CG$3&lt;INDEX(Properties!$U:$U,$B114+5)),INDEX(Properties!$P:$P,$B114+5),0))</f>
        <v>0</v>
      </c>
      <c r="CH114" cm="1">
        <f t="array" ref="CH114">INDEX(Properties!$D:$D,$B114+5)*(IF(AND(CH$3&gt;=INDEX(Properties!$T:$T,$B114+5),CH$3&lt;INDEX(Properties!$U:$U,$B114+5)),INDEX(Properties!$P:$P,$B114+5),0))</f>
        <v>0</v>
      </c>
      <c r="CI114" cm="1">
        <f t="array" ref="CI114">INDEX(Properties!$D:$D,$B114+5)*(IF(AND(CI$3&gt;=INDEX(Properties!$T:$T,$B114+5),CI$3&lt;INDEX(Properties!$U:$U,$B114+5)),INDEX(Properties!$P:$P,$B114+5),0))</f>
        <v>0</v>
      </c>
      <c r="CJ114" cm="1">
        <f t="array" ref="CJ114">INDEX(Properties!$D:$D,$B114+5)*(IF(AND(CJ$3&gt;=INDEX(Properties!$T:$T,$B114+5),CJ$3&lt;INDEX(Properties!$U:$U,$B114+5)),INDEX(Properties!$P:$P,$B114+5),0))</f>
        <v>0</v>
      </c>
      <c r="CK114" cm="1">
        <f t="array" ref="CK114">INDEX(Properties!$D:$D,$B114+5)*(IF(AND(CK$3&gt;=INDEX(Properties!$T:$T,$B114+5),CK$3&lt;INDEX(Properties!$U:$U,$B114+5)),INDEX(Properties!$P:$P,$B114+5),0))</f>
        <v>0</v>
      </c>
      <c r="CL114" cm="1">
        <f t="array" ref="CL114">INDEX(Properties!$D:$D,$B114+5)*(IF(AND(CL$3&gt;=INDEX(Properties!$T:$T,$B114+5),CL$3&lt;INDEX(Properties!$U:$U,$B114+5)),INDEX(Properties!$P:$P,$B114+5),0))</f>
        <v>0</v>
      </c>
      <c r="CM114" cm="1">
        <f t="array" ref="CM114">INDEX(Properties!$D:$D,$B114+5)*(IF(AND(CM$3&gt;=INDEX(Properties!$T:$T,$B114+5),CM$3&lt;INDEX(Properties!$U:$U,$B114+5)),INDEX(Properties!$P:$P,$B114+5),0))</f>
        <v>0</v>
      </c>
      <c r="CN114" cm="1">
        <f t="array" ref="CN114">INDEX(Properties!$D:$D,$B114+5)*(IF(AND(CN$3&gt;=INDEX(Properties!$T:$T,$B114+5),CN$3&lt;INDEX(Properties!$U:$U,$B114+5)),INDEX(Properties!$P:$P,$B114+5),0))</f>
        <v>0</v>
      </c>
      <c r="CO114" cm="1">
        <f t="array" ref="CO114">INDEX(Properties!$D:$D,$B114+5)*(IF(AND(CO$3&gt;=INDEX(Properties!$T:$T,$B114+5),CO$3&lt;INDEX(Properties!$U:$U,$B114+5)),INDEX(Properties!$P:$P,$B114+5),0))</f>
        <v>0</v>
      </c>
      <c r="CP114" cm="1">
        <f t="array" ref="CP114">INDEX(Properties!$D:$D,$B114+5)*(IF(AND(CP$3&gt;=INDEX(Properties!$T:$T,$B114+5),CP$3&lt;INDEX(Properties!$U:$U,$B114+5)),INDEX(Properties!$P:$P,$B114+5),0))</f>
        <v>0</v>
      </c>
      <c r="CQ114" cm="1">
        <f t="array" ref="CQ114">INDEX(Properties!$D:$D,$B114+5)*(IF(AND(CQ$3&gt;=INDEX(Properties!$T:$T,$B114+5),CQ$3&lt;INDEX(Properties!$U:$U,$B114+5)),INDEX(Properties!$P:$P,$B114+5),0))</f>
        <v>0</v>
      </c>
      <c r="CR114" cm="1">
        <f t="array" ref="CR114">INDEX(Properties!$D:$D,$B114+5)*(IF(AND(CR$3&gt;=INDEX(Properties!$T:$T,$B114+5),CR$3&lt;INDEX(Properties!$U:$U,$B114+5)),INDEX(Properties!$P:$P,$B114+5),0))</f>
        <v>0</v>
      </c>
      <c r="CS114" cm="1">
        <f t="array" ref="CS114">INDEX(Properties!$D:$D,$B114+5)*(IF(AND(CS$3&gt;=INDEX(Properties!$T:$T,$B114+5),CS$3&lt;INDEX(Properties!$U:$U,$B114+5)),INDEX(Properties!$P:$P,$B114+5),0))</f>
        <v>0</v>
      </c>
      <c r="CT114" cm="1">
        <f t="array" ref="CT114">INDEX(Properties!$D:$D,$B114+5)*(IF(AND(CT$3&gt;=INDEX(Properties!$T:$T,$B114+5),CT$3&lt;INDEX(Properties!$U:$U,$B114+5)),INDEX(Properties!$P:$P,$B114+5),0))</f>
        <v>0</v>
      </c>
      <c r="CU114" cm="1">
        <f t="array" ref="CU114">INDEX(Properties!$D:$D,$B114+5)*(IF(AND(CU$3&gt;=INDEX(Properties!$T:$T,$B114+5),CU$3&lt;INDEX(Properties!$U:$U,$B114+5)),INDEX(Properties!$P:$P,$B114+5),0))</f>
        <v>0</v>
      </c>
      <c r="CV114" cm="1">
        <f t="array" ref="CV114">INDEX(Properties!$D:$D,$B114+5)*(IF(AND(CV$3&gt;=INDEX(Properties!$T:$T,$B114+5),CV$3&lt;INDEX(Properties!$U:$U,$B114+5)),INDEX(Properties!$P:$P,$B114+5),0))</f>
        <v>0</v>
      </c>
      <c r="CW114" cm="1">
        <f t="array" ref="CW114">INDEX(Properties!$D:$D,$B114+5)*(IF(AND(CW$3&gt;=INDEX(Properties!$T:$T,$B114+5),CW$3&lt;INDEX(Properties!$U:$U,$B114+5)),INDEX(Properties!$P:$P,$B114+5),0))</f>
        <v>0</v>
      </c>
      <c r="CX114" cm="1">
        <f t="array" ref="CX114">INDEX(Properties!$D:$D,$B114+5)*(IF(AND(CX$3&gt;=INDEX(Properties!$T:$T,$B114+5),CX$3&lt;INDEX(Properties!$U:$U,$B114+5)),INDEX(Properties!$P:$P,$B114+5),0))</f>
        <v>0</v>
      </c>
      <c r="CY114" cm="1">
        <f t="array" ref="CY114">INDEX(Properties!$D:$D,$B114+5)*(IF(AND(CY$3&gt;=INDEX(Properties!$T:$T,$B114+5),CY$3&lt;INDEX(Properties!$U:$U,$B114+5)),INDEX(Properties!$P:$P,$B114+5),0))</f>
        <v>0</v>
      </c>
      <c r="CZ114" cm="1">
        <f t="array" ref="CZ114">INDEX(Properties!$D:$D,$B114+5)*(IF(AND(CZ$3&gt;=INDEX(Properties!$T:$T,$B114+5),CZ$3&lt;INDEX(Properties!$U:$U,$B114+5)),INDEX(Properties!$P:$P,$B114+5),0))</f>
        <v>0</v>
      </c>
      <c r="DA114" cm="1">
        <f t="array" ref="DA114">INDEX(Properties!$D:$D,$B114+5)*(IF(AND(DA$3&gt;=INDEX(Properties!$T:$T,$B114+5),DA$3&lt;INDEX(Properties!$U:$U,$B114+5)),INDEX(Properties!$P:$P,$B114+5),0))</f>
        <v>0</v>
      </c>
      <c r="DB114" cm="1">
        <f t="array" ref="DB114">INDEX(Properties!$D:$D,$B114+5)*(IF(AND(DB$3&gt;=INDEX(Properties!$T:$T,$B114+5),DB$3&lt;INDEX(Properties!$U:$U,$B114+5)),INDEX(Properties!$P:$P,$B114+5),0))</f>
        <v>0</v>
      </c>
      <c r="DC114" cm="1">
        <f t="array" ref="DC114">INDEX(Properties!$D:$D,$B114+5)*(IF(AND(DC$3&gt;=INDEX(Properties!$T:$T,$B114+5),DC$3&lt;INDEX(Properties!$U:$U,$B114+5)),INDEX(Properties!$P:$P,$B114+5),0))</f>
        <v>0</v>
      </c>
      <c r="DD114" cm="1">
        <f t="array" ref="DD114">INDEX(Properties!$D:$D,$B114+5)*(IF(AND(DD$3&gt;=INDEX(Properties!$T:$T,$B114+5),DD$3&lt;INDEX(Properties!$U:$U,$B114+5)),INDEX(Properties!$P:$P,$B114+5),0))</f>
        <v>0</v>
      </c>
      <c r="DE114" cm="1">
        <f t="array" ref="DE114">INDEX(Properties!$D:$D,$B114+5)*(IF(AND(DE$3&gt;=INDEX(Properties!$T:$T,$B114+5),DE$3&lt;INDEX(Properties!$U:$U,$B114+5)),INDEX(Properties!$P:$P,$B114+5),0))</f>
        <v>0</v>
      </c>
      <c r="DF114" cm="1">
        <f t="array" ref="DF114">INDEX(Properties!$D:$D,$B114+5)*(IF(AND(DF$3&gt;=INDEX(Properties!$T:$T,$B114+5),DF$3&lt;INDEX(Properties!$U:$U,$B114+5)),INDEX(Properties!$P:$P,$B114+5),0))</f>
        <v>0</v>
      </c>
      <c r="DG114" cm="1">
        <f t="array" ref="DG114">INDEX(Properties!$D:$D,$B114+5)*(IF(AND(DG$3&gt;=INDEX(Properties!$T:$T,$B114+5),DG$3&lt;INDEX(Properties!$U:$U,$B114+5)),INDEX(Properties!$P:$P,$B114+5),0))</f>
        <v>0</v>
      </c>
      <c r="DH114" cm="1">
        <f t="array" ref="DH114">INDEX(Properties!$D:$D,$B114+5)*(IF(AND(DH$3&gt;=INDEX(Properties!$T:$T,$B114+5),DH$3&lt;INDEX(Properties!$U:$U,$B114+5)),INDEX(Properties!$P:$P,$B114+5),0))</f>
        <v>0</v>
      </c>
      <c r="DI114" cm="1">
        <f t="array" ref="DI114">INDEX(Properties!$D:$D,$B114+5)*(IF(AND(DI$3&gt;=INDEX(Properties!$T:$T,$B114+5),DI$3&lt;INDEX(Properties!$U:$U,$B114+5)),INDEX(Properties!$P:$P,$B114+5),0))</f>
        <v>0</v>
      </c>
      <c r="DJ114" cm="1">
        <f t="array" ref="DJ114">INDEX(Properties!$D:$D,$B114+5)*(IF(AND(DJ$3&gt;=INDEX(Properties!$T:$T,$B114+5),DJ$3&lt;INDEX(Properties!$U:$U,$B114+5)),INDEX(Properties!$P:$P,$B114+5),0))</f>
        <v>0</v>
      </c>
      <c r="DK114" cm="1">
        <f t="array" ref="DK114">INDEX(Properties!$D:$D,$B114+5)*(IF(AND(DK$3&gt;=INDEX(Properties!$T:$T,$B114+5),DK$3&lt;INDEX(Properties!$U:$U,$B114+5)),INDEX(Properties!$P:$P,$B114+5),0))</f>
        <v>0</v>
      </c>
      <c r="DL114" cm="1">
        <f t="array" ref="DL114">INDEX(Properties!$D:$D,$B114+5)*(IF(AND(DL$3&gt;=INDEX(Properties!$T:$T,$B114+5),DL$3&lt;INDEX(Properties!$U:$U,$B114+5)),INDEX(Properties!$P:$P,$B114+5),0))</f>
        <v>0</v>
      </c>
      <c r="DM114" cm="1">
        <f t="array" ref="DM114">INDEX(Properties!$D:$D,$B114+5)*(IF(AND(DM$3&gt;=INDEX(Properties!$T:$T,$B114+5),DM$3&lt;INDEX(Properties!$U:$U,$B114+5)),INDEX(Properties!$P:$P,$B114+5),0))</f>
        <v>0</v>
      </c>
      <c r="DN114" cm="1">
        <f t="array" ref="DN114">INDEX(Properties!$D:$D,$B114+5)*(IF(AND(DN$3&gt;=INDEX(Properties!$T:$T,$B114+5),DN$3&lt;INDEX(Properties!$U:$U,$B114+5)),INDEX(Properties!$P:$P,$B114+5),0))</f>
        <v>0</v>
      </c>
      <c r="DO114" cm="1">
        <f t="array" ref="DO114">INDEX(Properties!$D:$D,$B114+5)*(IF(AND(DO$3&gt;=INDEX(Properties!$T:$T,$B114+5),DO$3&lt;INDEX(Properties!$U:$U,$B114+5)),INDEX(Properties!$P:$P,$B114+5),0))</f>
        <v>0</v>
      </c>
      <c r="DP114" cm="1">
        <f t="array" ref="DP114">INDEX(Properties!$D:$D,$B114+5)*(IF(AND(DP$3&gt;=INDEX(Properties!$T:$T,$B114+5),DP$3&lt;INDEX(Properties!$U:$U,$B114+5)),INDEX(Properties!$P:$P,$B114+5),0))</f>
        <v>0</v>
      </c>
      <c r="DQ114" cm="1">
        <f t="array" ref="DQ114">INDEX(Properties!$D:$D,$B114+5)*(IF(AND(DQ$3&gt;=INDEX(Properties!$T:$T,$B114+5),DQ$3&lt;INDEX(Properties!$U:$U,$B114+5)),INDEX(Properties!$P:$P,$B114+5),0))</f>
        <v>0</v>
      </c>
      <c r="DR114" cm="1">
        <f t="array" ref="DR114">INDEX(Properties!$D:$D,$B114+5)*(IF(AND(DR$3&gt;=INDEX(Properties!$T:$T,$B114+5),DR$3&lt;INDEX(Properties!$U:$U,$B114+5)),INDEX(Properties!$P:$P,$B114+5),0))</f>
        <v>0</v>
      </c>
    </row>
    <row r="115" spans="1:122" ht="14.55" customHeight="1" x14ac:dyDescent="0.3">
      <c r="A115" cm="1">
        <f t="array" ref="A115">INDEX(Properties!$E:$E,$B115+5)</f>
        <v>0</v>
      </c>
      <c r="B115" s="1">
        <v>6</v>
      </c>
      <c r="C115" cm="1">
        <f t="array" ref="C115">INDEX(Properties!$D:$D,$B115+5)*(IF(AND(C$3&gt;=INDEX(Properties!$T:$T,$B115+5),C$3&lt;INDEX(Properties!$U:$U,$B115+5)),INDEX(Properties!$P:$P,$B115+5),0))</f>
        <v>0</v>
      </c>
      <c r="D115" cm="1">
        <f t="array" ref="D115">INDEX(Properties!$D:$D,$B115+5)*(IF(AND(D$3&gt;=INDEX(Properties!$T:$T,$B115+5),D$3&lt;INDEX(Properties!$U:$U,$B115+5)),INDEX(Properties!$P:$P,$B115+5),0))</f>
        <v>0</v>
      </c>
      <c r="E115" cm="1">
        <f t="array" ref="E115">INDEX(Properties!$D:$D,$B115+5)*(IF(AND(E$3&gt;=INDEX(Properties!$T:$T,$B115+5),E$3&lt;INDEX(Properties!$U:$U,$B115+5)),INDEX(Properties!$P:$P,$B115+5),0))</f>
        <v>0</v>
      </c>
      <c r="F115" cm="1">
        <f t="array" ref="F115">INDEX(Properties!$D:$D,$B115+5)*(IF(AND(F$3&gt;=INDEX(Properties!$T:$T,$B115+5),F$3&lt;INDEX(Properties!$U:$U,$B115+5)),INDEX(Properties!$P:$P,$B115+5),0))</f>
        <v>0</v>
      </c>
      <c r="G115" cm="1">
        <f t="array" ref="G115">INDEX(Properties!$D:$D,$B115+5)*(IF(AND(G$3&gt;=INDEX(Properties!$T:$T,$B115+5),G$3&lt;INDEX(Properties!$U:$U,$B115+5)),INDEX(Properties!$P:$P,$B115+5),0))</f>
        <v>0</v>
      </c>
      <c r="H115" cm="1">
        <f t="array" ref="H115">INDEX(Properties!$D:$D,$B115+5)*(IF(AND(H$3&gt;=INDEX(Properties!$T:$T,$B115+5),H$3&lt;INDEX(Properties!$U:$U,$B115+5)),INDEX(Properties!$P:$P,$B115+5),0))</f>
        <v>0</v>
      </c>
      <c r="I115" cm="1">
        <f t="array" ref="I115">INDEX(Properties!$D:$D,$B115+5)*(IF(AND(I$3&gt;=INDEX(Properties!$T:$T,$B115+5),I$3&lt;INDEX(Properties!$U:$U,$B115+5)),INDEX(Properties!$P:$P,$B115+5),0))</f>
        <v>0</v>
      </c>
      <c r="J115" cm="1">
        <f t="array" ref="J115">INDEX(Properties!$D:$D,$B115+5)*(IF(AND(J$3&gt;=INDEX(Properties!$T:$T,$B115+5),J$3&lt;INDEX(Properties!$U:$U,$B115+5)),INDEX(Properties!$P:$P,$B115+5),0))</f>
        <v>0</v>
      </c>
      <c r="K115" cm="1">
        <f t="array" ref="K115">INDEX(Properties!$D:$D,$B115+5)*(IF(AND(K$3&gt;=INDEX(Properties!$T:$T,$B115+5),K$3&lt;INDEX(Properties!$U:$U,$B115+5)),INDEX(Properties!$P:$P,$B115+5),0))</f>
        <v>0</v>
      </c>
      <c r="L115" cm="1">
        <f t="array" ref="L115">INDEX(Properties!$D:$D,$B115+5)*(IF(AND(L$3&gt;=INDEX(Properties!$T:$T,$B115+5),L$3&lt;INDEX(Properties!$U:$U,$B115+5)),INDEX(Properties!$P:$P,$B115+5),0))</f>
        <v>0</v>
      </c>
      <c r="M115" cm="1">
        <f t="array" ref="M115">INDEX(Properties!$D:$D,$B115+5)*(IF(AND(M$3&gt;=INDEX(Properties!$T:$T,$B115+5),M$3&lt;INDEX(Properties!$U:$U,$B115+5)),INDEX(Properties!$P:$P,$B115+5),0))</f>
        <v>0</v>
      </c>
      <c r="N115" cm="1">
        <f t="array" ref="N115">INDEX(Properties!$D:$D,$B115+5)*(IF(AND(N$3&gt;=INDEX(Properties!$T:$T,$B115+5),N$3&lt;INDEX(Properties!$U:$U,$B115+5)),INDEX(Properties!$P:$P,$B115+5),0))</f>
        <v>0</v>
      </c>
      <c r="O115" cm="1">
        <f t="array" ref="O115">INDEX(Properties!$D:$D,$B115+5)*(IF(AND(O$3&gt;=INDEX(Properties!$T:$T,$B115+5),O$3&lt;INDEX(Properties!$U:$U,$B115+5)),INDEX(Properties!$P:$P,$B115+5),0))</f>
        <v>0</v>
      </c>
      <c r="P115" cm="1">
        <f t="array" ref="P115">INDEX(Properties!$D:$D,$B115+5)*(IF(AND(P$3&gt;=INDEX(Properties!$T:$T,$B115+5),P$3&lt;INDEX(Properties!$U:$U,$B115+5)),INDEX(Properties!$P:$P,$B115+5),0))</f>
        <v>0</v>
      </c>
      <c r="Q115" cm="1">
        <f t="array" ref="Q115">INDEX(Properties!$D:$D,$B115+5)*(IF(AND(Q$3&gt;=INDEX(Properties!$T:$T,$B115+5),Q$3&lt;INDEX(Properties!$U:$U,$B115+5)),INDEX(Properties!$P:$P,$B115+5),0))</f>
        <v>0</v>
      </c>
      <c r="R115" cm="1">
        <f t="array" ref="R115">INDEX(Properties!$D:$D,$B115+5)*(IF(AND(R$3&gt;=INDEX(Properties!$T:$T,$B115+5),R$3&lt;INDEX(Properties!$U:$U,$B115+5)),INDEX(Properties!$P:$P,$B115+5),0))</f>
        <v>0</v>
      </c>
      <c r="S115" cm="1">
        <f t="array" ref="S115">INDEX(Properties!$D:$D,$B115+5)*(IF(AND(S$3&gt;=INDEX(Properties!$T:$T,$B115+5),S$3&lt;INDEX(Properties!$U:$U,$B115+5)),INDEX(Properties!$P:$P,$B115+5),0))</f>
        <v>0</v>
      </c>
      <c r="T115" cm="1">
        <f t="array" ref="T115">INDEX(Properties!$D:$D,$B115+5)*(IF(AND(T$3&gt;=INDEX(Properties!$T:$T,$B115+5),T$3&lt;INDEX(Properties!$U:$U,$B115+5)),INDEX(Properties!$P:$P,$B115+5),0))</f>
        <v>0</v>
      </c>
      <c r="U115" cm="1">
        <f t="array" ref="U115">INDEX(Properties!$D:$D,$B115+5)*(IF(AND(U$3&gt;=INDEX(Properties!$T:$T,$B115+5),U$3&lt;INDEX(Properties!$U:$U,$B115+5)),INDEX(Properties!$P:$P,$B115+5),0))</f>
        <v>0</v>
      </c>
      <c r="V115" cm="1">
        <f t="array" ref="V115">INDEX(Properties!$D:$D,$B115+5)*(IF(AND(V$3&gt;=INDEX(Properties!$T:$T,$B115+5),V$3&lt;INDEX(Properties!$U:$U,$B115+5)),INDEX(Properties!$P:$P,$B115+5),0))</f>
        <v>0</v>
      </c>
      <c r="W115" cm="1">
        <f t="array" ref="W115">INDEX(Properties!$D:$D,$B115+5)*(IF(AND(W$3&gt;=INDEX(Properties!$T:$T,$B115+5),W$3&lt;INDEX(Properties!$U:$U,$B115+5)),INDEX(Properties!$P:$P,$B115+5),0))</f>
        <v>0</v>
      </c>
      <c r="X115" cm="1">
        <f t="array" ref="X115">INDEX(Properties!$D:$D,$B115+5)*(IF(AND(X$3&gt;=INDEX(Properties!$T:$T,$B115+5),X$3&lt;INDEX(Properties!$U:$U,$B115+5)),INDEX(Properties!$P:$P,$B115+5),0))</f>
        <v>0</v>
      </c>
      <c r="Y115" cm="1">
        <f t="array" ref="Y115">INDEX(Properties!$D:$D,$B115+5)*(IF(AND(Y$3&gt;=INDEX(Properties!$T:$T,$B115+5),Y$3&lt;INDEX(Properties!$U:$U,$B115+5)),INDEX(Properties!$P:$P,$B115+5),0))</f>
        <v>0</v>
      </c>
      <c r="Z115" cm="1">
        <f t="array" ref="Z115">INDEX(Properties!$D:$D,$B115+5)*(IF(AND(Z$3&gt;=INDEX(Properties!$T:$T,$B115+5),Z$3&lt;INDEX(Properties!$U:$U,$B115+5)),INDEX(Properties!$P:$P,$B115+5),0))</f>
        <v>0</v>
      </c>
      <c r="AA115" cm="1">
        <f t="array" ref="AA115">INDEX(Properties!$D:$D,$B115+5)*(IF(AND(AA$3&gt;=INDEX(Properties!$T:$T,$B115+5),AA$3&lt;INDEX(Properties!$U:$U,$B115+5)),INDEX(Properties!$P:$P,$B115+5),0))</f>
        <v>0</v>
      </c>
      <c r="AB115" cm="1">
        <f t="array" ref="AB115">INDEX(Properties!$D:$D,$B115+5)*(IF(AND(AB$3&gt;=INDEX(Properties!$T:$T,$B115+5),AB$3&lt;INDEX(Properties!$U:$U,$B115+5)),INDEX(Properties!$P:$P,$B115+5),0))</f>
        <v>0</v>
      </c>
      <c r="AC115" cm="1">
        <f t="array" ref="AC115">INDEX(Properties!$D:$D,$B115+5)*(IF(AND(AC$3&gt;=INDEX(Properties!$T:$T,$B115+5),AC$3&lt;INDEX(Properties!$U:$U,$B115+5)),INDEX(Properties!$P:$P,$B115+5),0))</f>
        <v>0</v>
      </c>
      <c r="AD115" cm="1">
        <f t="array" ref="AD115">INDEX(Properties!$D:$D,$B115+5)*(IF(AND(AD$3&gt;=INDEX(Properties!$T:$T,$B115+5),AD$3&lt;INDEX(Properties!$U:$U,$B115+5)),INDEX(Properties!$P:$P,$B115+5),0))</f>
        <v>0</v>
      </c>
      <c r="AE115" cm="1">
        <f t="array" ref="AE115">INDEX(Properties!$D:$D,$B115+5)*(IF(AND(AE$3&gt;=INDEX(Properties!$T:$T,$B115+5),AE$3&lt;INDEX(Properties!$U:$U,$B115+5)),INDEX(Properties!$P:$P,$B115+5),0))</f>
        <v>0</v>
      </c>
      <c r="AF115" cm="1">
        <f t="array" ref="AF115">INDEX(Properties!$D:$D,$B115+5)*(IF(AND(AF$3&gt;=INDEX(Properties!$T:$T,$B115+5),AF$3&lt;INDEX(Properties!$U:$U,$B115+5)),INDEX(Properties!$P:$P,$B115+5),0))</f>
        <v>0</v>
      </c>
      <c r="AG115" cm="1">
        <f t="array" ref="AG115">INDEX(Properties!$D:$D,$B115+5)*(IF(AND(AG$3&gt;=INDEX(Properties!$T:$T,$B115+5),AG$3&lt;INDEX(Properties!$U:$U,$B115+5)),INDEX(Properties!$P:$P,$B115+5),0))</f>
        <v>0</v>
      </c>
      <c r="AH115" cm="1">
        <f t="array" ref="AH115">INDEX(Properties!$D:$D,$B115+5)*(IF(AND(AH$3&gt;=INDEX(Properties!$T:$T,$B115+5),AH$3&lt;INDEX(Properties!$U:$U,$B115+5)),INDEX(Properties!$P:$P,$B115+5),0))</f>
        <v>0</v>
      </c>
      <c r="AI115" cm="1">
        <f t="array" ref="AI115">INDEX(Properties!$D:$D,$B115+5)*(IF(AND(AI$3&gt;=INDEX(Properties!$T:$T,$B115+5),AI$3&lt;INDEX(Properties!$U:$U,$B115+5)),INDEX(Properties!$P:$P,$B115+5),0))</f>
        <v>0</v>
      </c>
      <c r="AJ115" cm="1">
        <f t="array" ref="AJ115">INDEX(Properties!$D:$D,$B115+5)*(IF(AND(AJ$3&gt;=INDEX(Properties!$T:$T,$B115+5),AJ$3&lt;INDEX(Properties!$U:$U,$B115+5)),INDEX(Properties!$P:$P,$B115+5),0))</f>
        <v>0</v>
      </c>
      <c r="AK115" cm="1">
        <f t="array" ref="AK115">INDEX(Properties!$D:$D,$B115+5)*(IF(AND(AK$3&gt;=INDEX(Properties!$T:$T,$B115+5),AK$3&lt;INDEX(Properties!$U:$U,$B115+5)),INDEX(Properties!$P:$P,$B115+5),0))</f>
        <v>0</v>
      </c>
      <c r="AL115" cm="1">
        <f t="array" ref="AL115">INDEX(Properties!$D:$D,$B115+5)*(IF(AND(AL$3&gt;=INDEX(Properties!$T:$T,$B115+5),AL$3&lt;INDEX(Properties!$U:$U,$B115+5)),INDEX(Properties!$P:$P,$B115+5),0))</f>
        <v>0</v>
      </c>
      <c r="AM115" cm="1">
        <f t="array" ref="AM115">INDEX(Properties!$D:$D,$B115+5)*(IF(AND(AM$3&gt;=INDEX(Properties!$T:$T,$B115+5),AM$3&lt;INDEX(Properties!$U:$U,$B115+5)),INDEX(Properties!$P:$P,$B115+5),0))</f>
        <v>0</v>
      </c>
      <c r="AN115" cm="1">
        <f t="array" ref="AN115">INDEX(Properties!$D:$D,$B115+5)*(IF(AND(AN$3&gt;=INDEX(Properties!$T:$T,$B115+5),AN$3&lt;INDEX(Properties!$U:$U,$B115+5)),INDEX(Properties!$P:$P,$B115+5),0))</f>
        <v>0</v>
      </c>
      <c r="AO115" cm="1">
        <f t="array" ref="AO115">INDEX(Properties!$D:$D,$B115+5)*(IF(AND(AO$3&gt;=INDEX(Properties!$T:$T,$B115+5),AO$3&lt;INDEX(Properties!$U:$U,$B115+5)),INDEX(Properties!$P:$P,$B115+5),0))</f>
        <v>0</v>
      </c>
      <c r="AP115" cm="1">
        <f t="array" ref="AP115">INDEX(Properties!$D:$D,$B115+5)*(IF(AND(AP$3&gt;=INDEX(Properties!$T:$T,$B115+5),AP$3&lt;INDEX(Properties!$U:$U,$B115+5)),INDEX(Properties!$P:$P,$B115+5),0))</f>
        <v>0</v>
      </c>
      <c r="AQ115" cm="1">
        <f t="array" ref="AQ115">INDEX(Properties!$D:$D,$B115+5)*(IF(AND(AQ$3&gt;=INDEX(Properties!$T:$T,$B115+5),AQ$3&lt;INDEX(Properties!$U:$U,$B115+5)),INDEX(Properties!$P:$P,$B115+5),0))</f>
        <v>0</v>
      </c>
      <c r="AR115" cm="1">
        <f t="array" ref="AR115">INDEX(Properties!$D:$D,$B115+5)*(IF(AND(AR$3&gt;=INDEX(Properties!$T:$T,$B115+5),AR$3&lt;INDEX(Properties!$U:$U,$B115+5)),INDEX(Properties!$P:$P,$B115+5),0))</f>
        <v>0</v>
      </c>
      <c r="AS115" cm="1">
        <f t="array" ref="AS115">INDEX(Properties!$D:$D,$B115+5)*(IF(AND(AS$3&gt;=INDEX(Properties!$T:$T,$B115+5),AS$3&lt;INDEX(Properties!$U:$U,$B115+5)),INDEX(Properties!$P:$P,$B115+5),0))</f>
        <v>0</v>
      </c>
      <c r="AT115" cm="1">
        <f t="array" ref="AT115">INDEX(Properties!$D:$D,$B115+5)*(IF(AND(AT$3&gt;=INDEX(Properties!$T:$T,$B115+5),AT$3&lt;INDEX(Properties!$U:$U,$B115+5)),INDEX(Properties!$P:$P,$B115+5),0))</f>
        <v>0</v>
      </c>
      <c r="AU115" cm="1">
        <f t="array" ref="AU115">INDEX(Properties!$D:$D,$B115+5)*(IF(AND(AU$3&gt;=INDEX(Properties!$T:$T,$B115+5),AU$3&lt;INDEX(Properties!$U:$U,$B115+5)),INDEX(Properties!$P:$P,$B115+5),0))</f>
        <v>0</v>
      </c>
      <c r="AV115" cm="1">
        <f t="array" ref="AV115">INDEX(Properties!$D:$D,$B115+5)*(IF(AND(AV$3&gt;=INDEX(Properties!$T:$T,$B115+5),AV$3&lt;INDEX(Properties!$U:$U,$B115+5)),INDEX(Properties!$P:$P,$B115+5),0))</f>
        <v>0</v>
      </c>
      <c r="AW115" cm="1">
        <f t="array" ref="AW115">INDEX(Properties!$D:$D,$B115+5)*(IF(AND(AW$3&gt;=INDEX(Properties!$T:$T,$B115+5),AW$3&lt;INDEX(Properties!$U:$U,$B115+5)),INDEX(Properties!$P:$P,$B115+5),0))</f>
        <v>0</v>
      </c>
      <c r="AX115" cm="1">
        <f t="array" ref="AX115">INDEX(Properties!$D:$D,$B115+5)*(IF(AND(AX$3&gt;=INDEX(Properties!$T:$T,$B115+5),AX$3&lt;INDEX(Properties!$U:$U,$B115+5)),INDEX(Properties!$P:$P,$B115+5),0))</f>
        <v>0</v>
      </c>
      <c r="AY115" cm="1">
        <f t="array" ref="AY115">INDEX(Properties!$D:$D,$B115+5)*(IF(AND(AY$3&gt;=INDEX(Properties!$T:$T,$B115+5),AY$3&lt;INDEX(Properties!$U:$U,$B115+5)),INDEX(Properties!$P:$P,$B115+5),0))</f>
        <v>0</v>
      </c>
      <c r="AZ115" cm="1">
        <f t="array" ref="AZ115">INDEX(Properties!$D:$D,$B115+5)*(IF(AND(AZ$3&gt;=INDEX(Properties!$T:$T,$B115+5),AZ$3&lt;INDEX(Properties!$U:$U,$B115+5)),INDEX(Properties!$P:$P,$B115+5),0))</f>
        <v>0</v>
      </c>
      <c r="BA115" cm="1">
        <f t="array" ref="BA115">INDEX(Properties!$D:$D,$B115+5)*(IF(AND(BA$3&gt;=INDEX(Properties!$T:$T,$B115+5),BA$3&lt;INDEX(Properties!$U:$U,$B115+5)),INDEX(Properties!$P:$P,$B115+5),0))</f>
        <v>0</v>
      </c>
      <c r="BB115" cm="1">
        <f t="array" ref="BB115">INDEX(Properties!$D:$D,$B115+5)*(IF(AND(BB$3&gt;=INDEX(Properties!$T:$T,$B115+5),BB$3&lt;INDEX(Properties!$U:$U,$B115+5)),INDEX(Properties!$P:$P,$B115+5),0))</f>
        <v>0</v>
      </c>
      <c r="BC115" cm="1">
        <f t="array" ref="BC115">INDEX(Properties!$D:$D,$B115+5)*(IF(AND(BC$3&gt;=INDEX(Properties!$T:$T,$B115+5),BC$3&lt;INDEX(Properties!$U:$U,$B115+5)),INDEX(Properties!$P:$P,$B115+5),0))</f>
        <v>0</v>
      </c>
      <c r="BD115" cm="1">
        <f t="array" ref="BD115">INDEX(Properties!$D:$D,$B115+5)*(IF(AND(BD$3&gt;=INDEX(Properties!$T:$T,$B115+5),BD$3&lt;INDEX(Properties!$U:$U,$B115+5)),INDEX(Properties!$P:$P,$B115+5),0))</f>
        <v>0</v>
      </c>
      <c r="BE115" cm="1">
        <f t="array" ref="BE115">INDEX(Properties!$D:$D,$B115+5)*(IF(AND(BE$3&gt;=INDEX(Properties!$T:$T,$B115+5),BE$3&lt;INDEX(Properties!$U:$U,$B115+5)),INDEX(Properties!$P:$P,$B115+5),0))</f>
        <v>0</v>
      </c>
      <c r="BF115" cm="1">
        <f t="array" ref="BF115">INDEX(Properties!$D:$D,$B115+5)*(IF(AND(BF$3&gt;=INDEX(Properties!$T:$T,$B115+5),BF$3&lt;INDEX(Properties!$U:$U,$B115+5)),INDEX(Properties!$P:$P,$B115+5),0))</f>
        <v>0</v>
      </c>
      <c r="BG115" cm="1">
        <f t="array" ref="BG115">INDEX(Properties!$D:$D,$B115+5)*(IF(AND(BG$3&gt;=INDEX(Properties!$T:$T,$B115+5),BG$3&lt;INDEX(Properties!$U:$U,$B115+5)),INDEX(Properties!$P:$P,$B115+5),0))</f>
        <v>0</v>
      </c>
      <c r="BH115" cm="1">
        <f t="array" ref="BH115">INDEX(Properties!$D:$D,$B115+5)*(IF(AND(BH$3&gt;=INDEX(Properties!$T:$T,$B115+5),BH$3&lt;INDEX(Properties!$U:$U,$B115+5)),INDEX(Properties!$P:$P,$B115+5),0))</f>
        <v>0</v>
      </c>
      <c r="BI115" cm="1">
        <f t="array" ref="BI115">INDEX(Properties!$D:$D,$B115+5)*(IF(AND(BI$3&gt;=INDEX(Properties!$T:$T,$B115+5),BI$3&lt;INDEX(Properties!$U:$U,$B115+5)),INDEX(Properties!$P:$P,$B115+5),0))</f>
        <v>0</v>
      </c>
      <c r="BJ115" cm="1">
        <f t="array" ref="BJ115">INDEX(Properties!$D:$D,$B115+5)*(IF(AND(BJ$3&gt;=INDEX(Properties!$T:$T,$B115+5),BJ$3&lt;INDEX(Properties!$U:$U,$B115+5)),INDEX(Properties!$P:$P,$B115+5),0))</f>
        <v>0</v>
      </c>
      <c r="BK115" cm="1">
        <f t="array" ref="BK115">INDEX(Properties!$D:$D,$B115+5)*(IF(AND(BK$3&gt;=INDEX(Properties!$T:$T,$B115+5),BK$3&lt;INDEX(Properties!$U:$U,$B115+5)),INDEX(Properties!$P:$P,$B115+5),0))</f>
        <v>0</v>
      </c>
      <c r="BL115" cm="1">
        <f t="array" ref="BL115">INDEX(Properties!$D:$D,$B115+5)*(IF(AND(BL$3&gt;=INDEX(Properties!$T:$T,$B115+5),BL$3&lt;INDEX(Properties!$U:$U,$B115+5)),INDEX(Properties!$P:$P,$B115+5),0))</f>
        <v>0</v>
      </c>
      <c r="BM115" cm="1">
        <f t="array" ref="BM115">INDEX(Properties!$D:$D,$B115+5)*(IF(AND(BM$3&gt;=INDEX(Properties!$T:$T,$B115+5),BM$3&lt;INDEX(Properties!$U:$U,$B115+5)),INDEX(Properties!$P:$P,$B115+5),0))</f>
        <v>0</v>
      </c>
      <c r="BN115" cm="1">
        <f t="array" ref="BN115">INDEX(Properties!$D:$D,$B115+5)*(IF(AND(BN$3&gt;=INDEX(Properties!$T:$T,$B115+5),BN$3&lt;INDEX(Properties!$U:$U,$B115+5)),INDEX(Properties!$P:$P,$B115+5),0))</f>
        <v>0</v>
      </c>
      <c r="BO115" cm="1">
        <f t="array" ref="BO115">INDEX(Properties!$D:$D,$B115+5)*(IF(AND(BO$3&gt;=INDEX(Properties!$T:$T,$B115+5),BO$3&lt;INDEX(Properties!$U:$U,$B115+5)),INDEX(Properties!$P:$P,$B115+5),0))</f>
        <v>0</v>
      </c>
      <c r="BP115" cm="1">
        <f t="array" ref="BP115">INDEX(Properties!$D:$D,$B115+5)*(IF(AND(BP$3&gt;=INDEX(Properties!$T:$T,$B115+5),BP$3&lt;INDEX(Properties!$U:$U,$B115+5)),INDEX(Properties!$P:$P,$B115+5),0))</f>
        <v>0</v>
      </c>
      <c r="BQ115" cm="1">
        <f t="array" ref="BQ115">INDEX(Properties!$D:$D,$B115+5)*(IF(AND(BQ$3&gt;=INDEX(Properties!$T:$T,$B115+5),BQ$3&lt;INDEX(Properties!$U:$U,$B115+5)),INDEX(Properties!$P:$P,$B115+5),0))</f>
        <v>0</v>
      </c>
      <c r="BR115" cm="1">
        <f t="array" ref="BR115">INDEX(Properties!$D:$D,$B115+5)*(IF(AND(BR$3&gt;=INDEX(Properties!$T:$T,$B115+5),BR$3&lt;INDEX(Properties!$U:$U,$B115+5)),INDEX(Properties!$P:$P,$B115+5),0))</f>
        <v>0</v>
      </c>
      <c r="BS115" cm="1">
        <f t="array" ref="BS115">INDEX(Properties!$D:$D,$B115+5)*(IF(AND(BS$3&gt;=INDEX(Properties!$T:$T,$B115+5),BS$3&lt;INDEX(Properties!$U:$U,$B115+5)),INDEX(Properties!$P:$P,$B115+5),0))</f>
        <v>0</v>
      </c>
      <c r="BT115" cm="1">
        <f t="array" ref="BT115">INDEX(Properties!$D:$D,$B115+5)*(IF(AND(BT$3&gt;=INDEX(Properties!$T:$T,$B115+5),BT$3&lt;INDEX(Properties!$U:$U,$B115+5)),INDEX(Properties!$P:$P,$B115+5),0))</f>
        <v>0</v>
      </c>
      <c r="BU115" cm="1">
        <f t="array" ref="BU115">INDEX(Properties!$D:$D,$B115+5)*(IF(AND(BU$3&gt;=INDEX(Properties!$T:$T,$B115+5),BU$3&lt;INDEX(Properties!$U:$U,$B115+5)),INDEX(Properties!$P:$P,$B115+5),0))</f>
        <v>0</v>
      </c>
      <c r="BV115" cm="1">
        <f t="array" ref="BV115">INDEX(Properties!$D:$D,$B115+5)*(IF(AND(BV$3&gt;=INDEX(Properties!$T:$T,$B115+5),BV$3&lt;INDEX(Properties!$U:$U,$B115+5)),INDEX(Properties!$P:$P,$B115+5),0))</f>
        <v>0</v>
      </c>
      <c r="BW115" cm="1">
        <f t="array" ref="BW115">INDEX(Properties!$D:$D,$B115+5)*(IF(AND(BW$3&gt;=INDEX(Properties!$T:$T,$B115+5),BW$3&lt;INDEX(Properties!$U:$U,$B115+5)),INDEX(Properties!$P:$P,$B115+5),0))</f>
        <v>0</v>
      </c>
      <c r="BX115" cm="1">
        <f t="array" ref="BX115">INDEX(Properties!$D:$D,$B115+5)*(IF(AND(BX$3&gt;=INDEX(Properties!$T:$T,$B115+5),BX$3&lt;INDEX(Properties!$U:$U,$B115+5)),INDEX(Properties!$P:$P,$B115+5),0))</f>
        <v>0</v>
      </c>
      <c r="BY115" cm="1">
        <f t="array" ref="BY115">INDEX(Properties!$D:$D,$B115+5)*(IF(AND(BY$3&gt;=INDEX(Properties!$T:$T,$B115+5),BY$3&lt;INDEX(Properties!$U:$U,$B115+5)),INDEX(Properties!$P:$P,$B115+5),0))</f>
        <v>0</v>
      </c>
      <c r="BZ115" cm="1">
        <f t="array" ref="BZ115">INDEX(Properties!$D:$D,$B115+5)*(IF(AND(BZ$3&gt;=INDEX(Properties!$T:$T,$B115+5),BZ$3&lt;INDEX(Properties!$U:$U,$B115+5)),INDEX(Properties!$P:$P,$B115+5),0))</f>
        <v>0</v>
      </c>
      <c r="CA115" cm="1">
        <f t="array" ref="CA115">INDEX(Properties!$D:$D,$B115+5)*(IF(AND(CA$3&gt;=INDEX(Properties!$T:$T,$B115+5),CA$3&lt;INDEX(Properties!$U:$U,$B115+5)),INDEX(Properties!$P:$P,$B115+5),0))</f>
        <v>0</v>
      </c>
      <c r="CB115" cm="1">
        <f t="array" ref="CB115">INDEX(Properties!$D:$D,$B115+5)*(IF(AND(CB$3&gt;=INDEX(Properties!$T:$T,$B115+5),CB$3&lt;INDEX(Properties!$U:$U,$B115+5)),INDEX(Properties!$P:$P,$B115+5),0))</f>
        <v>0</v>
      </c>
      <c r="CC115" cm="1">
        <f t="array" ref="CC115">INDEX(Properties!$D:$D,$B115+5)*(IF(AND(CC$3&gt;=INDEX(Properties!$T:$T,$B115+5),CC$3&lt;INDEX(Properties!$U:$U,$B115+5)),INDEX(Properties!$P:$P,$B115+5),0))</f>
        <v>0</v>
      </c>
      <c r="CD115" cm="1">
        <f t="array" ref="CD115">INDEX(Properties!$D:$D,$B115+5)*(IF(AND(CD$3&gt;=INDEX(Properties!$T:$T,$B115+5),CD$3&lt;INDEX(Properties!$U:$U,$B115+5)),INDEX(Properties!$P:$P,$B115+5),0))</f>
        <v>0</v>
      </c>
      <c r="CE115" cm="1">
        <f t="array" ref="CE115">INDEX(Properties!$D:$D,$B115+5)*(IF(AND(CE$3&gt;=INDEX(Properties!$T:$T,$B115+5),CE$3&lt;INDEX(Properties!$U:$U,$B115+5)),INDEX(Properties!$P:$P,$B115+5),0))</f>
        <v>0</v>
      </c>
      <c r="CF115" cm="1">
        <f t="array" ref="CF115">INDEX(Properties!$D:$D,$B115+5)*(IF(AND(CF$3&gt;=INDEX(Properties!$T:$T,$B115+5),CF$3&lt;INDEX(Properties!$U:$U,$B115+5)),INDEX(Properties!$P:$P,$B115+5),0))</f>
        <v>0</v>
      </c>
      <c r="CG115" cm="1">
        <f t="array" ref="CG115">INDEX(Properties!$D:$D,$B115+5)*(IF(AND(CG$3&gt;=INDEX(Properties!$T:$T,$B115+5),CG$3&lt;INDEX(Properties!$U:$U,$B115+5)),INDEX(Properties!$P:$P,$B115+5),0))</f>
        <v>0</v>
      </c>
      <c r="CH115" cm="1">
        <f t="array" ref="CH115">INDEX(Properties!$D:$D,$B115+5)*(IF(AND(CH$3&gt;=INDEX(Properties!$T:$T,$B115+5),CH$3&lt;INDEX(Properties!$U:$U,$B115+5)),INDEX(Properties!$P:$P,$B115+5),0))</f>
        <v>0</v>
      </c>
      <c r="CI115" cm="1">
        <f t="array" ref="CI115">INDEX(Properties!$D:$D,$B115+5)*(IF(AND(CI$3&gt;=INDEX(Properties!$T:$T,$B115+5),CI$3&lt;INDEX(Properties!$U:$U,$B115+5)),INDEX(Properties!$P:$P,$B115+5),0))</f>
        <v>0</v>
      </c>
      <c r="CJ115" cm="1">
        <f t="array" ref="CJ115">INDEX(Properties!$D:$D,$B115+5)*(IF(AND(CJ$3&gt;=INDEX(Properties!$T:$T,$B115+5),CJ$3&lt;INDEX(Properties!$U:$U,$B115+5)),INDEX(Properties!$P:$P,$B115+5),0))</f>
        <v>0</v>
      </c>
      <c r="CK115" cm="1">
        <f t="array" ref="CK115">INDEX(Properties!$D:$D,$B115+5)*(IF(AND(CK$3&gt;=INDEX(Properties!$T:$T,$B115+5),CK$3&lt;INDEX(Properties!$U:$U,$B115+5)),INDEX(Properties!$P:$P,$B115+5),0))</f>
        <v>0</v>
      </c>
      <c r="CL115" cm="1">
        <f t="array" ref="CL115">INDEX(Properties!$D:$D,$B115+5)*(IF(AND(CL$3&gt;=INDEX(Properties!$T:$T,$B115+5),CL$3&lt;INDEX(Properties!$U:$U,$B115+5)),INDEX(Properties!$P:$P,$B115+5),0))</f>
        <v>0</v>
      </c>
      <c r="CM115" cm="1">
        <f t="array" ref="CM115">INDEX(Properties!$D:$D,$B115+5)*(IF(AND(CM$3&gt;=INDEX(Properties!$T:$T,$B115+5),CM$3&lt;INDEX(Properties!$U:$U,$B115+5)),INDEX(Properties!$P:$P,$B115+5),0))</f>
        <v>0</v>
      </c>
      <c r="CN115" cm="1">
        <f t="array" ref="CN115">INDEX(Properties!$D:$D,$B115+5)*(IF(AND(CN$3&gt;=INDEX(Properties!$T:$T,$B115+5),CN$3&lt;INDEX(Properties!$U:$U,$B115+5)),INDEX(Properties!$P:$P,$B115+5),0))</f>
        <v>0</v>
      </c>
      <c r="CO115" cm="1">
        <f t="array" ref="CO115">INDEX(Properties!$D:$D,$B115+5)*(IF(AND(CO$3&gt;=INDEX(Properties!$T:$T,$B115+5),CO$3&lt;INDEX(Properties!$U:$U,$B115+5)),INDEX(Properties!$P:$P,$B115+5),0))</f>
        <v>0</v>
      </c>
      <c r="CP115" cm="1">
        <f t="array" ref="CP115">INDEX(Properties!$D:$D,$B115+5)*(IF(AND(CP$3&gt;=INDEX(Properties!$T:$T,$B115+5),CP$3&lt;INDEX(Properties!$U:$U,$B115+5)),INDEX(Properties!$P:$P,$B115+5),0))</f>
        <v>0</v>
      </c>
      <c r="CQ115" cm="1">
        <f t="array" ref="CQ115">INDEX(Properties!$D:$D,$B115+5)*(IF(AND(CQ$3&gt;=INDEX(Properties!$T:$T,$B115+5),CQ$3&lt;INDEX(Properties!$U:$U,$B115+5)),INDEX(Properties!$P:$P,$B115+5),0))</f>
        <v>0</v>
      </c>
      <c r="CR115" cm="1">
        <f t="array" ref="CR115">INDEX(Properties!$D:$D,$B115+5)*(IF(AND(CR$3&gt;=INDEX(Properties!$T:$T,$B115+5),CR$3&lt;INDEX(Properties!$U:$U,$B115+5)),INDEX(Properties!$P:$P,$B115+5),0))</f>
        <v>0</v>
      </c>
      <c r="CS115" cm="1">
        <f t="array" ref="CS115">INDEX(Properties!$D:$D,$B115+5)*(IF(AND(CS$3&gt;=INDEX(Properties!$T:$T,$B115+5),CS$3&lt;INDEX(Properties!$U:$U,$B115+5)),INDEX(Properties!$P:$P,$B115+5),0))</f>
        <v>0</v>
      </c>
      <c r="CT115" cm="1">
        <f t="array" ref="CT115">INDEX(Properties!$D:$D,$B115+5)*(IF(AND(CT$3&gt;=INDEX(Properties!$T:$T,$B115+5),CT$3&lt;INDEX(Properties!$U:$U,$B115+5)),INDEX(Properties!$P:$P,$B115+5),0))</f>
        <v>0</v>
      </c>
      <c r="CU115" cm="1">
        <f t="array" ref="CU115">INDEX(Properties!$D:$D,$B115+5)*(IF(AND(CU$3&gt;=INDEX(Properties!$T:$T,$B115+5),CU$3&lt;INDEX(Properties!$U:$U,$B115+5)),INDEX(Properties!$P:$P,$B115+5),0))</f>
        <v>0</v>
      </c>
      <c r="CV115" cm="1">
        <f t="array" ref="CV115">INDEX(Properties!$D:$D,$B115+5)*(IF(AND(CV$3&gt;=INDEX(Properties!$T:$T,$B115+5),CV$3&lt;INDEX(Properties!$U:$U,$B115+5)),INDEX(Properties!$P:$P,$B115+5),0))</f>
        <v>0</v>
      </c>
      <c r="CW115" cm="1">
        <f t="array" ref="CW115">INDEX(Properties!$D:$D,$B115+5)*(IF(AND(CW$3&gt;=INDEX(Properties!$T:$T,$B115+5),CW$3&lt;INDEX(Properties!$U:$U,$B115+5)),INDEX(Properties!$P:$P,$B115+5),0))</f>
        <v>0</v>
      </c>
      <c r="CX115" cm="1">
        <f t="array" ref="CX115">INDEX(Properties!$D:$D,$B115+5)*(IF(AND(CX$3&gt;=INDEX(Properties!$T:$T,$B115+5),CX$3&lt;INDEX(Properties!$U:$U,$B115+5)),INDEX(Properties!$P:$P,$B115+5),0))</f>
        <v>0</v>
      </c>
      <c r="CY115" cm="1">
        <f t="array" ref="CY115">INDEX(Properties!$D:$D,$B115+5)*(IF(AND(CY$3&gt;=INDEX(Properties!$T:$T,$B115+5),CY$3&lt;INDEX(Properties!$U:$U,$B115+5)),INDEX(Properties!$P:$P,$B115+5),0))</f>
        <v>0</v>
      </c>
      <c r="CZ115" cm="1">
        <f t="array" ref="CZ115">INDEX(Properties!$D:$D,$B115+5)*(IF(AND(CZ$3&gt;=INDEX(Properties!$T:$T,$B115+5),CZ$3&lt;INDEX(Properties!$U:$U,$B115+5)),INDEX(Properties!$P:$P,$B115+5),0))</f>
        <v>0</v>
      </c>
      <c r="DA115" cm="1">
        <f t="array" ref="DA115">INDEX(Properties!$D:$D,$B115+5)*(IF(AND(DA$3&gt;=INDEX(Properties!$T:$T,$B115+5),DA$3&lt;INDEX(Properties!$U:$U,$B115+5)),INDEX(Properties!$P:$P,$B115+5),0))</f>
        <v>0</v>
      </c>
      <c r="DB115" cm="1">
        <f t="array" ref="DB115">INDEX(Properties!$D:$D,$B115+5)*(IF(AND(DB$3&gt;=INDEX(Properties!$T:$T,$B115+5),DB$3&lt;INDEX(Properties!$U:$U,$B115+5)),INDEX(Properties!$P:$P,$B115+5),0))</f>
        <v>0</v>
      </c>
      <c r="DC115" cm="1">
        <f t="array" ref="DC115">INDEX(Properties!$D:$D,$B115+5)*(IF(AND(DC$3&gt;=INDEX(Properties!$T:$T,$B115+5),DC$3&lt;INDEX(Properties!$U:$U,$B115+5)),INDEX(Properties!$P:$P,$B115+5),0))</f>
        <v>0</v>
      </c>
      <c r="DD115" cm="1">
        <f t="array" ref="DD115">INDEX(Properties!$D:$D,$B115+5)*(IF(AND(DD$3&gt;=INDEX(Properties!$T:$T,$B115+5),DD$3&lt;INDEX(Properties!$U:$U,$B115+5)),INDEX(Properties!$P:$P,$B115+5),0))</f>
        <v>0</v>
      </c>
      <c r="DE115" cm="1">
        <f t="array" ref="DE115">INDEX(Properties!$D:$D,$B115+5)*(IF(AND(DE$3&gt;=INDEX(Properties!$T:$T,$B115+5),DE$3&lt;INDEX(Properties!$U:$U,$B115+5)),INDEX(Properties!$P:$P,$B115+5),0))</f>
        <v>0</v>
      </c>
      <c r="DF115" cm="1">
        <f t="array" ref="DF115">INDEX(Properties!$D:$D,$B115+5)*(IF(AND(DF$3&gt;=INDEX(Properties!$T:$T,$B115+5),DF$3&lt;INDEX(Properties!$U:$U,$B115+5)),INDEX(Properties!$P:$P,$B115+5),0))</f>
        <v>0</v>
      </c>
      <c r="DG115" cm="1">
        <f t="array" ref="DG115">INDEX(Properties!$D:$D,$B115+5)*(IF(AND(DG$3&gt;=INDEX(Properties!$T:$T,$B115+5),DG$3&lt;INDEX(Properties!$U:$U,$B115+5)),INDEX(Properties!$P:$P,$B115+5),0))</f>
        <v>0</v>
      </c>
      <c r="DH115" cm="1">
        <f t="array" ref="DH115">INDEX(Properties!$D:$D,$B115+5)*(IF(AND(DH$3&gt;=INDEX(Properties!$T:$T,$B115+5),DH$3&lt;INDEX(Properties!$U:$U,$B115+5)),INDEX(Properties!$P:$P,$B115+5),0))</f>
        <v>0</v>
      </c>
      <c r="DI115" cm="1">
        <f t="array" ref="DI115">INDEX(Properties!$D:$D,$B115+5)*(IF(AND(DI$3&gt;=INDEX(Properties!$T:$T,$B115+5),DI$3&lt;INDEX(Properties!$U:$U,$B115+5)),INDEX(Properties!$P:$P,$B115+5),0))</f>
        <v>0</v>
      </c>
      <c r="DJ115" cm="1">
        <f t="array" ref="DJ115">INDEX(Properties!$D:$D,$B115+5)*(IF(AND(DJ$3&gt;=INDEX(Properties!$T:$T,$B115+5),DJ$3&lt;INDEX(Properties!$U:$U,$B115+5)),INDEX(Properties!$P:$P,$B115+5),0))</f>
        <v>0</v>
      </c>
      <c r="DK115" cm="1">
        <f t="array" ref="DK115">INDEX(Properties!$D:$D,$B115+5)*(IF(AND(DK$3&gt;=INDEX(Properties!$T:$T,$B115+5),DK$3&lt;INDEX(Properties!$U:$U,$B115+5)),INDEX(Properties!$P:$P,$B115+5),0))</f>
        <v>0</v>
      </c>
      <c r="DL115" cm="1">
        <f t="array" ref="DL115">INDEX(Properties!$D:$D,$B115+5)*(IF(AND(DL$3&gt;=INDEX(Properties!$T:$T,$B115+5),DL$3&lt;INDEX(Properties!$U:$U,$B115+5)),INDEX(Properties!$P:$P,$B115+5),0))</f>
        <v>0</v>
      </c>
      <c r="DM115" cm="1">
        <f t="array" ref="DM115">INDEX(Properties!$D:$D,$B115+5)*(IF(AND(DM$3&gt;=INDEX(Properties!$T:$T,$B115+5),DM$3&lt;INDEX(Properties!$U:$U,$B115+5)),INDEX(Properties!$P:$P,$B115+5),0))</f>
        <v>0</v>
      </c>
      <c r="DN115" cm="1">
        <f t="array" ref="DN115">INDEX(Properties!$D:$D,$B115+5)*(IF(AND(DN$3&gt;=INDEX(Properties!$T:$T,$B115+5),DN$3&lt;INDEX(Properties!$U:$U,$B115+5)),INDEX(Properties!$P:$P,$B115+5),0))</f>
        <v>0</v>
      </c>
      <c r="DO115" cm="1">
        <f t="array" ref="DO115">INDEX(Properties!$D:$D,$B115+5)*(IF(AND(DO$3&gt;=INDEX(Properties!$T:$T,$B115+5),DO$3&lt;INDEX(Properties!$U:$U,$B115+5)),INDEX(Properties!$P:$P,$B115+5),0))</f>
        <v>0</v>
      </c>
      <c r="DP115" cm="1">
        <f t="array" ref="DP115">INDEX(Properties!$D:$D,$B115+5)*(IF(AND(DP$3&gt;=INDEX(Properties!$T:$T,$B115+5),DP$3&lt;INDEX(Properties!$U:$U,$B115+5)),INDEX(Properties!$P:$P,$B115+5),0))</f>
        <v>0</v>
      </c>
      <c r="DQ115" cm="1">
        <f t="array" ref="DQ115">INDEX(Properties!$D:$D,$B115+5)*(IF(AND(DQ$3&gt;=INDEX(Properties!$T:$T,$B115+5),DQ$3&lt;INDEX(Properties!$U:$U,$B115+5)),INDEX(Properties!$P:$P,$B115+5),0))</f>
        <v>0</v>
      </c>
      <c r="DR115" cm="1">
        <f t="array" ref="DR115">INDEX(Properties!$D:$D,$B115+5)*(IF(AND(DR$3&gt;=INDEX(Properties!$T:$T,$B115+5),DR$3&lt;INDEX(Properties!$U:$U,$B115+5)),INDEX(Properties!$P:$P,$B115+5),0))</f>
        <v>0</v>
      </c>
    </row>
    <row r="116" spans="1:122" ht="14.55" customHeight="1" x14ac:dyDescent="0.3">
      <c r="A116" cm="1">
        <f t="array" ref="A116">INDEX(Properties!$E:$E,$B116+5)</f>
        <v>0</v>
      </c>
      <c r="B116" s="1">
        <v>7</v>
      </c>
      <c r="C116" cm="1">
        <f t="array" ref="C116">INDEX(Properties!$D:$D,$B116+5)*(IF(AND(C$3&gt;=INDEX(Properties!$T:$T,$B116+5),C$3&lt;INDEX(Properties!$U:$U,$B116+5)),INDEX(Properties!$P:$P,$B116+5),0))</f>
        <v>0</v>
      </c>
      <c r="D116" cm="1">
        <f t="array" ref="D116">INDEX(Properties!$D:$D,$B116+5)*(IF(AND(D$3&gt;=INDEX(Properties!$T:$T,$B116+5),D$3&lt;INDEX(Properties!$U:$U,$B116+5)),INDEX(Properties!$P:$P,$B116+5),0))</f>
        <v>0</v>
      </c>
      <c r="E116" cm="1">
        <f t="array" ref="E116">INDEX(Properties!$D:$D,$B116+5)*(IF(AND(E$3&gt;=INDEX(Properties!$T:$T,$B116+5),E$3&lt;INDEX(Properties!$U:$U,$B116+5)),INDEX(Properties!$P:$P,$B116+5),0))</f>
        <v>0</v>
      </c>
      <c r="F116" cm="1">
        <f t="array" ref="F116">INDEX(Properties!$D:$D,$B116+5)*(IF(AND(F$3&gt;=INDEX(Properties!$T:$T,$B116+5),F$3&lt;INDEX(Properties!$U:$U,$B116+5)),INDEX(Properties!$P:$P,$B116+5),0))</f>
        <v>0</v>
      </c>
      <c r="G116" cm="1">
        <f t="array" ref="G116">INDEX(Properties!$D:$D,$B116+5)*(IF(AND(G$3&gt;=INDEX(Properties!$T:$T,$B116+5),G$3&lt;INDEX(Properties!$U:$U,$B116+5)),INDEX(Properties!$P:$P,$B116+5),0))</f>
        <v>0</v>
      </c>
      <c r="H116" cm="1">
        <f t="array" ref="H116">INDEX(Properties!$D:$D,$B116+5)*(IF(AND(H$3&gt;=INDEX(Properties!$T:$T,$B116+5),H$3&lt;INDEX(Properties!$U:$U,$B116+5)),INDEX(Properties!$P:$P,$B116+5),0))</f>
        <v>0</v>
      </c>
      <c r="I116" cm="1">
        <f t="array" ref="I116">INDEX(Properties!$D:$D,$B116+5)*(IF(AND(I$3&gt;=INDEX(Properties!$T:$T,$B116+5),I$3&lt;INDEX(Properties!$U:$U,$B116+5)),INDEX(Properties!$P:$P,$B116+5),0))</f>
        <v>0</v>
      </c>
      <c r="J116" cm="1">
        <f t="array" ref="J116">INDEX(Properties!$D:$D,$B116+5)*(IF(AND(J$3&gt;=INDEX(Properties!$T:$T,$B116+5),J$3&lt;INDEX(Properties!$U:$U,$B116+5)),INDEX(Properties!$P:$P,$B116+5),0))</f>
        <v>0</v>
      </c>
      <c r="K116" cm="1">
        <f t="array" ref="K116">INDEX(Properties!$D:$D,$B116+5)*(IF(AND(K$3&gt;=INDEX(Properties!$T:$T,$B116+5),K$3&lt;INDEX(Properties!$U:$U,$B116+5)),INDEX(Properties!$P:$P,$B116+5),0))</f>
        <v>0</v>
      </c>
      <c r="L116" cm="1">
        <f t="array" ref="L116">INDEX(Properties!$D:$D,$B116+5)*(IF(AND(L$3&gt;=INDEX(Properties!$T:$T,$B116+5),L$3&lt;INDEX(Properties!$U:$U,$B116+5)),INDEX(Properties!$P:$P,$B116+5),0))</f>
        <v>0</v>
      </c>
      <c r="M116" cm="1">
        <f t="array" ref="M116">INDEX(Properties!$D:$D,$B116+5)*(IF(AND(M$3&gt;=INDEX(Properties!$T:$T,$B116+5),M$3&lt;INDEX(Properties!$U:$U,$B116+5)),INDEX(Properties!$P:$P,$B116+5),0))</f>
        <v>0</v>
      </c>
      <c r="N116" cm="1">
        <f t="array" ref="N116">INDEX(Properties!$D:$D,$B116+5)*(IF(AND(N$3&gt;=INDEX(Properties!$T:$T,$B116+5),N$3&lt;INDEX(Properties!$U:$U,$B116+5)),INDEX(Properties!$P:$P,$B116+5),0))</f>
        <v>0</v>
      </c>
      <c r="O116" cm="1">
        <f t="array" ref="O116">INDEX(Properties!$D:$D,$B116+5)*(IF(AND(O$3&gt;=INDEX(Properties!$T:$T,$B116+5),O$3&lt;INDEX(Properties!$U:$U,$B116+5)),INDEX(Properties!$P:$P,$B116+5),0))</f>
        <v>0</v>
      </c>
      <c r="P116" cm="1">
        <f t="array" ref="P116">INDEX(Properties!$D:$D,$B116+5)*(IF(AND(P$3&gt;=INDEX(Properties!$T:$T,$B116+5),P$3&lt;INDEX(Properties!$U:$U,$B116+5)),INDEX(Properties!$P:$P,$B116+5),0))</f>
        <v>0</v>
      </c>
      <c r="Q116" cm="1">
        <f t="array" ref="Q116">INDEX(Properties!$D:$D,$B116+5)*(IF(AND(Q$3&gt;=INDEX(Properties!$T:$T,$B116+5),Q$3&lt;INDEX(Properties!$U:$U,$B116+5)),INDEX(Properties!$P:$P,$B116+5),0))</f>
        <v>0</v>
      </c>
      <c r="R116" cm="1">
        <f t="array" ref="R116">INDEX(Properties!$D:$D,$B116+5)*(IF(AND(R$3&gt;=INDEX(Properties!$T:$T,$B116+5),R$3&lt;INDEX(Properties!$U:$U,$B116+5)),INDEX(Properties!$P:$P,$B116+5),0))</f>
        <v>0</v>
      </c>
      <c r="S116" cm="1">
        <f t="array" ref="S116">INDEX(Properties!$D:$D,$B116+5)*(IF(AND(S$3&gt;=INDEX(Properties!$T:$T,$B116+5),S$3&lt;INDEX(Properties!$U:$U,$B116+5)),INDEX(Properties!$P:$P,$B116+5),0))</f>
        <v>0</v>
      </c>
      <c r="T116" cm="1">
        <f t="array" ref="T116">INDEX(Properties!$D:$D,$B116+5)*(IF(AND(T$3&gt;=INDEX(Properties!$T:$T,$B116+5),T$3&lt;INDEX(Properties!$U:$U,$B116+5)),INDEX(Properties!$P:$P,$B116+5),0))</f>
        <v>0</v>
      </c>
      <c r="U116" cm="1">
        <f t="array" ref="U116">INDEX(Properties!$D:$D,$B116+5)*(IF(AND(U$3&gt;=INDEX(Properties!$T:$T,$B116+5),U$3&lt;INDEX(Properties!$U:$U,$B116+5)),INDEX(Properties!$P:$P,$B116+5),0))</f>
        <v>0</v>
      </c>
      <c r="V116" cm="1">
        <f t="array" ref="V116">INDEX(Properties!$D:$D,$B116+5)*(IF(AND(V$3&gt;=INDEX(Properties!$T:$T,$B116+5),V$3&lt;INDEX(Properties!$U:$U,$B116+5)),INDEX(Properties!$P:$P,$B116+5),0))</f>
        <v>0</v>
      </c>
      <c r="W116" cm="1">
        <f t="array" ref="W116">INDEX(Properties!$D:$D,$B116+5)*(IF(AND(W$3&gt;=INDEX(Properties!$T:$T,$B116+5),W$3&lt;INDEX(Properties!$U:$U,$B116+5)),INDEX(Properties!$P:$P,$B116+5),0))</f>
        <v>0</v>
      </c>
      <c r="X116" cm="1">
        <f t="array" ref="X116">INDEX(Properties!$D:$D,$B116+5)*(IF(AND(X$3&gt;=INDEX(Properties!$T:$T,$B116+5),X$3&lt;INDEX(Properties!$U:$U,$B116+5)),INDEX(Properties!$P:$P,$B116+5),0))</f>
        <v>0</v>
      </c>
      <c r="Y116" cm="1">
        <f t="array" ref="Y116">INDEX(Properties!$D:$D,$B116+5)*(IF(AND(Y$3&gt;=INDEX(Properties!$T:$T,$B116+5),Y$3&lt;INDEX(Properties!$U:$U,$B116+5)),INDEX(Properties!$P:$P,$B116+5),0))</f>
        <v>0</v>
      </c>
      <c r="Z116" cm="1">
        <f t="array" ref="Z116">INDEX(Properties!$D:$D,$B116+5)*(IF(AND(Z$3&gt;=INDEX(Properties!$T:$T,$B116+5),Z$3&lt;INDEX(Properties!$U:$U,$B116+5)),INDEX(Properties!$P:$P,$B116+5),0))</f>
        <v>0</v>
      </c>
      <c r="AA116" cm="1">
        <f t="array" ref="AA116">INDEX(Properties!$D:$D,$B116+5)*(IF(AND(AA$3&gt;=INDEX(Properties!$T:$T,$B116+5),AA$3&lt;INDEX(Properties!$U:$U,$B116+5)),INDEX(Properties!$P:$P,$B116+5),0))</f>
        <v>0</v>
      </c>
      <c r="AB116" cm="1">
        <f t="array" ref="AB116">INDEX(Properties!$D:$D,$B116+5)*(IF(AND(AB$3&gt;=INDEX(Properties!$T:$T,$B116+5),AB$3&lt;INDEX(Properties!$U:$U,$B116+5)),INDEX(Properties!$P:$P,$B116+5),0))</f>
        <v>0</v>
      </c>
      <c r="AC116" cm="1">
        <f t="array" ref="AC116">INDEX(Properties!$D:$D,$B116+5)*(IF(AND(AC$3&gt;=INDEX(Properties!$T:$T,$B116+5),AC$3&lt;INDEX(Properties!$U:$U,$B116+5)),INDEX(Properties!$P:$P,$B116+5),0))</f>
        <v>0</v>
      </c>
      <c r="AD116" cm="1">
        <f t="array" ref="AD116">INDEX(Properties!$D:$D,$B116+5)*(IF(AND(AD$3&gt;=INDEX(Properties!$T:$T,$B116+5),AD$3&lt;INDEX(Properties!$U:$U,$B116+5)),INDEX(Properties!$P:$P,$B116+5),0))</f>
        <v>0</v>
      </c>
      <c r="AE116" cm="1">
        <f t="array" ref="AE116">INDEX(Properties!$D:$D,$B116+5)*(IF(AND(AE$3&gt;=INDEX(Properties!$T:$T,$B116+5),AE$3&lt;INDEX(Properties!$U:$U,$B116+5)),INDEX(Properties!$P:$P,$B116+5),0))</f>
        <v>0</v>
      </c>
      <c r="AF116" cm="1">
        <f t="array" ref="AF116">INDEX(Properties!$D:$D,$B116+5)*(IF(AND(AF$3&gt;=INDEX(Properties!$T:$T,$B116+5),AF$3&lt;INDEX(Properties!$U:$U,$B116+5)),INDEX(Properties!$P:$P,$B116+5),0))</f>
        <v>0</v>
      </c>
      <c r="AG116" cm="1">
        <f t="array" ref="AG116">INDEX(Properties!$D:$D,$B116+5)*(IF(AND(AG$3&gt;=INDEX(Properties!$T:$T,$B116+5),AG$3&lt;INDEX(Properties!$U:$U,$B116+5)),INDEX(Properties!$P:$P,$B116+5),0))</f>
        <v>0</v>
      </c>
      <c r="AH116" cm="1">
        <f t="array" ref="AH116">INDEX(Properties!$D:$D,$B116+5)*(IF(AND(AH$3&gt;=INDEX(Properties!$T:$T,$B116+5),AH$3&lt;INDEX(Properties!$U:$U,$B116+5)),INDEX(Properties!$P:$P,$B116+5),0))</f>
        <v>0</v>
      </c>
      <c r="AI116" cm="1">
        <f t="array" ref="AI116">INDEX(Properties!$D:$D,$B116+5)*(IF(AND(AI$3&gt;=INDEX(Properties!$T:$T,$B116+5),AI$3&lt;INDEX(Properties!$U:$U,$B116+5)),INDEX(Properties!$P:$P,$B116+5),0))</f>
        <v>0</v>
      </c>
      <c r="AJ116" cm="1">
        <f t="array" ref="AJ116">INDEX(Properties!$D:$D,$B116+5)*(IF(AND(AJ$3&gt;=INDEX(Properties!$T:$T,$B116+5),AJ$3&lt;INDEX(Properties!$U:$U,$B116+5)),INDEX(Properties!$P:$P,$B116+5),0))</f>
        <v>0</v>
      </c>
      <c r="AK116" cm="1">
        <f t="array" ref="AK116">INDEX(Properties!$D:$D,$B116+5)*(IF(AND(AK$3&gt;=INDEX(Properties!$T:$T,$B116+5),AK$3&lt;INDEX(Properties!$U:$U,$B116+5)),INDEX(Properties!$P:$P,$B116+5),0))</f>
        <v>0</v>
      </c>
      <c r="AL116" cm="1">
        <f t="array" ref="AL116">INDEX(Properties!$D:$D,$B116+5)*(IF(AND(AL$3&gt;=INDEX(Properties!$T:$T,$B116+5),AL$3&lt;INDEX(Properties!$U:$U,$B116+5)),INDEX(Properties!$P:$P,$B116+5),0))</f>
        <v>0</v>
      </c>
      <c r="AM116" cm="1">
        <f t="array" ref="AM116">INDEX(Properties!$D:$D,$B116+5)*(IF(AND(AM$3&gt;=INDEX(Properties!$T:$T,$B116+5),AM$3&lt;INDEX(Properties!$U:$U,$B116+5)),INDEX(Properties!$P:$P,$B116+5),0))</f>
        <v>0</v>
      </c>
      <c r="AN116" cm="1">
        <f t="array" ref="AN116">INDEX(Properties!$D:$D,$B116+5)*(IF(AND(AN$3&gt;=INDEX(Properties!$T:$T,$B116+5),AN$3&lt;INDEX(Properties!$U:$U,$B116+5)),INDEX(Properties!$P:$P,$B116+5),0))</f>
        <v>0</v>
      </c>
      <c r="AO116" cm="1">
        <f t="array" ref="AO116">INDEX(Properties!$D:$D,$B116+5)*(IF(AND(AO$3&gt;=INDEX(Properties!$T:$T,$B116+5),AO$3&lt;INDEX(Properties!$U:$U,$B116+5)),INDEX(Properties!$P:$P,$B116+5),0))</f>
        <v>0</v>
      </c>
      <c r="AP116" cm="1">
        <f t="array" ref="AP116">INDEX(Properties!$D:$D,$B116+5)*(IF(AND(AP$3&gt;=INDEX(Properties!$T:$T,$B116+5),AP$3&lt;INDEX(Properties!$U:$U,$B116+5)),INDEX(Properties!$P:$P,$B116+5),0))</f>
        <v>0</v>
      </c>
      <c r="AQ116" cm="1">
        <f t="array" ref="AQ116">INDEX(Properties!$D:$D,$B116+5)*(IF(AND(AQ$3&gt;=INDEX(Properties!$T:$T,$B116+5),AQ$3&lt;INDEX(Properties!$U:$U,$B116+5)),INDEX(Properties!$P:$P,$B116+5),0))</f>
        <v>0</v>
      </c>
      <c r="AR116" cm="1">
        <f t="array" ref="AR116">INDEX(Properties!$D:$D,$B116+5)*(IF(AND(AR$3&gt;=INDEX(Properties!$T:$T,$B116+5),AR$3&lt;INDEX(Properties!$U:$U,$B116+5)),INDEX(Properties!$P:$P,$B116+5),0))</f>
        <v>0</v>
      </c>
      <c r="AS116" cm="1">
        <f t="array" ref="AS116">INDEX(Properties!$D:$D,$B116+5)*(IF(AND(AS$3&gt;=INDEX(Properties!$T:$T,$B116+5),AS$3&lt;INDEX(Properties!$U:$U,$B116+5)),INDEX(Properties!$P:$P,$B116+5),0))</f>
        <v>0</v>
      </c>
      <c r="AT116" cm="1">
        <f t="array" ref="AT116">INDEX(Properties!$D:$D,$B116+5)*(IF(AND(AT$3&gt;=INDEX(Properties!$T:$T,$B116+5),AT$3&lt;INDEX(Properties!$U:$U,$B116+5)),INDEX(Properties!$P:$P,$B116+5),0))</f>
        <v>0</v>
      </c>
      <c r="AU116" cm="1">
        <f t="array" ref="AU116">INDEX(Properties!$D:$D,$B116+5)*(IF(AND(AU$3&gt;=INDEX(Properties!$T:$T,$B116+5),AU$3&lt;INDEX(Properties!$U:$U,$B116+5)),INDEX(Properties!$P:$P,$B116+5),0))</f>
        <v>0</v>
      </c>
      <c r="AV116" cm="1">
        <f t="array" ref="AV116">INDEX(Properties!$D:$D,$B116+5)*(IF(AND(AV$3&gt;=INDEX(Properties!$T:$T,$B116+5),AV$3&lt;INDEX(Properties!$U:$U,$B116+5)),INDEX(Properties!$P:$P,$B116+5),0))</f>
        <v>0</v>
      </c>
      <c r="AW116" cm="1">
        <f t="array" ref="AW116">INDEX(Properties!$D:$D,$B116+5)*(IF(AND(AW$3&gt;=INDEX(Properties!$T:$T,$B116+5),AW$3&lt;INDEX(Properties!$U:$U,$B116+5)),INDEX(Properties!$P:$P,$B116+5),0))</f>
        <v>0</v>
      </c>
      <c r="AX116" cm="1">
        <f t="array" ref="AX116">INDEX(Properties!$D:$D,$B116+5)*(IF(AND(AX$3&gt;=INDEX(Properties!$T:$T,$B116+5),AX$3&lt;INDEX(Properties!$U:$U,$B116+5)),INDEX(Properties!$P:$P,$B116+5),0))</f>
        <v>0</v>
      </c>
      <c r="AY116" cm="1">
        <f t="array" ref="AY116">INDEX(Properties!$D:$D,$B116+5)*(IF(AND(AY$3&gt;=INDEX(Properties!$T:$T,$B116+5),AY$3&lt;INDEX(Properties!$U:$U,$B116+5)),INDEX(Properties!$P:$P,$B116+5),0))</f>
        <v>0</v>
      </c>
      <c r="AZ116" cm="1">
        <f t="array" ref="AZ116">INDEX(Properties!$D:$D,$B116+5)*(IF(AND(AZ$3&gt;=INDEX(Properties!$T:$T,$B116+5),AZ$3&lt;INDEX(Properties!$U:$U,$B116+5)),INDEX(Properties!$P:$P,$B116+5),0))</f>
        <v>0</v>
      </c>
      <c r="BA116" cm="1">
        <f t="array" ref="BA116">INDEX(Properties!$D:$D,$B116+5)*(IF(AND(BA$3&gt;=INDEX(Properties!$T:$T,$B116+5),BA$3&lt;INDEX(Properties!$U:$U,$B116+5)),INDEX(Properties!$P:$P,$B116+5),0))</f>
        <v>0</v>
      </c>
      <c r="BB116" cm="1">
        <f t="array" ref="BB116">INDEX(Properties!$D:$D,$B116+5)*(IF(AND(BB$3&gt;=INDEX(Properties!$T:$T,$B116+5),BB$3&lt;INDEX(Properties!$U:$U,$B116+5)),INDEX(Properties!$P:$P,$B116+5),0))</f>
        <v>0</v>
      </c>
      <c r="BC116" cm="1">
        <f t="array" ref="BC116">INDEX(Properties!$D:$D,$B116+5)*(IF(AND(BC$3&gt;=INDEX(Properties!$T:$T,$B116+5),BC$3&lt;INDEX(Properties!$U:$U,$B116+5)),INDEX(Properties!$P:$P,$B116+5),0))</f>
        <v>0</v>
      </c>
      <c r="BD116" cm="1">
        <f t="array" ref="BD116">INDEX(Properties!$D:$D,$B116+5)*(IF(AND(BD$3&gt;=INDEX(Properties!$T:$T,$B116+5),BD$3&lt;INDEX(Properties!$U:$U,$B116+5)),INDEX(Properties!$P:$P,$B116+5),0))</f>
        <v>0</v>
      </c>
      <c r="BE116" cm="1">
        <f t="array" ref="BE116">INDEX(Properties!$D:$D,$B116+5)*(IF(AND(BE$3&gt;=INDEX(Properties!$T:$T,$B116+5),BE$3&lt;INDEX(Properties!$U:$U,$B116+5)),INDEX(Properties!$P:$P,$B116+5),0))</f>
        <v>0</v>
      </c>
      <c r="BF116" cm="1">
        <f t="array" ref="BF116">INDEX(Properties!$D:$D,$B116+5)*(IF(AND(BF$3&gt;=INDEX(Properties!$T:$T,$B116+5),BF$3&lt;INDEX(Properties!$U:$U,$B116+5)),INDEX(Properties!$P:$P,$B116+5),0))</f>
        <v>0</v>
      </c>
      <c r="BG116" cm="1">
        <f t="array" ref="BG116">INDEX(Properties!$D:$D,$B116+5)*(IF(AND(BG$3&gt;=INDEX(Properties!$T:$T,$B116+5),BG$3&lt;INDEX(Properties!$U:$U,$B116+5)),INDEX(Properties!$P:$P,$B116+5),0))</f>
        <v>0</v>
      </c>
      <c r="BH116" cm="1">
        <f t="array" ref="BH116">INDEX(Properties!$D:$D,$B116+5)*(IF(AND(BH$3&gt;=INDEX(Properties!$T:$T,$B116+5),BH$3&lt;INDEX(Properties!$U:$U,$B116+5)),INDEX(Properties!$P:$P,$B116+5),0))</f>
        <v>0</v>
      </c>
      <c r="BI116" cm="1">
        <f t="array" ref="BI116">INDEX(Properties!$D:$D,$B116+5)*(IF(AND(BI$3&gt;=INDEX(Properties!$T:$T,$B116+5),BI$3&lt;INDEX(Properties!$U:$U,$B116+5)),INDEX(Properties!$P:$P,$B116+5),0))</f>
        <v>0</v>
      </c>
      <c r="BJ116" cm="1">
        <f t="array" ref="BJ116">INDEX(Properties!$D:$D,$B116+5)*(IF(AND(BJ$3&gt;=INDEX(Properties!$T:$T,$B116+5),BJ$3&lt;INDEX(Properties!$U:$U,$B116+5)),INDEX(Properties!$P:$P,$B116+5),0))</f>
        <v>0</v>
      </c>
      <c r="BK116" cm="1">
        <f t="array" ref="BK116">INDEX(Properties!$D:$D,$B116+5)*(IF(AND(BK$3&gt;=INDEX(Properties!$T:$T,$B116+5),BK$3&lt;INDEX(Properties!$U:$U,$B116+5)),INDEX(Properties!$P:$P,$B116+5),0))</f>
        <v>0</v>
      </c>
      <c r="BL116" cm="1">
        <f t="array" ref="BL116">INDEX(Properties!$D:$D,$B116+5)*(IF(AND(BL$3&gt;=INDEX(Properties!$T:$T,$B116+5),BL$3&lt;INDEX(Properties!$U:$U,$B116+5)),INDEX(Properties!$P:$P,$B116+5),0))</f>
        <v>0</v>
      </c>
      <c r="BM116" cm="1">
        <f t="array" ref="BM116">INDEX(Properties!$D:$D,$B116+5)*(IF(AND(BM$3&gt;=INDEX(Properties!$T:$T,$B116+5),BM$3&lt;INDEX(Properties!$U:$U,$B116+5)),INDEX(Properties!$P:$P,$B116+5),0))</f>
        <v>0</v>
      </c>
      <c r="BN116" cm="1">
        <f t="array" ref="BN116">INDEX(Properties!$D:$D,$B116+5)*(IF(AND(BN$3&gt;=INDEX(Properties!$T:$T,$B116+5),BN$3&lt;INDEX(Properties!$U:$U,$B116+5)),INDEX(Properties!$P:$P,$B116+5),0))</f>
        <v>0</v>
      </c>
      <c r="BO116" cm="1">
        <f t="array" ref="BO116">INDEX(Properties!$D:$D,$B116+5)*(IF(AND(BO$3&gt;=INDEX(Properties!$T:$T,$B116+5),BO$3&lt;INDEX(Properties!$U:$U,$B116+5)),INDEX(Properties!$P:$P,$B116+5),0))</f>
        <v>0</v>
      </c>
      <c r="BP116" cm="1">
        <f t="array" ref="BP116">INDEX(Properties!$D:$D,$B116+5)*(IF(AND(BP$3&gt;=INDEX(Properties!$T:$T,$B116+5),BP$3&lt;INDEX(Properties!$U:$U,$B116+5)),INDEX(Properties!$P:$P,$B116+5),0))</f>
        <v>0</v>
      </c>
      <c r="BQ116" cm="1">
        <f t="array" ref="BQ116">INDEX(Properties!$D:$D,$B116+5)*(IF(AND(BQ$3&gt;=INDEX(Properties!$T:$T,$B116+5),BQ$3&lt;INDEX(Properties!$U:$U,$B116+5)),INDEX(Properties!$P:$P,$B116+5),0))</f>
        <v>0</v>
      </c>
      <c r="BR116" cm="1">
        <f t="array" ref="BR116">INDEX(Properties!$D:$D,$B116+5)*(IF(AND(BR$3&gt;=INDEX(Properties!$T:$T,$B116+5),BR$3&lt;INDEX(Properties!$U:$U,$B116+5)),INDEX(Properties!$P:$P,$B116+5),0))</f>
        <v>0</v>
      </c>
      <c r="BS116" cm="1">
        <f t="array" ref="BS116">INDEX(Properties!$D:$D,$B116+5)*(IF(AND(BS$3&gt;=INDEX(Properties!$T:$T,$B116+5),BS$3&lt;INDEX(Properties!$U:$U,$B116+5)),INDEX(Properties!$P:$P,$B116+5),0))</f>
        <v>0</v>
      </c>
      <c r="BT116" cm="1">
        <f t="array" ref="BT116">INDEX(Properties!$D:$D,$B116+5)*(IF(AND(BT$3&gt;=INDEX(Properties!$T:$T,$B116+5),BT$3&lt;INDEX(Properties!$U:$U,$B116+5)),INDEX(Properties!$P:$P,$B116+5),0))</f>
        <v>0</v>
      </c>
      <c r="BU116" cm="1">
        <f t="array" ref="BU116">INDEX(Properties!$D:$D,$B116+5)*(IF(AND(BU$3&gt;=INDEX(Properties!$T:$T,$B116+5),BU$3&lt;INDEX(Properties!$U:$U,$B116+5)),INDEX(Properties!$P:$P,$B116+5),0))</f>
        <v>0</v>
      </c>
      <c r="BV116" cm="1">
        <f t="array" ref="BV116">INDEX(Properties!$D:$D,$B116+5)*(IF(AND(BV$3&gt;=INDEX(Properties!$T:$T,$B116+5),BV$3&lt;INDEX(Properties!$U:$U,$B116+5)),INDEX(Properties!$P:$P,$B116+5),0))</f>
        <v>0</v>
      </c>
      <c r="BW116" cm="1">
        <f t="array" ref="BW116">INDEX(Properties!$D:$D,$B116+5)*(IF(AND(BW$3&gt;=INDEX(Properties!$T:$T,$B116+5),BW$3&lt;INDEX(Properties!$U:$U,$B116+5)),INDEX(Properties!$P:$P,$B116+5),0))</f>
        <v>0</v>
      </c>
      <c r="BX116" cm="1">
        <f t="array" ref="BX116">INDEX(Properties!$D:$D,$B116+5)*(IF(AND(BX$3&gt;=INDEX(Properties!$T:$T,$B116+5),BX$3&lt;INDEX(Properties!$U:$U,$B116+5)),INDEX(Properties!$P:$P,$B116+5),0))</f>
        <v>0</v>
      </c>
      <c r="BY116" cm="1">
        <f t="array" ref="BY116">INDEX(Properties!$D:$D,$B116+5)*(IF(AND(BY$3&gt;=INDEX(Properties!$T:$T,$B116+5),BY$3&lt;INDEX(Properties!$U:$U,$B116+5)),INDEX(Properties!$P:$P,$B116+5),0))</f>
        <v>0</v>
      </c>
      <c r="BZ116" cm="1">
        <f t="array" ref="BZ116">INDEX(Properties!$D:$D,$B116+5)*(IF(AND(BZ$3&gt;=INDEX(Properties!$T:$T,$B116+5),BZ$3&lt;INDEX(Properties!$U:$U,$B116+5)),INDEX(Properties!$P:$P,$B116+5),0))</f>
        <v>0</v>
      </c>
      <c r="CA116" cm="1">
        <f t="array" ref="CA116">INDEX(Properties!$D:$D,$B116+5)*(IF(AND(CA$3&gt;=INDEX(Properties!$T:$T,$B116+5),CA$3&lt;INDEX(Properties!$U:$U,$B116+5)),INDEX(Properties!$P:$P,$B116+5),0))</f>
        <v>0</v>
      </c>
      <c r="CB116" cm="1">
        <f t="array" ref="CB116">INDEX(Properties!$D:$D,$B116+5)*(IF(AND(CB$3&gt;=INDEX(Properties!$T:$T,$B116+5),CB$3&lt;INDEX(Properties!$U:$U,$B116+5)),INDEX(Properties!$P:$P,$B116+5),0))</f>
        <v>0</v>
      </c>
      <c r="CC116" cm="1">
        <f t="array" ref="CC116">INDEX(Properties!$D:$D,$B116+5)*(IF(AND(CC$3&gt;=INDEX(Properties!$T:$T,$B116+5),CC$3&lt;INDEX(Properties!$U:$U,$B116+5)),INDEX(Properties!$P:$P,$B116+5),0))</f>
        <v>0</v>
      </c>
      <c r="CD116" cm="1">
        <f t="array" ref="CD116">INDEX(Properties!$D:$D,$B116+5)*(IF(AND(CD$3&gt;=INDEX(Properties!$T:$T,$B116+5),CD$3&lt;INDEX(Properties!$U:$U,$B116+5)),INDEX(Properties!$P:$P,$B116+5),0))</f>
        <v>0</v>
      </c>
      <c r="CE116" cm="1">
        <f t="array" ref="CE116">INDEX(Properties!$D:$D,$B116+5)*(IF(AND(CE$3&gt;=INDEX(Properties!$T:$T,$B116+5),CE$3&lt;INDEX(Properties!$U:$U,$B116+5)),INDEX(Properties!$P:$P,$B116+5),0))</f>
        <v>0</v>
      </c>
      <c r="CF116" cm="1">
        <f t="array" ref="CF116">INDEX(Properties!$D:$D,$B116+5)*(IF(AND(CF$3&gt;=INDEX(Properties!$T:$T,$B116+5),CF$3&lt;INDEX(Properties!$U:$U,$B116+5)),INDEX(Properties!$P:$P,$B116+5),0))</f>
        <v>0</v>
      </c>
      <c r="CG116" cm="1">
        <f t="array" ref="CG116">INDEX(Properties!$D:$D,$B116+5)*(IF(AND(CG$3&gt;=INDEX(Properties!$T:$T,$B116+5),CG$3&lt;INDEX(Properties!$U:$U,$B116+5)),INDEX(Properties!$P:$P,$B116+5),0))</f>
        <v>0</v>
      </c>
      <c r="CH116" cm="1">
        <f t="array" ref="CH116">INDEX(Properties!$D:$D,$B116+5)*(IF(AND(CH$3&gt;=INDEX(Properties!$T:$T,$B116+5),CH$3&lt;INDEX(Properties!$U:$U,$B116+5)),INDEX(Properties!$P:$P,$B116+5),0))</f>
        <v>0</v>
      </c>
      <c r="CI116" cm="1">
        <f t="array" ref="CI116">INDEX(Properties!$D:$D,$B116+5)*(IF(AND(CI$3&gt;=INDEX(Properties!$T:$T,$B116+5),CI$3&lt;INDEX(Properties!$U:$U,$B116+5)),INDEX(Properties!$P:$P,$B116+5),0))</f>
        <v>0</v>
      </c>
      <c r="CJ116" cm="1">
        <f t="array" ref="CJ116">INDEX(Properties!$D:$D,$B116+5)*(IF(AND(CJ$3&gt;=INDEX(Properties!$T:$T,$B116+5),CJ$3&lt;INDEX(Properties!$U:$U,$B116+5)),INDEX(Properties!$P:$P,$B116+5),0))</f>
        <v>0</v>
      </c>
      <c r="CK116" cm="1">
        <f t="array" ref="CK116">INDEX(Properties!$D:$D,$B116+5)*(IF(AND(CK$3&gt;=INDEX(Properties!$T:$T,$B116+5),CK$3&lt;INDEX(Properties!$U:$U,$B116+5)),INDEX(Properties!$P:$P,$B116+5),0))</f>
        <v>0</v>
      </c>
      <c r="CL116" cm="1">
        <f t="array" ref="CL116">INDEX(Properties!$D:$D,$B116+5)*(IF(AND(CL$3&gt;=INDEX(Properties!$T:$T,$B116+5),CL$3&lt;INDEX(Properties!$U:$U,$B116+5)),INDEX(Properties!$P:$P,$B116+5),0))</f>
        <v>0</v>
      </c>
      <c r="CM116" cm="1">
        <f t="array" ref="CM116">INDEX(Properties!$D:$D,$B116+5)*(IF(AND(CM$3&gt;=INDEX(Properties!$T:$T,$B116+5),CM$3&lt;INDEX(Properties!$U:$U,$B116+5)),INDEX(Properties!$P:$P,$B116+5),0))</f>
        <v>0</v>
      </c>
      <c r="CN116" cm="1">
        <f t="array" ref="CN116">INDEX(Properties!$D:$D,$B116+5)*(IF(AND(CN$3&gt;=INDEX(Properties!$T:$T,$B116+5),CN$3&lt;INDEX(Properties!$U:$U,$B116+5)),INDEX(Properties!$P:$P,$B116+5),0))</f>
        <v>0</v>
      </c>
      <c r="CO116" cm="1">
        <f t="array" ref="CO116">INDEX(Properties!$D:$D,$B116+5)*(IF(AND(CO$3&gt;=INDEX(Properties!$T:$T,$B116+5),CO$3&lt;INDEX(Properties!$U:$U,$B116+5)),INDEX(Properties!$P:$P,$B116+5),0))</f>
        <v>0</v>
      </c>
      <c r="CP116" cm="1">
        <f t="array" ref="CP116">INDEX(Properties!$D:$D,$B116+5)*(IF(AND(CP$3&gt;=INDEX(Properties!$T:$T,$B116+5),CP$3&lt;INDEX(Properties!$U:$U,$B116+5)),INDEX(Properties!$P:$P,$B116+5),0))</f>
        <v>0</v>
      </c>
      <c r="CQ116" cm="1">
        <f t="array" ref="CQ116">INDEX(Properties!$D:$D,$B116+5)*(IF(AND(CQ$3&gt;=INDEX(Properties!$T:$T,$B116+5),CQ$3&lt;INDEX(Properties!$U:$U,$B116+5)),INDEX(Properties!$P:$P,$B116+5),0))</f>
        <v>0</v>
      </c>
      <c r="CR116" cm="1">
        <f t="array" ref="CR116">INDEX(Properties!$D:$D,$B116+5)*(IF(AND(CR$3&gt;=INDEX(Properties!$T:$T,$B116+5),CR$3&lt;INDEX(Properties!$U:$U,$B116+5)),INDEX(Properties!$P:$P,$B116+5),0))</f>
        <v>0</v>
      </c>
      <c r="CS116" cm="1">
        <f t="array" ref="CS116">INDEX(Properties!$D:$D,$B116+5)*(IF(AND(CS$3&gt;=INDEX(Properties!$T:$T,$B116+5),CS$3&lt;INDEX(Properties!$U:$U,$B116+5)),INDEX(Properties!$P:$P,$B116+5),0))</f>
        <v>0</v>
      </c>
      <c r="CT116" cm="1">
        <f t="array" ref="CT116">INDEX(Properties!$D:$D,$B116+5)*(IF(AND(CT$3&gt;=INDEX(Properties!$T:$T,$B116+5),CT$3&lt;INDEX(Properties!$U:$U,$B116+5)),INDEX(Properties!$P:$P,$B116+5),0))</f>
        <v>0</v>
      </c>
      <c r="CU116" cm="1">
        <f t="array" ref="CU116">INDEX(Properties!$D:$D,$B116+5)*(IF(AND(CU$3&gt;=INDEX(Properties!$T:$T,$B116+5),CU$3&lt;INDEX(Properties!$U:$U,$B116+5)),INDEX(Properties!$P:$P,$B116+5),0))</f>
        <v>0</v>
      </c>
      <c r="CV116" cm="1">
        <f t="array" ref="CV116">INDEX(Properties!$D:$D,$B116+5)*(IF(AND(CV$3&gt;=INDEX(Properties!$T:$T,$B116+5),CV$3&lt;INDEX(Properties!$U:$U,$B116+5)),INDEX(Properties!$P:$P,$B116+5),0))</f>
        <v>0</v>
      </c>
      <c r="CW116" cm="1">
        <f t="array" ref="CW116">INDEX(Properties!$D:$D,$B116+5)*(IF(AND(CW$3&gt;=INDEX(Properties!$T:$T,$B116+5),CW$3&lt;INDEX(Properties!$U:$U,$B116+5)),INDEX(Properties!$P:$P,$B116+5),0))</f>
        <v>0</v>
      </c>
      <c r="CX116" cm="1">
        <f t="array" ref="CX116">INDEX(Properties!$D:$D,$B116+5)*(IF(AND(CX$3&gt;=INDEX(Properties!$T:$T,$B116+5),CX$3&lt;INDEX(Properties!$U:$U,$B116+5)),INDEX(Properties!$P:$P,$B116+5),0))</f>
        <v>0</v>
      </c>
      <c r="CY116" cm="1">
        <f t="array" ref="CY116">INDEX(Properties!$D:$D,$B116+5)*(IF(AND(CY$3&gt;=INDEX(Properties!$T:$T,$B116+5),CY$3&lt;INDEX(Properties!$U:$U,$B116+5)),INDEX(Properties!$P:$P,$B116+5),0))</f>
        <v>0</v>
      </c>
      <c r="CZ116" cm="1">
        <f t="array" ref="CZ116">INDEX(Properties!$D:$D,$B116+5)*(IF(AND(CZ$3&gt;=INDEX(Properties!$T:$T,$B116+5),CZ$3&lt;INDEX(Properties!$U:$U,$B116+5)),INDEX(Properties!$P:$P,$B116+5),0))</f>
        <v>0</v>
      </c>
      <c r="DA116" cm="1">
        <f t="array" ref="DA116">INDEX(Properties!$D:$D,$B116+5)*(IF(AND(DA$3&gt;=INDEX(Properties!$T:$T,$B116+5),DA$3&lt;INDEX(Properties!$U:$U,$B116+5)),INDEX(Properties!$P:$P,$B116+5),0))</f>
        <v>0</v>
      </c>
      <c r="DB116" cm="1">
        <f t="array" ref="DB116">INDEX(Properties!$D:$D,$B116+5)*(IF(AND(DB$3&gt;=INDEX(Properties!$T:$T,$B116+5),DB$3&lt;INDEX(Properties!$U:$U,$B116+5)),INDEX(Properties!$P:$P,$B116+5),0))</f>
        <v>0</v>
      </c>
      <c r="DC116" cm="1">
        <f t="array" ref="DC116">INDEX(Properties!$D:$D,$B116+5)*(IF(AND(DC$3&gt;=INDEX(Properties!$T:$T,$B116+5),DC$3&lt;INDEX(Properties!$U:$U,$B116+5)),INDEX(Properties!$P:$P,$B116+5),0))</f>
        <v>0</v>
      </c>
      <c r="DD116" cm="1">
        <f t="array" ref="DD116">INDEX(Properties!$D:$D,$B116+5)*(IF(AND(DD$3&gt;=INDEX(Properties!$T:$T,$B116+5),DD$3&lt;INDEX(Properties!$U:$U,$B116+5)),INDEX(Properties!$P:$P,$B116+5),0))</f>
        <v>0</v>
      </c>
      <c r="DE116" cm="1">
        <f t="array" ref="DE116">INDEX(Properties!$D:$D,$B116+5)*(IF(AND(DE$3&gt;=INDEX(Properties!$T:$T,$B116+5),DE$3&lt;INDEX(Properties!$U:$U,$B116+5)),INDEX(Properties!$P:$P,$B116+5),0))</f>
        <v>0</v>
      </c>
      <c r="DF116" cm="1">
        <f t="array" ref="DF116">INDEX(Properties!$D:$D,$B116+5)*(IF(AND(DF$3&gt;=INDEX(Properties!$T:$T,$B116+5),DF$3&lt;INDEX(Properties!$U:$U,$B116+5)),INDEX(Properties!$P:$P,$B116+5),0))</f>
        <v>0</v>
      </c>
      <c r="DG116" cm="1">
        <f t="array" ref="DG116">INDEX(Properties!$D:$D,$B116+5)*(IF(AND(DG$3&gt;=INDEX(Properties!$T:$T,$B116+5),DG$3&lt;INDEX(Properties!$U:$U,$B116+5)),INDEX(Properties!$P:$P,$B116+5),0))</f>
        <v>0</v>
      </c>
      <c r="DH116" cm="1">
        <f t="array" ref="DH116">INDEX(Properties!$D:$D,$B116+5)*(IF(AND(DH$3&gt;=INDEX(Properties!$T:$T,$B116+5),DH$3&lt;INDEX(Properties!$U:$U,$B116+5)),INDEX(Properties!$P:$P,$B116+5),0))</f>
        <v>0</v>
      </c>
      <c r="DI116" cm="1">
        <f t="array" ref="DI116">INDEX(Properties!$D:$D,$B116+5)*(IF(AND(DI$3&gt;=INDEX(Properties!$T:$T,$B116+5),DI$3&lt;INDEX(Properties!$U:$U,$B116+5)),INDEX(Properties!$P:$P,$B116+5),0))</f>
        <v>0</v>
      </c>
      <c r="DJ116" cm="1">
        <f t="array" ref="DJ116">INDEX(Properties!$D:$D,$B116+5)*(IF(AND(DJ$3&gt;=INDEX(Properties!$T:$T,$B116+5),DJ$3&lt;INDEX(Properties!$U:$U,$B116+5)),INDEX(Properties!$P:$P,$B116+5),0))</f>
        <v>0</v>
      </c>
      <c r="DK116" cm="1">
        <f t="array" ref="DK116">INDEX(Properties!$D:$D,$B116+5)*(IF(AND(DK$3&gt;=INDEX(Properties!$T:$T,$B116+5),DK$3&lt;INDEX(Properties!$U:$U,$B116+5)),INDEX(Properties!$P:$P,$B116+5),0))</f>
        <v>0</v>
      </c>
      <c r="DL116" cm="1">
        <f t="array" ref="DL116">INDEX(Properties!$D:$D,$B116+5)*(IF(AND(DL$3&gt;=INDEX(Properties!$T:$T,$B116+5),DL$3&lt;INDEX(Properties!$U:$U,$B116+5)),INDEX(Properties!$P:$P,$B116+5),0))</f>
        <v>0</v>
      </c>
      <c r="DM116" cm="1">
        <f t="array" ref="DM116">INDEX(Properties!$D:$D,$B116+5)*(IF(AND(DM$3&gt;=INDEX(Properties!$T:$T,$B116+5),DM$3&lt;INDEX(Properties!$U:$U,$B116+5)),INDEX(Properties!$P:$P,$B116+5),0))</f>
        <v>0</v>
      </c>
      <c r="DN116" cm="1">
        <f t="array" ref="DN116">INDEX(Properties!$D:$D,$B116+5)*(IF(AND(DN$3&gt;=INDEX(Properties!$T:$T,$B116+5),DN$3&lt;INDEX(Properties!$U:$U,$B116+5)),INDEX(Properties!$P:$P,$B116+5),0))</f>
        <v>0</v>
      </c>
      <c r="DO116" cm="1">
        <f t="array" ref="DO116">INDEX(Properties!$D:$D,$B116+5)*(IF(AND(DO$3&gt;=INDEX(Properties!$T:$T,$B116+5),DO$3&lt;INDEX(Properties!$U:$U,$B116+5)),INDEX(Properties!$P:$P,$B116+5),0))</f>
        <v>0</v>
      </c>
      <c r="DP116" cm="1">
        <f t="array" ref="DP116">INDEX(Properties!$D:$D,$B116+5)*(IF(AND(DP$3&gt;=INDEX(Properties!$T:$T,$B116+5),DP$3&lt;INDEX(Properties!$U:$U,$B116+5)),INDEX(Properties!$P:$P,$B116+5),0))</f>
        <v>0</v>
      </c>
      <c r="DQ116" cm="1">
        <f t="array" ref="DQ116">INDEX(Properties!$D:$D,$B116+5)*(IF(AND(DQ$3&gt;=INDEX(Properties!$T:$T,$B116+5),DQ$3&lt;INDEX(Properties!$U:$U,$B116+5)),INDEX(Properties!$P:$P,$B116+5),0))</f>
        <v>0</v>
      </c>
      <c r="DR116" cm="1">
        <f t="array" ref="DR116">INDEX(Properties!$D:$D,$B116+5)*(IF(AND(DR$3&gt;=INDEX(Properties!$T:$T,$B116+5),DR$3&lt;INDEX(Properties!$U:$U,$B116+5)),INDEX(Properties!$P:$P,$B116+5),0))</f>
        <v>0</v>
      </c>
    </row>
    <row r="117" spans="1:122" ht="14.55" customHeight="1" x14ac:dyDescent="0.3">
      <c r="A117" cm="1">
        <f t="array" ref="A117">INDEX(Properties!$E:$E,$B117+5)</f>
        <v>0</v>
      </c>
      <c r="B117" s="1">
        <v>9</v>
      </c>
      <c r="C117" cm="1">
        <f t="array" ref="C117">INDEX(Properties!$D:$D,$B117+5)*(IF(AND(C$3&gt;=INDEX(Properties!$T:$T,$B117+5),C$3&lt;INDEX(Properties!$U:$U,$B117+5)),INDEX(Properties!$P:$P,$B117+5),0))</f>
        <v>0</v>
      </c>
      <c r="D117" cm="1">
        <f t="array" ref="D117">INDEX(Properties!$D:$D,$B117+5)*(IF(AND(D$3&gt;=INDEX(Properties!$T:$T,$B117+5),D$3&lt;INDEX(Properties!$U:$U,$B117+5)),INDEX(Properties!$P:$P,$B117+5),0))</f>
        <v>0</v>
      </c>
      <c r="E117" cm="1">
        <f t="array" ref="E117">INDEX(Properties!$D:$D,$B117+5)*(IF(AND(E$3&gt;=INDEX(Properties!$T:$T,$B117+5),E$3&lt;INDEX(Properties!$U:$U,$B117+5)),INDEX(Properties!$P:$P,$B117+5),0))</f>
        <v>0</v>
      </c>
      <c r="F117" cm="1">
        <f t="array" ref="F117">INDEX(Properties!$D:$D,$B117+5)*(IF(AND(F$3&gt;=INDEX(Properties!$T:$T,$B117+5),F$3&lt;INDEX(Properties!$U:$U,$B117+5)),INDEX(Properties!$P:$P,$B117+5),0))</f>
        <v>0</v>
      </c>
      <c r="G117" cm="1">
        <f t="array" ref="G117">INDEX(Properties!$D:$D,$B117+5)*(IF(AND(G$3&gt;=INDEX(Properties!$T:$T,$B117+5),G$3&lt;INDEX(Properties!$U:$U,$B117+5)),INDEX(Properties!$P:$P,$B117+5),0))</f>
        <v>0</v>
      </c>
      <c r="H117" cm="1">
        <f t="array" ref="H117">INDEX(Properties!$D:$D,$B117+5)*(IF(AND(H$3&gt;=INDEX(Properties!$T:$T,$B117+5),H$3&lt;INDEX(Properties!$U:$U,$B117+5)),INDEX(Properties!$P:$P,$B117+5),0))</f>
        <v>0</v>
      </c>
      <c r="I117" cm="1">
        <f t="array" ref="I117">INDEX(Properties!$D:$D,$B117+5)*(IF(AND(I$3&gt;=INDEX(Properties!$T:$T,$B117+5),I$3&lt;INDEX(Properties!$U:$U,$B117+5)),INDEX(Properties!$P:$P,$B117+5),0))</f>
        <v>0</v>
      </c>
      <c r="J117" cm="1">
        <f t="array" ref="J117">INDEX(Properties!$D:$D,$B117+5)*(IF(AND(J$3&gt;=INDEX(Properties!$T:$T,$B117+5),J$3&lt;INDEX(Properties!$U:$U,$B117+5)),INDEX(Properties!$P:$P,$B117+5),0))</f>
        <v>0</v>
      </c>
      <c r="K117" cm="1">
        <f t="array" ref="K117">INDEX(Properties!$D:$D,$B117+5)*(IF(AND(K$3&gt;=INDEX(Properties!$T:$T,$B117+5),K$3&lt;INDEX(Properties!$U:$U,$B117+5)),INDEX(Properties!$P:$P,$B117+5),0))</f>
        <v>0</v>
      </c>
      <c r="L117" cm="1">
        <f t="array" ref="L117">INDEX(Properties!$D:$D,$B117+5)*(IF(AND(L$3&gt;=INDEX(Properties!$T:$T,$B117+5),L$3&lt;INDEX(Properties!$U:$U,$B117+5)),INDEX(Properties!$P:$P,$B117+5),0))</f>
        <v>0</v>
      </c>
      <c r="M117" cm="1">
        <f t="array" ref="M117">INDEX(Properties!$D:$D,$B117+5)*(IF(AND(M$3&gt;=INDEX(Properties!$T:$T,$B117+5),M$3&lt;INDEX(Properties!$U:$U,$B117+5)),INDEX(Properties!$P:$P,$B117+5),0))</f>
        <v>0</v>
      </c>
      <c r="N117" cm="1">
        <f t="array" ref="N117">INDEX(Properties!$D:$D,$B117+5)*(IF(AND(N$3&gt;=INDEX(Properties!$T:$T,$B117+5),N$3&lt;INDEX(Properties!$U:$U,$B117+5)),INDEX(Properties!$P:$P,$B117+5),0))</f>
        <v>0</v>
      </c>
      <c r="O117" cm="1">
        <f t="array" ref="O117">INDEX(Properties!$D:$D,$B117+5)*(IF(AND(O$3&gt;=INDEX(Properties!$T:$T,$B117+5),O$3&lt;INDEX(Properties!$U:$U,$B117+5)),INDEX(Properties!$P:$P,$B117+5),0))</f>
        <v>0</v>
      </c>
      <c r="P117" cm="1">
        <f t="array" ref="P117">INDEX(Properties!$D:$D,$B117+5)*(IF(AND(P$3&gt;=INDEX(Properties!$T:$T,$B117+5),P$3&lt;INDEX(Properties!$U:$U,$B117+5)),INDEX(Properties!$P:$P,$B117+5),0))</f>
        <v>0</v>
      </c>
      <c r="Q117" cm="1">
        <f t="array" ref="Q117">INDEX(Properties!$D:$D,$B117+5)*(IF(AND(Q$3&gt;=INDEX(Properties!$T:$T,$B117+5),Q$3&lt;INDEX(Properties!$U:$U,$B117+5)),INDEX(Properties!$P:$P,$B117+5),0))</f>
        <v>0</v>
      </c>
      <c r="R117" cm="1">
        <f t="array" ref="R117">INDEX(Properties!$D:$D,$B117+5)*(IF(AND(R$3&gt;=INDEX(Properties!$T:$T,$B117+5),R$3&lt;INDEX(Properties!$U:$U,$B117+5)),INDEX(Properties!$P:$P,$B117+5),0))</f>
        <v>0</v>
      </c>
      <c r="S117" cm="1">
        <f t="array" ref="S117">INDEX(Properties!$D:$D,$B117+5)*(IF(AND(S$3&gt;=INDEX(Properties!$T:$T,$B117+5),S$3&lt;INDEX(Properties!$U:$U,$B117+5)),INDEX(Properties!$P:$P,$B117+5),0))</f>
        <v>0</v>
      </c>
      <c r="T117" cm="1">
        <f t="array" ref="T117">INDEX(Properties!$D:$D,$B117+5)*(IF(AND(T$3&gt;=INDEX(Properties!$T:$T,$B117+5),T$3&lt;INDEX(Properties!$U:$U,$B117+5)),INDEX(Properties!$P:$P,$B117+5),0))</f>
        <v>0</v>
      </c>
      <c r="U117" cm="1">
        <f t="array" ref="U117">INDEX(Properties!$D:$D,$B117+5)*(IF(AND(U$3&gt;=INDEX(Properties!$T:$T,$B117+5),U$3&lt;INDEX(Properties!$U:$U,$B117+5)),INDEX(Properties!$P:$P,$B117+5),0))</f>
        <v>0</v>
      </c>
      <c r="V117" cm="1">
        <f t="array" ref="V117">INDEX(Properties!$D:$D,$B117+5)*(IF(AND(V$3&gt;=INDEX(Properties!$T:$T,$B117+5),V$3&lt;INDEX(Properties!$U:$U,$B117+5)),INDEX(Properties!$P:$P,$B117+5),0))</f>
        <v>0</v>
      </c>
      <c r="W117" cm="1">
        <f t="array" ref="W117">INDEX(Properties!$D:$D,$B117+5)*(IF(AND(W$3&gt;=INDEX(Properties!$T:$T,$B117+5),W$3&lt;INDEX(Properties!$U:$U,$B117+5)),INDEX(Properties!$P:$P,$B117+5),0))</f>
        <v>0</v>
      </c>
      <c r="X117" cm="1">
        <f t="array" ref="X117">INDEX(Properties!$D:$D,$B117+5)*(IF(AND(X$3&gt;=INDEX(Properties!$T:$T,$B117+5),X$3&lt;INDEX(Properties!$U:$U,$B117+5)),INDEX(Properties!$P:$P,$B117+5),0))</f>
        <v>0</v>
      </c>
      <c r="Y117" cm="1">
        <f t="array" ref="Y117">INDEX(Properties!$D:$D,$B117+5)*(IF(AND(Y$3&gt;=INDEX(Properties!$T:$T,$B117+5),Y$3&lt;INDEX(Properties!$U:$U,$B117+5)),INDEX(Properties!$P:$P,$B117+5),0))</f>
        <v>0</v>
      </c>
      <c r="Z117" cm="1">
        <f t="array" ref="Z117">INDEX(Properties!$D:$D,$B117+5)*(IF(AND(Z$3&gt;=INDEX(Properties!$T:$T,$B117+5),Z$3&lt;INDEX(Properties!$U:$U,$B117+5)),INDEX(Properties!$P:$P,$B117+5),0))</f>
        <v>0</v>
      </c>
      <c r="AA117" cm="1">
        <f t="array" ref="AA117">INDEX(Properties!$D:$D,$B117+5)*(IF(AND(AA$3&gt;=INDEX(Properties!$T:$T,$B117+5),AA$3&lt;INDEX(Properties!$U:$U,$B117+5)),INDEX(Properties!$P:$P,$B117+5),0))</f>
        <v>0</v>
      </c>
      <c r="AB117" cm="1">
        <f t="array" ref="AB117">INDEX(Properties!$D:$D,$B117+5)*(IF(AND(AB$3&gt;=INDEX(Properties!$T:$T,$B117+5),AB$3&lt;INDEX(Properties!$U:$U,$B117+5)),INDEX(Properties!$P:$P,$B117+5),0))</f>
        <v>0</v>
      </c>
      <c r="AC117" cm="1">
        <f t="array" ref="AC117">INDEX(Properties!$D:$D,$B117+5)*(IF(AND(AC$3&gt;=INDEX(Properties!$T:$T,$B117+5),AC$3&lt;INDEX(Properties!$U:$U,$B117+5)),INDEX(Properties!$P:$P,$B117+5),0))</f>
        <v>0</v>
      </c>
      <c r="AD117" cm="1">
        <f t="array" ref="AD117">INDEX(Properties!$D:$D,$B117+5)*(IF(AND(AD$3&gt;=INDEX(Properties!$T:$T,$B117+5),AD$3&lt;INDEX(Properties!$U:$U,$B117+5)),INDEX(Properties!$P:$P,$B117+5),0))</f>
        <v>0</v>
      </c>
      <c r="AE117" cm="1">
        <f t="array" ref="AE117">INDEX(Properties!$D:$D,$B117+5)*(IF(AND(AE$3&gt;=INDEX(Properties!$T:$T,$B117+5),AE$3&lt;INDEX(Properties!$U:$U,$B117+5)),INDEX(Properties!$P:$P,$B117+5),0))</f>
        <v>0</v>
      </c>
      <c r="AF117" cm="1">
        <f t="array" ref="AF117">INDEX(Properties!$D:$D,$B117+5)*(IF(AND(AF$3&gt;=INDEX(Properties!$T:$T,$B117+5),AF$3&lt;INDEX(Properties!$U:$U,$B117+5)),INDEX(Properties!$P:$P,$B117+5),0))</f>
        <v>0</v>
      </c>
      <c r="AG117" cm="1">
        <f t="array" ref="AG117">INDEX(Properties!$D:$D,$B117+5)*(IF(AND(AG$3&gt;=INDEX(Properties!$T:$T,$B117+5),AG$3&lt;INDEX(Properties!$U:$U,$B117+5)),INDEX(Properties!$P:$P,$B117+5),0))</f>
        <v>0</v>
      </c>
      <c r="AH117" cm="1">
        <f t="array" ref="AH117">INDEX(Properties!$D:$D,$B117+5)*(IF(AND(AH$3&gt;=INDEX(Properties!$T:$T,$B117+5),AH$3&lt;INDEX(Properties!$U:$U,$B117+5)),INDEX(Properties!$P:$P,$B117+5),0))</f>
        <v>0</v>
      </c>
      <c r="AI117" cm="1">
        <f t="array" ref="AI117">INDEX(Properties!$D:$D,$B117+5)*(IF(AND(AI$3&gt;=INDEX(Properties!$T:$T,$B117+5),AI$3&lt;INDEX(Properties!$U:$U,$B117+5)),INDEX(Properties!$P:$P,$B117+5),0))</f>
        <v>0</v>
      </c>
      <c r="AJ117" cm="1">
        <f t="array" ref="AJ117">INDEX(Properties!$D:$D,$B117+5)*(IF(AND(AJ$3&gt;=INDEX(Properties!$T:$T,$B117+5),AJ$3&lt;INDEX(Properties!$U:$U,$B117+5)),INDEX(Properties!$P:$P,$B117+5),0))</f>
        <v>0</v>
      </c>
      <c r="AK117" cm="1">
        <f t="array" ref="AK117">INDEX(Properties!$D:$D,$B117+5)*(IF(AND(AK$3&gt;=INDEX(Properties!$T:$T,$B117+5),AK$3&lt;INDEX(Properties!$U:$U,$B117+5)),INDEX(Properties!$P:$P,$B117+5),0))</f>
        <v>0</v>
      </c>
      <c r="AL117" cm="1">
        <f t="array" ref="AL117">INDEX(Properties!$D:$D,$B117+5)*(IF(AND(AL$3&gt;=INDEX(Properties!$T:$T,$B117+5),AL$3&lt;INDEX(Properties!$U:$U,$B117+5)),INDEX(Properties!$P:$P,$B117+5),0))</f>
        <v>0</v>
      </c>
      <c r="AM117" cm="1">
        <f t="array" ref="AM117">INDEX(Properties!$D:$D,$B117+5)*(IF(AND(AM$3&gt;=INDEX(Properties!$T:$T,$B117+5),AM$3&lt;INDEX(Properties!$U:$U,$B117+5)),INDEX(Properties!$P:$P,$B117+5),0))</f>
        <v>0</v>
      </c>
      <c r="AN117" cm="1">
        <f t="array" ref="AN117">INDEX(Properties!$D:$D,$B117+5)*(IF(AND(AN$3&gt;=INDEX(Properties!$T:$T,$B117+5),AN$3&lt;INDEX(Properties!$U:$U,$B117+5)),INDEX(Properties!$P:$P,$B117+5),0))</f>
        <v>0</v>
      </c>
      <c r="AO117" cm="1">
        <f t="array" ref="AO117">INDEX(Properties!$D:$D,$B117+5)*(IF(AND(AO$3&gt;=INDEX(Properties!$T:$T,$B117+5),AO$3&lt;INDEX(Properties!$U:$U,$B117+5)),INDEX(Properties!$P:$P,$B117+5),0))</f>
        <v>0</v>
      </c>
      <c r="AP117" cm="1">
        <f t="array" ref="AP117">INDEX(Properties!$D:$D,$B117+5)*(IF(AND(AP$3&gt;=INDEX(Properties!$T:$T,$B117+5),AP$3&lt;INDEX(Properties!$U:$U,$B117+5)),INDEX(Properties!$P:$P,$B117+5),0))</f>
        <v>0</v>
      </c>
      <c r="AQ117" cm="1">
        <f t="array" ref="AQ117">INDEX(Properties!$D:$D,$B117+5)*(IF(AND(AQ$3&gt;=INDEX(Properties!$T:$T,$B117+5),AQ$3&lt;INDEX(Properties!$U:$U,$B117+5)),INDEX(Properties!$P:$P,$B117+5),0))</f>
        <v>0</v>
      </c>
      <c r="AR117" cm="1">
        <f t="array" ref="AR117">INDEX(Properties!$D:$D,$B117+5)*(IF(AND(AR$3&gt;=INDEX(Properties!$T:$T,$B117+5),AR$3&lt;INDEX(Properties!$U:$U,$B117+5)),INDEX(Properties!$P:$P,$B117+5),0))</f>
        <v>0</v>
      </c>
      <c r="AS117" cm="1">
        <f t="array" ref="AS117">INDEX(Properties!$D:$D,$B117+5)*(IF(AND(AS$3&gt;=INDEX(Properties!$T:$T,$B117+5),AS$3&lt;INDEX(Properties!$U:$U,$B117+5)),INDEX(Properties!$P:$P,$B117+5),0))</f>
        <v>0</v>
      </c>
      <c r="AT117" cm="1">
        <f t="array" ref="AT117">INDEX(Properties!$D:$D,$B117+5)*(IF(AND(AT$3&gt;=INDEX(Properties!$T:$T,$B117+5),AT$3&lt;INDEX(Properties!$U:$U,$B117+5)),INDEX(Properties!$P:$P,$B117+5),0))</f>
        <v>0</v>
      </c>
      <c r="AU117" cm="1">
        <f t="array" ref="AU117">INDEX(Properties!$D:$D,$B117+5)*(IF(AND(AU$3&gt;=INDEX(Properties!$T:$T,$B117+5),AU$3&lt;INDEX(Properties!$U:$U,$B117+5)),INDEX(Properties!$P:$P,$B117+5),0))</f>
        <v>0</v>
      </c>
      <c r="AV117" cm="1">
        <f t="array" ref="AV117">INDEX(Properties!$D:$D,$B117+5)*(IF(AND(AV$3&gt;=INDEX(Properties!$T:$T,$B117+5),AV$3&lt;INDEX(Properties!$U:$U,$B117+5)),INDEX(Properties!$P:$P,$B117+5),0))</f>
        <v>0</v>
      </c>
      <c r="AW117" cm="1">
        <f t="array" ref="AW117">INDEX(Properties!$D:$D,$B117+5)*(IF(AND(AW$3&gt;=INDEX(Properties!$T:$T,$B117+5),AW$3&lt;INDEX(Properties!$U:$U,$B117+5)),INDEX(Properties!$P:$P,$B117+5),0))</f>
        <v>0</v>
      </c>
      <c r="AX117" cm="1">
        <f t="array" ref="AX117">INDEX(Properties!$D:$D,$B117+5)*(IF(AND(AX$3&gt;=INDEX(Properties!$T:$T,$B117+5),AX$3&lt;INDEX(Properties!$U:$U,$B117+5)),INDEX(Properties!$P:$P,$B117+5),0))</f>
        <v>0</v>
      </c>
      <c r="AY117" cm="1">
        <f t="array" ref="AY117">INDEX(Properties!$D:$D,$B117+5)*(IF(AND(AY$3&gt;=INDEX(Properties!$T:$T,$B117+5),AY$3&lt;INDEX(Properties!$U:$U,$B117+5)),INDEX(Properties!$P:$P,$B117+5),0))</f>
        <v>0</v>
      </c>
      <c r="AZ117" cm="1">
        <f t="array" ref="AZ117">INDEX(Properties!$D:$D,$B117+5)*(IF(AND(AZ$3&gt;=INDEX(Properties!$T:$T,$B117+5),AZ$3&lt;INDEX(Properties!$U:$U,$B117+5)),INDEX(Properties!$P:$P,$B117+5),0))</f>
        <v>0</v>
      </c>
      <c r="BA117" cm="1">
        <f t="array" ref="BA117">INDEX(Properties!$D:$D,$B117+5)*(IF(AND(BA$3&gt;=INDEX(Properties!$T:$T,$B117+5),BA$3&lt;INDEX(Properties!$U:$U,$B117+5)),INDEX(Properties!$P:$P,$B117+5),0))</f>
        <v>0</v>
      </c>
      <c r="BB117" cm="1">
        <f t="array" ref="BB117">INDEX(Properties!$D:$D,$B117+5)*(IF(AND(BB$3&gt;=INDEX(Properties!$T:$T,$B117+5),BB$3&lt;INDEX(Properties!$U:$U,$B117+5)),INDEX(Properties!$P:$P,$B117+5),0))</f>
        <v>0</v>
      </c>
      <c r="BC117" cm="1">
        <f t="array" ref="BC117">INDEX(Properties!$D:$D,$B117+5)*(IF(AND(BC$3&gt;=INDEX(Properties!$T:$T,$B117+5),BC$3&lt;INDEX(Properties!$U:$U,$B117+5)),INDEX(Properties!$P:$P,$B117+5),0))</f>
        <v>0</v>
      </c>
      <c r="BD117" cm="1">
        <f t="array" ref="BD117">INDEX(Properties!$D:$D,$B117+5)*(IF(AND(BD$3&gt;=INDEX(Properties!$T:$T,$B117+5),BD$3&lt;INDEX(Properties!$U:$U,$B117+5)),INDEX(Properties!$P:$P,$B117+5),0))</f>
        <v>0</v>
      </c>
      <c r="BE117" cm="1">
        <f t="array" ref="BE117">INDEX(Properties!$D:$D,$B117+5)*(IF(AND(BE$3&gt;=INDEX(Properties!$T:$T,$B117+5),BE$3&lt;INDEX(Properties!$U:$U,$B117+5)),INDEX(Properties!$P:$P,$B117+5),0))</f>
        <v>0</v>
      </c>
      <c r="BF117" cm="1">
        <f t="array" ref="BF117">INDEX(Properties!$D:$D,$B117+5)*(IF(AND(BF$3&gt;=INDEX(Properties!$T:$T,$B117+5),BF$3&lt;INDEX(Properties!$U:$U,$B117+5)),INDEX(Properties!$P:$P,$B117+5),0))</f>
        <v>0</v>
      </c>
      <c r="BG117" cm="1">
        <f t="array" ref="BG117">INDEX(Properties!$D:$D,$B117+5)*(IF(AND(BG$3&gt;=INDEX(Properties!$T:$T,$B117+5),BG$3&lt;INDEX(Properties!$U:$U,$B117+5)),INDEX(Properties!$P:$P,$B117+5),0))</f>
        <v>0</v>
      </c>
      <c r="BH117" cm="1">
        <f t="array" ref="BH117">INDEX(Properties!$D:$D,$B117+5)*(IF(AND(BH$3&gt;=INDEX(Properties!$T:$T,$B117+5),BH$3&lt;INDEX(Properties!$U:$U,$B117+5)),INDEX(Properties!$P:$P,$B117+5),0))</f>
        <v>0</v>
      </c>
      <c r="BI117" cm="1">
        <f t="array" ref="BI117">INDEX(Properties!$D:$D,$B117+5)*(IF(AND(BI$3&gt;=INDEX(Properties!$T:$T,$B117+5),BI$3&lt;INDEX(Properties!$U:$U,$B117+5)),INDEX(Properties!$P:$P,$B117+5),0))</f>
        <v>0</v>
      </c>
      <c r="BJ117" cm="1">
        <f t="array" ref="BJ117">INDEX(Properties!$D:$D,$B117+5)*(IF(AND(BJ$3&gt;=INDEX(Properties!$T:$T,$B117+5),BJ$3&lt;INDEX(Properties!$U:$U,$B117+5)),INDEX(Properties!$P:$P,$B117+5),0))</f>
        <v>0</v>
      </c>
      <c r="BK117" cm="1">
        <f t="array" ref="BK117">INDEX(Properties!$D:$D,$B117+5)*(IF(AND(BK$3&gt;=INDEX(Properties!$T:$T,$B117+5),BK$3&lt;INDEX(Properties!$U:$U,$B117+5)),INDEX(Properties!$P:$P,$B117+5),0))</f>
        <v>0</v>
      </c>
      <c r="BL117" cm="1">
        <f t="array" ref="BL117">INDEX(Properties!$D:$D,$B117+5)*(IF(AND(BL$3&gt;=INDEX(Properties!$T:$T,$B117+5),BL$3&lt;INDEX(Properties!$U:$U,$B117+5)),INDEX(Properties!$P:$P,$B117+5),0))</f>
        <v>0</v>
      </c>
      <c r="BM117" cm="1">
        <f t="array" ref="BM117">INDEX(Properties!$D:$D,$B117+5)*(IF(AND(BM$3&gt;=INDEX(Properties!$T:$T,$B117+5),BM$3&lt;INDEX(Properties!$U:$U,$B117+5)),INDEX(Properties!$P:$P,$B117+5),0))</f>
        <v>0</v>
      </c>
      <c r="BN117" cm="1">
        <f t="array" ref="BN117">INDEX(Properties!$D:$D,$B117+5)*(IF(AND(BN$3&gt;=INDEX(Properties!$T:$T,$B117+5),BN$3&lt;INDEX(Properties!$U:$U,$B117+5)),INDEX(Properties!$P:$P,$B117+5),0))</f>
        <v>0</v>
      </c>
      <c r="BO117" cm="1">
        <f t="array" ref="BO117">INDEX(Properties!$D:$D,$B117+5)*(IF(AND(BO$3&gt;=INDEX(Properties!$T:$T,$B117+5),BO$3&lt;INDEX(Properties!$U:$U,$B117+5)),INDEX(Properties!$P:$P,$B117+5),0))</f>
        <v>0</v>
      </c>
      <c r="BP117" cm="1">
        <f t="array" ref="BP117">INDEX(Properties!$D:$D,$B117+5)*(IF(AND(BP$3&gt;=INDEX(Properties!$T:$T,$B117+5),BP$3&lt;INDEX(Properties!$U:$U,$B117+5)),INDEX(Properties!$P:$P,$B117+5),0))</f>
        <v>0</v>
      </c>
      <c r="BQ117" cm="1">
        <f t="array" ref="BQ117">INDEX(Properties!$D:$D,$B117+5)*(IF(AND(BQ$3&gt;=INDEX(Properties!$T:$T,$B117+5),BQ$3&lt;INDEX(Properties!$U:$U,$B117+5)),INDEX(Properties!$P:$P,$B117+5),0))</f>
        <v>0</v>
      </c>
      <c r="BR117" cm="1">
        <f t="array" ref="BR117">INDEX(Properties!$D:$D,$B117+5)*(IF(AND(BR$3&gt;=INDEX(Properties!$T:$T,$B117+5),BR$3&lt;INDEX(Properties!$U:$U,$B117+5)),INDEX(Properties!$P:$P,$B117+5),0))</f>
        <v>0</v>
      </c>
      <c r="BS117" cm="1">
        <f t="array" ref="BS117">INDEX(Properties!$D:$D,$B117+5)*(IF(AND(BS$3&gt;=INDEX(Properties!$T:$T,$B117+5),BS$3&lt;INDEX(Properties!$U:$U,$B117+5)),INDEX(Properties!$P:$P,$B117+5),0))</f>
        <v>0</v>
      </c>
      <c r="BT117" cm="1">
        <f t="array" ref="BT117">INDEX(Properties!$D:$D,$B117+5)*(IF(AND(BT$3&gt;=INDEX(Properties!$T:$T,$B117+5),BT$3&lt;INDEX(Properties!$U:$U,$B117+5)),INDEX(Properties!$P:$P,$B117+5),0))</f>
        <v>0</v>
      </c>
      <c r="BU117" cm="1">
        <f t="array" ref="BU117">INDEX(Properties!$D:$D,$B117+5)*(IF(AND(BU$3&gt;=INDEX(Properties!$T:$T,$B117+5),BU$3&lt;INDEX(Properties!$U:$U,$B117+5)),INDEX(Properties!$P:$P,$B117+5),0))</f>
        <v>0</v>
      </c>
      <c r="BV117" cm="1">
        <f t="array" ref="BV117">INDEX(Properties!$D:$D,$B117+5)*(IF(AND(BV$3&gt;=INDEX(Properties!$T:$T,$B117+5),BV$3&lt;INDEX(Properties!$U:$U,$B117+5)),INDEX(Properties!$P:$P,$B117+5),0))</f>
        <v>0</v>
      </c>
      <c r="BW117" cm="1">
        <f t="array" ref="BW117">INDEX(Properties!$D:$D,$B117+5)*(IF(AND(BW$3&gt;=INDEX(Properties!$T:$T,$B117+5),BW$3&lt;INDEX(Properties!$U:$U,$B117+5)),INDEX(Properties!$P:$P,$B117+5),0))</f>
        <v>0</v>
      </c>
      <c r="BX117" cm="1">
        <f t="array" ref="BX117">INDEX(Properties!$D:$D,$B117+5)*(IF(AND(BX$3&gt;=INDEX(Properties!$T:$T,$B117+5),BX$3&lt;INDEX(Properties!$U:$U,$B117+5)),INDEX(Properties!$P:$P,$B117+5),0))</f>
        <v>0</v>
      </c>
      <c r="BY117" cm="1">
        <f t="array" ref="BY117">INDEX(Properties!$D:$D,$B117+5)*(IF(AND(BY$3&gt;=INDEX(Properties!$T:$T,$B117+5),BY$3&lt;INDEX(Properties!$U:$U,$B117+5)),INDEX(Properties!$P:$P,$B117+5),0))</f>
        <v>0</v>
      </c>
      <c r="BZ117" cm="1">
        <f t="array" ref="BZ117">INDEX(Properties!$D:$D,$B117+5)*(IF(AND(BZ$3&gt;=INDEX(Properties!$T:$T,$B117+5),BZ$3&lt;INDEX(Properties!$U:$U,$B117+5)),INDEX(Properties!$P:$P,$B117+5),0))</f>
        <v>0</v>
      </c>
      <c r="CA117" cm="1">
        <f t="array" ref="CA117">INDEX(Properties!$D:$D,$B117+5)*(IF(AND(CA$3&gt;=INDEX(Properties!$T:$T,$B117+5),CA$3&lt;INDEX(Properties!$U:$U,$B117+5)),INDEX(Properties!$P:$P,$B117+5),0))</f>
        <v>0</v>
      </c>
      <c r="CB117" cm="1">
        <f t="array" ref="CB117">INDEX(Properties!$D:$D,$B117+5)*(IF(AND(CB$3&gt;=INDEX(Properties!$T:$T,$B117+5),CB$3&lt;INDEX(Properties!$U:$U,$B117+5)),INDEX(Properties!$P:$P,$B117+5),0))</f>
        <v>0</v>
      </c>
      <c r="CC117" cm="1">
        <f t="array" ref="CC117">INDEX(Properties!$D:$D,$B117+5)*(IF(AND(CC$3&gt;=INDEX(Properties!$T:$T,$B117+5),CC$3&lt;INDEX(Properties!$U:$U,$B117+5)),INDEX(Properties!$P:$P,$B117+5),0))</f>
        <v>0</v>
      </c>
      <c r="CD117" cm="1">
        <f t="array" ref="CD117">INDEX(Properties!$D:$D,$B117+5)*(IF(AND(CD$3&gt;=INDEX(Properties!$T:$T,$B117+5),CD$3&lt;INDEX(Properties!$U:$U,$B117+5)),INDEX(Properties!$P:$P,$B117+5),0))</f>
        <v>0</v>
      </c>
      <c r="CE117" cm="1">
        <f t="array" ref="CE117">INDEX(Properties!$D:$D,$B117+5)*(IF(AND(CE$3&gt;=INDEX(Properties!$T:$T,$B117+5),CE$3&lt;INDEX(Properties!$U:$U,$B117+5)),INDEX(Properties!$P:$P,$B117+5),0))</f>
        <v>0</v>
      </c>
      <c r="CF117" cm="1">
        <f t="array" ref="CF117">INDEX(Properties!$D:$D,$B117+5)*(IF(AND(CF$3&gt;=INDEX(Properties!$T:$T,$B117+5),CF$3&lt;INDEX(Properties!$U:$U,$B117+5)),INDEX(Properties!$P:$P,$B117+5),0))</f>
        <v>0</v>
      </c>
      <c r="CG117" cm="1">
        <f t="array" ref="CG117">INDEX(Properties!$D:$D,$B117+5)*(IF(AND(CG$3&gt;=INDEX(Properties!$T:$T,$B117+5),CG$3&lt;INDEX(Properties!$U:$U,$B117+5)),INDEX(Properties!$P:$P,$B117+5),0))</f>
        <v>0</v>
      </c>
      <c r="CH117" cm="1">
        <f t="array" ref="CH117">INDEX(Properties!$D:$D,$B117+5)*(IF(AND(CH$3&gt;=INDEX(Properties!$T:$T,$B117+5),CH$3&lt;INDEX(Properties!$U:$U,$B117+5)),INDEX(Properties!$P:$P,$B117+5),0))</f>
        <v>0</v>
      </c>
      <c r="CI117" cm="1">
        <f t="array" ref="CI117">INDEX(Properties!$D:$D,$B117+5)*(IF(AND(CI$3&gt;=INDEX(Properties!$T:$T,$B117+5),CI$3&lt;INDEX(Properties!$U:$U,$B117+5)),INDEX(Properties!$P:$P,$B117+5),0))</f>
        <v>0</v>
      </c>
      <c r="CJ117" cm="1">
        <f t="array" ref="CJ117">INDEX(Properties!$D:$D,$B117+5)*(IF(AND(CJ$3&gt;=INDEX(Properties!$T:$T,$B117+5),CJ$3&lt;INDEX(Properties!$U:$U,$B117+5)),INDEX(Properties!$P:$P,$B117+5),0))</f>
        <v>0</v>
      </c>
      <c r="CK117" cm="1">
        <f t="array" ref="CK117">INDEX(Properties!$D:$D,$B117+5)*(IF(AND(CK$3&gt;=INDEX(Properties!$T:$T,$B117+5),CK$3&lt;INDEX(Properties!$U:$U,$B117+5)),INDEX(Properties!$P:$P,$B117+5),0))</f>
        <v>0</v>
      </c>
      <c r="CL117" cm="1">
        <f t="array" ref="CL117">INDEX(Properties!$D:$D,$B117+5)*(IF(AND(CL$3&gt;=INDEX(Properties!$T:$T,$B117+5),CL$3&lt;INDEX(Properties!$U:$U,$B117+5)),INDEX(Properties!$P:$P,$B117+5),0))</f>
        <v>0</v>
      </c>
      <c r="CM117" cm="1">
        <f t="array" ref="CM117">INDEX(Properties!$D:$D,$B117+5)*(IF(AND(CM$3&gt;=INDEX(Properties!$T:$T,$B117+5),CM$3&lt;INDEX(Properties!$U:$U,$B117+5)),INDEX(Properties!$P:$P,$B117+5),0))</f>
        <v>0</v>
      </c>
      <c r="CN117" cm="1">
        <f t="array" ref="CN117">INDEX(Properties!$D:$D,$B117+5)*(IF(AND(CN$3&gt;=INDEX(Properties!$T:$T,$B117+5),CN$3&lt;INDEX(Properties!$U:$U,$B117+5)),INDEX(Properties!$P:$P,$B117+5),0))</f>
        <v>0</v>
      </c>
      <c r="CO117" cm="1">
        <f t="array" ref="CO117">INDEX(Properties!$D:$D,$B117+5)*(IF(AND(CO$3&gt;=INDEX(Properties!$T:$T,$B117+5),CO$3&lt;INDEX(Properties!$U:$U,$B117+5)),INDEX(Properties!$P:$P,$B117+5),0))</f>
        <v>0</v>
      </c>
      <c r="CP117" cm="1">
        <f t="array" ref="CP117">INDEX(Properties!$D:$D,$B117+5)*(IF(AND(CP$3&gt;=INDEX(Properties!$T:$T,$B117+5),CP$3&lt;INDEX(Properties!$U:$U,$B117+5)),INDEX(Properties!$P:$P,$B117+5),0))</f>
        <v>0</v>
      </c>
      <c r="CQ117" cm="1">
        <f t="array" ref="CQ117">INDEX(Properties!$D:$D,$B117+5)*(IF(AND(CQ$3&gt;=INDEX(Properties!$T:$T,$B117+5),CQ$3&lt;INDEX(Properties!$U:$U,$B117+5)),INDEX(Properties!$P:$P,$B117+5),0))</f>
        <v>0</v>
      </c>
      <c r="CR117" cm="1">
        <f t="array" ref="CR117">INDEX(Properties!$D:$D,$B117+5)*(IF(AND(CR$3&gt;=INDEX(Properties!$T:$T,$B117+5),CR$3&lt;INDEX(Properties!$U:$U,$B117+5)),INDEX(Properties!$P:$P,$B117+5),0))</f>
        <v>0</v>
      </c>
      <c r="CS117" cm="1">
        <f t="array" ref="CS117">INDEX(Properties!$D:$D,$B117+5)*(IF(AND(CS$3&gt;=INDEX(Properties!$T:$T,$B117+5),CS$3&lt;INDEX(Properties!$U:$U,$B117+5)),INDEX(Properties!$P:$P,$B117+5),0))</f>
        <v>0</v>
      </c>
      <c r="CT117" cm="1">
        <f t="array" ref="CT117">INDEX(Properties!$D:$D,$B117+5)*(IF(AND(CT$3&gt;=INDEX(Properties!$T:$T,$B117+5),CT$3&lt;INDEX(Properties!$U:$U,$B117+5)),INDEX(Properties!$P:$P,$B117+5),0))</f>
        <v>0</v>
      </c>
      <c r="CU117" cm="1">
        <f t="array" ref="CU117">INDEX(Properties!$D:$D,$B117+5)*(IF(AND(CU$3&gt;=INDEX(Properties!$T:$T,$B117+5),CU$3&lt;INDEX(Properties!$U:$U,$B117+5)),INDEX(Properties!$P:$P,$B117+5),0))</f>
        <v>0</v>
      </c>
      <c r="CV117" cm="1">
        <f t="array" ref="CV117">INDEX(Properties!$D:$D,$B117+5)*(IF(AND(CV$3&gt;=INDEX(Properties!$T:$T,$B117+5),CV$3&lt;INDEX(Properties!$U:$U,$B117+5)),INDEX(Properties!$P:$P,$B117+5),0))</f>
        <v>0</v>
      </c>
      <c r="CW117" cm="1">
        <f t="array" ref="CW117">INDEX(Properties!$D:$D,$B117+5)*(IF(AND(CW$3&gt;=INDEX(Properties!$T:$T,$B117+5),CW$3&lt;INDEX(Properties!$U:$U,$B117+5)),INDEX(Properties!$P:$P,$B117+5),0))</f>
        <v>0</v>
      </c>
      <c r="CX117" cm="1">
        <f t="array" ref="CX117">INDEX(Properties!$D:$D,$B117+5)*(IF(AND(CX$3&gt;=INDEX(Properties!$T:$T,$B117+5),CX$3&lt;INDEX(Properties!$U:$U,$B117+5)),INDEX(Properties!$P:$P,$B117+5),0))</f>
        <v>0</v>
      </c>
      <c r="CY117" cm="1">
        <f t="array" ref="CY117">INDEX(Properties!$D:$D,$B117+5)*(IF(AND(CY$3&gt;=INDEX(Properties!$T:$T,$B117+5),CY$3&lt;INDEX(Properties!$U:$U,$B117+5)),INDEX(Properties!$P:$P,$B117+5),0))</f>
        <v>0</v>
      </c>
      <c r="CZ117" cm="1">
        <f t="array" ref="CZ117">INDEX(Properties!$D:$D,$B117+5)*(IF(AND(CZ$3&gt;=INDEX(Properties!$T:$T,$B117+5),CZ$3&lt;INDEX(Properties!$U:$U,$B117+5)),INDEX(Properties!$P:$P,$B117+5),0))</f>
        <v>0</v>
      </c>
      <c r="DA117" cm="1">
        <f t="array" ref="DA117">INDEX(Properties!$D:$D,$B117+5)*(IF(AND(DA$3&gt;=INDEX(Properties!$T:$T,$B117+5),DA$3&lt;INDEX(Properties!$U:$U,$B117+5)),INDEX(Properties!$P:$P,$B117+5),0))</f>
        <v>0</v>
      </c>
      <c r="DB117" cm="1">
        <f t="array" ref="DB117">INDEX(Properties!$D:$D,$B117+5)*(IF(AND(DB$3&gt;=INDEX(Properties!$T:$T,$B117+5),DB$3&lt;INDEX(Properties!$U:$U,$B117+5)),INDEX(Properties!$P:$P,$B117+5),0))</f>
        <v>0</v>
      </c>
      <c r="DC117" cm="1">
        <f t="array" ref="DC117">INDEX(Properties!$D:$D,$B117+5)*(IF(AND(DC$3&gt;=INDEX(Properties!$T:$T,$B117+5),DC$3&lt;INDEX(Properties!$U:$U,$B117+5)),INDEX(Properties!$P:$P,$B117+5),0))</f>
        <v>0</v>
      </c>
      <c r="DD117" cm="1">
        <f t="array" ref="DD117">INDEX(Properties!$D:$D,$B117+5)*(IF(AND(DD$3&gt;=INDEX(Properties!$T:$T,$B117+5),DD$3&lt;INDEX(Properties!$U:$U,$B117+5)),INDEX(Properties!$P:$P,$B117+5),0))</f>
        <v>0</v>
      </c>
      <c r="DE117" cm="1">
        <f t="array" ref="DE117">INDEX(Properties!$D:$D,$B117+5)*(IF(AND(DE$3&gt;=INDEX(Properties!$T:$T,$B117+5),DE$3&lt;INDEX(Properties!$U:$U,$B117+5)),INDEX(Properties!$P:$P,$B117+5),0))</f>
        <v>0</v>
      </c>
      <c r="DF117" cm="1">
        <f t="array" ref="DF117">INDEX(Properties!$D:$D,$B117+5)*(IF(AND(DF$3&gt;=INDEX(Properties!$T:$T,$B117+5),DF$3&lt;INDEX(Properties!$U:$U,$B117+5)),INDEX(Properties!$P:$P,$B117+5),0))</f>
        <v>0</v>
      </c>
      <c r="DG117" cm="1">
        <f t="array" ref="DG117">INDEX(Properties!$D:$D,$B117+5)*(IF(AND(DG$3&gt;=INDEX(Properties!$T:$T,$B117+5),DG$3&lt;INDEX(Properties!$U:$U,$B117+5)),INDEX(Properties!$P:$P,$B117+5),0))</f>
        <v>0</v>
      </c>
      <c r="DH117" cm="1">
        <f t="array" ref="DH117">INDEX(Properties!$D:$D,$B117+5)*(IF(AND(DH$3&gt;=INDEX(Properties!$T:$T,$B117+5),DH$3&lt;INDEX(Properties!$U:$U,$B117+5)),INDEX(Properties!$P:$P,$B117+5),0))</f>
        <v>0</v>
      </c>
      <c r="DI117" cm="1">
        <f t="array" ref="DI117">INDEX(Properties!$D:$D,$B117+5)*(IF(AND(DI$3&gt;=INDEX(Properties!$T:$T,$B117+5),DI$3&lt;INDEX(Properties!$U:$U,$B117+5)),INDEX(Properties!$P:$P,$B117+5),0))</f>
        <v>0</v>
      </c>
      <c r="DJ117" cm="1">
        <f t="array" ref="DJ117">INDEX(Properties!$D:$D,$B117+5)*(IF(AND(DJ$3&gt;=INDEX(Properties!$T:$T,$B117+5),DJ$3&lt;INDEX(Properties!$U:$U,$B117+5)),INDEX(Properties!$P:$P,$B117+5),0))</f>
        <v>0</v>
      </c>
      <c r="DK117" cm="1">
        <f t="array" ref="DK117">INDEX(Properties!$D:$D,$B117+5)*(IF(AND(DK$3&gt;=INDEX(Properties!$T:$T,$B117+5),DK$3&lt;INDEX(Properties!$U:$U,$B117+5)),INDEX(Properties!$P:$P,$B117+5),0))</f>
        <v>0</v>
      </c>
      <c r="DL117" cm="1">
        <f t="array" ref="DL117">INDEX(Properties!$D:$D,$B117+5)*(IF(AND(DL$3&gt;=INDEX(Properties!$T:$T,$B117+5),DL$3&lt;INDEX(Properties!$U:$U,$B117+5)),INDEX(Properties!$P:$P,$B117+5),0))</f>
        <v>0</v>
      </c>
      <c r="DM117" cm="1">
        <f t="array" ref="DM117">INDEX(Properties!$D:$D,$B117+5)*(IF(AND(DM$3&gt;=INDEX(Properties!$T:$T,$B117+5),DM$3&lt;INDEX(Properties!$U:$U,$B117+5)),INDEX(Properties!$P:$P,$B117+5),0))</f>
        <v>0</v>
      </c>
      <c r="DN117" cm="1">
        <f t="array" ref="DN117">INDEX(Properties!$D:$D,$B117+5)*(IF(AND(DN$3&gt;=INDEX(Properties!$T:$T,$B117+5),DN$3&lt;INDEX(Properties!$U:$U,$B117+5)),INDEX(Properties!$P:$P,$B117+5),0))</f>
        <v>0</v>
      </c>
      <c r="DO117" cm="1">
        <f t="array" ref="DO117">INDEX(Properties!$D:$D,$B117+5)*(IF(AND(DO$3&gt;=INDEX(Properties!$T:$T,$B117+5),DO$3&lt;INDEX(Properties!$U:$U,$B117+5)),INDEX(Properties!$P:$P,$B117+5),0))</f>
        <v>0</v>
      </c>
      <c r="DP117" cm="1">
        <f t="array" ref="DP117">INDEX(Properties!$D:$D,$B117+5)*(IF(AND(DP$3&gt;=INDEX(Properties!$T:$T,$B117+5),DP$3&lt;INDEX(Properties!$U:$U,$B117+5)),INDEX(Properties!$P:$P,$B117+5),0))</f>
        <v>0</v>
      </c>
      <c r="DQ117" cm="1">
        <f t="array" ref="DQ117">INDEX(Properties!$D:$D,$B117+5)*(IF(AND(DQ$3&gt;=INDEX(Properties!$T:$T,$B117+5),DQ$3&lt;INDEX(Properties!$U:$U,$B117+5)),INDEX(Properties!$P:$P,$B117+5),0))</f>
        <v>0</v>
      </c>
      <c r="DR117" cm="1">
        <f t="array" ref="DR117">INDEX(Properties!$D:$D,$B117+5)*(IF(AND(DR$3&gt;=INDEX(Properties!$T:$T,$B117+5),DR$3&lt;INDEX(Properties!$U:$U,$B117+5)),INDEX(Properties!$P:$P,$B117+5),0))</f>
        <v>0</v>
      </c>
    </row>
    <row r="118" spans="1:122" ht="14.55" customHeight="1" x14ac:dyDescent="0.3">
      <c r="A118" cm="1">
        <f t="array" ref="A118">INDEX(Properties!$E:$E,$B118+5)</f>
        <v>0</v>
      </c>
      <c r="B118" s="1">
        <v>10</v>
      </c>
      <c r="C118" cm="1">
        <f t="array" ref="C118">INDEX(Properties!$D:$D,$B118+5)*(IF(AND(C$3&gt;=INDEX(Properties!$T:$T,$B118+5),C$3&lt;INDEX(Properties!$U:$U,$B118+5)),INDEX(Properties!$P:$P,$B118+5),0))</f>
        <v>0</v>
      </c>
      <c r="D118" cm="1">
        <f t="array" ref="D118">INDEX(Properties!$D:$D,$B118+5)*(IF(AND(D$3&gt;=INDEX(Properties!$T:$T,$B118+5),D$3&lt;INDEX(Properties!$U:$U,$B118+5)),INDEX(Properties!$P:$P,$B118+5),0))</f>
        <v>0</v>
      </c>
      <c r="E118" cm="1">
        <f t="array" ref="E118">INDEX(Properties!$D:$D,$B118+5)*(IF(AND(E$3&gt;=INDEX(Properties!$T:$T,$B118+5),E$3&lt;INDEX(Properties!$U:$U,$B118+5)),INDEX(Properties!$P:$P,$B118+5),0))</f>
        <v>0</v>
      </c>
      <c r="F118" cm="1">
        <f t="array" ref="F118">INDEX(Properties!$D:$D,$B118+5)*(IF(AND(F$3&gt;=INDEX(Properties!$T:$T,$B118+5),F$3&lt;INDEX(Properties!$U:$U,$B118+5)),INDEX(Properties!$P:$P,$B118+5),0))</f>
        <v>0</v>
      </c>
      <c r="G118" cm="1">
        <f t="array" ref="G118">INDEX(Properties!$D:$D,$B118+5)*(IF(AND(G$3&gt;=INDEX(Properties!$T:$T,$B118+5),G$3&lt;INDEX(Properties!$U:$U,$B118+5)),INDEX(Properties!$P:$P,$B118+5),0))</f>
        <v>0</v>
      </c>
      <c r="H118" cm="1">
        <f t="array" ref="H118">INDEX(Properties!$D:$D,$B118+5)*(IF(AND(H$3&gt;=INDEX(Properties!$T:$T,$B118+5),H$3&lt;INDEX(Properties!$U:$U,$B118+5)),INDEX(Properties!$P:$P,$B118+5),0))</f>
        <v>0</v>
      </c>
      <c r="I118" cm="1">
        <f t="array" ref="I118">INDEX(Properties!$D:$D,$B118+5)*(IF(AND(I$3&gt;=INDEX(Properties!$T:$T,$B118+5),I$3&lt;INDEX(Properties!$U:$U,$B118+5)),INDEX(Properties!$P:$P,$B118+5),0))</f>
        <v>0</v>
      </c>
      <c r="J118" cm="1">
        <f t="array" ref="J118">INDEX(Properties!$D:$D,$B118+5)*(IF(AND(J$3&gt;=INDEX(Properties!$T:$T,$B118+5),J$3&lt;INDEX(Properties!$U:$U,$B118+5)),INDEX(Properties!$P:$P,$B118+5),0))</f>
        <v>0</v>
      </c>
      <c r="K118" cm="1">
        <f t="array" ref="K118">INDEX(Properties!$D:$D,$B118+5)*(IF(AND(K$3&gt;=INDEX(Properties!$T:$T,$B118+5),K$3&lt;INDEX(Properties!$U:$U,$B118+5)),INDEX(Properties!$P:$P,$B118+5),0))</f>
        <v>0</v>
      </c>
      <c r="L118" cm="1">
        <f t="array" ref="L118">INDEX(Properties!$D:$D,$B118+5)*(IF(AND(L$3&gt;=INDEX(Properties!$T:$T,$B118+5),L$3&lt;INDEX(Properties!$U:$U,$B118+5)),INDEX(Properties!$P:$P,$B118+5),0))</f>
        <v>0</v>
      </c>
      <c r="M118" cm="1">
        <f t="array" ref="M118">INDEX(Properties!$D:$D,$B118+5)*(IF(AND(M$3&gt;=INDEX(Properties!$T:$T,$B118+5),M$3&lt;INDEX(Properties!$U:$U,$B118+5)),INDEX(Properties!$P:$P,$B118+5),0))</f>
        <v>0</v>
      </c>
      <c r="N118" cm="1">
        <f t="array" ref="N118">INDEX(Properties!$D:$D,$B118+5)*(IF(AND(N$3&gt;=INDEX(Properties!$T:$T,$B118+5),N$3&lt;INDEX(Properties!$U:$U,$B118+5)),INDEX(Properties!$P:$P,$B118+5),0))</f>
        <v>0</v>
      </c>
      <c r="O118" cm="1">
        <f t="array" ref="O118">INDEX(Properties!$D:$D,$B118+5)*(IF(AND(O$3&gt;=INDEX(Properties!$T:$T,$B118+5),O$3&lt;INDEX(Properties!$U:$U,$B118+5)),INDEX(Properties!$P:$P,$B118+5),0))</f>
        <v>0</v>
      </c>
      <c r="P118" cm="1">
        <f t="array" ref="P118">INDEX(Properties!$D:$D,$B118+5)*(IF(AND(P$3&gt;=INDEX(Properties!$T:$T,$B118+5),P$3&lt;INDEX(Properties!$U:$U,$B118+5)),INDEX(Properties!$P:$P,$B118+5),0))</f>
        <v>0</v>
      </c>
      <c r="Q118" cm="1">
        <f t="array" ref="Q118">INDEX(Properties!$D:$D,$B118+5)*(IF(AND(Q$3&gt;=INDEX(Properties!$T:$T,$B118+5),Q$3&lt;INDEX(Properties!$U:$U,$B118+5)),INDEX(Properties!$P:$P,$B118+5),0))</f>
        <v>0</v>
      </c>
      <c r="R118" cm="1">
        <f t="array" ref="R118">INDEX(Properties!$D:$D,$B118+5)*(IF(AND(R$3&gt;=INDEX(Properties!$T:$T,$B118+5),R$3&lt;INDEX(Properties!$U:$U,$B118+5)),INDEX(Properties!$P:$P,$B118+5),0))</f>
        <v>0</v>
      </c>
      <c r="S118" cm="1">
        <f t="array" ref="S118">INDEX(Properties!$D:$D,$B118+5)*(IF(AND(S$3&gt;=INDEX(Properties!$T:$T,$B118+5),S$3&lt;INDEX(Properties!$U:$U,$B118+5)),INDEX(Properties!$P:$P,$B118+5),0))</f>
        <v>0</v>
      </c>
      <c r="T118" cm="1">
        <f t="array" ref="T118">INDEX(Properties!$D:$D,$B118+5)*(IF(AND(T$3&gt;=INDEX(Properties!$T:$T,$B118+5),T$3&lt;INDEX(Properties!$U:$U,$B118+5)),INDEX(Properties!$P:$P,$B118+5),0))</f>
        <v>0</v>
      </c>
      <c r="U118" cm="1">
        <f t="array" ref="U118">INDEX(Properties!$D:$D,$B118+5)*(IF(AND(U$3&gt;=INDEX(Properties!$T:$T,$B118+5),U$3&lt;INDEX(Properties!$U:$U,$B118+5)),INDEX(Properties!$P:$P,$B118+5),0))</f>
        <v>0</v>
      </c>
      <c r="V118" cm="1">
        <f t="array" ref="V118">INDEX(Properties!$D:$D,$B118+5)*(IF(AND(V$3&gt;=INDEX(Properties!$T:$T,$B118+5),V$3&lt;INDEX(Properties!$U:$U,$B118+5)),INDEX(Properties!$P:$P,$B118+5),0))</f>
        <v>0</v>
      </c>
      <c r="W118" cm="1">
        <f t="array" ref="W118">INDEX(Properties!$D:$D,$B118+5)*(IF(AND(W$3&gt;=INDEX(Properties!$T:$T,$B118+5),W$3&lt;INDEX(Properties!$U:$U,$B118+5)),INDEX(Properties!$P:$P,$B118+5),0))</f>
        <v>0</v>
      </c>
      <c r="X118" cm="1">
        <f t="array" ref="X118">INDEX(Properties!$D:$D,$B118+5)*(IF(AND(X$3&gt;=INDEX(Properties!$T:$T,$B118+5),X$3&lt;INDEX(Properties!$U:$U,$B118+5)),INDEX(Properties!$P:$P,$B118+5),0))</f>
        <v>0</v>
      </c>
      <c r="Y118" cm="1">
        <f t="array" ref="Y118">INDEX(Properties!$D:$D,$B118+5)*(IF(AND(Y$3&gt;=INDEX(Properties!$T:$T,$B118+5),Y$3&lt;INDEX(Properties!$U:$U,$B118+5)),INDEX(Properties!$P:$P,$B118+5),0))</f>
        <v>0</v>
      </c>
      <c r="Z118" cm="1">
        <f t="array" ref="Z118">INDEX(Properties!$D:$D,$B118+5)*(IF(AND(Z$3&gt;=INDEX(Properties!$T:$T,$B118+5),Z$3&lt;INDEX(Properties!$U:$U,$B118+5)),INDEX(Properties!$P:$P,$B118+5),0))</f>
        <v>0</v>
      </c>
      <c r="AA118" cm="1">
        <f t="array" ref="AA118">INDEX(Properties!$D:$D,$B118+5)*(IF(AND(AA$3&gt;=INDEX(Properties!$T:$T,$B118+5),AA$3&lt;INDEX(Properties!$U:$U,$B118+5)),INDEX(Properties!$P:$P,$B118+5),0))</f>
        <v>0</v>
      </c>
      <c r="AB118" cm="1">
        <f t="array" ref="AB118">INDEX(Properties!$D:$D,$B118+5)*(IF(AND(AB$3&gt;=INDEX(Properties!$T:$T,$B118+5),AB$3&lt;INDEX(Properties!$U:$U,$B118+5)),INDEX(Properties!$P:$P,$B118+5),0))</f>
        <v>0</v>
      </c>
      <c r="AC118" cm="1">
        <f t="array" ref="AC118">INDEX(Properties!$D:$D,$B118+5)*(IF(AND(AC$3&gt;=INDEX(Properties!$T:$T,$B118+5),AC$3&lt;INDEX(Properties!$U:$U,$B118+5)),INDEX(Properties!$P:$P,$B118+5),0))</f>
        <v>0</v>
      </c>
      <c r="AD118" cm="1">
        <f t="array" ref="AD118">INDEX(Properties!$D:$D,$B118+5)*(IF(AND(AD$3&gt;=INDEX(Properties!$T:$T,$B118+5),AD$3&lt;INDEX(Properties!$U:$U,$B118+5)),INDEX(Properties!$P:$P,$B118+5),0))</f>
        <v>0</v>
      </c>
      <c r="AE118" cm="1">
        <f t="array" ref="AE118">INDEX(Properties!$D:$D,$B118+5)*(IF(AND(AE$3&gt;=INDEX(Properties!$T:$T,$B118+5),AE$3&lt;INDEX(Properties!$U:$U,$B118+5)),INDEX(Properties!$P:$P,$B118+5),0))</f>
        <v>0</v>
      </c>
      <c r="AF118" cm="1">
        <f t="array" ref="AF118">INDEX(Properties!$D:$D,$B118+5)*(IF(AND(AF$3&gt;=INDEX(Properties!$T:$T,$B118+5),AF$3&lt;INDEX(Properties!$U:$U,$B118+5)),INDEX(Properties!$P:$P,$B118+5),0))</f>
        <v>0</v>
      </c>
      <c r="AG118" cm="1">
        <f t="array" ref="AG118">INDEX(Properties!$D:$D,$B118+5)*(IF(AND(AG$3&gt;=INDEX(Properties!$T:$T,$B118+5),AG$3&lt;INDEX(Properties!$U:$U,$B118+5)),INDEX(Properties!$P:$P,$B118+5),0))</f>
        <v>0</v>
      </c>
      <c r="AH118" cm="1">
        <f t="array" ref="AH118">INDEX(Properties!$D:$D,$B118+5)*(IF(AND(AH$3&gt;=INDEX(Properties!$T:$T,$B118+5),AH$3&lt;INDEX(Properties!$U:$U,$B118+5)),INDEX(Properties!$P:$P,$B118+5),0))</f>
        <v>0</v>
      </c>
      <c r="AI118" cm="1">
        <f t="array" ref="AI118">INDEX(Properties!$D:$D,$B118+5)*(IF(AND(AI$3&gt;=INDEX(Properties!$T:$T,$B118+5),AI$3&lt;INDEX(Properties!$U:$U,$B118+5)),INDEX(Properties!$P:$P,$B118+5),0))</f>
        <v>0</v>
      </c>
      <c r="AJ118" cm="1">
        <f t="array" ref="AJ118">INDEX(Properties!$D:$D,$B118+5)*(IF(AND(AJ$3&gt;=INDEX(Properties!$T:$T,$B118+5),AJ$3&lt;INDEX(Properties!$U:$U,$B118+5)),INDEX(Properties!$P:$P,$B118+5),0))</f>
        <v>0</v>
      </c>
      <c r="AK118" cm="1">
        <f t="array" ref="AK118">INDEX(Properties!$D:$D,$B118+5)*(IF(AND(AK$3&gt;=INDEX(Properties!$T:$T,$B118+5),AK$3&lt;INDEX(Properties!$U:$U,$B118+5)),INDEX(Properties!$P:$P,$B118+5),0))</f>
        <v>0</v>
      </c>
      <c r="AL118" cm="1">
        <f t="array" ref="AL118">INDEX(Properties!$D:$D,$B118+5)*(IF(AND(AL$3&gt;=INDEX(Properties!$T:$T,$B118+5),AL$3&lt;INDEX(Properties!$U:$U,$B118+5)),INDEX(Properties!$P:$P,$B118+5),0))</f>
        <v>0</v>
      </c>
      <c r="AM118" cm="1">
        <f t="array" ref="AM118">INDEX(Properties!$D:$D,$B118+5)*(IF(AND(AM$3&gt;=INDEX(Properties!$T:$T,$B118+5),AM$3&lt;INDEX(Properties!$U:$U,$B118+5)),INDEX(Properties!$P:$P,$B118+5),0))</f>
        <v>0</v>
      </c>
      <c r="AN118" cm="1">
        <f t="array" ref="AN118">INDEX(Properties!$D:$D,$B118+5)*(IF(AND(AN$3&gt;=INDEX(Properties!$T:$T,$B118+5),AN$3&lt;INDEX(Properties!$U:$U,$B118+5)),INDEX(Properties!$P:$P,$B118+5),0))</f>
        <v>0</v>
      </c>
      <c r="AO118" cm="1">
        <f t="array" ref="AO118">INDEX(Properties!$D:$D,$B118+5)*(IF(AND(AO$3&gt;=INDEX(Properties!$T:$T,$B118+5),AO$3&lt;INDEX(Properties!$U:$U,$B118+5)),INDEX(Properties!$P:$P,$B118+5),0))</f>
        <v>0</v>
      </c>
      <c r="AP118" cm="1">
        <f t="array" ref="AP118">INDEX(Properties!$D:$D,$B118+5)*(IF(AND(AP$3&gt;=INDEX(Properties!$T:$T,$B118+5),AP$3&lt;INDEX(Properties!$U:$U,$B118+5)),INDEX(Properties!$P:$P,$B118+5),0))</f>
        <v>0</v>
      </c>
      <c r="AQ118" cm="1">
        <f t="array" ref="AQ118">INDEX(Properties!$D:$D,$B118+5)*(IF(AND(AQ$3&gt;=INDEX(Properties!$T:$T,$B118+5),AQ$3&lt;INDEX(Properties!$U:$U,$B118+5)),INDEX(Properties!$P:$P,$B118+5),0))</f>
        <v>0</v>
      </c>
      <c r="AR118" cm="1">
        <f t="array" ref="AR118">INDEX(Properties!$D:$D,$B118+5)*(IF(AND(AR$3&gt;=INDEX(Properties!$T:$T,$B118+5),AR$3&lt;INDEX(Properties!$U:$U,$B118+5)),INDEX(Properties!$P:$P,$B118+5),0))</f>
        <v>0</v>
      </c>
      <c r="AS118" cm="1">
        <f t="array" ref="AS118">INDEX(Properties!$D:$D,$B118+5)*(IF(AND(AS$3&gt;=INDEX(Properties!$T:$T,$B118+5),AS$3&lt;INDEX(Properties!$U:$U,$B118+5)),INDEX(Properties!$P:$P,$B118+5),0))</f>
        <v>0</v>
      </c>
      <c r="AT118" cm="1">
        <f t="array" ref="AT118">INDEX(Properties!$D:$D,$B118+5)*(IF(AND(AT$3&gt;=INDEX(Properties!$T:$T,$B118+5),AT$3&lt;INDEX(Properties!$U:$U,$B118+5)),INDEX(Properties!$P:$P,$B118+5),0))</f>
        <v>0</v>
      </c>
      <c r="AU118" cm="1">
        <f t="array" ref="AU118">INDEX(Properties!$D:$D,$B118+5)*(IF(AND(AU$3&gt;=INDEX(Properties!$T:$T,$B118+5),AU$3&lt;INDEX(Properties!$U:$U,$B118+5)),INDEX(Properties!$P:$P,$B118+5),0))</f>
        <v>0</v>
      </c>
      <c r="AV118" cm="1">
        <f t="array" ref="AV118">INDEX(Properties!$D:$D,$B118+5)*(IF(AND(AV$3&gt;=INDEX(Properties!$T:$T,$B118+5),AV$3&lt;INDEX(Properties!$U:$U,$B118+5)),INDEX(Properties!$P:$P,$B118+5),0))</f>
        <v>0</v>
      </c>
      <c r="AW118" cm="1">
        <f t="array" ref="AW118">INDEX(Properties!$D:$D,$B118+5)*(IF(AND(AW$3&gt;=INDEX(Properties!$T:$T,$B118+5),AW$3&lt;INDEX(Properties!$U:$U,$B118+5)),INDEX(Properties!$P:$P,$B118+5),0))</f>
        <v>0</v>
      </c>
      <c r="AX118" cm="1">
        <f t="array" ref="AX118">INDEX(Properties!$D:$D,$B118+5)*(IF(AND(AX$3&gt;=INDEX(Properties!$T:$T,$B118+5),AX$3&lt;INDEX(Properties!$U:$U,$B118+5)),INDEX(Properties!$P:$P,$B118+5),0))</f>
        <v>0</v>
      </c>
      <c r="AY118" cm="1">
        <f t="array" ref="AY118">INDEX(Properties!$D:$D,$B118+5)*(IF(AND(AY$3&gt;=INDEX(Properties!$T:$T,$B118+5),AY$3&lt;INDEX(Properties!$U:$U,$B118+5)),INDEX(Properties!$P:$P,$B118+5),0))</f>
        <v>0</v>
      </c>
      <c r="AZ118" cm="1">
        <f t="array" ref="AZ118">INDEX(Properties!$D:$D,$B118+5)*(IF(AND(AZ$3&gt;=INDEX(Properties!$T:$T,$B118+5),AZ$3&lt;INDEX(Properties!$U:$U,$B118+5)),INDEX(Properties!$P:$P,$B118+5),0))</f>
        <v>0</v>
      </c>
      <c r="BA118" cm="1">
        <f t="array" ref="BA118">INDEX(Properties!$D:$D,$B118+5)*(IF(AND(BA$3&gt;=INDEX(Properties!$T:$T,$B118+5),BA$3&lt;INDEX(Properties!$U:$U,$B118+5)),INDEX(Properties!$P:$P,$B118+5),0))</f>
        <v>0</v>
      </c>
      <c r="BB118" cm="1">
        <f t="array" ref="BB118">INDEX(Properties!$D:$D,$B118+5)*(IF(AND(BB$3&gt;=INDEX(Properties!$T:$T,$B118+5),BB$3&lt;INDEX(Properties!$U:$U,$B118+5)),INDEX(Properties!$P:$P,$B118+5),0))</f>
        <v>0</v>
      </c>
      <c r="BC118" cm="1">
        <f t="array" ref="BC118">INDEX(Properties!$D:$D,$B118+5)*(IF(AND(BC$3&gt;=INDEX(Properties!$T:$T,$B118+5),BC$3&lt;INDEX(Properties!$U:$U,$B118+5)),INDEX(Properties!$P:$P,$B118+5),0))</f>
        <v>0</v>
      </c>
      <c r="BD118" cm="1">
        <f t="array" ref="BD118">INDEX(Properties!$D:$D,$B118+5)*(IF(AND(BD$3&gt;=INDEX(Properties!$T:$T,$B118+5),BD$3&lt;INDEX(Properties!$U:$U,$B118+5)),INDEX(Properties!$P:$P,$B118+5),0))</f>
        <v>0</v>
      </c>
      <c r="BE118" cm="1">
        <f t="array" ref="BE118">INDEX(Properties!$D:$D,$B118+5)*(IF(AND(BE$3&gt;=INDEX(Properties!$T:$T,$B118+5),BE$3&lt;INDEX(Properties!$U:$U,$B118+5)),INDEX(Properties!$P:$P,$B118+5),0))</f>
        <v>0</v>
      </c>
      <c r="BF118" cm="1">
        <f t="array" ref="BF118">INDEX(Properties!$D:$D,$B118+5)*(IF(AND(BF$3&gt;=INDEX(Properties!$T:$T,$B118+5),BF$3&lt;INDEX(Properties!$U:$U,$B118+5)),INDEX(Properties!$P:$P,$B118+5),0))</f>
        <v>0</v>
      </c>
      <c r="BG118" cm="1">
        <f t="array" ref="BG118">INDEX(Properties!$D:$D,$B118+5)*(IF(AND(BG$3&gt;=INDEX(Properties!$T:$T,$B118+5),BG$3&lt;INDEX(Properties!$U:$U,$B118+5)),INDEX(Properties!$P:$P,$B118+5),0))</f>
        <v>0</v>
      </c>
      <c r="BH118" cm="1">
        <f t="array" ref="BH118">INDEX(Properties!$D:$D,$B118+5)*(IF(AND(BH$3&gt;=INDEX(Properties!$T:$T,$B118+5),BH$3&lt;INDEX(Properties!$U:$U,$B118+5)),INDEX(Properties!$P:$P,$B118+5),0))</f>
        <v>0</v>
      </c>
      <c r="BI118" cm="1">
        <f t="array" ref="BI118">INDEX(Properties!$D:$D,$B118+5)*(IF(AND(BI$3&gt;=INDEX(Properties!$T:$T,$B118+5),BI$3&lt;INDEX(Properties!$U:$U,$B118+5)),INDEX(Properties!$P:$P,$B118+5),0))</f>
        <v>0</v>
      </c>
      <c r="BJ118" cm="1">
        <f t="array" ref="BJ118">INDEX(Properties!$D:$D,$B118+5)*(IF(AND(BJ$3&gt;=INDEX(Properties!$T:$T,$B118+5),BJ$3&lt;INDEX(Properties!$U:$U,$B118+5)),INDEX(Properties!$P:$P,$B118+5),0))</f>
        <v>0</v>
      </c>
      <c r="BK118" cm="1">
        <f t="array" ref="BK118">INDEX(Properties!$D:$D,$B118+5)*(IF(AND(BK$3&gt;=INDEX(Properties!$T:$T,$B118+5),BK$3&lt;INDEX(Properties!$U:$U,$B118+5)),INDEX(Properties!$P:$P,$B118+5),0))</f>
        <v>0</v>
      </c>
      <c r="BL118" cm="1">
        <f t="array" ref="BL118">INDEX(Properties!$D:$D,$B118+5)*(IF(AND(BL$3&gt;=INDEX(Properties!$T:$T,$B118+5),BL$3&lt;INDEX(Properties!$U:$U,$B118+5)),INDEX(Properties!$P:$P,$B118+5),0))</f>
        <v>0</v>
      </c>
      <c r="BM118" cm="1">
        <f t="array" ref="BM118">INDEX(Properties!$D:$D,$B118+5)*(IF(AND(BM$3&gt;=INDEX(Properties!$T:$T,$B118+5),BM$3&lt;INDEX(Properties!$U:$U,$B118+5)),INDEX(Properties!$P:$P,$B118+5),0))</f>
        <v>0</v>
      </c>
      <c r="BN118" cm="1">
        <f t="array" ref="BN118">INDEX(Properties!$D:$D,$B118+5)*(IF(AND(BN$3&gt;=INDEX(Properties!$T:$T,$B118+5),BN$3&lt;INDEX(Properties!$U:$U,$B118+5)),INDEX(Properties!$P:$P,$B118+5),0))</f>
        <v>0</v>
      </c>
      <c r="BO118" cm="1">
        <f t="array" ref="BO118">INDEX(Properties!$D:$D,$B118+5)*(IF(AND(BO$3&gt;=INDEX(Properties!$T:$T,$B118+5),BO$3&lt;INDEX(Properties!$U:$U,$B118+5)),INDEX(Properties!$P:$P,$B118+5),0))</f>
        <v>0</v>
      </c>
      <c r="BP118" cm="1">
        <f t="array" ref="BP118">INDEX(Properties!$D:$D,$B118+5)*(IF(AND(BP$3&gt;=INDEX(Properties!$T:$T,$B118+5),BP$3&lt;INDEX(Properties!$U:$U,$B118+5)),INDEX(Properties!$P:$P,$B118+5),0))</f>
        <v>0</v>
      </c>
      <c r="BQ118" cm="1">
        <f t="array" ref="BQ118">INDEX(Properties!$D:$D,$B118+5)*(IF(AND(BQ$3&gt;=INDEX(Properties!$T:$T,$B118+5),BQ$3&lt;INDEX(Properties!$U:$U,$B118+5)),INDEX(Properties!$P:$P,$B118+5),0))</f>
        <v>0</v>
      </c>
      <c r="BR118" cm="1">
        <f t="array" ref="BR118">INDEX(Properties!$D:$D,$B118+5)*(IF(AND(BR$3&gt;=INDEX(Properties!$T:$T,$B118+5),BR$3&lt;INDEX(Properties!$U:$U,$B118+5)),INDEX(Properties!$P:$P,$B118+5),0))</f>
        <v>0</v>
      </c>
      <c r="BS118" cm="1">
        <f t="array" ref="BS118">INDEX(Properties!$D:$D,$B118+5)*(IF(AND(BS$3&gt;=INDEX(Properties!$T:$T,$B118+5),BS$3&lt;INDEX(Properties!$U:$U,$B118+5)),INDEX(Properties!$P:$P,$B118+5),0))</f>
        <v>0</v>
      </c>
      <c r="BT118" cm="1">
        <f t="array" ref="BT118">INDEX(Properties!$D:$D,$B118+5)*(IF(AND(BT$3&gt;=INDEX(Properties!$T:$T,$B118+5),BT$3&lt;INDEX(Properties!$U:$U,$B118+5)),INDEX(Properties!$P:$P,$B118+5),0))</f>
        <v>0</v>
      </c>
      <c r="BU118" cm="1">
        <f t="array" ref="BU118">INDEX(Properties!$D:$D,$B118+5)*(IF(AND(BU$3&gt;=INDEX(Properties!$T:$T,$B118+5),BU$3&lt;INDEX(Properties!$U:$U,$B118+5)),INDEX(Properties!$P:$P,$B118+5),0))</f>
        <v>0</v>
      </c>
      <c r="BV118" cm="1">
        <f t="array" ref="BV118">INDEX(Properties!$D:$D,$B118+5)*(IF(AND(BV$3&gt;=INDEX(Properties!$T:$T,$B118+5),BV$3&lt;INDEX(Properties!$U:$U,$B118+5)),INDEX(Properties!$P:$P,$B118+5),0))</f>
        <v>0</v>
      </c>
      <c r="BW118" cm="1">
        <f t="array" ref="BW118">INDEX(Properties!$D:$D,$B118+5)*(IF(AND(BW$3&gt;=INDEX(Properties!$T:$T,$B118+5),BW$3&lt;INDEX(Properties!$U:$U,$B118+5)),INDEX(Properties!$P:$P,$B118+5),0))</f>
        <v>0</v>
      </c>
      <c r="BX118" cm="1">
        <f t="array" ref="BX118">INDEX(Properties!$D:$D,$B118+5)*(IF(AND(BX$3&gt;=INDEX(Properties!$T:$T,$B118+5),BX$3&lt;INDEX(Properties!$U:$U,$B118+5)),INDEX(Properties!$P:$P,$B118+5),0))</f>
        <v>0</v>
      </c>
      <c r="BY118" cm="1">
        <f t="array" ref="BY118">INDEX(Properties!$D:$D,$B118+5)*(IF(AND(BY$3&gt;=INDEX(Properties!$T:$T,$B118+5),BY$3&lt;INDEX(Properties!$U:$U,$B118+5)),INDEX(Properties!$P:$P,$B118+5),0))</f>
        <v>0</v>
      </c>
      <c r="BZ118" cm="1">
        <f t="array" ref="BZ118">INDEX(Properties!$D:$D,$B118+5)*(IF(AND(BZ$3&gt;=INDEX(Properties!$T:$T,$B118+5),BZ$3&lt;INDEX(Properties!$U:$U,$B118+5)),INDEX(Properties!$P:$P,$B118+5),0))</f>
        <v>0</v>
      </c>
      <c r="CA118" cm="1">
        <f t="array" ref="CA118">INDEX(Properties!$D:$D,$B118+5)*(IF(AND(CA$3&gt;=INDEX(Properties!$T:$T,$B118+5),CA$3&lt;INDEX(Properties!$U:$U,$B118+5)),INDEX(Properties!$P:$P,$B118+5),0))</f>
        <v>0</v>
      </c>
      <c r="CB118" cm="1">
        <f t="array" ref="CB118">INDEX(Properties!$D:$D,$B118+5)*(IF(AND(CB$3&gt;=INDEX(Properties!$T:$T,$B118+5),CB$3&lt;INDEX(Properties!$U:$U,$B118+5)),INDEX(Properties!$P:$P,$B118+5),0))</f>
        <v>0</v>
      </c>
      <c r="CC118" cm="1">
        <f t="array" ref="CC118">INDEX(Properties!$D:$D,$B118+5)*(IF(AND(CC$3&gt;=INDEX(Properties!$T:$T,$B118+5),CC$3&lt;INDEX(Properties!$U:$U,$B118+5)),INDEX(Properties!$P:$P,$B118+5),0))</f>
        <v>0</v>
      </c>
      <c r="CD118" cm="1">
        <f t="array" ref="CD118">INDEX(Properties!$D:$D,$B118+5)*(IF(AND(CD$3&gt;=INDEX(Properties!$T:$T,$B118+5),CD$3&lt;INDEX(Properties!$U:$U,$B118+5)),INDEX(Properties!$P:$P,$B118+5),0))</f>
        <v>0</v>
      </c>
      <c r="CE118" cm="1">
        <f t="array" ref="CE118">INDEX(Properties!$D:$D,$B118+5)*(IF(AND(CE$3&gt;=INDEX(Properties!$T:$T,$B118+5),CE$3&lt;INDEX(Properties!$U:$U,$B118+5)),INDEX(Properties!$P:$P,$B118+5),0))</f>
        <v>0</v>
      </c>
      <c r="CF118" cm="1">
        <f t="array" ref="CF118">INDEX(Properties!$D:$D,$B118+5)*(IF(AND(CF$3&gt;=INDEX(Properties!$T:$T,$B118+5),CF$3&lt;INDEX(Properties!$U:$U,$B118+5)),INDEX(Properties!$P:$P,$B118+5),0))</f>
        <v>0</v>
      </c>
      <c r="CG118" cm="1">
        <f t="array" ref="CG118">INDEX(Properties!$D:$D,$B118+5)*(IF(AND(CG$3&gt;=INDEX(Properties!$T:$T,$B118+5),CG$3&lt;INDEX(Properties!$U:$U,$B118+5)),INDEX(Properties!$P:$P,$B118+5),0))</f>
        <v>0</v>
      </c>
      <c r="CH118" cm="1">
        <f t="array" ref="CH118">INDEX(Properties!$D:$D,$B118+5)*(IF(AND(CH$3&gt;=INDEX(Properties!$T:$T,$B118+5),CH$3&lt;INDEX(Properties!$U:$U,$B118+5)),INDEX(Properties!$P:$P,$B118+5),0))</f>
        <v>0</v>
      </c>
      <c r="CI118" cm="1">
        <f t="array" ref="CI118">INDEX(Properties!$D:$D,$B118+5)*(IF(AND(CI$3&gt;=INDEX(Properties!$T:$T,$B118+5),CI$3&lt;INDEX(Properties!$U:$U,$B118+5)),INDEX(Properties!$P:$P,$B118+5),0))</f>
        <v>0</v>
      </c>
      <c r="CJ118" cm="1">
        <f t="array" ref="CJ118">INDEX(Properties!$D:$D,$B118+5)*(IF(AND(CJ$3&gt;=INDEX(Properties!$T:$T,$B118+5),CJ$3&lt;INDEX(Properties!$U:$U,$B118+5)),INDEX(Properties!$P:$P,$B118+5),0))</f>
        <v>0</v>
      </c>
      <c r="CK118" cm="1">
        <f t="array" ref="CK118">INDEX(Properties!$D:$D,$B118+5)*(IF(AND(CK$3&gt;=INDEX(Properties!$T:$T,$B118+5),CK$3&lt;INDEX(Properties!$U:$U,$B118+5)),INDEX(Properties!$P:$P,$B118+5),0))</f>
        <v>0</v>
      </c>
      <c r="CL118" cm="1">
        <f t="array" ref="CL118">INDEX(Properties!$D:$D,$B118+5)*(IF(AND(CL$3&gt;=INDEX(Properties!$T:$T,$B118+5),CL$3&lt;INDEX(Properties!$U:$U,$B118+5)),INDEX(Properties!$P:$P,$B118+5),0))</f>
        <v>0</v>
      </c>
      <c r="CM118" cm="1">
        <f t="array" ref="CM118">INDEX(Properties!$D:$D,$B118+5)*(IF(AND(CM$3&gt;=INDEX(Properties!$T:$T,$B118+5),CM$3&lt;INDEX(Properties!$U:$U,$B118+5)),INDEX(Properties!$P:$P,$B118+5),0))</f>
        <v>0</v>
      </c>
      <c r="CN118" cm="1">
        <f t="array" ref="CN118">INDEX(Properties!$D:$D,$B118+5)*(IF(AND(CN$3&gt;=INDEX(Properties!$T:$T,$B118+5),CN$3&lt;INDEX(Properties!$U:$U,$B118+5)),INDEX(Properties!$P:$P,$B118+5),0))</f>
        <v>0</v>
      </c>
      <c r="CO118" cm="1">
        <f t="array" ref="CO118">INDEX(Properties!$D:$D,$B118+5)*(IF(AND(CO$3&gt;=INDEX(Properties!$T:$T,$B118+5),CO$3&lt;INDEX(Properties!$U:$U,$B118+5)),INDEX(Properties!$P:$P,$B118+5),0))</f>
        <v>0</v>
      </c>
      <c r="CP118" cm="1">
        <f t="array" ref="CP118">INDEX(Properties!$D:$D,$B118+5)*(IF(AND(CP$3&gt;=INDEX(Properties!$T:$T,$B118+5),CP$3&lt;INDEX(Properties!$U:$U,$B118+5)),INDEX(Properties!$P:$P,$B118+5),0))</f>
        <v>0</v>
      </c>
      <c r="CQ118" cm="1">
        <f t="array" ref="CQ118">INDEX(Properties!$D:$D,$B118+5)*(IF(AND(CQ$3&gt;=INDEX(Properties!$T:$T,$B118+5),CQ$3&lt;INDEX(Properties!$U:$U,$B118+5)),INDEX(Properties!$P:$P,$B118+5),0))</f>
        <v>0</v>
      </c>
      <c r="CR118" cm="1">
        <f t="array" ref="CR118">INDEX(Properties!$D:$D,$B118+5)*(IF(AND(CR$3&gt;=INDEX(Properties!$T:$T,$B118+5),CR$3&lt;INDEX(Properties!$U:$U,$B118+5)),INDEX(Properties!$P:$P,$B118+5),0))</f>
        <v>0</v>
      </c>
      <c r="CS118" cm="1">
        <f t="array" ref="CS118">INDEX(Properties!$D:$D,$B118+5)*(IF(AND(CS$3&gt;=INDEX(Properties!$T:$T,$B118+5),CS$3&lt;INDEX(Properties!$U:$U,$B118+5)),INDEX(Properties!$P:$P,$B118+5),0))</f>
        <v>0</v>
      </c>
      <c r="CT118" cm="1">
        <f t="array" ref="CT118">INDEX(Properties!$D:$D,$B118+5)*(IF(AND(CT$3&gt;=INDEX(Properties!$T:$T,$B118+5),CT$3&lt;INDEX(Properties!$U:$U,$B118+5)),INDEX(Properties!$P:$P,$B118+5),0))</f>
        <v>0</v>
      </c>
      <c r="CU118" cm="1">
        <f t="array" ref="CU118">INDEX(Properties!$D:$D,$B118+5)*(IF(AND(CU$3&gt;=INDEX(Properties!$T:$T,$B118+5),CU$3&lt;INDEX(Properties!$U:$U,$B118+5)),INDEX(Properties!$P:$P,$B118+5),0))</f>
        <v>0</v>
      </c>
      <c r="CV118" cm="1">
        <f t="array" ref="CV118">INDEX(Properties!$D:$D,$B118+5)*(IF(AND(CV$3&gt;=INDEX(Properties!$T:$T,$B118+5),CV$3&lt;INDEX(Properties!$U:$U,$B118+5)),INDEX(Properties!$P:$P,$B118+5),0))</f>
        <v>0</v>
      </c>
      <c r="CW118" cm="1">
        <f t="array" ref="CW118">INDEX(Properties!$D:$D,$B118+5)*(IF(AND(CW$3&gt;=INDEX(Properties!$T:$T,$B118+5),CW$3&lt;INDEX(Properties!$U:$U,$B118+5)),INDEX(Properties!$P:$P,$B118+5),0))</f>
        <v>0</v>
      </c>
      <c r="CX118" cm="1">
        <f t="array" ref="CX118">INDEX(Properties!$D:$D,$B118+5)*(IF(AND(CX$3&gt;=INDEX(Properties!$T:$T,$B118+5),CX$3&lt;INDEX(Properties!$U:$U,$B118+5)),INDEX(Properties!$P:$P,$B118+5),0))</f>
        <v>0</v>
      </c>
      <c r="CY118" cm="1">
        <f t="array" ref="CY118">INDEX(Properties!$D:$D,$B118+5)*(IF(AND(CY$3&gt;=INDEX(Properties!$T:$T,$B118+5),CY$3&lt;INDEX(Properties!$U:$U,$B118+5)),INDEX(Properties!$P:$P,$B118+5),0))</f>
        <v>0</v>
      </c>
      <c r="CZ118" cm="1">
        <f t="array" ref="CZ118">INDEX(Properties!$D:$D,$B118+5)*(IF(AND(CZ$3&gt;=INDEX(Properties!$T:$T,$B118+5),CZ$3&lt;INDEX(Properties!$U:$U,$B118+5)),INDEX(Properties!$P:$P,$B118+5),0))</f>
        <v>0</v>
      </c>
      <c r="DA118" cm="1">
        <f t="array" ref="DA118">INDEX(Properties!$D:$D,$B118+5)*(IF(AND(DA$3&gt;=INDEX(Properties!$T:$T,$B118+5),DA$3&lt;INDEX(Properties!$U:$U,$B118+5)),INDEX(Properties!$P:$P,$B118+5),0))</f>
        <v>0</v>
      </c>
      <c r="DB118" cm="1">
        <f t="array" ref="DB118">INDEX(Properties!$D:$D,$B118+5)*(IF(AND(DB$3&gt;=INDEX(Properties!$T:$T,$B118+5),DB$3&lt;INDEX(Properties!$U:$U,$B118+5)),INDEX(Properties!$P:$P,$B118+5),0))</f>
        <v>0</v>
      </c>
      <c r="DC118" cm="1">
        <f t="array" ref="DC118">INDEX(Properties!$D:$D,$B118+5)*(IF(AND(DC$3&gt;=INDEX(Properties!$T:$T,$B118+5),DC$3&lt;INDEX(Properties!$U:$U,$B118+5)),INDEX(Properties!$P:$P,$B118+5),0))</f>
        <v>0</v>
      </c>
      <c r="DD118" cm="1">
        <f t="array" ref="DD118">INDEX(Properties!$D:$D,$B118+5)*(IF(AND(DD$3&gt;=INDEX(Properties!$T:$T,$B118+5),DD$3&lt;INDEX(Properties!$U:$U,$B118+5)),INDEX(Properties!$P:$P,$B118+5),0))</f>
        <v>0</v>
      </c>
      <c r="DE118" cm="1">
        <f t="array" ref="DE118">INDEX(Properties!$D:$D,$B118+5)*(IF(AND(DE$3&gt;=INDEX(Properties!$T:$T,$B118+5),DE$3&lt;INDEX(Properties!$U:$U,$B118+5)),INDEX(Properties!$P:$P,$B118+5),0))</f>
        <v>0</v>
      </c>
      <c r="DF118" cm="1">
        <f t="array" ref="DF118">INDEX(Properties!$D:$D,$B118+5)*(IF(AND(DF$3&gt;=INDEX(Properties!$T:$T,$B118+5),DF$3&lt;INDEX(Properties!$U:$U,$B118+5)),INDEX(Properties!$P:$P,$B118+5),0))</f>
        <v>0</v>
      </c>
      <c r="DG118" cm="1">
        <f t="array" ref="DG118">INDEX(Properties!$D:$D,$B118+5)*(IF(AND(DG$3&gt;=INDEX(Properties!$T:$T,$B118+5),DG$3&lt;INDEX(Properties!$U:$U,$B118+5)),INDEX(Properties!$P:$P,$B118+5),0))</f>
        <v>0</v>
      </c>
      <c r="DH118" cm="1">
        <f t="array" ref="DH118">INDEX(Properties!$D:$D,$B118+5)*(IF(AND(DH$3&gt;=INDEX(Properties!$T:$T,$B118+5),DH$3&lt;INDEX(Properties!$U:$U,$B118+5)),INDEX(Properties!$P:$P,$B118+5),0))</f>
        <v>0</v>
      </c>
      <c r="DI118" cm="1">
        <f t="array" ref="DI118">INDEX(Properties!$D:$D,$B118+5)*(IF(AND(DI$3&gt;=INDEX(Properties!$T:$T,$B118+5),DI$3&lt;INDEX(Properties!$U:$U,$B118+5)),INDEX(Properties!$P:$P,$B118+5),0))</f>
        <v>0</v>
      </c>
      <c r="DJ118" cm="1">
        <f t="array" ref="DJ118">INDEX(Properties!$D:$D,$B118+5)*(IF(AND(DJ$3&gt;=INDEX(Properties!$T:$T,$B118+5),DJ$3&lt;INDEX(Properties!$U:$U,$B118+5)),INDEX(Properties!$P:$P,$B118+5),0))</f>
        <v>0</v>
      </c>
      <c r="DK118" cm="1">
        <f t="array" ref="DK118">INDEX(Properties!$D:$D,$B118+5)*(IF(AND(DK$3&gt;=INDEX(Properties!$T:$T,$B118+5),DK$3&lt;INDEX(Properties!$U:$U,$B118+5)),INDEX(Properties!$P:$P,$B118+5),0))</f>
        <v>0</v>
      </c>
      <c r="DL118" cm="1">
        <f t="array" ref="DL118">INDEX(Properties!$D:$D,$B118+5)*(IF(AND(DL$3&gt;=INDEX(Properties!$T:$T,$B118+5),DL$3&lt;INDEX(Properties!$U:$U,$B118+5)),INDEX(Properties!$P:$P,$B118+5),0))</f>
        <v>0</v>
      </c>
      <c r="DM118" cm="1">
        <f t="array" ref="DM118">INDEX(Properties!$D:$D,$B118+5)*(IF(AND(DM$3&gt;=INDEX(Properties!$T:$T,$B118+5),DM$3&lt;INDEX(Properties!$U:$U,$B118+5)),INDEX(Properties!$P:$P,$B118+5),0))</f>
        <v>0</v>
      </c>
      <c r="DN118" cm="1">
        <f t="array" ref="DN118">INDEX(Properties!$D:$D,$B118+5)*(IF(AND(DN$3&gt;=INDEX(Properties!$T:$T,$B118+5),DN$3&lt;INDEX(Properties!$U:$U,$B118+5)),INDEX(Properties!$P:$P,$B118+5),0))</f>
        <v>0</v>
      </c>
      <c r="DO118" cm="1">
        <f t="array" ref="DO118">INDEX(Properties!$D:$D,$B118+5)*(IF(AND(DO$3&gt;=INDEX(Properties!$T:$T,$B118+5),DO$3&lt;INDEX(Properties!$U:$U,$B118+5)),INDEX(Properties!$P:$P,$B118+5),0))</f>
        <v>0</v>
      </c>
      <c r="DP118" cm="1">
        <f t="array" ref="DP118">INDEX(Properties!$D:$D,$B118+5)*(IF(AND(DP$3&gt;=INDEX(Properties!$T:$T,$B118+5),DP$3&lt;INDEX(Properties!$U:$U,$B118+5)),INDEX(Properties!$P:$P,$B118+5),0))</f>
        <v>0</v>
      </c>
      <c r="DQ118" cm="1">
        <f t="array" ref="DQ118">INDEX(Properties!$D:$D,$B118+5)*(IF(AND(DQ$3&gt;=INDEX(Properties!$T:$T,$B118+5),DQ$3&lt;INDEX(Properties!$U:$U,$B118+5)),INDEX(Properties!$P:$P,$B118+5),0))</f>
        <v>0</v>
      </c>
      <c r="DR118" cm="1">
        <f t="array" ref="DR118">INDEX(Properties!$D:$D,$B118+5)*(IF(AND(DR$3&gt;=INDEX(Properties!$T:$T,$B118+5),DR$3&lt;INDEX(Properties!$U:$U,$B118+5)),INDEX(Properties!$P:$P,$B118+5),0))</f>
        <v>0</v>
      </c>
    </row>
    <row r="119" spans="1:122" ht="14.55" customHeight="1" x14ac:dyDescent="0.3">
      <c r="A119" cm="1">
        <f t="array" ref="A119">INDEX(Properties!$E:$E,$B119+5)</f>
        <v>0</v>
      </c>
      <c r="B119" s="1">
        <v>8</v>
      </c>
      <c r="C119" cm="1">
        <f t="array" ref="C119">INDEX(Properties!$D:$D,$B119+5)*(IF(AND(C$3&gt;=INDEX(Properties!$T:$T,$B119+5),C$3&lt;INDEX(Properties!$U:$U,$B119+5)),INDEX(Properties!$P:$P,$B119+5),0))</f>
        <v>0</v>
      </c>
      <c r="D119" cm="1">
        <f t="array" ref="D119">INDEX(Properties!$D:$D,$B119+5)*(IF(AND(D$3&gt;=INDEX(Properties!$T:$T,$B119+5),D$3&lt;INDEX(Properties!$U:$U,$B119+5)),INDEX(Properties!$P:$P,$B119+5),0))</f>
        <v>0</v>
      </c>
      <c r="E119" cm="1">
        <f t="array" ref="E119">INDEX(Properties!$D:$D,$B119+5)*(IF(AND(E$3&gt;=INDEX(Properties!$T:$T,$B119+5),E$3&lt;INDEX(Properties!$U:$U,$B119+5)),INDEX(Properties!$P:$P,$B119+5),0))</f>
        <v>0</v>
      </c>
      <c r="F119" cm="1">
        <f t="array" ref="F119">INDEX(Properties!$D:$D,$B119+5)*(IF(AND(F$3&gt;=INDEX(Properties!$T:$T,$B119+5),F$3&lt;INDEX(Properties!$U:$U,$B119+5)),INDEX(Properties!$P:$P,$B119+5),0))</f>
        <v>0</v>
      </c>
      <c r="G119" cm="1">
        <f t="array" ref="G119">INDEX(Properties!$D:$D,$B119+5)*(IF(AND(G$3&gt;=INDEX(Properties!$T:$T,$B119+5),G$3&lt;INDEX(Properties!$U:$U,$B119+5)),INDEX(Properties!$P:$P,$B119+5),0))</f>
        <v>0</v>
      </c>
      <c r="H119" cm="1">
        <f t="array" ref="H119">INDEX(Properties!$D:$D,$B119+5)*(IF(AND(H$3&gt;=INDEX(Properties!$T:$T,$B119+5),H$3&lt;INDEX(Properties!$U:$U,$B119+5)),INDEX(Properties!$P:$P,$B119+5),0))</f>
        <v>0</v>
      </c>
      <c r="I119" cm="1">
        <f t="array" ref="I119">INDEX(Properties!$D:$D,$B119+5)*(IF(AND(I$3&gt;=INDEX(Properties!$T:$T,$B119+5),I$3&lt;INDEX(Properties!$U:$U,$B119+5)),INDEX(Properties!$P:$P,$B119+5),0))</f>
        <v>0</v>
      </c>
      <c r="J119" cm="1">
        <f t="array" ref="J119">INDEX(Properties!$D:$D,$B119+5)*(IF(AND(J$3&gt;=INDEX(Properties!$T:$T,$B119+5),J$3&lt;INDEX(Properties!$U:$U,$B119+5)),INDEX(Properties!$P:$P,$B119+5),0))</f>
        <v>0</v>
      </c>
      <c r="K119" cm="1">
        <f t="array" ref="K119">INDEX(Properties!$D:$D,$B119+5)*(IF(AND(K$3&gt;=INDEX(Properties!$T:$T,$B119+5),K$3&lt;INDEX(Properties!$U:$U,$B119+5)),INDEX(Properties!$P:$P,$B119+5),0))</f>
        <v>0</v>
      </c>
      <c r="L119" cm="1">
        <f t="array" ref="L119">INDEX(Properties!$D:$D,$B119+5)*(IF(AND(L$3&gt;=INDEX(Properties!$T:$T,$B119+5),L$3&lt;INDEX(Properties!$U:$U,$B119+5)),INDEX(Properties!$P:$P,$B119+5),0))</f>
        <v>0</v>
      </c>
      <c r="M119" cm="1">
        <f t="array" ref="M119">INDEX(Properties!$D:$D,$B119+5)*(IF(AND(M$3&gt;=INDEX(Properties!$T:$T,$B119+5),M$3&lt;INDEX(Properties!$U:$U,$B119+5)),INDEX(Properties!$P:$P,$B119+5),0))</f>
        <v>0</v>
      </c>
      <c r="N119" cm="1">
        <f t="array" ref="N119">INDEX(Properties!$D:$D,$B119+5)*(IF(AND(N$3&gt;=INDEX(Properties!$T:$T,$B119+5),N$3&lt;INDEX(Properties!$U:$U,$B119+5)),INDEX(Properties!$P:$P,$B119+5),0))</f>
        <v>0</v>
      </c>
      <c r="O119" cm="1">
        <f t="array" ref="O119">INDEX(Properties!$D:$D,$B119+5)*(IF(AND(O$3&gt;=INDEX(Properties!$T:$T,$B119+5),O$3&lt;INDEX(Properties!$U:$U,$B119+5)),INDEX(Properties!$P:$P,$B119+5),0))</f>
        <v>0</v>
      </c>
      <c r="P119" cm="1">
        <f t="array" ref="P119">INDEX(Properties!$D:$D,$B119+5)*(IF(AND(P$3&gt;=INDEX(Properties!$T:$T,$B119+5),P$3&lt;INDEX(Properties!$U:$U,$B119+5)),INDEX(Properties!$P:$P,$B119+5),0))</f>
        <v>0</v>
      </c>
      <c r="Q119" cm="1">
        <f t="array" ref="Q119">INDEX(Properties!$D:$D,$B119+5)*(IF(AND(Q$3&gt;=INDEX(Properties!$T:$T,$B119+5),Q$3&lt;INDEX(Properties!$U:$U,$B119+5)),INDEX(Properties!$P:$P,$B119+5),0))</f>
        <v>0</v>
      </c>
      <c r="R119" cm="1">
        <f t="array" ref="R119">INDEX(Properties!$D:$D,$B119+5)*(IF(AND(R$3&gt;=INDEX(Properties!$T:$T,$B119+5),R$3&lt;INDEX(Properties!$U:$U,$B119+5)),INDEX(Properties!$P:$P,$B119+5),0))</f>
        <v>0</v>
      </c>
      <c r="S119" cm="1">
        <f t="array" ref="S119">INDEX(Properties!$D:$D,$B119+5)*(IF(AND(S$3&gt;=INDEX(Properties!$T:$T,$B119+5),S$3&lt;INDEX(Properties!$U:$U,$B119+5)),INDEX(Properties!$P:$P,$B119+5),0))</f>
        <v>0</v>
      </c>
      <c r="T119" cm="1">
        <f t="array" ref="T119">INDEX(Properties!$D:$D,$B119+5)*(IF(AND(T$3&gt;=INDEX(Properties!$T:$T,$B119+5),T$3&lt;INDEX(Properties!$U:$U,$B119+5)),INDEX(Properties!$P:$P,$B119+5),0))</f>
        <v>0</v>
      </c>
      <c r="U119" cm="1">
        <f t="array" ref="U119">INDEX(Properties!$D:$D,$B119+5)*(IF(AND(U$3&gt;=INDEX(Properties!$T:$T,$B119+5),U$3&lt;INDEX(Properties!$U:$U,$B119+5)),INDEX(Properties!$P:$P,$B119+5),0))</f>
        <v>0</v>
      </c>
      <c r="V119" cm="1">
        <f t="array" ref="V119">INDEX(Properties!$D:$D,$B119+5)*(IF(AND(V$3&gt;=INDEX(Properties!$T:$T,$B119+5),V$3&lt;INDEX(Properties!$U:$U,$B119+5)),INDEX(Properties!$P:$P,$B119+5),0))</f>
        <v>0</v>
      </c>
      <c r="W119" cm="1">
        <f t="array" ref="W119">INDEX(Properties!$D:$D,$B119+5)*(IF(AND(W$3&gt;=INDEX(Properties!$T:$T,$B119+5),W$3&lt;INDEX(Properties!$U:$U,$B119+5)),INDEX(Properties!$P:$P,$B119+5),0))</f>
        <v>0</v>
      </c>
      <c r="X119" cm="1">
        <f t="array" ref="X119">INDEX(Properties!$D:$D,$B119+5)*(IF(AND(X$3&gt;=INDEX(Properties!$T:$T,$B119+5),X$3&lt;INDEX(Properties!$U:$U,$B119+5)),INDEX(Properties!$P:$P,$B119+5),0))</f>
        <v>0</v>
      </c>
      <c r="Y119" cm="1">
        <f t="array" ref="Y119">INDEX(Properties!$D:$D,$B119+5)*(IF(AND(Y$3&gt;=INDEX(Properties!$T:$T,$B119+5),Y$3&lt;INDEX(Properties!$U:$U,$B119+5)),INDEX(Properties!$P:$P,$B119+5),0))</f>
        <v>0</v>
      </c>
      <c r="Z119" cm="1">
        <f t="array" ref="Z119">INDEX(Properties!$D:$D,$B119+5)*(IF(AND(Z$3&gt;=INDEX(Properties!$T:$T,$B119+5),Z$3&lt;INDEX(Properties!$U:$U,$B119+5)),INDEX(Properties!$P:$P,$B119+5),0))</f>
        <v>0</v>
      </c>
      <c r="AA119" cm="1">
        <f t="array" ref="AA119">INDEX(Properties!$D:$D,$B119+5)*(IF(AND(AA$3&gt;=INDEX(Properties!$T:$T,$B119+5),AA$3&lt;INDEX(Properties!$U:$U,$B119+5)),INDEX(Properties!$P:$P,$B119+5),0))</f>
        <v>0</v>
      </c>
      <c r="AB119" cm="1">
        <f t="array" ref="AB119">INDEX(Properties!$D:$D,$B119+5)*(IF(AND(AB$3&gt;=INDEX(Properties!$T:$T,$B119+5),AB$3&lt;INDEX(Properties!$U:$U,$B119+5)),INDEX(Properties!$P:$P,$B119+5),0))</f>
        <v>0</v>
      </c>
      <c r="AC119" cm="1">
        <f t="array" ref="AC119">INDEX(Properties!$D:$D,$B119+5)*(IF(AND(AC$3&gt;=INDEX(Properties!$T:$T,$B119+5),AC$3&lt;INDEX(Properties!$U:$U,$B119+5)),INDEX(Properties!$P:$P,$B119+5),0))</f>
        <v>0</v>
      </c>
      <c r="AD119" cm="1">
        <f t="array" ref="AD119">INDEX(Properties!$D:$D,$B119+5)*(IF(AND(AD$3&gt;=INDEX(Properties!$T:$T,$B119+5),AD$3&lt;INDEX(Properties!$U:$U,$B119+5)),INDEX(Properties!$P:$P,$B119+5),0))</f>
        <v>0</v>
      </c>
      <c r="AE119" cm="1">
        <f t="array" ref="AE119">INDEX(Properties!$D:$D,$B119+5)*(IF(AND(AE$3&gt;=INDEX(Properties!$T:$T,$B119+5),AE$3&lt;INDEX(Properties!$U:$U,$B119+5)),INDEX(Properties!$P:$P,$B119+5),0))</f>
        <v>0</v>
      </c>
      <c r="AF119" cm="1">
        <f t="array" ref="AF119">INDEX(Properties!$D:$D,$B119+5)*(IF(AND(AF$3&gt;=INDEX(Properties!$T:$T,$B119+5),AF$3&lt;INDEX(Properties!$U:$U,$B119+5)),INDEX(Properties!$P:$P,$B119+5),0))</f>
        <v>0</v>
      </c>
      <c r="AG119" cm="1">
        <f t="array" ref="AG119">INDEX(Properties!$D:$D,$B119+5)*(IF(AND(AG$3&gt;=INDEX(Properties!$T:$T,$B119+5),AG$3&lt;INDEX(Properties!$U:$U,$B119+5)),INDEX(Properties!$P:$P,$B119+5),0))</f>
        <v>0</v>
      </c>
      <c r="AH119" cm="1">
        <f t="array" ref="AH119">INDEX(Properties!$D:$D,$B119+5)*(IF(AND(AH$3&gt;=INDEX(Properties!$T:$T,$B119+5),AH$3&lt;INDEX(Properties!$U:$U,$B119+5)),INDEX(Properties!$P:$P,$B119+5),0))</f>
        <v>0</v>
      </c>
      <c r="AI119" cm="1">
        <f t="array" ref="AI119">INDEX(Properties!$D:$D,$B119+5)*(IF(AND(AI$3&gt;=INDEX(Properties!$T:$T,$B119+5),AI$3&lt;INDEX(Properties!$U:$U,$B119+5)),INDEX(Properties!$P:$P,$B119+5),0))</f>
        <v>0</v>
      </c>
      <c r="AJ119" cm="1">
        <f t="array" ref="AJ119">INDEX(Properties!$D:$D,$B119+5)*(IF(AND(AJ$3&gt;=INDEX(Properties!$T:$T,$B119+5),AJ$3&lt;INDEX(Properties!$U:$U,$B119+5)),INDEX(Properties!$P:$P,$B119+5),0))</f>
        <v>0</v>
      </c>
      <c r="AK119" cm="1">
        <f t="array" ref="AK119">INDEX(Properties!$D:$D,$B119+5)*(IF(AND(AK$3&gt;=INDEX(Properties!$T:$T,$B119+5),AK$3&lt;INDEX(Properties!$U:$U,$B119+5)),INDEX(Properties!$P:$P,$B119+5),0))</f>
        <v>0</v>
      </c>
      <c r="AL119" cm="1">
        <f t="array" ref="AL119">INDEX(Properties!$D:$D,$B119+5)*(IF(AND(AL$3&gt;=INDEX(Properties!$T:$T,$B119+5),AL$3&lt;INDEX(Properties!$U:$U,$B119+5)),INDEX(Properties!$P:$P,$B119+5),0))</f>
        <v>0</v>
      </c>
      <c r="AM119" cm="1">
        <f t="array" ref="AM119">INDEX(Properties!$D:$D,$B119+5)*(IF(AND(AM$3&gt;=INDEX(Properties!$T:$T,$B119+5),AM$3&lt;INDEX(Properties!$U:$U,$B119+5)),INDEX(Properties!$P:$P,$B119+5),0))</f>
        <v>0</v>
      </c>
      <c r="AN119" cm="1">
        <f t="array" ref="AN119">INDEX(Properties!$D:$D,$B119+5)*(IF(AND(AN$3&gt;=INDEX(Properties!$T:$T,$B119+5),AN$3&lt;INDEX(Properties!$U:$U,$B119+5)),INDEX(Properties!$P:$P,$B119+5),0))</f>
        <v>0</v>
      </c>
      <c r="AO119" cm="1">
        <f t="array" ref="AO119">INDEX(Properties!$D:$D,$B119+5)*(IF(AND(AO$3&gt;=INDEX(Properties!$T:$T,$B119+5),AO$3&lt;INDEX(Properties!$U:$U,$B119+5)),INDEX(Properties!$P:$P,$B119+5),0))</f>
        <v>0</v>
      </c>
      <c r="AP119" cm="1">
        <f t="array" ref="AP119">INDEX(Properties!$D:$D,$B119+5)*(IF(AND(AP$3&gt;=INDEX(Properties!$T:$T,$B119+5),AP$3&lt;INDEX(Properties!$U:$U,$B119+5)),INDEX(Properties!$P:$P,$B119+5),0))</f>
        <v>0</v>
      </c>
      <c r="AQ119" cm="1">
        <f t="array" ref="AQ119">INDEX(Properties!$D:$D,$B119+5)*(IF(AND(AQ$3&gt;=INDEX(Properties!$T:$T,$B119+5),AQ$3&lt;INDEX(Properties!$U:$U,$B119+5)),INDEX(Properties!$P:$P,$B119+5),0))</f>
        <v>0</v>
      </c>
      <c r="AR119" cm="1">
        <f t="array" ref="AR119">INDEX(Properties!$D:$D,$B119+5)*(IF(AND(AR$3&gt;=INDEX(Properties!$T:$T,$B119+5),AR$3&lt;INDEX(Properties!$U:$U,$B119+5)),INDEX(Properties!$P:$P,$B119+5),0))</f>
        <v>0</v>
      </c>
      <c r="AS119" cm="1">
        <f t="array" ref="AS119">INDEX(Properties!$D:$D,$B119+5)*(IF(AND(AS$3&gt;=INDEX(Properties!$T:$T,$B119+5),AS$3&lt;INDEX(Properties!$U:$U,$B119+5)),INDEX(Properties!$P:$P,$B119+5),0))</f>
        <v>0</v>
      </c>
      <c r="AT119" cm="1">
        <f t="array" ref="AT119">INDEX(Properties!$D:$D,$B119+5)*(IF(AND(AT$3&gt;=INDEX(Properties!$T:$T,$B119+5),AT$3&lt;INDEX(Properties!$U:$U,$B119+5)),INDEX(Properties!$P:$P,$B119+5),0))</f>
        <v>0</v>
      </c>
      <c r="AU119" cm="1">
        <f t="array" ref="AU119">INDEX(Properties!$D:$D,$B119+5)*(IF(AND(AU$3&gt;=INDEX(Properties!$T:$T,$B119+5),AU$3&lt;INDEX(Properties!$U:$U,$B119+5)),INDEX(Properties!$P:$P,$B119+5),0))</f>
        <v>0</v>
      </c>
      <c r="AV119" cm="1">
        <f t="array" ref="AV119">INDEX(Properties!$D:$D,$B119+5)*(IF(AND(AV$3&gt;=INDEX(Properties!$T:$T,$B119+5),AV$3&lt;INDEX(Properties!$U:$U,$B119+5)),INDEX(Properties!$P:$P,$B119+5),0))</f>
        <v>0</v>
      </c>
      <c r="AW119" cm="1">
        <f t="array" ref="AW119">INDEX(Properties!$D:$D,$B119+5)*(IF(AND(AW$3&gt;=INDEX(Properties!$T:$T,$B119+5),AW$3&lt;INDEX(Properties!$U:$U,$B119+5)),INDEX(Properties!$P:$P,$B119+5),0))</f>
        <v>0</v>
      </c>
      <c r="AX119" cm="1">
        <f t="array" ref="AX119">INDEX(Properties!$D:$D,$B119+5)*(IF(AND(AX$3&gt;=INDEX(Properties!$T:$T,$B119+5),AX$3&lt;INDEX(Properties!$U:$U,$B119+5)),INDEX(Properties!$P:$P,$B119+5),0))</f>
        <v>0</v>
      </c>
      <c r="AY119" cm="1">
        <f t="array" ref="AY119">INDEX(Properties!$D:$D,$B119+5)*(IF(AND(AY$3&gt;=INDEX(Properties!$T:$T,$B119+5),AY$3&lt;INDEX(Properties!$U:$U,$B119+5)),INDEX(Properties!$P:$P,$B119+5),0))</f>
        <v>0</v>
      </c>
      <c r="AZ119" cm="1">
        <f t="array" ref="AZ119">INDEX(Properties!$D:$D,$B119+5)*(IF(AND(AZ$3&gt;=INDEX(Properties!$T:$T,$B119+5),AZ$3&lt;INDEX(Properties!$U:$U,$B119+5)),INDEX(Properties!$P:$P,$B119+5),0))</f>
        <v>0</v>
      </c>
      <c r="BA119" cm="1">
        <f t="array" ref="BA119">INDEX(Properties!$D:$D,$B119+5)*(IF(AND(BA$3&gt;=INDEX(Properties!$T:$T,$B119+5),BA$3&lt;INDEX(Properties!$U:$U,$B119+5)),INDEX(Properties!$P:$P,$B119+5),0))</f>
        <v>0</v>
      </c>
      <c r="BB119" cm="1">
        <f t="array" ref="BB119">INDEX(Properties!$D:$D,$B119+5)*(IF(AND(BB$3&gt;=INDEX(Properties!$T:$T,$B119+5),BB$3&lt;INDEX(Properties!$U:$U,$B119+5)),INDEX(Properties!$P:$P,$B119+5),0))</f>
        <v>0</v>
      </c>
      <c r="BC119" cm="1">
        <f t="array" ref="BC119">INDEX(Properties!$D:$D,$B119+5)*(IF(AND(BC$3&gt;=INDEX(Properties!$T:$T,$B119+5),BC$3&lt;INDEX(Properties!$U:$U,$B119+5)),INDEX(Properties!$P:$P,$B119+5),0))</f>
        <v>0</v>
      </c>
      <c r="BD119" cm="1">
        <f t="array" ref="BD119">INDEX(Properties!$D:$D,$B119+5)*(IF(AND(BD$3&gt;=INDEX(Properties!$T:$T,$B119+5),BD$3&lt;INDEX(Properties!$U:$U,$B119+5)),INDEX(Properties!$P:$P,$B119+5),0))</f>
        <v>0</v>
      </c>
      <c r="BE119" cm="1">
        <f t="array" ref="BE119">INDEX(Properties!$D:$D,$B119+5)*(IF(AND(BE$3&gt;=INDEX(Properties!$T:$T,$B119+5),BE$3&lt;INDEX(Properties!$U:$U,$B119+5)),INDEX(Properties!$P:$P,$B119+5),0))</f>
        <v>0</v>
      </c>
      <c r="BF119" cm="1">
        <f t="array" ref="BF119">INDEX(Properties!$D:$D,$B119+5)*(IF(AND(BF$3&gt;=INDEX(Properties!$T:$T,$B119+5),BF$3&lt;INDEX(Properties!$U:$U,$B119+5)),INDEX(Properties!$P:$P,$B119+5),0))</f>
        <v>0</v>
      </c>
      <c r="BG119" cm="1">
        <f t="array" ref="BG119">INDEX(Properties!$D:$D,$B119+5)*(IF(AND(BG$3&gt;=INDEX(Properties!$T:$T,$B119+5),BG$3&lt;INDEX(Properties!$U:$U,$B119+5)),INDEX(Properties!$P:$P,$B119+5),0))</f>
        <v>0</v>
      </c>
      <c r="BH119" cm="1">
        <f t="array" ref="BH119">INDEX(Properties!$D:$D,$B119+5)*(IF(AND(BH$3&gt;=INDEX(Properties!$T:$T,$B119+5),BH$3&lt;INDEX(Properties!$U:$U,$B119+5)),INDEX(Properties!$P:$P,$B119+5),0))</f>
        <v>0</v>
      </c>
      <c r="BI119" cm="1">
        <f t="array" ref="BI119">INDEX(Properties!$D:$D,$B119+5)*(IF(AND(BI$3&gt;=INDEX(Properties!$T:$T,$B119+5),BI$3&lt;INDEX(Properties!$U:$U,$B119+5)),INDEX(Properties!$P:$P,$B119+5),0))</f>
        <v>0</v>
      </c>
      <c r="BJ119" cm="1">
        <f t="array" ref="BJ119">INDEX(Properties!$D:$D,$B119+5)*(IF(AND(BJ$3&gt;=INDEX(Properties!$T:$T,$B119+5),BJ$3&lt;INDEX(Properties!$U:$U,$B119+5)),INDEX(Properties!$P:$P,$B119+5),0))</f>
        <v>0</v>
      </c>
      <c r="BK119" cm="1">
        <f t="array" ref="BK119">INDEX(Properties!$D:$D,$B119+5)*(IF(AND(BK$3&gt;=INDEX(Properties!$T:$T,$B119+5),BK$3&lt;INDEX(Properties!$U:$U,$B119+5)),INDEX(Properties!$P:$P,$B119+5),0))</f>
        <v>0</v>
      </c>
      <c r="BL119" cm="1">
        <f t="array" ref="BL119">INDEX(Properties!$D:$D,$B119+5)*(IF(AND(BL$3&gt;=INDEX(Properties!$T:$T,$B119+5),BL$3&lt;INDEX(Properties!$U:$U,$B119+5)),INDEX(Properties!$P:$P,$B119+5),0))</f>
        <v>0</v>
      </c>
      <c r="BM119" cm="1">
        <f t="array" ref="BM119">INDEX(Properties!$D:$D,$B119+5)*(IF(AND(BM$3&gt;=INDEX(Properties!$T:$T,$B119+5),BM$3&lt;INDEX(Properties!$U:$U,$B119+5)),INDEX(Properties!$P:$P,$B119+5),0))</f>
        <v>0</v>
      </c>
      <c r="BN119" cm="1">
        <f t="array" ref="BN119">INDEX(Properties!$D:$D,$B119+5)*(IF(AND(BN$3&gt;=INDEX(Properties!$T:$T,$B119+5),BN$3&lt;INDEX(Properties!$U:$U,$B119+5)),INDEX(Properties!$P:$P,$B119+5),0))</f>
        <v>0</v>
      </c>
      <c r="BO119" cm="1">
        <f t="array" ref="BO119">INDEX(Properties!$D:$D,$B119+5)*(IF(AND(BO$3&gt;=INDEX(Properties!$T:$T,$B119+5),BO$3&lt;INDEX(Properties!$U:$U,$B119+5)),INDEX(Properties!$P:$P,$B119+5),0))</f>
        <v>0</v>
      </c>
      <c r="BP119" cm="1">
        <f t="array" ref="BP119">INDEX(Properties!$D:$D,$B119+5)*(IF(AND(BP$3&gt;=INDEX(Properties!$T:$T,$B119+5),BP$3&lt;INDEX(Properties!$U:$U,$B119+5)),INDEX(Properties!$P:$P,$B119+5),0))</f>
        <v>0</v>
      </c>
      <c r="BQ119" cm="1">
        <f t="array" ref="BQ119">INDEX(Properties!$D:$D,$B119+5)*(IF(AND(BQ$3&gt;=INDEX(Properties!$T:$T,$B119+5),BQ$3&lt;INDEX(Properties!$U:$U,$B119+5)),INDEX(Properties!$P:$P,$B119+5),0))</f>
        <v>0</v>
      </c>
      <c r="BR119" cm="1">
        <f t="array" ref="BR119">INDEX(Properties!$D:$D,$B119+5)*(IF(AND(BR$3&gt;=INDEX(Properties!$T:$T,$B119+5),BR$3&lt;INDEX(Properties!$U:$U,$B119+5)),INDEX(Properties!$P:$P,$B119+5),0))</f>
        <v>0</v>
      </c>
      <c r="BS119" cm="1">
        <f t="array" ref="BS119">INDEX(Properties!$D:$D,$B119+5)*(IF(AND(BS$3&gt;=INDEX(Properties!$T:$T,$B119+5),BS$3&lt;INDEX(Properties!$U:$U,$B119+5)),INDEX(Properties!$P:$P,$B119+5),0))</f>
        <v>0</v>
      </c>
      <c r="BT119" cm="1">
        <f t="array" ref="BT119">INDEX(Properties!$D:$D,$B119+5)*(IF(AND(BT$3&gt;=INDEX(Properties!$T:$T,$B119+5),BT$3&lt;INDEX(Properties!$U:$U,$B119+5)),INDEX(Properties!$P:$P,$B119+5),0))</f>
        <v>0</v>
      </c>
      <c r="BU119" cm="1">
        <f t="array" ref="BU119">INDEX(Properties!$D:$D,$B119+5)*(IF(AND(BU$3&gt;=INDEX(Properties!$T:$T,$B119+5),BU$3&lt;INDEX(Properties!$U:$U,$B119+5)),INDEX(Properties!$P:$P,$B119+5),0))</f>
        <v>0</v>
      </c>
      <c r="BV119" cm="1">
        <f t="array" ref="BV119">INDEX(Properties!$D:$D,$B119+5)*(IF(AND(BV$3&gt;=INDEX(Properties!$T:$T,$B119+5),BV$3&lt;INDEX(Properties!$U:$U,$B119+5)),INDEX(Properties!$P:$P,$B119+5),0))</f>
        <v>0</v>
      </c>
      <c r="BW119" cm="1">
        <f t="array" ref="BW119">INDEX(Properties!$D:$D,$B119+5)*(IF(AND(BW$3&gt;=INDEX(Properties!$T:$T,$B119+5),BW$3&lt;INDEX(Properties!$U:$U,$B119+5)),INDEX(Properties!$P:$P,$B119+5),0))</f>
        <v>0</v>
      </c>
      <c r="BX119" cm="1">
        <f t="array" ref="BX119">INDEX(Properties!$D:$D,$B119+5)*(IF(AND(BX$3&gt;=INDEX(Properties!$T:$T,$B119+5),BX$3&lt;INDEX(Properties!$U:$U,$B119+5)),INDEX(Properties!$P:$P,$B119+5),0))</f>
        <v>0</v>
      </c>
      <c r="BY119" cm="1">
        <f t="array" ref="BY119">INDEX(Properties!$D:$D,$B119+5)*(IF(AND(BY$3&gt;=INDEX(Properties!$T:$T,$B119+5),BY$3&lt;INDEX(Properties!$U:$U,$B119+5)),INDEX(Properties!$P:$P,$B119+5),0))</f>
        <v>0</v>
      </c>
      <c r="BZ119" cm="1">
        <f t="array" ref="BZ119">INDEX(Properties!$D:$D,$B119+5)*(IF(AND(BZ$3&gt;=INDEX(Properties!$T:$T,$B119+5),BZ$3&lt;INDEX(Properties!$U:$U,$B119+5)),INDEX(Properties!$P:$P,$B119+5),0))</f>
        <v>0</v>
      </c>
      <c r="CA119" cm="1">
        <f t="array" ref="CA119">INDEX(Properties!$D:$D,$B119+5)*(IF(AND(CA$3&gt;=INDEX(Properties!$T:$T,$B119+5),CA$3&lt;INDEX(Properties!$U:$U,$B119+5)),INDEX(Properties!$P:$P,$B119+5),0))</f>
        <v>0</v>
      </c>
      <c r="CB119" cm="1">
        <f t="array" ref="CB119">INDEX(Properties!$D:$D,$B119+5)*(IF(AND(CB$3&gt;=INDEX(Properties!$T:$T,$B119+5),CB$3&lt;INDEX(Properties!$U:$U,$B119+5)),INDEX(Properties!$P:$P,$B119+5),0))</f>
        <v>0</v>
      </c>
      <c r="CC119" cm="1">
        <f t="array" ref="CC119">INDEX(Properties!$D:$D,$B119+5)*(IF(AND(CC$3&gt;=INDEX(Properties!$T:$T,$B119+5),CC$3&lt;INDEX(Properties!$U:$U,$B119+5)),INDEX(Properties!$P:$P,$B119+5),0))</f>
        <v>0</v>
      </c>
      <c r="CD119" cm="1">
        <f t="array" ref="CD119">INDEX(Properties!$D:$D,$B119+5)*(IF(AND(CD$3&gt;=INDEX(Properties!$T:$T,$B119+5),CD$3&lt;INDEX(Properties!$U:$U,$B119+5)),INDEX(Properties!$P:$P,$B119+5),0))</f>
        <v>0</v>
      </c>
      <c r="CE119" cm="1">
        <f t="array" ref="CE119">INDEX(Properties!$D:$D,$B119+5)*(IF(AND(CE$3&gt;=INDEX(Properties!$T:$T,$B119+5),CE$3&lt;INDEX(Properties!$U:$U,$B119+5)),INDEX(Properties!$P:$P,$B119+5),0))</f>
        <v>0</v>
      </c>
      <c r="CF119" cm="1">
        <f t="array" ref="CF119">INDEX(Properties!$D:$D,$B119+5)*(IF(AND(CF$3&gt;=INDEX(Properties!$T:$T,$B119+5),CF$3&lt;INDEX(Properties!$U:$U,$B119+5)),INDEX(Properties!$P:$P,$B119+5),0))</f>
        <v>0</v>
      </c>
      <c r="CG119" cm="1">
        <f t="array" ref="CG119">INDEX(Properties!$D:$D,$B119+5)*(IF(AND(CG$3&gt;=INDEX(Properties!$T:$T,$B119+5),CG$3&lt;INDEX(Properties!$U:$U,$B119+5)),INDEX(Properties!$P:$P,$B119+5),0))</f>
        <v>0</v>
      </c>
      <c r="CH119" cm="1">
        <f t="array" ref="CH119">INDEX(Properties!$D:$D,$B119+5)*(IF(AND(CH$3&gt;=INDEX(Properties!$T:$T,$B119+5),CH$3&lt;INDEX(Properties!$U:$U,$B119+5)),INDEX(Properties!$P:$P,$B119+5),0))</f>
        <v>0</v>
      </c>
      <c r="CI119" cm="1">
        <f t="array" ref="CI119">INDEX(Properties!$D:$D,$B119+5)*(IF(AND(CI$3&gt;=INDEX(Properties!$T:$T,$B119+5),CI$3&lt;INDEX(Properties!$U:$U,$B119+5)),INDEX(Properties!$P:$P,$B119+5),0))</f>
        <v>0</v>
      </c>
      <c r="CJ119" cm="1">
        <f t="array" ref="CJ119">INDEX(Properties!$D:$D,$B119+5)*(IF(AND(CJ$3&gt;=INDEX(Properties!$T:$T,$B119+5),CJ$3&lt;INDEX(Properties!$U:$U,$B119+5)),INDEX(Properties!$P:$P,$B119+5),0))</f>
        <v>0</v>
      </c>
      <c r="CK119" cm="1">
        <f t="array" ref="CK119">INDEX(Properties!$D:$D,$B119+5)*(IF(AND(CK$3&gt;=INDEX(Properties!$T:$T,$B119+5),CK$3&lt;INDEX(Properties!$U:$U,$B119+5)),INDEX(Properties!$P:$P,$B119+5),0))</f>
        <v>0</v>
      </c>
      <c r="CL119" cm="1">
        <f t="array" ref="CL119">INDEX(Properties!$D:$D,$B119+5)*(IF(AND(CL$3&gt;=INDEX(Properties!$T:$T,$B119+5),CL$3&lt;INDEX(Properties!$U:$U,$B119+5)),INDEX(Properties!$P:$P,$B119+5),0))</f>
        <v>0</v>
      </c>
      <c r="CM119" cm="1">
        <f t="array" ref="CM119">INDEX(Properties!$D:$D,$B119+5)*(IF(AND(CM$3&gt;=INDEX(Properties!$T:$T,$B119+5),CM$3&lt;INDEX(Properties!$U:$U,$B119+5)),INDEX(Properties!$P:$P,$B119+5),0))</f>
        <v>0</v>
      </c>
      <c r="CN119" cm="1">
        <f t="array" ref="CN119">INDEX(Properties!$D:$D,$B119+5)*(IF(AND(CN$3&gt;=INDEX(Properties!$T:$T,$B119+5),CN$3&lt;INDEX(Properties!$U:$U,$B119+5)),INDEX(Properties!$P:$P,$B119+5),0))</f>
        <v>0</v>
      </c>
      <c r="CO119" cm="1">
        <f t="array" ref="CO119">INDEX(Properties!$D:$D,$B119+5)*(IF(AND(CO$3&gt;=INDEX(Properties!$T:$T,$B119+5),CO$3&lt;INDEX(Properties!$U:$U,$B119+5)),INDEX(Properties!$P:$P,$B119+5),0))</f>
        <v>0</v>
      </c>
      <c r="CP119" cm="1">
        <f t="array" ref="CP119">INDEX(Properties!$D:$D,$B119+5)*(IF(AND(CP$3&gt;=INDEX(Properties!$T:$T,$B119+5),CP$3&lt;INDEX(Properties!$U:$U,$B119+5)),INDEX(Properties!$P:$P,$B119+5),0))</f>
        <v>0</v>
      </c>
      <c r="CQ119" cm="1">
        <f t="array" ref="CQ119">INDEX(Properties!$D:$D,$B119+5)*(IF(AND(CQ$3&gt;=INDEX(Properties!$T:$T,$B119+5),CQ$3&lt;INDEX(Properties!$U:$U,$B119+5)),INDEX(Properties!$P:$P,$B119+5),0))</f>
        <v>0</v>
      </c>
      <c r="CR119" cm="1">
        <f t="array" ref="CR119">INDEX(Properties!$D:$D,$B119+5)*(IF(AND(CR$3&gt;=INDEX(Properties!$T:$T,$B119+5),CR$3&lt;INDEX(Properties!$U:$U,$B119+5)),INDEX(Properties!$P:$P,$B119+5),0))</f>
        <v>0</v>
      </c>
      <c r="CS119" cm="1">
        <f t="array" ref="CS119">INDEX(Properties!$D:$D,$B119+5)*(IF(AND(CS$3&gt;=INDEX(Properties!$T:$T,$B119+5),CS$3&lt;INDEX(Properties!$U:$U,$B119+5)),INDEX(Properties!$P:$P,$B119+5),0))</f>
        <v>0</v>
      </c>
      <c r="CT119" cm="1">
        <f t="array" ref="CT119">INDEX(Properties!$D:$D,$B119+5)*(IF(AND(CT$3&gt;=INDEX(Properties!$T:$T,$B119+5),CT$3&lt;INDEX(Properties!$U:$U,$B119+5)),INDEX(Properties!$P:$P,$B119+5),0))</f>
        <v>0</v>
      </c>
      <c r="CU119" cm="1">
        <f t="array" ref="CU119">INDEX(Properties!$D:$D,$B119+5)*(IF(AND(CU$3&gt;=INDEX(Properties!$T:$T,$B119+5),CU$3&lt;INDEX(Properties!$U:$U,$B119+5)),INDEX(Properties!$P:$P,$B119+5),0))</f>
        <v>0</v>
      </c>
      <c r="CV119" cm="1">
        <f t="array" ref="CV119">INDEX(Properties!$D:$D,$B119+5)*(IF(AND(CV$3&gt;=INDEX(Properties!$T:$T,$B119+5),CV$3&lt;INDEX(Properties!$U:$U,$B119+5)),INDEX(Properties!$P:$P,$B119+5),0))</f>
        <v>0</v>
      </c>
      <c r="CW119" cm="1">
        <f t="array" ref="CW119">INDEX(Properties!$D:$D,$B119+5)*(IF(AND(CW$3&gt;=INDEX(Properties!$T:$T,$B119+5),CW$3&lt;INDEX(Properties!$U:$U,$B119+5)),INDEX(Properties!$P:$P,$B119+5),0))</f>
        <v>0</v>
      </c>
      <c r="CX119" cm="1">
        <f t="array" ref="CX119">INDEX(Properties!$D:$D,$B119+5)*(IF(AND(CX$3&gt;=INDEX(Properties!$T:$T,$B119+5),CX$3&lt;INDEX(Properties!$U:$U,$B119+5)),INDEX(Properties!$P:$P,$B119+5),0))</f>
        <v>0</v>
      </c>
      <c r="CY119" cm="1">
        <f t="array" ref="CY119">INDEX(Properties!$D:$D,$B119+5)*(IF(AND(CY$3&gt;=INDEX(Properties!$T:$T,$B119+5),CY$3&lt;INDEX(Properties!$U:$U,$B119+5)),INDEX(Properties!$P:$P,$B119+5),0))</f>
        <v>0</v>
      </c>
      <c r="CZ119" cm="1">
        <f t="array" ref="CZ119">INDEX(Properties!$D:$D,$B119+5)*(IF(AND(CZ$3&gt;=INDEX(Properties!$T:$T,$B119+5),CZ$3&lt;INDEX(Properties!$U:$U,$B119+5)),INDEX(Properties!$P:$P,$B119+5),0))</f>
        <v>0</v>
      </c>
      <c r="DA119" cm="1">
        <f t="array" ref="DA119">INDEX(Properties!$D:$D,$B119+5)*(IF(AND(DA$3&gt;=INDEX(Properties!$T:$T,$B119+5),DA$3&lt;INDEX(Properties!$U:$U,$B119+5)),INDEX(Properties!$P:$P,$B119+5),0))</f>
        <v>0</v>
      </c>
      <c r="DB119" cm="1">
        <f t="array" ref="DB119">INDEX(Properties!$D:$D,$B119+5)*(IF(AND(DB$3&gt;=INDEX(Properties!$T:$T,$B119+5),DB$3&lt;INDEX(Properties!$U:$U,$B119+5)),INDEX(Properties!$P:$P,$B119+5),0))</f>
        <v>0</v>
      </c>
      <c r="DC119" cm="1">
        <f t="array" ref="DC119">INDEX(Properties!$D:$D,$B119+5)*(IF(AND(DC$3&gt;=INDEX(Properties!$T:$T,$B119+5),DC$3&lt;INDEX(Properties!$U:$U,$B119+5)),INDEX(Properties!$P:$P,$B119+5),0))</f>
        <v>0</v>
      </c>
      <c r="DD119" cm="1">
        <f t="array" ref="DD119">INDEX(Properties!$D:$D,$B119+5)*(IF(AND(DD$3&gt;=INDEX(Properties!$T:$T,$B119+5),DD$3&lt;INDEX(Properties!$U:$U,$B119+5)),INDEX(Properties!$P:$P,$B119+5),0))</f>
        <v>0</v>
      </c>
      <c r="DE119" cm="1">
        <f t="array" ref="DE119">INDEX(Properties!$D:$D,$B119+5)*(IF(AND(DE$3&gt;=INDEX(Properties!$T:$T,$B119+5),DE$3&lt;INDEX(Properties!$U:$U,$B119+5)),INDEX(Properties!$P:$P,$B119+5),0))</f>
        <v>0</v>
      </c>
      <c r="DF119" cm="1">
        <f t="array" ref="DF119">INDEX(Properties!$D:$D,$B119+5)*(IF(AND(DF$3&gt;=INDEX(Properties!$T:$T,$B119+5),DF$3&lt;INDEX(Properties!$U:$U,$B119+5)),INDEX(Properties!$P:$P,$B119+5),0))</f>
        <v>0</v>
      </c>
      <c r="DG119" cm="1">
        <f t="array" ref="DG119">INDEX(Properties!$D:$D,$B119+5)*(IF(AND(DG$3&gt;=INDEX(Properties!$T:$T,$B119+5),DG$3&lt;INDEX(Properties!$U:$U,$B119+5)),INDEX(Properties!$P:$P,$B119+5),0))</f>
        <v>0</v>
      </c>
      <c r="DH119" cm="1">
        <f t="array" ref="DH119">INDEX(Properties!$D:$D,$B119+5)*(IF(AND(DH$3&gt;=INDEX(Properties!$T:$T,$B119+5),DH$3&lt;INDEX(Properties!$U:$U,$B119+5)),INDEX(Properties!$P:$P,$B119+5),0))</f>
        <v>0</v>
      </c>
      <c r="DI119" cm="1">
        <f t="array" ref="DI119">INDEX(Properties!$D:$D,$B119+5)*(IF(AND(DI$3&gt;=INDEX(Properties!$T:$T,$B119+5),DI$3&lt;INDEX(Properties!$U:$U,$B119+5)),INDEX(Properties!$P:$P,$B119+5),0))</f>
        <v>0</v>
      </c>
      <c r="DJ119" cm="1">
        <f t="array" ref="DJ119">INDEX(Properties!$D:$D,$B119+5)*(IF(AND(DJ$3&gt;=INDEX(Properties!$T:$T,$B119+5),DJ$3&lt;INDEX(Properties!$U:$U,$B119+5)),INDEX(Properties!$P:$P,$B119+5),0))</f>
        <v>0</v>
      </c>
      <c r="DK119" cm="1">
        <f t="array" ref="DK119">INDEX(Properties!$D:$D,$B119+5)*(IF(AND(DK$3&gt;=INDEX(Properties!$T:$T,$B119+5),DK$3&lt;INDEX(Properties!$U:$U,$B119+5)),INDEX(Properties!$P:$P,$B119+5),0))</f>
        <v>0</v>
      </c>
      <c r="DL119" cm="1">
        <f t="array" ref="DL119">INDEX(Properties!$D:$D,$B119+5)*(IF(AND(DL$3&gt;=INDEX(Properties!$T:$T,$B119+5),DL$3&lt;INDEX(Properties!$U:$U,$B119+5)),INDEX(Properties!$P:$P,$B119+5),0))</f>
        <v>0</v>
      </c>
      <c r="DM119" cm="1">
        <f t="array" ref="DM119">INDEX(Properties!$D:$D,$B119+5)*(IF(AND(DM$3&gt;=INDEX(Properties!$T:$T,$B119+5),DM$3&lt;INDEX(Properties!$U:$U,$B119+5)),INDEX(Properties!$P:$P,$B119+5),0))</f>
        <v>0</v>
      </c>
      <c r="DN119" cm="1">
        <f t="array" ref="DN119">INDEX(Properties!$D:$D,$B119+5)*(IF(AND(DN$3&gt;=INDEX(Properties!$T:$T,$B119+5),DN$3&lt;INDEX(Properties!$U:$U,$B119+5)),INDEX(Properties!$P:$P,$B119+5),0))</f>
        <v>0</v>
      </c>
      <c r="DO119" cm="1">
        <f t="array" ref="DO119">INDEX(Properties!$D:$D,$B119+5)*(IF(AND(DO$3&gt;=INDEX(Properties!$T:$T,$B119+5),DO$3&lt;INDEX(Properties!$U:$U,$B119+5)),INDEX(Properties!$P:$P,$B119+5),0))</f>
        <v>0</v>
      </c>
      <c r="DP119" cm="1">
        <f t="array" ref="DP119">INDEX(Properties!$D:$D,$B119+5)*(IF(AND(DP$3&gt;=INDEX(Properties!$T:$T,$B119+5),DP$3&lt;INDEX(Properties!$U:$U,$B119+5)),INDEX(Properties!$P:$P,$B119+5),0))</f>
        <v>0</v>
      </c>
      <c r="DQ119" cm="1">
        <f t="array" ref="DQ119">INDEX(Properties!$D:$D,$B119+5)*(IF(AND(DQ$3&gt;=INDEX(Properties!$T:$T,$B119+5),DQ$3&lt;INDEX(Properties!$U:$U,$B119+5)),INDEX(Properties!$P:$P,$B119+5),0))</f>
        <v>0</v>
      </c>
      <c r="DR119" cm="1">
        <f t="array" ref="DR119">INDEX(Properties!$D:$D,$B119+5)*(IF(AND(DR$3&gt;=INDEX(Properties!$T:$T,$B119+5),DR$3&lt;INDEX(Properties!$U:$U,$B119+5)),INDEX(Properties!$P:$P,$B119+5),0))</f>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4A9CC-948F-4536-B435-C741CCE5D246}">
  <sheetPr>
    <tabColor rgb="FF132E57"/>
  </sheetPr>
  <dimension ref="A1:O62"/>
  <sheetViews>
    <sheetView workbookViewId="0">
      <pane ySplit="5" topLeftCell="A6" activePane="bottomLeft" state="frozen"/>
      <selection pane="bottomLeft"/>
    </sheetView>
  </sheetViews>
  <sheetFormatPr defaultRowHeight="14.4" x14ac:dyDescent="0.3"/>
  <cols>
    <col min="1" max="1" width="55.5546875" customWidth="1"/>
    <col min="2" max="2" width="11.109375" customWidth="1"/>
    <col min="3" max="15" width="11.44140625" customWidth="1"/>
  </cols>
  <sheetData>
    <row r="1" spans="1:15" ht="24" customHeight="1" x14ac:dyDescent="0.35">
      <c r="A1" s="440" t="s">
        <v>1099</v>
      </c>
      <c r="B1" s="439"/>
      <c r="C1" s="439"/>
      <c r="D1" s="439"/>
      <c r="E1" s="439"/>
      <c r="F1" s="439"/>
      <c r="G1" s="439"/>
      <c r="H1" s="439"/>
      <c r="I1" s="439"/>
      <c r="J1" s="439"/>
      <c r="K1" s="439"/>
      <c r="L1" s="439"/>
      <c r="M1" s="439"/>
      <c r="N1" s="439"/>
      <c r="O1" s="439"/>
    </row>
    <row r="2" spans="1:15" ht="14.55" customHeight="1" x14ac:dyDescent="0.3">
      <c r="A2" s="441" t="s">
        <v>1131</v>
      </c>
      <c r="B2" s="439"/>
      <c r="C2" s="439"/>
      <c r="D2" s="439"/>
      <c r="E2" s="439"/>
      <c r="F2" s="439"/>
      <c r="G2" s="439"/>
      <c r="H2" s="439"/>
      <c r="I2" s="439"/>
      <c r="J2" s="439"/>
      <c r="K2" s="439"/>
      <c r="L2" s="439"/>
      <c r="M2" s="439"/>
      <c r="N2" s="439"/>
      <c r="O2" s="439"/>
    </row>
    <row r="3" spans="1:15" ht="16.05" customHeight="1" x14ac:dyDescent="0.3">
      <c r="A3" s="439"/>
      <c r="B3" s="439"/>
      <c r="C3" s="439"/>
      <c r="D3" s="439"/>
      <c r="E3" s="439"/>
      <c r="F3" s="439"/>
      <c r="G3" s="439"/>
      <c r="H3" s="439"/>
      <c r="I3" s="439"/>
      <c r="J3" s="439"/>
      <c r="K3" s="439"/>
      <c r="L3" s="439"/>
      <c r="M3" s="439"/>
      <c r="N3" s="439"/>
      <c r="O3" s="439"/>
    </row>
    <row r="4" spans="1:15" ht="16.05" customHeight="1" x14ac:dyDescent="0.3">
      <c r="A4" s="442" t="s">
        <v>1100</v>
      </c>
      <c r="B4" s="442"/>
      <c r="C4" s="444">
        <v>1</v>
      </c>
      <c r="D4" s="444">
        <v>2</v>
      </c>
      <c r="E4" s="444">
        <v>3</v>
      </c>
      <c r="F4" s="444">
        <v>4</v>
      </c>
      <c r="G4" s="444">
        <v>5</v>
      </c>
      <c r="H4" s="444">
        <v>6</v>
      </c>
      <c r="I4" s="444">
        <v>7</v>
      </c>
      <c r="J4" s="444">
        <v>8</v>
      </c>
      <c r="K4" s="444">
        <v>9</v>
      </c>
      <c r="L4" s="444">
        <v>10</v>
      </c>
      <c r="M4" s="444">
        <v>11</v>
      </c>
      <c r="N4" s="444">
        <v>12</v>
      </c>
      <c r="O4" s="444"/>
    </row>
    <row r="5" spans="1:15" ht="16.05" customHeight="1" x14ac:dyDescent="0.3">
      <c r="A5" s="443" t="s">
        <v>1060</v>
      </c>
      <c r="B5" s="443"/>
      <c r="C5" s="445" t="str">
        <f t="shared" ref="C5:N5" si="0">TEXT(DATE(2027,C$4,1),"mmm")</f>
        <v>Jan</v>
      </c>
      <c r="D5" s="445" t="str">
        <f t="shared" si="0"/>
        <v>Feb</v>
      </c>
      <c r="E5" s="445" t="str">
        <f t="shared" si="0"/>
        <v>Mar</v>
      </c>
      <c r="F5" s="445" t="str">
        <f t="shared" si="0"/>
        <v>Apr</v>
      </c>
      <c r="G5" s="445" t="str">
        <f t="shared" si="0"/>
        <v>May</v>
      </c>
      <c r="H5" s="445" t="str">
        <f t="shared" si="0"/>
        <v>Jun</v>
      </c>
      <c r="I5" s="445" t="str">
        <f t="shared" si="0"/>
        <v>Jul</v>
      </c>
      <c r="J5" s="445" t="str">
        <f t="shared" si="0"/>
        <v>Aug</v>
      </c>
      <c r="K5" s="445" t="str">
        <f t="shared" si="0"/>
        <v>Sep</v>
      </c>
      <c r="L5" s="445" t="str">
        <f t="shared" si="0"/>
        <v>Oct</v>
      </c>
      <c r="M5" s="445" t="str">
        <f t="shared" si="0"/>
        <v>Nov</v>
      </c>
      <c r="N5" s="445" t="str">
        <f t="shared" si="0"/>
        <v>Dec</v>
      </c>
      <c r="O5" s="445" t="s">
        <v>1101</v>
      </c>
    </row>
    <row r="6" spans="1:15" ht="16.05" customHeight="1" x14ac:dyDescent="0.3">
      <c r="A6" s="439" t="s">
        <v>1102</v>
      </c>
      <c r="B6" s="439"/>
      <c r="C6" s="439">
        <f t="shared" ref="C6:N6" si="1">DAY(EOMONTH(DATE(2027,C$4,1),0))</f>
        <v>31</v>
      </c>
      <c r="D6" s="439">
        <f t="shared" si="1"/>
        <v>28</v>
      </c>
      <c r="E6" s="439">
        <f t="shared" si="1"/>
        <v>31</v>
      </c>
      <c r="F6" s="439">
        <f t="shared" si="1"/>
        <v>30</v>
      </c>
      <c r="G6" s="439">
        <f t="shared" si="1"/>
        <v>31</v>
      </c>
      <c r="H6" s="439">
        <f t="shared" si="1"/>
        <v>30</v>
      </c>
      <c r="I6" s="439">
        <f t="shared" si="1"/>
        <v>31</v>
      </c>
      <c r="J6" s="439">
        <f t="shared" si="1"/>
        <v>31</v>
      </c>
      <c r="K6" s="439">
        <f t="shared" si="1"/>
        <v>30</v>
      </c>
      <c r="L6" s="439">
        <f t="shared" si="1"/>
        <v>31</v>
      </c>
      <c r="M6" s="439">
        <f t="shared" si="1"/>
        <v>30</v>
      </c>
      <c r="N6" s="439">
        <f t="shared" si="1"/>
        <v>31</v>
      </c>
      <c r="O6" s="439">
        <f>SUM(C6:N6)</f>
        <v>365</v>
      </c>
    </row>
    <row r="7" spans="1:15" ht="16.05" customHeight="1" x14ac:dyDescent="0.3">
      <c r="A7" s="439"/>
      <c r="B7" s="439"/>
      <c r="C7" s="439"/>
      <c r="D7" s="439"/>
      <c r="E7" s="439"/>
      <c r="F7" s="439"/>
      <c r="G7" s="439"/>
      <c r="H7" s="439"/>
      <c r="I7" s="439"/>
      <c r="J7" s="439"/>
      <c r="K7" s="439"/>
      <c r="L7" s="439"/>
      <c r="M7" s="439"/>
      <c r="N7" s="439"/>
      <c r="O7" s="439"/>
    </row>
    <row r="8" spans="1:15" ht="19.95" customHeight="1" x14ac:dyDescent="0.3">
      <c r="A8" s="447" t="s">
        <v>1103</v>
      </c>
      <c r="B8" s="447"/>
      <c r="C8" s="447"/>
      <c r="D8" s="447"/>
      <c r="E8" s="447"/>
      <c r="F8" s="447"/>
      <c r="G8" s="447"/>
      <c r="H8" s="447"/>
      <c r="I8" s="447"/>
      <c r="J8" s="447"/>
      <c r="K8" s="447"/>
      <c r="L8" s="447"/>
      <c r="M8" s="447"/>
      <c r="N8" s="447"/>
      <c r="O8" s="447"/>
    </row>
    <row r="9" spans="1:15" ht="16.05" customHeight="1" x14ac:dyDescent="0.3">
      <c r="A9" s="439" t="s">
        <v>1104</v>
      </c>
      <c r="B9" s="439" t="s">
        <v>1105</v>
      </c>
      <c r="C9" s="448">
        <v>1.1499999999999999</v>
      </c>
      <c r="D9" s="448">
        <v>1</v>
      </c>
      <c r="E9" s="448">
        <v>0.95</v>
      </c>
      <c r="F9" s="448">
        <v>0.85</v>
      </c>
      <c r="G9" s="448">
        <v>0.85</v>
      </c>
      <c r="H9" s="448">
        <v>1.05</v>
      </c>
      <c r="I9" s="448">
        <v>1.1499999999999999</v>
      </c>
      <c r="J9" s="448">
        <v>1.1499999999999999</v>
      </c>
      <c r="K9" s="448">
        <v>0.9</v>
      </c>
      <c r="L9" s="448">
        <v>0.9</v>
      </c>
      <c r="M9" s="448">
        <v>0.95</v>
      </c>
      <c r="N9" s="448">
        <v>1.1000000000000001</v>
      </c>
      <c r="O9" s="449">
        <f>AVERAGE(C9:N9)</f>
        <v>1</v>
      </c>
    </row>
    <row r="10" spans="1:15" ht="16.05" customHeight="1" x14ac:dyDescent="0.3">
      <c r="A10" s="439" t="s">
        <v>1106</v>
      </c>
      <c r="B10" s="439" t="s">
        <v>1105</v>
      </c>
      <c r="C10" s="448">
        <v>1.1000000000000001</v>
      </c>
      <c r="D10" s="448">
        <v>1</v>
      </c>
      <c r="E10" s="448">
        <v>0.95</v>
      </c>
      <c r="F10" s="448">
        <v>0.95</v>
      </c>
      <c r="G10" s="448">
        <v>0.9</v>
      </c>
      <c r="H10" s="448">
        <v>1</v>
      </c>
      <c r="I10" s="448">
        <v>1.05</v>
      </c>
      <c r="J10" s="448">
        <v>1.1000000000000001</v>
      </c>
      <c r="K10" s="448">
        <v>0.95</v>
      </c>
      <c r="L10" s="448">
        <v>0.95</v>
      </c>
      <c r="M10" s="448">
        <v>0.95</v>
      </c>
      <c r="N10" s="448">
        <v>1.1000000000000001</v>
      </c>
      <c r="O10" s="449">
        <f>AVERAGE(C10:N10)</f>
        <v>0.99999999999999989</v>
      </c>
    </row>
    <row r="11" spans="1:15" ht="16.05" customHeight="1" x14ac:dyDescent="0.3">
      <c r="A11" s="439" t="s">
        <v>1107</v>
      </c>
      <c r="B11" s="439" t="s">
        <v>1108</v>
      </c>
      <c r="C11" s="448">
        <v>1.25</v>
      </c>
      <c r="D11" s="448">
        <v>1</v>
      </c>
      <c r="E11" s="448">
        <v>0.9</v>
      </c>
      <c r="F11" s="448">
        <v>0.85</v>
      </c>
      <c r="G11" s="448">
        <v>0.8</v>
      </c>
      <c r="H11" s="448">
        <v>1.05</v>
      </c>
      <c r="I11" s="448">
        <v>1.1000000000000001</v>
      </c>
      <c r="J11" s="448">
        <v>1.05</v>
      </c>
      <c r="K11" s="448">
        <v>0.85</v>
      </c>
      <c r="L11" s="448">
        <v>0.9</v>
      </c>
      <c r="M11" s="448">
        <v>0.95</v>
      </c>
      <c r="N11" s="448">
        <v>1.3</v>
      </c>
      <c r="O11" s="449">
        <f>AVERAGE(C11:N11)</f>
        <v>1</v>
      </c>
    </row>
    <row r="12" spans="1:15" ht="16.05" customHeight="1" x14ac:dyDescent="0.3">
      <c r="A12" s="439" t="s">
        <v>1109</v>
      </c>
      <c r="B12" s="439" t="s">
        <v>1108</v>
      </c>
      <c r="C12" s="448">
        <v>1.1499999999999999</v>
      </c>
      <c r="D12" s="448">
        <v>0.95</v>
      </c>
      <c r="E12" s="448">
        <v>0.95</v>
      </c>
      <c r="F12" s="448">
        <v>1</v>
      </c>
      <c r="G12" s="448">
        <v>0.9</v>
      </c>
      <c r="H12" s="448">
        <v>1</v>
      </c>
      <c r="I12" s="448">
        <v>1.05</v>
      </c>
      <c r="J12" s="448">
        <v>1</v>
      </c>
      <c r="K12" s="448">
        <v>0.95</v>
      </c>
      <c r="L12" s="448">
        <v>0.9</v>
      </c>
      <c r="M12" s="448">
        <v>0.95</v>
      </c>
      <c r="N12" s="448">
        <v>1.2</v>
      </c>
      <c r="O12" s="449">
        <f>AVERAGE(C12:N12)</f>
        <v>0.99999999999999989</v>
      </c>
    </row>
    <row r="13" spans="1:15" ht="16.05" customHeight="1" x14ac:dyDescent="0.3">
      <c r="A13" s="439"/>
      <c r="B13" s="439"/>
      <c r="C13" s="449"/>
      <c r="D13" s="449"/>
      <c r="E13" s="449"/>
      <c r="F13" s="449"/>
      <c r="G13" s="449"/>
      <c r="H13" s="449"/>
      <c r="I13" s="449"/>
      <c r="J13" s="449"/>
      <c r="K13" s="449"/>
      <c r="L13" s="449"/>
      <c r="M13" s="449"/>
      <c r="N13" s="449"/>
      <c r="O13" s="449"/>
    </row>
    <row r="14" spans="1:15" ht="19.95" customHeight="1" x14ac:dyDescent="0.3">
      <c r="A14" s="447" t="s">
        <v>1110</v>
      </c>
      <c r="B14" s="447"/>
      <c r="C14" s="450"/>
      <c r="D14" s="450"/>
      <c r="E14" s="450"/>
      <c r="F14" s="450"/>
      <c r="G14" s="450"/>
      <c r="H14" s="450"/>
      <c r="I14" s="450"/>
      <c r="J14" s="450"/>
      <c r="K14" s="450"/>
      <c r="L14" s="450"/>
      <c r="M14" s="450"/>
      <c r="N14" s="450"/>
      <c r="O14" s="450"/>
    </row>
    <row r="15" spans="1:15" ht="16.05" customHeight="1" x14ac:dyDescent="0.3">
      <c r="A15" s="439" t="str">
        <f t="shared" ref="A15:B18" si="2">A9</f>
        <v>El Poblado, Medellín — occupancy factor</v>
      </c>
      <c r="B15" s="439" t="str">
        <f t="shared" si="2"/>
        <v>Poblado</v>
      </c>
      <c r="C15" s="449">
        <f t="shared" ref="C15:N15" si="3">C9/$O9</f>
        <v>1.1499999999999999</v>
      </c>
      <c r="D15" s="449">
        <f t="shared" si="3"/>
        <v>1</v>
      </c>
      <c r="E15" s="449">
        <f t="shared" si="3"/>
        <v>0.95</v>
      </c>
      <c r="F15" s="449">
        <f t="shared" si="3"/>
        <v>0.85</v>
      </c>
      <c r="G15" s="449">
        <f t="shared" si="3"/>
        <v>0.85</v>
      </c>
      <c r="H15" s="449">
        <f t="shared" si="3"/>
        <v>1.05</v>
      </c>
      <c r="I15" s="449">
        <f t="shared" si="3"/>
        <v>1.1499999999999999</v>
      </c>
      <c r="J15" s="449">
        <f t="shared" si="3"/>
        <v>1.1499999999999999</v>
      </c>
      <c r="K15" s="449">
        <f t="shared" si="3"/>
        <v>0.9</v>
      </c>
      <c r="L15" s="449">
        <f t="shared" si="3"/>
        <v>0.9</v>
      </c>
      <c r="M15" s="449">
        <f t="shared" si="3"/>
        <v>0.95</v>
      </c>
      <c r="N15" s="449">
        <f t="shared" si="3"/>
        <v>1.1000000000000001</v>
      </c>
      <c r="O15" s="449">
        <f>AVERAGE(C15:N15)</f>
        <v>1</v>
      </c>
    </row>
    <row r="16" spans="1:15" ht="16.05" customHeight="1" x14ac:dyDescent="0.3">
      <c r="A16" s="439" t="str">
        <f t="shared" si="2"/>
        <v>El Poblado, Medellín — daily rate factor</v>
      </c>
      <c r="B16" s="439" t="str">
        <f t="shared" si="2"/>
        <v>Poblado</v>
      </c>
      <c r="C16" s="449">
        <f t="shared" ref="C16:N16" si="4">C10/$O10</f>
        <v>1.1000000000000003</v>
      </c>
      <c r="D16" s="449">
        <f t="shared" si="4"/>
        <v>1</v>
      </c>
      <c r="E16" s="449">
        <f t="shared" si="4"/>
        <v>0.95000000000000007</v>
      </c>
      <c r="F16" s="449">
        <f t="shared" si="4"/>
        <v>0.95000000000000007</v>
      </c>
      <c r="G16" s="449">
        <f t="shared" si="4"/>
        <v>0.90000000000000013</v>
      </c>
      <c r="H16" s="449">
        <f t="shared" si="4"/>
        <v>1</v>
      </c>
      <c r="I16" s="449">
        <f t="shared" si="4"/>
        <v>1.0500000000000003</v>
      </c>
      <c r="J16" s="449">
        <f t="shared" si="4"/>
        <v>1.1000000000000003</v>
      </c>
      <c r="K16" s="449">
        <f t="shared" si="4"/>
        <v>0.95000000000000007</v>
      </c>
      <c r="L16" s="449">
        <f t="shared" si="4"/>
        <v>0.95000000000000007</v>
      </c>
      <c r="M16" s="449">
        <f t="shared" si="4"/>
        <v>0.95000000000000007</v>
      </c>
      <c r="N16" s="449">
        <f t="shared" si="4"/>
        <v>1.1000000000000003</v>
      </c>
      <c r="O16" s="449">
        <f>AVERAGE(C16:N16)</f>
        <v>0.99999999999999989</v>
      </c>
    </row>
    <row r="17" spans="1:15" ht="16.05" customHeight="1" x14ac:dyDescent="0.3">
      <c r="A17" s="439" t="str">
        <f t="shared" si="2"/>
        <v>El Retiro, Antioquia — occupancy factor</v>
      </c>
      <c r="B17" s="439" t="str">
        <f t="shared" si="2"/>
        <v>Retiro</v>
      </c>
      <c r="C17" s="449">
        <f t="shared" ref="C17:N17" si="5">C11/$O11</f>
        <v>1.25</v>
      </c>
      <c r="D17" s="449">
        <f t="shared" si="5"/>
        <v>1</v>
      </c>
      <c r="E17" s="449">
        <f t="shared" si="5"/>
        <v>0.9</v>
      </c>
      <c r="F17" s="449">
        <f t="shared" si="5"/>
        <v>0.85</v>
      </c>
      <c r="G17" s="449">
        <f t="shared" si="5"/>
        <v>0.8</v>
      </c>
      <c r="H17" s="449">
        <f t="shared" si="5"/>
        <v>1.05</v>
      </c>
      <c r="I17" s="449">
        <f t="shared" si="5"/>
        <v>1.1000000000000001</v>
      </c>
      <c r="J17" s="449">
        <f t="shared" si="5"/>
        <v>1.05</v>
      </c>
      <c r="K17" s="449">
        <f t="shared" si="5"/>
        <v>0.85</v>
      </c>
      <c r="L17" s="449">
        <f t="shared" si="5"/>
        <v>0.9</v>
      </c>
      <c r="M17" s="449">
        <f t="shared" si="5"/>
        <v>0.95</v>
      </c>
      <c r="N17" s="449">
        <f t="shared" si="5"/>
        <v>1.3</v>
      </c>
      <c r="O17" s="449">
        <f>AVERAGE(C17:N17)</f>
        <v>1</v>
      </c>
    </row>
    <row r="18" spans="1:15" ht="16.05" customHeight="1" x14ac:dyDescent="0.3">
      <c r="A18" s="439" t="str">
        <f t="shared" si="2"/>
        <v>El Retiro, Antioquia — daily rate factor</v>
      </c>
      <c r="B18" s="439" t="str">
        <f t="shared" si="2"/>
        <v>Retiro</v>
      </c>
      <c r="C18" s="449">
        <f t="shared" ref="C18:N18" si="6">C12/$O12</f>
        <v>1.1500000000000001</v>
      </c>
      <c r="D18" s="449">
        <f t="shared" si="6"/>
        <v>0.95000000000000007</v>
      </c>
      <c r="E18" s="449">
        <f t="shared" si="6"/>
        <v>0.95000000000000007</v>
      </c>
      <c r="F18" s="449">
        <f t="shared" si="6"/>
        <v>1</v>
      </c>
      <c r="G18" s="449">
        <f t="shared" si="6"/>
        <v>0.90000000000000013</v>
      </c>
      <c r="H18" s="449">
        <f t="shared" si="6"/>
        <v>1</v>
      </c>
      <c r="I18" s="449">
        <f t="shared" si="6"/>
        <v>1.0500000000000003</v>
      </c>
      <c r="J18" s="449">
        <f t="shared" si="6"/>
        <v>1</v>
      </c>
      <c r="K18" s="449">
        <f t="shared" si="6"/>
        <v>0.95000000000000007</v>
      </c>
      <c r="L18" s="449">
        <f t="shared" si="6"/>
        <v>0.90000000000000013</v>
      </c>
      <c r="M18" s="449">
        <f t="shared" si="6"/>
        <v>0.95000000000000007</v>
      </c>
      <c r="N18" s="449">
        <f t="shared" si="6"/>
        <v>1.2000000000000002</v>
      </c>
      <c r="O18" s="449">
        <f>AVERAGE(C18:N18)</f>
        <v>1</v>
      </c>
    </row>
    <row r="19" spans="1:15" ht="16.05" customHeight="1" x14ac:dyDescent="0.3">
      <c r="A19" s="439"/>
      <c r="B19" s="439"/>
      <c r="C19" s="439"/>
      <c r="D19" s="439"/>
      <c r="E19" s="439"/>
      <c r="F19" s="439"/>
      <c r="G19" s="439"/>
      <c r="H19" s="439"/>
      <c r="I19" s="439"/>
      <c r="J19" s="439"/>
      <c r="K19" s="439"/>
      <c r="L19" s="439"/>
      <c r="M19" s="439"/>
      <c r="N19" s="439"/>
      <c r="O19" s="439"/>
    </row>
    <row r="20" spans="1:15" ht="19.95" customHeight="1" x14ac:dyDescent="0.3">
      <c r="A20" s="447" t="s">
        <v>1111</v>
      </c>
      <c r="B20" s="447"/>
      <c r="C20" s="447"/>
      <c r="D20" s="447"/>
      <c r="E20" s="447"/>
      <c r="F20" s="447"/>
      <c r="G20" s="447"/>
      <c r="H20" s="447"/>
      <c r="I20" s="447"/>
      <c r="J20" s="447"/>
      <c r="K20" s="447"/>
      <c r="L20" s="447"/>
      <c r="M20" s="447"/>
      <c r="N20" s="447"/>
      <c r="O20" s="447"/>
    </row>
    <row r="21" spans="1:15" ht="16.05" customHeight="1" x14ac:dyDescent="0.3">
      <c r="A21" s="439" t="s">
        <v>1092</v>
      </c>
      <c r="B21" s="439"/>
      <c r="C21" s="452">
        <f>Input!$C$171</f>
        <v>28</v>
      </c>
      <c r="D21" s="441" t="s">
        <v>1114</v>
      </c>
      <c r="E21" s="439"/>
      <c r="F21" s="439"/>
      <c r="G21" s="439"/>
      <c r="H21" s="439"/>
      <c r="I21" s="439"/>
      <c r="J21" s="439"/>
      <c r="K21" s="439"/>
      <c r="L21" s="439"/>
      <c r="M21" s="439"/>
      <c r="N21" s="439"/>
      <c r="O21" s="439"/>
    </row>
    <row r="22" spans="1:15" ht="16.05" customHeight="1" x14ac:dyDescent="0.3">
      <c r="A22" s="439" t="s">
        <v>1112</v>
      </c>
      <c r="B22" s="439"/>
      <c r="C22" s="453">
        <f>Input!$C$170</f>
        <v>9500</v>
      </c>
      <c r="D22" s="441" t="s">
        <v>1115</v>
      </c>
      <c r="E22" s="439"/>
      <c r="F22" s="439"/>
      <c r="G22" s="439"/>
      <c r="H22" s="439"/>
      <c r="I22" s="439"/>
      <c r="J22" s="439"/>
      <c r="K22" s="439"/>
      <c r="L22" s="439"/>
      <c r="M22" s="439"/>
      <c r="N22" s="439"/>
      <c r="O22" s="439"/>
    </row>
    <row r="23" spans="1:15" ht="16.05" customHeight="1" x14ac:dyDescent="0.3">
      <c r="A23" s="439" t="s">
        <v>1113</v>
      </c>
      <c r="B23" s="439"/>
      <c r="C23" s="452">
        <f>Input!$C$172</f>
        <v>35</v>
      </c>
      <c r="D23" s="441" t="s">
        <v>1116</v>
      </c>
      <c r="E23" s="439"/>
      <c r="F23" s="439"/>
      <c r="G23" s="439"/>
      <c r="H23" s="439"/>
      <c r="I23" s="439"/>
      <c r="J23" s="439"/>
      <c r="K23" s="439"/>
      <c r="L23" s="439"/>
      <c r="M23" s="439"/>
      <c r="N23" s="439"/>
      <c r="O23" s="439"/>
    </row>
    <row r="24" spans="1:15" ht="16.05" customHeight="1" x14ac:dyDescent="0.3">
      <c r="A24" s="439"/>
      <c r="B24" s="439"/>
      <c r="C24" s="439"/>
      <c r="D24" s="439"/>
      <c r="E24" s="439"/>
      <c r="F24" s="439"/>
      <c r="G24" s="439"/>
      <c r="H24" s="439"/>
      <c r="I24" s="439"/>
      <c r="J24" s="439"/>
      <c r="K24" s="439"/>
      <c r="L24" s="439"/>
      <c r="M24" s="439"/>
      <c r="N24" s="439"/>
      <c r="O24" s="439"/>
    </row>
    <row r="25" spans="1:15" ht="19.95" customHeight="1" x14ac:dyDescent="0.3">
      <c r="A25" s="447" t="s">
        <v>1117</v>
      </c>
      <c r="B25" s="447"/>
      <c r="C25" s="447"/>
      <c r="D25" s="447"/>
      <c r="E25" s="447"/>
      <c r="F25" s="447"/>
      <c r="G25" s="447"/>
      <c r="H25" s="447"/>
      <c r="I25" s="447"/>
      <c r="J25" s="447"/>
      <c r="K25" s="447"/>
      <c r="L25" s="447"/>
      <c r="M25" s="447"/>
      <c r="N25" s="447"/>
      <c r="O25" s="447" t="s">
        <v>1120</v>
      </c>
    </row>
    <row r="26" spans="1:15" ht="16.05" customHeight="1" x14ac:dyDescent="0.3">
      <c r="A26" s="451" t="str">
        <f>IF(Properties!$D6=1,Properties!$E6,"")</f>
        <v>Aires de Campestre Apto 801 (Penthouse)</v>
      </c>
      <c r="B26" s="451" t="str">
        <f>IF(ISNUMBER(SEARCH("Retiro",Properties!$F6)),"Retiro","Poblado")</f>
        <v>Poblado</v>
      </c>
      <c r="C26" s="455" cm="1">
        <f t="array" ref="C26">IF(Properties!$D6=1,_xlfn.LET(_xlpm.d,INDEX(Input!$J$80:$J$89,Properties!$A6)*IF($B26="Retiro",C$18,C$16),(MIN($C$21*_xlpm.d,$C$22)+MAX(0,$C$23-$C$21)*_xlpm.d)/$C$23),0)</f>
        <v>297.00000000000006</v>
      </c>
      <c r="D26" s="455" cm="1">
        <f t="array" ref="D26">IF(Properties!$D6=1,_xlfn.LET(_xlpm.d,INDEX(Input!$J$80:$J$89,Properties!$A6)*IF($B26="Retiro",D$18,D$16),(MIN($C$21*_xlpm.d,$C$22)+MAX(0,$C$23-$C$21)*_xlpm.d)/$C$23),0)</f>
        <v>270</v>
      </c>
      <c r="E26" s="455" cm="1">
        <f t="array" ref="E26">IF(Properties!$D6=1,_xlfn.LET(_xlpm.d,INDEX(Input!$J$80:$J$89,Properties!$A6)*IF($B26="Retiro",E$18,E$16),(MIN($C$21*_xlpm.d,$C$22)+MAX(0,$C$23-$C$21)*_xlpm.d)/$C$23),0)</f>
        <v>256.5</v>
      </c>
      <c r="F26" s="455" cm="1">
        <f t="array" ref="F26">IF(Properties!$D6=1,_xlfn.LET(_xlpm.d,INDEX(Input!$J$80:$J$89,Properties!$A6)*IF($B26="Retiro",F$18,F$16),(MIN($C$21*_xlpm.d,$C$22)+MAX(0,$C$23-$C$21)*_xlpm.d)/$C$23),0)</f>
        <v>256.5</v>
      </c>
      <c r="G26" s="455" cm="1">
        <f t="array" ref="G26">IF(Properties!$D6=1,_xlfn.LET(_xlpm.d,INDEX(Input!$J$80:$J$89,Properties!$A6)*IF($B26="Retiro",G$18,G$16),(MIN($C$21*_xlpm.d,$C$22)+MAX(0,$C$23-$C$21)*_xlpm.d)/$C$23),0)</f>
        <v>243.00000000000006</v>
      </c>
      <c r="H26" s="455" cm="1">
        <f t="array" ref="H26">IF(Properties!$D6=1,_xlfn.LET(_xlpm.d,INDEX(Input!$J$80:$J$89,Properties!$A6)*IF($B26="Retiro",H$18,H$16),(MIN($C$21*_xlpm.d,$C$22)+MAX(0,$C$23-$C$21)*_xlpm.d)/$C$23),0)</f>
        <v>270</v>
      </c>
      <c r="I26" s="455" cm="1">
        <f t="array" ref="I26">IF(Properties!$D6=1,_xlfn.LET(_xlpm.d,INDEX(Input!$J$80:$J$89,Properties!$A6)*IF($B26="Retiro",I$18,I$16),(MIN($C$21*_xlpm.d,$C$22)+MAX(0,$C$23-$C$21)*_xlpm.d)/$C$23),0)</f>
        <v>283.50000000000006</v>
      </c>
      <c r="J26" s="455" cm="1">
        <f t="array" ref="J26">IF(Properties!$D6=1,_xlfn.LET(_xlpm.d,INDEX(Input!$J$80:$J$89,Properties!$A6)*IF($B26="Retiro",J$18,J$16),(MIN($C$21*_xlpm.d,$C$22)+MAX(0,$C$23-$C$21)*_xlpm.d)/$C$23),0)</f>
        <v>297.00000000000006</v>
      </c>
      <c r="K26" s="455" cm="1">
        <f t="array" ref="K26">IF(Properties!$D6=1,_xlfn.LET(_xlpm.d,INDEX(Input!$J$80:$J$89,Properties!$A6)*IF($B26="Retiro",K$18,K$16),(MIN($C$21*_xlpm.d,$C$22)+MAX(0,$C$23-$C$21)*_xlpm.d)/$C$23),0)</f>
        <v>256.5</v>
      </c>
      <c r="L26" s="455" cm="1">
        <f t="array" ref="L26">IF(Properties!$D6=1,_xlfn.LET(_xlpm.d,INDEX(Input!$J$80:$J$89,Properties!$A6)*IF($B26="Retiro",L$18,L$16),(MIN($C$21*_xlpm.d,$C$22)+MAX(0,$C$23-$C$21)*_xlpm.d)/$C$23),0)</f>
        <v>256.5</v>
      </c>
      <c r="M26" s="455" cm="1">
        <f t="array" ref="M26">IF(Properties!$D6=1,_xlfn.LET(_xlpm.d,INDEX(Input!$J$80:$J$89,Properties!$A6)*IF($B26="Retiro",M$18,M$16),(MIN($C$21*_xlpm.d,$C$22)+MAX(0,$C$23-$C$21)*_xlpm.d)/$C$23),0)</f>
        <v>256.5</v>
      </c>
      <c r="N26" s="455" cm="1">
        <f t="array" ref="N26">IF(Properties!$D6=1,_xlfn.LET(_xlpm.d,INDEX(Input!$J$80:$J$89,Properties!$A6)*IF($B26="Retiro",N$18,N$16),(MIN($C$21*_xlpm.d,$C$22)+MAX(0,$C$23-$C$21)*_xlpm.d)/$C$23),0)</f>
        <v>297.00000000000006</v>
      </c>
      <c r="O26" s="455">
        <f t="shared" ref="O26:O35" si="7">SUMPRODUCT($C$6:$N$6,C26:N26)/$O$6</f>
        <v>270.11095890410957</v>
      </c>
    </row>
    <row r="27" spans="1:15" ht="16.05" customHeight="1" x14ac:dyDescent="0.3">
      <c r="A27" s="451" t="str">
        <f>IF(Properties!$D7=1,Properties!$E7,"")</f>
        <v>Fontanar Apto 201 (Penthouse)</v>
      </c>
      <c r="B27" s="451" t="str">
        <f>IF(ISNUMBER(SEARCH("Retiro",Properties!$F7)),"Retiro","Poblado")</f>
        <v>Poblado</v>
      </c>
      <c r="C27" s="455" cm="1">
        <f t="array" ref="C27">IF(Properties!$D7=1,_xlfn.LET(_xlpm.d,INDEX(Input!$J$80:$J$89,Properties!$A7)*IF($B27="Retiro",C$18,C$16),(MIN($C$21*_xlpm.d,$C$22)+MAX(0,$C$23-$C$21)*_xlpm.d)/$C$23),0)</f>
        <v>297.00000000000006</v>
      </c>
      <c r="D27" s="455" cm="1">
        <f t="array" ref="D27">IF(Properties!$D7=1,_xlfn.LET(_xlpm.d,INDEX(Input!$J$80:$J$89,Properties!$A7)*IF($B27="Retiro",D$18,D$16),(MIN($C$21*_xlpm.d,$C$22)+MAX(0,$C$23-$C$21)*_xlpm.d)/$C$23),0)</f>
        <v>270</v>
      </c>
      <c r="E27" s="455" cm="1">
        <f t="array" ref="E27">IF(Properties!$D7=1,_xlfn.LET(_xlpm.d,INDEX(Input!$J$80:$J$89,Properties!$A7)*IF($B27="Retiro",E$18,E$16),(MIN($C$21*_xlpm.d,$C$22)+MAX(0,$C$23-$C$21)*_xlpm.d)/$C$23),0)</f>
        <v>256.5</v>
      </c>
      <c r="F27" s="455" cm="1">
        <f t="array" ref="F27">IF(Properties!$D7=1,_xlfn.LET(_xlpm.d,INDEX(Input!$J$80:$J$89,Properties!$A7)*IF($B27="Retiro",F$18,F$16),(MIN($C$21*_xlpm.d,$C$22)+MAX(0,$C$23-$C$21)*_xlpm.d)/$C$23),0)</f>
        <v>256.5</v>
      </c>
      <c r="G27" s="455" cm="1">
        <f t="array" ref="G27">IF(Properties!$D7=1,_xlfn.LET(_xlpm.d,INDEX(Input!$J$80:$J$89,Properties!$A7)*IF($B27="Retiro",G$18,G$16),(MIN($C$21*_xlpm.d,$C$22)+MAX(0,$C$23-$C$21)*_xlpm.d)/$C$23),0)</f>
        <v>243.00000000000006</v>
      </c>
      <c r="H27" s="455" cm="1">
        <f t="array" ref="H27">IF(Properties!$D7=1,_xlfn.LET(_xlpm.d,INDEX(Input!$J$80:$J$89,Properties!$A7)*IF($B27="Retiro",H$18,H$16),(MIN($C$21*_xlpm.d,$C$22)+MAX(0,$C$23-$C$21)*_xlpm.d)/$C$23),0)</f>
        <v>270</v>
      </c>
      <c r="I27" s="455" cm="1">
        <f t="array" ref="I27">IF(Properties!$D7=1,_xlfn.LET(_xlpm.d,INDEX(Input!$J$80:$J$89,Properties!$A7)*IF($B27="Retiro",I$18,I$16),(MIN($C$21*_xlpm.d,$C$22)+MAX(0,$C$23-$C$21)*_xlpm.d)/$C$23),0)</f>
        <v>283.50000000000006</v>
      </c>
      <c r="J27" s="455" cm="1">
        <f t="array" ref="J27">IF(Properties!$D7=1,_xlfn.LET(_xlpm.d,INDEX(Input!$J$80:$J$89,Properties!$A7)*IF($B27="Retiro",J$18,J$16),(MIN($C$21*_xlpm.d,$C$22)+MAX(0,$C$23-$C$21)*_xlpm.d)/$C$23),0)</f>
        <v>297.00000000000006</v>
      </c>
      <c r="K27" s="455" cm="1">
        <f t="array" ref="K27">IF(Properties!$D7=1,_xlfn.LET(_xlpm.d,INDEX(Input!$J$80:$J$89,Properties!$A7)*IF($B27="Retiro",K$18,K$16),(MIN($C$21*_xlpm.d,$C$22)+MAX(0,$C$23-$C$21)*_xlpm.d)/$C$23),0)</f>
        <v>256.5</v>
      </c>
      <c r="L27" s="455" cm="1">
        <f t="array" ref="L27">IF(Properties!$D7=1,_xlfn.LET(_xlpm.d,INDEX(Input!$J$80:$J$89,Properties!$A7)*IF($B27="Retiro",L$18,L$16),(MIN($C$21*_xlpm.d,$C$22)+MAX(0,$C$23-$C$21)*_xlpm.d)/$C$23),0)</f>
        <v>256.5</v>
      </c>
      <c r="M27" s="455" cm="1">
        <f t="array" ref="M27">IF(Properties!$D7=1,_xlfn.LET(_xlpm.d,INDEX(Input!$J$80:$J$89,Properties!$A7)*IF($B27="Retiro",M$18,M$16),(MIN($C$21*_xlpm.d,$C$22)+MAX(0,$C$23-$C$21)*_xlpm.d)/$C$23),0)</f>
        <v>256.5</v>
      </c>
      <c r="N27" s="455" cm="1">
        <f t="array" ref="N27">IF(Properties!$D7=1,_xlfn.LET(_xlpm.d,INDEX(Input!$J$80:$J$89,Properties!$A7)*IF($B27="Retiro",N$18,N$16),(MIN($C$21*_xlpm.d,$C$22)+MAX(0,$C$23-$C$21)*_xlpm.d)/$C$23),0)</f>
        <v>297.00000000000006</v>
      </c>
      <c r="O27" s="455">
        <f t="shared" si="7"/>
        <v>270.11095890410957</v>
      </c>
    </row>
    <row r="28" spans="1:15" ht="16.05" customHeight="1" x14ac:dyDescent="0.3">
      <c r="A28" s="451" t="str">
        <f>IF(Properties!$D8=1,Properties!$E8,"")</f>
        <v>San Lucas Apto 101</v>
      </c>
      <c r="B28" s="451" t="str">
        <f>IF(ISNUMBER(SEARCH("Retiro",Properties!$F8)),"Retiro","Poblado")</f>
        <v>Poblado</v>
      </c>
      <c r="C28" s="455" cm="1">
        <f t="array" ref="C28">IF(Properties!$D8=1,_xlfn.LET(_xlpm.d,INDEX(Input!$J$80:$J$89,Properties!$A8)*IF($B28="Retiro",C$18,C$16),(MIN($C$21*_xlpm.d,$C$22)+MAX(0,$C$23-$C$21)*_xlpm.d)/$C$23),0)</f>
        <v>275.00000000000006</v>
      </c>
      <c r="D28" s="455" cm="1">
        <f t="array" ref="D28">IF(Properties!$D8=1,_xlfn.LET(_xlpm.d,INDEX(Input!$J$80:$J$89,Properties!$A8)*IF($B28="Retiro",D$18,D$16),(MIN($C$21*_xlpm.d,$C$22)+MAX(0,$C$23-$C$21)*_xlpm.d)/$C$23),0)</f>
        <v>250</v>
      </c>
      <c r="E28" s="455" cm="1">
        <f t="array" ref="E28">IF(Properties!$D8=1,_xlfn.LET(_xlpm.d,INDEX(Input!$J$80:$J$89,Properties!$A8)*IF($B28="Retiro",E$18,E$16),(MIN($C$21*_xlpm.d,$C$22)+MAX(0,$C$23-$C$21)*_xlpm.d)/$C$23),0)</f>
        <v>237.50000000000006</v>
      </c>
      <c r="F28" s="455" cm="1">
        <f t="array" ref="F28">IF(Properties!$D8=1,_xlfn.LET(_xlpm.d,INDEX(Input!$J$80:$J$89,Properties!$A8)*IF($B28="Retiro",F$18,F$16),(MIN($C$21*_xlpm.d,$C$22)+MAX(0,$C$23-$C$21)*_xlpm.d)/$C$23),0)</f>
        <v>237.50000000000006</v>
      </c>
      <c r="G28" s="455" cm="1">
        <f t="array" ref="G28">IF(Properties!$D8=1,_xlfn.LET(_xlpm.d,INDEX(Input!$J$80:$J$89,Properties!$A8)*IF($B28="Retiro",G$18,G$16),(MIN($C$21*_xlpm.d,$C$22)+MAX(0,$C$23-$C$21)*_xlpm.d)/$C$23),0)</f>
        <v>225.00000000000003</v>
      </c>
      <c r="H28" s="455" cm="1">
        <f t="array" ref="H28">IF(Properties!$D8=1,_xlfn.LET(_xlpm.d,INDEX(Input!$J$80:$J$89,Properties!$A8)*IF($B28="Retiro",H$18,H$16),(MIN($C$21*_xlpm.d,$C$22)+MAX(0,$C$23-$C$21)*_xlpm.d)/$C$23),0)</f>
        <v>250</v>
      </c>
      <c r="I28" s="455" cm="1">
        <f t="array" ref="I28">IF(Properties!$D8=1,_xlfn.LET(_xlpm.d,INDEX(Input!$J$80:$J$89,Properties!$A8)*IF($B28="Retiro",I$18,I$16),(MIN($C$21*_xlpm.d,$C$22)+MAX(0,$C$23-$C$21)*_xlpm.d)/$C$23),0)</f>
        <v>262.50000000000006</v>
      </c>
      <c r="J28" s="455" cm="1">
        <f t="array" ref="J28">IF(Properties!$D8=1,_xlfn.LET(_xlpm.d,INDEX(Input!$J$80:$J$89,Properties!$A8)*IF($B28="Retiro",J$18,J$16),(MIN($C$21*_xlpm.d,$C$22)+MAX(0,$C$23-$C$21)*_xlpm.d)/$C$23),0)</f>
        <v>275.00000000000006</v>
      </c>
      <c r="K28" s="455" cm="1">
        <f t="array" ref="K28">IF(Properties!$D8=1,_xlfn.LET(_xlpm.d,INDEX(Input!$J$80:$J$89,Properties!$A8)*IF($B28="Retiro",K$18,K$16),(MIN($C$21*_xlpm.d,$C$22)+MAX(0,$C$23-$C$21)*_xlpm.d)/$C$23),0)</f>
        <v>237.50000000000006</v>
      </c>
      <c r="L28" s="455" cm="1">
        <f t="array" ref="L28">IF(Properties!$D8=1,_xlfn.LET(_xlpm.d,INDEX(Input!$J$80:$J$89,Properties!$A8)*IF($B28="Retiro",L$18,L$16),(MIN($C$21*_xlpm.d,$C$22)+MAX(0,$C$23-$C$21)*_xlpm.d)/$C$23),0)</f>
        <v>237.50000000000006</v>
      </c>
      <c r="M28" s="455" cm="1">
        <f t="array" ref="M28">IF(Properties!$D8=1,_xlfn.LET(_xlpm.d,INDEX(Input!$J$80:$J$89,Properties!$A8)*IF($B28="Retiro",M$18,M$16),(MIN($C$21*_xlpm.d,$C$22)+MAX(0,$C$23-$C$21)*_xlpm.d)/$C$23),0)</f>
        <v>237.50000000000006</v>
      </c>
      <c r="N28" s="455" cm="1">
        <f t="array" ref="N28">IF(Properties!$D8=1,_xlfn.LET(_xlpm.d,INDEX(Input!$J$80:$J$89,Properties!$A8)*IF($B28="Retiro",N$18,N$16),(MIN($C$21*_xlpm.d,$C$22)+MAX(0,$C$23-$C$21)*_xlpm.d)/$C$23),0)</f>
        <v>275.00000000000006</v>
      </c>
      <c r="O28" s="455">
        <f t="shared" si="7"/>
        <v>250.10273972602744</v>
      </c>
    </row>
    <row r="29" spans="1:15" ht="16.05" customHeight="1" x14ac:dyDescent="0.3">
      <c r="A29" s="451" t="str">
        <f>IF(Properties!$D9=1,Properties!$E9,"")</f>
        <v>Casa Montana Lote 2 (Samuel Gaviria House)</v>
      </c>
      <c r="B29" s="451" t="str">
        <f>IF(ISNUMBER(SEARCH("Retiro",Properties!$F9)),"Retiro","Poblado")</f>
        <v>Retiro</v>
      </c>
      <c r="C29" s="455" cm="1">
        <f t="array" ref="C29">IF(Properties!$D9=1,_xlfn.LET(_xlpm.d,INDEX(Input!$J$80:$J$89,Properties!$A9)*IF($B29="Retiro",C$18,C$16),(MIN($C$21*_xlpm.d,$C$22)+MAX(0,$C$23-$C$21)*_xlpm.d)/$C$23),0)</f>
        <v>349.62857142857143</v>
      </c>
      <c r="D29" s="455" cm="1">
        <f t="array" ref="D29">IF(Properties!$D9=1,_xlfn.LET(_xlpm.d,INDEX(Input!$J$80:$J$89,Properties!$A9)*IF($B29="Retiro",D$18,D$16),(MIN($C$21*_xlpm.d,$C$22)+MAX(0,$C$23-$C$21)*_xlpm.d)/$C$23),0)</f>
        <v>323</v>
      </c>
      <c r="E29" s="455" cm="1">
        <f t="array" ref="E29">IF(Properties!$D9=1,_xlfn.LET(_xlpm.d,INDEX(Input!$J$80:$J$89,Properties!$A9)*IF($B29="Retiro",E$18,E$16),(MIN($C$21*_xlpm.d,$C$22)+MAX(0,$C$23-$C$21)*_xlpm.d)/$C$23),0)</f>
        <v>323</v>
      </c>
      <c r="F29" s="455" cm="1">
        <f t="array" ref="F29">IF(Properties!$D9=1,_xlfn.LET(_xlpm.d,INDEX(Input!$J$80:$J$89,Properties!$A9)*IF($B29="Retiro",F$18,F$16),(MIN($C$21*_xlpm.d,$C$22)+MAX(0,$C$23-$C$21)*_xlpm.d)/$C$23),0)</f>
        <v>339.42857142857144</v>
      </c>
      <c r="G29" s="455" cm="1">
        <f t="array" ref="G29">IF(Properties!$D9=1,_xlfn.LET(_xlpm.d,INDEX(Input!$J$80:$J$89,Properties!$A9)*IF($B29="Retiro",G$18,G$16),(MIN($C$21*_xlpm.d,$C$22)+MAX(0,$C$23-$C$21)*_xlpm.d)/$C$23),0)</f>
        <v>306.00000000000006</v>
      </c>
      <c r="H29" s="455" cm="1">
        <f t="array" ref="H29">IF(Properties!$D9=1,_xlfn.LET(_xlpm.d,INDEX(Input!$J$80:$J$89,Properties!$A9)*IF($B29="Retiro",H$18,H$16),(MIN($C$21*_xlpm.d,$C$22)+MAX(0,$C$23-$C$21)*_xlpm.d)/$C$23),0)</f>
        <v>339.42857142857144</v>
      </c>
      <c r="I29" s="455" cm="1">
        <f t="array" ref="I29">IF(Properties!$D9=1,_xlfn.LET(_xlpm.d,INDEX(Input!$J$80:$J$89,Properties!$A9)*IF($B29="Retiro",I$18,I$16),(MIN($C$21*_xlpm.d,$C$22)+MAX(0,$C$23-$C$21)*_xlpm.d)/$C$23),0)</f>
        <v>342.82857142857142</v>
      </c>
      <c r="J29" s="455" cm="1">
        <f t="array" ref="J29">IF(Properties!$D9=1,_xlfn.LET(_xlpm.d,INDEX(Input!$J$80:$J$89,Properties!$A9)*IF($B29="Retiro",J$18,J$16),(MIN($C$21*_xlpm.d,$C$22)+MAX(0,$C$23-$C$21)*_xlpm.d)/$C$23),0)</f>
        <v>339.42857142857144</v>
      </c>
      <c r="K29" s="455" cm="1">
        <f t="array" ref="K29">IF(Properties!$D9=1,_xlfn.LET(_xlpm.d,INDEX(Input!$J$80:$J$89,Properties!$A9)*IF($B29="Retiro",K$18,K$16),(MIN($C$21*_xlpm.d,$C$22)+MAX(0,$C$23-$C$21)*_xlpm.d)/$C$23),0)</f>
        <v>323</v>
      </c>
      <c r="L29" s="455" cm="1">
        <f t="array" ref="L29">IF(Properties!$D9=1,_xlfn.LET(_xlpm.d,INDEX(Input!$J$80:$J$89,Properties!$A9)*IF($B29="Retiro",L$18,L$16),(MIN($C$21*_xlpm.d,$C$22)+MAX(0,$C$23-$C$21)*_xlpm.d)/$C$23),0)</f>
        <v>306.00000000000006</v>
      </c>
      <c r="M29" s="455" cm="1">
        <f t="array" ref="M29">IF(Properties!$D9=1,_xlfn.LET(_xlpm.d,INDEX(Input!$J$80:$J$89,Properties!$A9)*IF($B29="Retiro",M$18,M$16),(MIN($C$21*_xlpm.d,$C$22)+MAX(0,$C$23-$C$21)*_xlpm.d)/$C$23),0)</f>
        <v>323</v>
      </c>
      <c r="N29" s="455" cm="1">
        <f t="array" ref="N29">IF(Properties!$D9=1,_xlfn.LET(_xlpm.d,INDEX(Input!$J$80:$J$89,Properties!$A9)*IF($B29="Retiro",N$18,N$16),(MIN($C$21*_xlpm.d,$C$22)+MAX(0,$C$23-$C$21)*_xlpm.d)/$C$23),0)</f>
        <v>353.02857142857141</v>
      </c>
      <c r="O29" s="455">
        <f t="shared" si="7"/>
        <v>330.70426614481408</v>
      </c>
    </row>
    <row r="30" spans="1:15" ht="16.05" customHeight="1" x14ac:dyDescent="0.3">
      <c r="A30" s="451" t="str">
        <f>IF(Properties!$D10=1,Properties!$E10,"")</f>
        <v>Casa Monte Sereno</v>
      </c>
      <c r="B30" s="451" t="str">
        <f>IF(ISNUMBER(SEARCH("Retiro",Properties!$F10)),"Retiro","Poblado")</f>
        <v>Retiro</v>
      </c>
      <c r="C30" s="455" cm="1">
        <f t="array" ref="C30">IF(Properties!$D10=1,_xlfn.LET(_xlpm.d,INDEX(Input!$J$80:$J$89,Properties!$A10)*IF($B30="Retiro",C$18,C$16),(MIN($C$21*_xlpm.d,$C$22)+MAX(0,$C$23-$C$21)*_xlpm.d)/$C$23),0)</f>
        <v>310.50000000000006</v>
      </c>
      <c r="D30" s="455" cm="1">
        <f t="array" ref="D30">IF(Properties!$D10=1,_xlfn.LET(_xlpm.d,INDEX(Input!$J$80:$J$89,Properties!$A10)*IF($B30="Retiro",D$18,D$16),(MIN($C$21*_xlpm.d,$C$22)+MAX(0,$C$23-$C$21)*_xlpm.d)/$C$23),0)</f>
        <v>256.5</v>
      </c>
      <c r="E30" s="455" cm="1">
        <f t="array" ref="E30">IF(Properties!$D10=1,_xlfn.LET(_xlpm.d,INDEX(Input!$J$80:$J$89,Properties!$A10)*IF($B30="Retiro",E$18,E$16),(MIN($C$21*_xlpm.d,$C$22)+MAX(0,$C$23-$C$21)*_xlpm.d)/$C$23),0)</f>
        <v>256.5</v>
      </c>
      <c r="F30" s="455" cm="1">
        <f t="array" ref="F30">IF(Properties!$D10=1,_xlfn.LET(_xlpm.d,INDEX(Input!$J$80:$J$89,Properties!$A10)*IF($B30="Retiro",F$18,F$16),(MIN($C$21*_xlpm.d,$C$22)+MAX(0,$C$23-$C$21)*_xlpm.d)/$C$23),0)</f>
        <v>270</v>
      </c>
      <c r="G30" s="455" cm="1">
        <f t="array" ref="G30">IF(Properties!$D10=1,_xlfn.LET(_xlpm.d,INDEX(Input!$J$80:$J$89,Properties!$A10)*IF($B30="Retiro",G$18,G$16),(MIN($C$21*_xlpm.d,$C$22)+MAX(0,$C$23-$C$21)*_xlpm.d)/$C$23),0)</f>
        <v>243.00000000000006</v>
      </c>
      <c r="H30" s="455" cm="1">
        <f t="array" ref="H30">IF(Properties!$D10=1,_xlfn.LET(_xlpm.d,INDEX(Input!$J$80:$J$89,Properties!$A10)*IF($B30="Retiro",H$18,H$16),(MIN($C$21*_xlpm.d,$C$22)+MAX(0,$C$23-$C$21)*_xlpm.d)/$C$23),0)</f>
        <v>270</v>
      </c>
      <c r="I30" s="455" cm="1">
        <f t="array" ref="I30">IF(Properties!$D10=1,_xlfn.LET(_xlpm.d,INDEX(Input!$J$80:$J$89,Properties!$A10)*IF($B30="Retiro",I$18,I$16),(MIN($C$21*_xlpm.d,$C$22)+MAX(0,$C$23-$C$21)*_xlpm.d)/$C$23),0)</f>
        <v>283.50000000000006</v>
      </c>
      <c r="J30" s="455" cm="1">
        <f t="array" ref="J30">IF(Properties!$D10=1,_xlfn.LET(_xlpm.d,INDEX(Input!$J$80:$J$89,Properties!$A10)*IF($B30="Retiro",J$18,J$16),(MIN($C$21*_xlpm.d,$C$22)+MAX(0,$C$23-$C$21)*_xlpm.d)/$C$23),0)</f>
        <v>270</v>
      </c>
      <c r="K30" s="455" cm="1">
        <f t="array" ref="K30">IF(Properties!$D10=1,_xlfn.LET(_xlpm.d,INDEX(Input!$J$80:$J$89,Properties!$A10)*IF($B30="Retiro",K$18,K$16),(MIN($C$21*_xlpm.d,$C$22)+MAX(0,$C$23-$C$21)*_xlpm.d)/$C$23),0)</f>
        <v>256.5</v>
      </c>
      <c r="L30" s="455" cm="1">
        <f t="array" ref="L30">IF(Properties!$D10=1,_xlfn.LET(_xlpm.d,INDEX(Input!$J$80:$J$89,Properties!$A10)*IF($B30="Retiro",L$18,L$16),(MIN($C$21*_xlpm.d,$C$22)+MAX(0,$C$23-$C$21)*_xlpm.d)/$C$23),0)</f>
        <v>243.00000000000006</v>
      </c>
      <c r="M30" s="455" cm="1">
        <f t="array" ref="M30">IF(Properties!$D10=1,_xlfn.LET(_xlpm.d,INDEX(Input!$J$80:$J$89,Properties!$A10)*IF($B30="Retiro",M$18,M$16),(MIN($C$21*_xlpm.d,$C$22)+MAX(0,$C$23-$C$21)*_xlpm.d)/$C$23),0)</f>
        <v>256.5</v>
      </c>
      <c r="N30" s="455" cm="1">
        <f t="array" ref="N30">IF(Properties!$D10=1,_xlfn.LET(_xlpm.d,INDEX(Input!$J$80:$J$89,Properties!$A10)*IF($B30="Retiro",N$18,N$16),(MIN($C$21*_xlpm.d,$C$22)+MAX(0,$C$23-$C$21)*_xlpm.d)/$C$23),0)</f>
        <v>324.00000000000006</v>
      </c>
      <c r="O30" s="455">
        <f t="shared" si="7"/>
        <v>270.1849315068493</v>
      </c>
    </row>
    <row r="31" spans="1:15" ht="16.05" customHeight="1" x14ac:dyDescent="0.3">
      <c r="A31" s="451" t="str">
        <f>IF(Properties!$D11=1,Properties!$E11,"")</f>
        <v/>
      </c>
      <c r="B31" s="451" t="str">
        <f>IF(ISNUMBER(SEARCH("Retiro",Properties!$F11)),"Retiro","Poblado")</f>
        <v>Poblado</v>
      </c>
      <c r="C31" s="455" cm="1">
        <f t="array" ref="C31">IF(Properties!$D11=1,_xlfn.LET(_xlpm.d,INDEX(Input!$J$80:$J$89,Properties!$A11)*IF($B31="Retiro",C$18,C$16),(MIN($C$21*_xlpm.d,$C$22)+MAX(0,$C$23-$C$21)*_xlpm.d)/$C$23),0)</f>
        <v>0</v>
      </c>
      <c r="D31" s="455" cm="1">
        <f t="array" ref="D31">IF(Properties!$D11=1,_xlfn.LET(_xlpm.d,INDEX(Input!$J$80:$J$89,Properties!$A11)*IF($B31="Retiro",D$18,D$16),(MIN($C$21*_xlpm.d,$C$22)+MAX(0,$C$23-$C$21)*_xlpm.d)/$C$23),0)</f>
        <v>0</v>
      </c>
      <c r="E31" s="455" cm="1">
        <f t="array" ref="E31">IF(Properties!$D11=1,_xlfn.LET(_xlpm.d,INDEX(Input!$J$80:$J$89,Properties!$A11)*IF($B31="Retiro",E$18,E$16),(MIN($C$21*_xlpm.d,$C$22)+MAX(0,$C$23-$C$21)*_xlpm.d)/$C$23),0)</f>
        <v>0</v>
      </c>
      <c r="F31" s="455" cm="1">
        <f t="array" ref="F31">IF(Properties!$D11=1,_xlfn.LET(_xlpm.d,INDEX(Input!$J$80:$J$89,Properties!$A11)*IF($B31="Retiro",F$18,F$16),(MIN($C$21*_xlpm.d,$C$22)+MAX(0,$C$23-$C$21)*_xlpm.d)/$C$23),0)</f>
        <v>0</v>
      </c>
      <c r="G31" s="455" cm="1">
        <f t="array" ref="G31">IF(Properties!$D11=1,_xlfn.LET(_xlpm.d,INDEX(Input!$J$80:$J$89,Properties!$A11)*IF($B31="Retiro",G$18,G$16),(MIN($C$21*_xlpm.d,$C$22)+MAX(0,$C$23-$C$21)*_xlpm.d)/$C$23),0)</f>
        <v>0</v>
      </c>
      <c r="H31" s="455" cm="1">
        <f t="array" ref="H31">IF(Properties!$D11=1,_xlfn.LET(_xlpm.d,INDEX(Input!$J$80:$J$89,Properties!$A11)*IF($B31="Retiro",H$18,H$16),(MIN($C$21*_xlpm.d,$C$22)+MAX(0,$C$23-$C$21)*_xlpm.d)/$C$23),0)</f>
        <v>0</v>
      </c>
      <c r="I31" s="455" cm="1">
        <f t="array" ref="I31">IF(Properties!$D11=1,_xlfn.LET(_xlpm.d,INDEX(Input!$J$80:$J$89,Properties!$A11)*IF($B31="Retiro",I$18,I$16),(MIN($C$21*_xlpm.d,$C$22)+MAX(0,$C$23-$C$21)*_xlpm.d)/$C$23),0)</f>
        <v>0</v>
      </c>
      <c r="J31" s="455" cm="1">
        <f t="array" ref="J31">IF(Properties!$D11=1,_xlfn.LET(_xlpm.d,INDEX(Input!$J$80:$J$89,Properties!$A11)*IF($B31="Retiro",J$18,J$16),(MIN($C$21*_xlpm.d,$C$22)+MAX(0,$C$23-$C$21)*_xlpm.d)/$C$23),0)</f>
        <v>0</v>
      </c>
      <c r="K31" s="455" cm="1">
        <f t="array" ref="K31">IF(Properties!$D11=1,_xlfn.LET(_xlpm.d,INDEX(Input!$J$80:$J$89,Properties!$A11)*IF($B31="Retiro",K$18,K$16),(MIN($C$21*_xlpm.d,$C$22)+MAX(0,$C$23-$C$21)*_xlpm.d)/$C$23),0)</f>
        <v>0</v>
      </c>
      <c r="L31" s="455" cm="1">
        <f t="array" ref="L31">IF(Properties!$D11=1,_xlfn.LET(_xlpm.d,INDEX(Input!$J$80:$J$89,Properties!$A11)*IF($B31="Retiro",L$18,L$16),(MIN($C$21*_xlpm.d,$C$22)+MAX(0,$C$23-$C$21)*_xlpm.d)/$C$23),0)</f>
        <v>0</v>
      </c>
      <c r="M31" s="455" cm="1">
        <f t="array" ref="M31">IF(Properties!$D11=1,_xlfn.LET(_xlpm.d,INDEX(Input!$J$80:$J$89,Properties!$A11)*IF($B31="Retiro",M$18,M$16),(MIN($C$21*_xlpm.d,$C$22)+MAX(0,$C$23-$C$21)*_xlpm.d)/$C$23),0)</f>
        <v>0</v>
      </c>
      <c r="N31" s="455" cm="1">
        <f t="array" ref="N31">IF(Properties!$D11=1,_xlfn.LET(_xlpm.d,INDEX(Input!$J$80:$J$89,Properties!$A11)*IF($B31="Retiro",N$18,N$16),(MIN($C$21*_xlpm.d,$C$22)+MAX(0,$C$23-$C$21)*_xlpm.d)/$C$23),0)</f>
        <v>0</v>
      </c>
      <c r="O31" s="455">
        <f t="shared" si="7"/>
        <v>0</v>
      </c>
    </row>
    <row r="32" spans="1:15" ht="16.05" customHeight="1" x14ac:dyDescent="0.3">
      <c r="A32" s="451" t="str">
        <f>IF(Properties!$D12=1,Properties!$E12,"")</f>
        <v/>
      </c>
      <c r="B32" s="451" t="str">
        <f>IF(ISNUMBER(SEARCH("Retiro",Properties!$F12)),"Retiro","Poblado")</f>
        <v>Poblado</v>
      </c>
      <c r="C32" s="455" cm="1">
        <f t="array" ref="C32">IF(Properties!$D12=1,_xlfn.LET(_xlpm.d,INDEX(Input!$J$80:$J$89,Properties!$A12)*IF($B32="Retiro",C$18,C$16),(MIN($C$21*_xlpm.d,$C$22)+MAX(0,$C$23-$C$21)*_xlpm.d)/$C$23),0)</f>
        <v>0</v>
      </c>
      <c r="D32" s="455" cm="1">
        <f t="array" ref="D32">IF(Properties!$D12=1,_xlfn.LET(_xlpm.d,INDEX(Input!$J$80:$J$89,Properties!$A12)*IF($B32="Retiro",D$18,D$16),(MIN($C$21*_xlpm.d,$C$22)+MAX(0,$C$23-$C$21)*_xlpm.d)/$C$23),0)</f>
        <v>0</v>
      </c>
      <c r="E32" s="455" cm="1">
        <f t="array" ref="E32">IF(Properties!$D12=1,_xlfn.LET(_xlpm.d,INDEX(Input!$J$80:$J$89,Properties!$A12)*IF($B32="Retiro",E$18,E$16),(MIN($C$21*_xlpm.d,$C$22)+MAX(0,$C$23-$C$21)*_xlpm.d)/$C$23),0)</f>
        <v>0</v>
      </c>
      <c r="F32" s="455" cm="1">
        <f t="array" ref="F32">IF(Properties!$D12=1,_xlfn.LET(_xlpm.d,INDEX(Input!$J$80:$J$89,Properties!$A12)*IF($B32="Retiro",F$18,F$16),(MIN($C$21*_xlpm.d,$C$22)+MAX(0,$C$23-$C$21)*_xlpm.d)/$C$23),0)</f>
        <v>0</v>
      </c>
      <c r="G32" s="455" cm="1">
        <f t="array" ref="G32">IF(Properties!$D12=1,_xlfn.LET(_xlpm.d,INDEX(Input!$J$80:$J$89,Properties!$A12)*IF($B32="Retiro",G$18,G$16),(MIN($C$21*_xlpm.d,$C$22)+MAX(0,$C$23-$C$21)*_xlpm.d)/$C$23),0)</f>
        <v>0</v>
      </c>
      <c r="H32" s="455" cm="1">
        <f t="array" ref="H32">IF(Properties!$D12=1,_xlfn.LET(_xlpm.d,INDEX(Input!$J$80:$J$89,Properties!$A12)*IF($B32="Retiro",H$18,H$16),(MIN($C$21*_xlpm.d,$C$22)+MAX(0,$C$23-$C$21)*_xlpm.d)/$C$23),0)</f>
        <v>0</v>
      </c>
      <c r="I32" s="455" cm="1">
        <f t="array" ref="I32">IF(Properties!$D12=1,_xlfn.LET(_xlpm.d,INDEX(Input!$J$80:$J$89,Properties!$A12)*IF($B32="Retiro",I$18,I$16),(MIN($C$21*_xlpm.d,$C$22)+MAX(0,$C$23-$C$21)*_xlpm.d)/$C$23),0)</f>
        <v>0</v>
      </c>
      <c r="J32" s="455" cm="1">
        <f t="array" ref="J32">IF(Properties!$D12=1,_xlfn.LET(_xlpm.d,INDEX(Input!$J$80:$J$89,Properties!$A12)*IF($B32="Retiro",J$18,J$16),(MIN($C$21*_xlpm.d,$C$22)+MAX(0,$C$23-$C$21)*_xlpm.d)/$C$23),0)</f>
        <v>0</v>
      </c>
      <c r="K32" s="455" cm="1">
        <f t="array" ref="K32">IF(Properties!$D12=1,_xlfn.LET(_xlpm.d,INDEX(Input!$J$80:$J$89,Properties!$A12)*IF($B32="Retiro",K$18,K$16),(MIN($C$21*_xlpm.d,$C$22)+MAX(0,$C$23-$C$21)*_xlpm.d)/$C$23),0)</f>
        <v>0</v>
      </c>
      <c r="L32" s="455" cm="1">
        <f t="array" ref="L32">IF(Properties!$D12=1,_xlfn.LET(_xlpm.d,INDEX(Input!$J$80:$J$89,Properties!$A12)*IF($B32="Retiro",L$18,L$16),(MIN($C$21*_xlpm.d,$C$22)+MAX(0,$C$23-$C$21)*_xlpm.d)/$C$23),0)</f>
        <v>0</v>
      </c>
      <c r="M32" s="455" cm="1">
        <f t="array" ref="M32">IF(Properties!$D12=1,_xlfn.LET(_xlpm.d,INDEX(Input!$J$80:$J$89,Properties!$A12)*IF($B32="Retiro",M$18,M$16),(MIN($C$21*_xlpm.d,$C$22)+MAX(0,$C$23-$C$21)*_xlpm.d)/$C$23),0)</f>
        <v>0</v>
      </c>
      <c r="N32" s="455" cm="1">
        <f t="array" ref="N32">IF(Properties!$D12=1,_xlfn.LET(_xlpm.d,INDEX(Input!$J$80:$J$89,Properties!$A12)*IF($B32="Retiro",N$18,N$16),(MIN($C$21*_xlpm.d,$C$22)+MAX(0,$C$23-$C$21)*_xlpm.d)/$C$23),0)</f>
        <v>0</v>
      </c>
      <c r="O32" s="455">
        <f t="shared" si="7"/>
        <v>0</v>
      </c>
    </row>
    <row r="33" spans="1:15" ht="16.05" customHeight="1" x14ac:dyDescent="0.3">
      <c r="A33" s="451" t="str">
        <f>IF(Properties!$D13=1,Properties!$E13,"")</f>
        <v/>
      </c>
      <c r="B33" s="451" t="str">
        <f>IF(ISNUMBER(SEARCH("Retiro",Properties!$F13)),"Retiro","Poblado")</f>
        <v>Poblado</v>
      </c>
      <c r="C33" s="455" cm="1">
        <f t="array" ref="C33">IF(Properties!$D13=1,_xlfn.LET(_xlpm.d,INDEX(Input!$J$80:$J$89,Properties!$A13)*IF($B33="Retiro",C$18,C$16),(MIN($C$21*_xlpm.d,$C$22)+MAX(0,$C$23-$C$21)*_xlpm.d)/$C$23),0)</f>
        <v>0</v>
      </c>
      <c r="D33" s="455" cm="1">
        <f t="array" ref="D33">IF(Properties!$D13=1,_xlfn.LET(_xlpm.d,INDEX(Input!$J$80:$J$89,Properties!$A13)*IF($B33="Retiro",D$18,D$16),(MIN($C$21*_xlpm.d,$C$22)+MAX(0,$C$23-$C$21)*_xlpm.d)/$C$23),0)</f>
        <v>0</v>
      </c>
      <c r="E33" s="455" cm="1">
        <f t="array" ref="E33">IF(Properties!$D13=1,_xlfn.LET(_xlpm.d,INDEX(Input!$J$80:$J$89,Properties!$A13)*IF($B33="Retiro",E$18,E$16),(MIN($C$21*_xlpm.d,$C$22)+MAX(0,$C$23-$C$21)*_xlpm.d)/$C$23),0)</f>
        <v>0</v>
      </c>
      <c r="F33" s="455" cm="1">
        <f t="array" ref="F33">IF(Properties!$D13=1,_xlfn.LET(_xlpm.d,INDEX(Input!$J$80:$J$89,Properties!$A13)*IF($B33="Retiro",F$18,F$16),(MIN($C$21*_xlpm.d,$C$22)+MAX(0,$C$23-$C$21)*_xlpm.d)/$C$23),0)</f>
        <v>0</v>
      </c>
      <c r="G33" s="455" cm="1">
        <f t="array" ref="G33">IF(Properties!$D13=1,_xlfn.LET(_xlpm.d,INDEX(Input!$J$80:$J$89,Properties!$A13)*IF($B33="Retiro",G$18,G$16),(MIN($C$21*_xlpm.d,$C$22)+MAX(0,$C$23-$C$21)*_xlpm.d)/$C$23),0)</f>
        <v>0</v>
      </c>
      <c r="H33" s="455" cm="1">
        <f t="array" ref="H33">IF(Properties!$D13=1,_xlfn.LET(_xlpm.d,INDEX(Input!$J$80:$J$89,Properties!$A13)*IF($B33="Retiro",H$18,H$16),(MIN($C$21*_xlpm.d,$C$22)+MAX(0,$C$23-$C$21)*_xlpm.d)/$C$23),0)</f>
        <v>0</v>
      </c>
      <c r="I33" s="455" cm="1">
        <f t="array" ref="I33">IF(Properties!$D13=1,_xlfn.LET(_xlpm.d,INDEX(Input!$J$80:$J$89,Properties!$A13)*IF($B33="Retiro",I$18,I$16),(MIN($C$21*_xlpm.d,$C$22)+MAX(0,$C$23-$C$21)*_xlpm.d)/$C$23),0)</f>
        <v>0</v>
      </c>
      <c r="J33" s="455" cm="1">
        <f t="array" ref="J33">IF(Properties!$D13=1,_xlfn.LET(_xlpm.d,INDEX(Input!$J$80:$J$89,Properties!$A13)*IF($B33="Retiro",J$18,J$16),(MIN($C$21*_xlpm.d,$C$22)+MAX(0,$C$23-$C$21)*_xlpm.d)/$C$23),0)</f>
        <v>0</v>
      </c>
      <c r="K33" s="455" cm="1">
        <f t="array" ref="K33">IF(Properties!$D13=1,_xlfn.LET(_xlpm.d,INDEX(Input!$J$80:$J$89,Properties!$A13)*IF($B33="Retiro",K$18,K$16),(MIN($C$21*_xlpm.d,$C$22)+MAX(0,$C$23-$C$21)*_xlpm.d)/$C$23),0)</f>
        <v>0</v>
      </c>
      <c r="L33" s="455" cm="1">
        <f t="array" ref="L33">IF(Properties!$D13=1,_xlfn.LET(_xlpm.d,INDEX(Input!$J$80:$J$89,Properties!$A13)*IF($B33="Retiro",L$18,L$16),(MIN($C$21*_xlpm.d,$C$22)+MAX(0,$C$23-$C$21)*_xlpm.d)/$C$23),0)</f>
        <v>0</v>
      </c>
      <c r="M33" s="455" cm="1">
        <f t="array" ref="M33">IF(Properties!$D13=1,_xlfn.LET(_xlpm.d,INDEX(Input!$J$80:$J$89,Properties!$A13)*IF($B33="Retiro",M$18,M$16),(MIN($C$21*_xlpm.d,$C$22)+MAX(0,$C$23-$C$21)*_xlpm.d)/$C$23),0)</f>
        <v>0</v>
      </c>
      <c r="N33" s="455" cm="1">
        <f t="array" ref="N33">IF(Properties!$D13=1,_xlfn.LET(_xlpm.d,INDEX(Input!$J$80:$J$89,Properties!$A13)*IF($B33="Retiro",N$18,N$16),(MIN($C$21*_xlpm.d,$C$22)+MAX(0,$C$23-$C$21)*_xlpm.d)/$C$23),0)</f>
        <v>0</v>
      </c>
      <c r="O33" s="455">
        <f t="shared" si="7"/>
        <v>0</v>
      </c>
    </row>
    <row r="34" spans="1:15" ht="16.05" customHeight="1" x14ac:dyDescent="0.3">
      <c r="A34" s="451" t="str">
        <f>IF(Properties!$D14=1,Properties!$E14,"")</f>
        <v/>
      </c>
      <c r="B34" s="451" t="str">
        <f>IF(ISNUMBER(SEARCH("Retiro",Properties!$F14)),"Retiro","Poblado")</f>
        <v>Poblado</v>
      </c>
      <c r="C34" s="455" cm="1">
        <f t="array" ref="C34">IF(Properties!$D14=1,_xlfn.LET(_xlpm.d,INDEX(Input!$J$80:$J$89,Properties!$A14)*IF($B34="Retiro",C$18,C$16),(MIN($C$21*_xlpm.d,$C$22)+MAX(0,$C$23-$C$21)*_xlpm.d)/$C$23),0)</f>
        <v>0</v>
      </c>
      <c r="D34" s="455" cm="1">
        <f t="array" ref="D34">IF(Properties!$D14=1,_xlfn.LET(_xlpm.d,INDEX(Input!$J$80:$J$89,Properties!$A14)*IF($B34="Retiro",D$18,D$16),(MIN($C$21*_xlpm.d,$C$22)+MAX(0,$C$23-$C$21)*_xlpm.d)/$C$23),0)</f>
        <v>0</v>
      </c>
      <c r="E34" s="455" cm="1">
        <f t="array" ref="E34">IF(Properties!$D14=1,_xlfn.LET(_xlpm.d,INDEX(Input!$J$80:$J$89,Properties!$A14)*IF($B34="Retiro",E$18,E$16),(MIN($C$21*_xlpm.d,$C$22)+MAX(0,$C$23-$C$21)*_xlpm.d)/$C$23),0)</f>
        <v>0</v>
      </c>
      <c r="F34" s="455" cm="1">
        <f t="array" ref="F34">IF(Properties!$D14=1,_xlfn.LET(_xlpm.d,INDEX(Input!$J$80:$J$89,Properties!$A14)*IF($B34="Retiro",F$18,F$16),(MIN($C$21*_xlpm.d,$C$22)+MAX(0,$C$23-$C$21)*_xlpm.d)/$C$23),0)</f>
        <v>0</v>
      </c>
      <c r="G34" s="455" cm="1">
        <f t="array" ref="G34">IF(Properties!$D14=1,_xlfn.LET(_xlpm.d,INDEX(Input!$J$80:$J$89,Properties!$A14)*IF($B34="Retiro",G$18,G$16),(MIN($C$21*_xlpm.d,$C$22)+MAX(0,$C$23-$C$21)*_xlpm.d)/$C$23),0)</f>
        <v>0</v>
      </c>
      <c r="H34" s="455" cm="1">
        <f t="array" ref="H34">IF(Properties!$D14=1,_xlfn.LET(_xlpm.d,INDEX(Input!$J$80:$J$89,Properties!$A14)*IF($B34="Retiro",H$18,H$16),(MIN($C$21*_xlpm.d,$C$22)+MAX(0,$C$23-$C$21)*_xlpm.d)/$C$23),0)</f>
        <v>0</v>
      </c>
      <c r="I34" s="455" cm="1">
        <f t="array" ref="I34">IF(Properties!$D14=1,_xlfn.LET(_xlpm.d,INDEX(Input!$J$80:$J$89,Properties!$A14)*IF($B34="Retiro",I$18,I$16),(MIN($C$21*_xlpm.d,$C$22)+MAX(0,$C$23-$C$21)*_xlpm.d)/$C$23),0)</f>
        <v>0</v>
      </c>
      <c r="J34" s="455" cm="1">
        <f t="array" ref="J34">IF(Properties!$D14=1,_xlfn.LET(_xlpm.d,INDEX(Input!$J$80:$J$89,Properties!$A14)*IF($B34="Retiro",J$18,J$16),(MIN($C$21*_xlpm.d,$C$22)+MAX(0,$C$23-$C$21)*_xlpm.d)/$C$23),0)</f>
        <v>0</v>
      </c>
      <c r="K34" s="455" cm="1">
        <f t="array" ref="K34">IF(Properties!$D14=1,_xlfn.LET(_xlpm.d,INDEX(Input!$J$80:$J$89,Properties!$A14)*IF($B34="Retiro",K$18,K$16),(MIN($C$21*_xlpm.d,$C$22)+MAX(0,$C$23-$C$21)*_xlpm.d)/$C$23),0)</f>
        <v>0</v>
      </c>
      <c r="L34" s="455" cm="1">
        <f t="array" ref="L34">IF(Properties!$D14=1,_xlfn.LET(_xlpm.d,INDEX(Input!$J$80:$J$89,Properties!$A14)*IF($B34="Retiro",L$18,L$16),(MIN($C$21*_xlpm.d,$C$22)+MAX(0,$C$23-$C$21)*_xlpm.d)/$C$23),0)</f>
        <v>0</v>
      </c>
      <c r="M34" s="455" cm="1">
        <f t="array" ref="M34">IF(Properties!$D14=1,_xlfn.LET(_xlpm.d,INDEX(Input!$J$80:$J$89,Properties!$A14)*IF($B34="Retiro",M$18,M$16),(MIN($C$21*_xlpm.d,$C$22)+MAX(0,$C$23-$C$21)*_xlpm.d)/$C$23),0)</f>
        <v>0</v>
      </c>
      <c r="N34" s="455" cm="1">
        <f t="array" ref="N34">IF(Properties!$D14=1,_xlfn.LET(_xlpm.d,INDEX(Input!$J$80:$J$89,Properties!$A14)*IF($B34="Retiro",N$18,N$16),(MIN($C$21*_xlpm.d,$C$22)+MAX(0,$C$23-$C$21)*_xlpm.d)/$C$23),0)</f>
        <v>0</v>
      </c>
      <c r="O34" s="455">
        <f t="shared" si="7"/>
        <v>0</v>
      </c>
    </row>
    <row r="35" spans="1:15" ht="16.05" customHeight="1" x14ac:dyDescent="0.3">
      <c r="A35" s="451" t="str">
        <f>IF(Properties!$D15=1,Properties!$E15,"")</f>
        <v/>
      </c>
      <c r="B35" s="451" t="str">
        <f>IF(ISNUMBER(SEARCH("Retiro",Properties!$F15)),"Retiro","Poblado")</f>
        <v>Poblado</v>
      </c>
      <c r="C35" s="455" cm="1">
        <f t="array" ref="C35">IF(Properties!$D15=1,_xlfn.LET(_xlpm.d,INDEX(Input!$J$80:$J$89,Properties!$A15)*IF($B35="Retiro",C$18,C$16),(MIN($C$21*_xlpm.d,$C$22)+MAX(0,$C$23-$C$21)*_xlpm.d)/$C$23),0)</f>
        <v>0</v>
      </c>
      <c r="D35" s="455" cm="1">
        <f t="array" ref="D35">IF(Properties!$D15=1,_xlfn.LET(_xlpm.d,INDEX(Input!$J$80:$J$89,Properties!$A15)*IF($B35="Retiro",D$18,D$16),(MIN($C$21*_xlpm.d,$C$22)+MAX(0,$C$23-$C$21)*_xlpm.d)/$C$23),0)</f>
        <v>0</v>
      </c>
      <c r="E35" s="455" cm="1">
        <f t="array" ref="E35">IF(Properties!$D15=1,_xlfn.LET(_xlpm.d,INDEX(Input!$J$80:$J$89,Properties!$A15)*IF($B35="Retiro",E$18,E$16),(MIN($C$21*_xlpm.d,$C$22)+MAX(0,$C$23-$C$21)*_xlpm.d)/$C$23),0)</f>
        <v>0</v>
      </c>
      <c r="F35" s="455" cm="1">
        <f t="array" ref="F35">IF(Properties!$D15=1,_xlfn.LET(_xlpm.d,INDEX(Input!$J$80:$J$89,Properties!$A15)*IF($B35="Retiro",F$18,F$16),(MIN($C$21*_xlpm.d,$C$22)+MAX(0,$C$23-$C$21)*_xlpm.d)/$C$23),0)</f>
        <v>0</v>
      </c>
      <c r="G35" s="455" cm="1">
        <f t="array" ref="G35">IF(Properties!$D15=1,_xlfn.LET(_xlpm.d,INDEX(Input!$J$80:$J$89,Properties!$A15)*IF($B35="Retiro",G$18,G$16),(MIN($C$21*_xlpm.d,$C$22)+MAX(0,$C$23-$C$21)*_xlpm.d)/$C$23),0)</f>
        <v>0</v>
      </c>
      <c r="H35" s="455" cm="1">
        <f t="array" ref="H35">IF(Properties!$D15=1,_xlfn.LET(_xlpm.d,INDEX(Input!$J$80:$J$89,Properties!$A15)*IF($B35="Retiro",H$18,H$16),(MIN($C$21*_xlpm.d,$C$22)+MAX(0,$C$23-$C$21)*_xlpm.d)/$C$23),0)</f>
        <v>0</v>
      </c>
      <c r="I35" s="455" cm="1">
        <f t="array" ref="I35">IF(Properties!$D15=1,_xlfn.LET(_xlpm.d,INDEX(Input!$J$80:$J$89,Properties!$A15)*IF($B35="Retiro",I$18,I$16),(MIN($C$21*_xlpm.d,$C$22)+MAX(0,$C$23-$C$21)*_xlpm.d)/$C$23),0)</f>
        <v>0</v>
      </c>
      <c r="J35" s="455" cm="1">
        <f t="array" ref="J35">IF(Properties!$D15=1,_xlfn.LET(_xlpm.d,INDEX(Input!$J$80:$J$89,Properties!$A15)*IF($B35="Retiro",J$18,J$16),(MIN($C$21*_xlpm.d,$C$22)+MAX(0,$C$23-$C$21)*_xlpm.d)/$C$23),0)</f>
        <v>0</v>
      </c>
      <c r="K35" s="455" cm="1">
        <f t="array" ref="K35">IF(Properties!$D15=1,_xlfn.LET(_xlpm.d,INDEX(Input!$J$80:$J$89,Properties!$A15)*IF($B35="Retiro",K$18,K$16),(MIN($C$21*_xlpm.d,$C$22)+MAX(0,$C$23-$C$21)*_xlpm.d)/$C$23),0)</f>
        <v>0</v>
      </c>
      <c r="L35" s="455" cm="1">
        <f t="array" ref="L35">IF(Properties!$D15=1,_xlfn.LET(_xlpm.d,INDEX(Input!$J$80:$J$89,Properties!$A15)*IF($B35="Retiro",L$18,L$16),(MIN($C$21*_xlpm.d,$C$22)+MAX(0,$C$23-$C$21)*_xlpm.d)/$C$23),0)</f>
        <v>0</v>
      </c>
      <c r="M35" s="455" cm="1">
        <f t="array" ref="M35">IF(Properties!$D15=1,_xlfn.LET(_xlpm.d,INDEX(Input!$J$80:$J$89,Properties!$A15)*IF($B35="Retiro",M$18,M$16),(MIN($C$21*_xlpm.d,$C$22)+MAX(0,$C$23-$C$21)*_xlpm.d)/$C$23),0)</f>
        <v>0</v>
      </c>
      <c r="N35" s="455" cm="1">
        <f t="array" ref="N35">IF(Properties!$D15=1,_xlfn.LET(_xlpm.d,INDEX(Input!$J$80:$J$89,Properties!$A15)*IF($B35="Retiro",N$18,N$16),(MIN($C$21*_xlpm.d,$C$22)+MAX(0,$C$23-$C$21)*_xlpm.d)/$C$23),0)</f>
        <v>0</v>
      </c>
      <c r="O35" s="455">
        <f t="shared" si="7"/>
        <v>0</v>
      </c>
    </row>
    <row r="36" spans="1:15" ht="16.05" customHeight="1" x14ac:dyDescent="0.3">
      <c r="A36" s="439"/>
      <c r="B36" s="439"/>
      <c r="C36" s="439"/>
      <c r="D36" s="439"/>
      <c r="E36" s="439"/>
      <c r="F36" s="439"/>
      <c r="G36" s="439"/>
      <c r="H36" s="439"/>
      <c r="I36" s="439"/>
      <c r="J36" s="439"/>
      <c r="K36" s="439"/>
      <c r="L36" s="439"/>
      <c r="M36" s="439"/>
      <c r="N36" s="439"/>
      <c r="O36" s="439"/>
    </row>
    <row r="37" spans="1:15" ht="19.95" customHeight="1" x14ac:dyDescent="0.3">
      <c r="A37" s="447" t="s">
        <v>1118</v>
      </c>
      <c r="B37" s="447"/>
      <c r="C37" s="447"/>
      <c r="D37" s="447"/>
      <c r="E37" s="447"/>
      <c r="F37" s="447"/>
      <c r="G37" s="447"/>
      <c r="H37" s="447"/>
      <c r="I37" s="447"/>
      <c r="J37" s="447"/>
      <c r="K37" s="447"/>
      <c r="L37" s="447"/>
      <c r="M37" s="447"/>
      <c r="N37" s="447"/>
      <c r="O37" s="447" t="s">
        <v>1120</v>
      </c>
    </row>
    <row r="38" spans="1:15" ht="16.05" customHeight="1" x14ac:dyDescent="0.3">
      <c r="A38" s="454" t="str">
        <f t="shared" ref="A38:B47" si="8">A26</f>
        <v>Aires de Campestre Apto 801 (Penthouse)</v>
      </c>
      <c r="B38" s="454" t="str">
        <f t="shared" si="8"/>
        <v>Poblado</v>
      </c>
      <c r="C38" s="456" cm="1">
        <f t="array" ref="C38">IF(Properties!$D6=1,MIN(1,(1-INDEX(Input!$H$80:$H$89,Properties!$A6))*IF($B38="Retiro",C$17,C$15)),0)</f>
        <v>0.69</v>
      </c>
      <c r="D38" s="456" cm="1">
        <f t="array" ref="D38">IF(Properties!$D6=1,MIN(1,(1-INDEX(Input!$H$80:$H$89,Properties!$A6))*IF($B38="Retiro",D$17,D$15)),0)</f>
        <v>0.6</v>
      </c>
      <c r="E38" s="456" cm="1">
        <f t="array" ref="E38">IF(Properties!$D6=1,MIN(1,(1-INDEX(Input!$H$80:$H$89,Properties!$A6))*IF($B38="Retiro",E$17,E$15)),0)</f>
        <v>0.56999999999999995</v>
      </c>
      <c r="F38" s="456" cm="1">
        <f t="array" ref="F38">IF(Properties!$D6=1,MIN(1,(1-INDEX(Input!$H$80:$H$89,Properties!$A6))*IF($B38="Retiro",F$17,F$15)),0)</f>
        <v>0.51</v>
      </c>
      <c r="G38" s="456" cm="1">
        <f t="array" ref="G38">IF(Properties!$D6=1,MIN(1,(1-INDEX(Input!$H$80:$H$89,Properties!$A6))*IF($B38="Retiro",G$17,G$15)),0)</f>
        <v>0.51</v>
      </c>
      <c r="H38" s="456" cm="1">
        <f t="array" ref="H38">IF(Properties!$D6=1,MIN(1,(1-INDEX(Input!$H$80:$H$89,Properties!$A6))*IF($B38="Retiro",H$17,H$15)),0)</f>
        <v>0.63</v>
      </c>
      <c r="I38" s="456" cm="1">
        <f t="array" ref="I38">IF(Properties!$D6=1,MIN(1,(1-INDEX(Input!$H$80:$H$89,Properties!$A6))*IF($B38="Retiro",I$17,I$15)),0)</f>
        <v>0.69</v>
      </c>
      <c r="J38" s="456" cm="1">
        <f t="array" ref="J38">IF(Properties!$D6=1,MIN(1,(1-INDEX(Input!$H$80:$H$89,Properties!$A6))*IF($B38="Retiro",J$17,J$15)),0)</f>
        <v>0.69</v>
      </c>
      <c r="K38" s="456" cm="1">
        <f t="array" ref="K38">IF(Properties!$D6=1,MIN(1,(1-INDEX(Input!$H$80:$H$89,Properties!$A6))*IF($B38="Retiro",K$17,K$15)),0)</f>
        <v>0.54</v>
      </c>
      <c r="L38" s="456" cm="1">
        <f t="array" ref="L38">IF(Properties!$D6=1,MIN(1,(1-INDEX(Input!$H$80:$H$89,Properties!$A6))*IF($B38="Retiro",L$17,L$15)),0)</f>
        <v>0.54</v>
      </c>
      <c r="M38" s="456" cm="1">
        <f t="array" ref="M38">IF(Properties!$D6=1,MIN(1,(1-INDEX(Input!$H$80:$H$89,Properties!$A6))*IF($B38="Retiro",M$17,M$15)),0)</f>
        <v>0.56999999999999995</v>
      </c>
      <c r="N38" s="456" cm="1">
        <f t="array" ref="N38">IF(Properties!$D6=1,MIN(1,(1-INDEX(Input!$H$80:$H$89,Properties!$A6))*IF($B38="Retiro",N$17,N$15)),0)</f>
        <v>0.66</v>
      </c>
      <c r="O38" s="456">
        <f t="shared" ref="O38:O47" si="9">SUMPRODUCT($C$6:$N$6,C38:N38)/$O$6</f>
        <v>0.60041095890410967</v>
      </c>
    </row>
    <row r="39" spans="1:15" ht="16.05" customHeight="1" x14ac:dyDescent="0.3">
      <c r="A39" s="454" t="str">
        <f t="shared" si="8"/>
        <v>Fontanar Apto 201 (Penthouse)</v>
      </c>
      <c r="B39" s="454" t="str">
        <f t="shared" si="8"/>
        <v>Poblado</v>
      </c>
      <c r="C39" s="456" cm="1">
        <f t="array" ref="C39">IF(Properties!$D7=1,MIN(1,(1-INDEX(Input!$H$80:$H$89,Properties!$A7))*IF($B39="Retiro",C$17,C$15)),0)</f>
        <v>0.69</v>
      </c>
      <c r="D39" s="456" cm="1">
        <f t="array" ref="D39">IF(Properties!$D7=1,MIN(1,(1-INDEX(Input!$H$80:$H$89,Properties!$A7))*IF($B39="Retiro",D$17,D$15)),0)</f>
        <v>0.6</v>
      </c>
      <c r="E39" s="456" cm="1">
        <f t="array" ref="E39">IF(Properties!$D7=1,MIN(1,(1-INDEX(Input!$H$80:$H$89,Properties!$A7))*IF($B39="Retiro",E$17,E$15)),0)</f>
        <v>0.56999999999999995</v>
      </c>
      <c r="F39" s="456" cm="1">
        <f t="array" ref="F39">IF(Properties!$D7=1,MIN(1,(1-INDEX(Input!$H$80:$H$89,Properties!$A7))*IF($B39="Retiro",F$17,F$15)),0)</f>
        <v>0.51</v>
      </c>
      <c r="G39" s="456" cm="1">
        <f t="array" ref="G39">IF(Properties!$D7=1,MIN(1,(1-INDEX(Input!$H$80:$H$89,Properties!$A7))*IF($B39="Retiro",G$17,G$15)),0)</f>
        <v>0.51</v>
      </c>
      <c r="H39" s="456" cm="1">
        <f t="array" ref="H39">IF(Properties!$D7=1,MIN(1,(1-INDEX(Input!$H$80:$H$89,Properties!$A7))*IF($B39="Retiro",H$17,H$15)),0)</f>
        <v>0.63</v>
      </c>
      <c r="I39" s="456" cm="1">
        <f t="array" ref="I39">IF(Properties!$D7=1,MIN(1,(1-INDEX(Input!$H$80:$H$89,Properties!$A7))*IF($B39="Retiro",I$17,I$15)),0)</f>
        <v>0.69</v>
      </c>
      <c r="J39" s="456" cm="1">
        <f t="array" ref="J39">IF(Properties!$D7=1,MIN(1,(1-INDEX(Input!$H$80:$H$89,Properties!$A7))*IF($B39="Retiro",J$17,J$15)),0)</f>
        <v>0.69</v>
      </c>
      <c r="K39" s="456" cm="1">
        <f t="array" ref="K39">IF(Properties!$D7=1,MIN(1,(1-INDEX(Input!$H$80:$H$89,Properties!$A7))*IF($B39="Retiro",K$17,K$15)),0)</f>
        <v>0.54</v>
      </c>
      <c r="L39" s="456" cm="1">
        <f t="array" ref="L39">IF(Properties!$D7=1,MIN(1,(1-INDEX(Input!$H$80:$H$89,Properties!$A7))*IF($B39="Retiro",L$17,L$15)),0)</f>
        <v>0.54</v>
      </c>
      <c r="M39" s="456" cm="1">
        <f t="array" ref="M39">IF(Properties!$D7=1,MIN(1,(1-INDEX(Input!$H$80:$H$89,Properties!$A7))*IF($B39="Retiro",M$17,M$15)),0)</f>
        <v>0.56999999999999995</v>
      </c>
      <c r="N39" s="456" cm="1">
        <f t="array" ref="N39">IF(Properties!$D7=1,MIN(1,(1-INDEX(Input!$H$80:$H$89,Properties!$A7))*IF($B39="Retiro",N$17,N$15)),0)</f>
        <v>0.66</v>
      </c>
      <c r="O39" s="456">
        <f t="shared" si="9"/>
        <v>0.60041095890410967</v>
      </c>
    </row>
    <row r="40" spans="1:15" ht="16.05" customHeight="1" x14ac:dyDescent="0.3">
      <c r="A40" s="454" t="str">
        <f t="shared" si="8"/>
        <v>San Lucas Apto 101</v>
      </c>
      <c r="B40" s="454" t="str">
        <f t="shared" si="8"/>
        <v>Poblado</v>
      </c>
      <c r="C40" s="456" cm="1">
        <f t="array" ref="C40">IF(Properties!$D8=1,MIN(1,(1-INDEX(Input!$H$80:$H$89,Properties!$A8))*IF($B40="Retiro",C$17,C$15)),0)</f>
        <v>0.69</v>
      </c>
      <c r="D40" s="456" cm="1">
        <f t="array" ref="D40">IF(Properties!$D8=1,MIN(1,(1-INDEX(Input!$H$80:$H$89,Properties!$A8))*IF($B40="Retiro",D$17,D$15)),0)</f>
        <v>0.6</v>
      </c>
      <c r="E40" s="456" cm="1">
        <f t="array" ref="E40">IF(Properties!$D8=1,MIN(1,(1-INDEX(Input!$H$80:$H$89,Properties!$A8))*IF($B40="Retiro",E$17,E$15)),0)</f>
        <v>0.56999999999999995</v>
      </c>
      <c r="F40" s="456" cm="1">
        <f t="array" ref="F40">IF(Properties!$D8=1,MIN(1,(1-INDEX(Input!$H$80:$H$89,Properties!$A8))*IF($B40="Retiro",F$17,F$15)),0)</f>
        <v>0.51</v>
      </c>
      <c r="G40" s="456" cm="1">
        <f t="array" ref="G40">IF(Properties!$D8=1,MIN(1,(1-INDEX(Input!$H$80:$H$89,Properties!$A8))*IF($B40="Retiro",G$17,G$15)),0)</f>
        <v>0.51</v>
      </c>
      <c r="H40" s="456" cm="1">
        <f t="array" ref="H40">IF(Properties!$D8=1,MIN(1,(1-INDEX(Input!$H$80:$H$89,Properties!$A8))*IF($B40="Retiro",H$17,H$15)),0)</f>
        <v>0.63</v>
      </c>
      <c r="I40" s="456" cm="1">
        <f t="array" ref="I40">IF(Properties!$D8=1,MIN(1,(1-INDEX(Input!$H$80:$H$89,Properties!$A8))*IF($B40="Retiro",I$17,I$15)),0)</f>
        <v>0.69</v>
      </c>
      <c r="J40" s="456" cm="1">
        <f t="array" ref="J40">IF(Properties!$D8=1,MIN(1,(1-INDEX(Input!$H$80:$H$89,Properties!$A8))*IF($B40="Retiro",J$17,J$15)),0)</f>
        <v>0.69</v>
      </c>
      <c r="K40" s="456" cm="1">
        <f t="array" ref="K40">IF(Properties!$D8=1,MIN(1,(1-INDEX(Input!$H$80:$H$89,Properties!$A8))*IF($B40="Retiro",K$17,K$15)),0)</f>
        <v>0.54</v>
      </c>
      <c r="L40" s="456" cm="1">
        <f t="array" ref="L40">IF(Properties!$D8=1,MIN(1,(1-INDEX(Input!$H$80:$H$89,Properties!$A8))*IF($B40="Retiro",L$17,L$15)),0)</f>
        <v>0.54</v>
      </c>
      <c r="M40" s="456" cm="1">
        <f t="array" ref="M40">IF(Properties!$D8=1,MIN(1,(1-INDEX(Input!$H$80:$H$89,Properties!$A8))*IF($B40="Retiro",M$17,M$15)),0)</f>
        <v>0.56999999999999995</v>
      </c>
      <c r="N40" s="456" cm="1">
        <f t="array" ref="N40">IF(Properties!$D8=1,MIN(1,(1-INDEX(Input!$H$80:$H$89,Properties!$A8))*IF($B40="Retiro",N$17,N$15)),0)</f>
        <v>0.66</v>
      </c>
      <c r="O40" s="456">
        <f t="shared" si="9"/>
        <v>0.60041095890410967</v>
      </c>
    </row>
    <row r="41" spans="1:15" ht="16.05" customHeight="1" x14ac:dyDescent="0.3">
      <c r="A41" s="454" t="str">
        <f t="shared" si="8"/>
        <v>Casa Montana Lote 2 (Samuel Gaviria House)</v>
      </c>
      <c r="B41" s="454" t="str">
        <f t="shared" si="8"/>
        <v>Retiro</v>
      </c>
      <c r="C41" s="456" cm="1">
        <f t="array" ref="C41">IF(Properties!$D9=1,MIN(1,(1-INDEX(Input!$H$80:$H$89,Properties!$A9))*IF($B41="Retiro",C$17,C$15)),0)</f>
        <v>0.75</v>
      </c>
      <c r="D41" s="456" cm="1">
        <f t="array" ref="D41">IF(Properties!$D9=1,MIN(1,(1-INDEX(Input!$H$80:$H$89,Properties!$A9))*IF($B41="Retiro",D$17,D$15)),0)</f>
        <v>0.6</v>
      </c>
      <c r="E41" s="456" cm="1">
        <f t="array" ref="E41">IF(Properties!$D9=1,MIN(1,(1-INDEX(Input!$H$80:$H$89,Properties!$A9))*IF($B41="Retiro",E$17,E$15)),0)</f>
        <v>0.54</v>
      </c>
      <c r="F41" s="456" cm="1">
        <f t="array" ref="F41">IF(Properties!$D9=1,MIN(1,(1-INDEX(Input!$H$80:$H$89,Properties!$A9))*IF($B41="Retiro",F$17,F$15)),0)</f>
        <v>0.51</v>
      </c>
      <c r="G41" s="456" cm="1">
        <f t="array" ref="G41">IF(Properties!$D9=1,MIN(1,(1-INDEX(Input!$H$80:$H$89,Properties!$A9))*IF($B41="Retiro",G$17,G$15)),0)</f>
        <v>0.48</v>
      </c>
      <c r="H41" s="456" cm="1">
        <f t="array" ref="H41">IF(Properties!$D9=1,MIN(1,(1-INDEX(Input!$H$80:$H$89,Properties!$A9))*IF($B41="Retiro",H$17,H$15)),0)</f>
        <v>0.63</v>
      </c>
      <c r="I41" s="456" cm="1">
        <f t="array" ref="I41">IF(Properties!$D9=1,MIN(1,(1-INDEX(Input!$H$80:$H$89,Properties!$A9))*IF($B41="Retiro",I$17,I$15)),0)</f>
        <v>0.66</v>
      </c>
      <c r="J41" s="456" cm="1">
        <f t="array" ref="J41">IF(Properties!$D9=1,MIN(1,(1-INDEX(Input!$H$80:$H$89,Properties!$A9))*IF($B41="Retiro",J$17,J$15)),0)</f>
        <v>0.63</v>
      </c>
      <c r="K41" s="456" cm="1">
        <f t="array" ref="K41">IF(Properties!$D9=1,MIN(1,(1-INDEX(Input!$H$80:$H$89,Properties!$A9))*IF($B41="Retiro",K$17,K$15)),0)</f>
        <v>0.51</v>
      </c>
      <c r="L41" s="456" cm="1">
        <f t="array" ref="L41">IF(Properties!$D9=1,MIN(1,(1-INDEX(Input!$H$80:$H$89,Properties!$A9))*IF($B41="Retiro",L$17,L$15)),0)</f>
        <v>0.54</v>
      </c>
      <c r="M41" s="456" cm="1">
        <f t="array" ref="M41">IF(Properties!$D9=1,MIN(1,(1-INDEX(Input!$H$80:$H$89,Properties!$A9))*IF($B41="Retiro",M$17,M$15)),0)</f>
        <v>0.56999999999999995</v>
      </c>
      <c r="N41" s="456" cm="1">
        <f t="array" ref="N41">IF(Properties!$D9=1,MIN(1,(1-INDEX(Input!$H$80:$H$89,Properties!$A9))*IF($B41="Retiro",N$17,N$15)),0)</f>
        <v>0.78</v>
      </c>
      <c r="O41" s="456">
        <f t="shared" si="9"/>
        <v>0.60049315068493159</v>
      </c>
    </row>
    <row r="42" spans="1:15" ht="16.05" customHeight="1" x14ac:dyDescent="0.3">
      <c r="A42" s="454" t="str">
        <f t="shared" si="8"/>
        <v>Casa Monte Sereno</v>
      </c>
      <c r="B42" s="454" t="str">
        <f t="shared" si="8"/>
        <v>Retiro</v>
      </c>
      <c r="C42" s="456" cm="1">
        <f t="array" ref="C42">IF(Properties!$D10=1,MIN(1,(1-INDEX(Input!$H$80:$H$89,Properties!$A10))*IF($B42="Retiro",C$17,C$15)),0)</f>
        <v>0.75</v>
      </c>
      <c r="D42" s="456" cm="1">
        <f t="array" ref="D42">IF(Properties!$D10=1,MIN(1,(1-INDEX(Input!$H$80:$H$89,Properties!$A10))*IF($B42="Retiro",D$17,D$15)),0)</f>
        <v>0.6</v>
      </c>
      <c r="E42" s="456" cm="1">
        <f t="array" ref="E42">IF(Properties!$D10=1,MIN(1,(1-INDEX(Input!$H$80:$H$89,Properties!$A10))*IF($B42="Retiro",E$17,E$15)),0)</f>
        <v>0.54</v>
      </c>
      <c r="F42" s="456" cm="1">
        <f t="array" ref="F42">IF(Properties!$D10=1,MIN(1,(1-INDEX(Input!$H$80:$H$89,Properties!$A10))*IF($B42="Retiro",F$17,F$15)),0)</f>
        <v>0.51</v>
      </c>
      <c r="G42" s="456" cm="1">
        <f t="array" ref="G42">IF(Properties!$D10=1,MIN(1,(1-INDEX(Input!$H$80:$H$89,Properties!$A10))*IF($B42="Retiro",G$17,G$15)),0)</f>
        <v>0.48</v>
      </c>
      <c r="H42" s="456" cm="1">
        <f t="array" ref="H42">IF(Properties!$D10=1,MIN(1,(1-INDEX(Input!$H$80:$H$89,Properties!$A10))*IF($B42="Retiro",H$17,H$15)),0)</f>
        <v>0.63</v>
      </c>
      <c r="I42" s="456" cm="1">
        <f t="array" ref="I42">IF(Properties!$D10=1,MIN(1,(1-INDEX(Input!$H$80:$H$89,Properties!$A10))*IF($B42="Retiro",I$17,I$15)),0)</f>
        <v>0.66</v>
      </c>
      <c r="J42" s="456" cm="1">
        <f t="array" ref="J42">IF(Properties!$D10=1,MIN(1,(1-INDEX(Input!$H$80:$H$89,Properties!$A10))*IF($B42="Retiro",J$17,J$15)),0)</f>
        <v>0.63</v>
      </c>
      <c r="K42" s="456" cm="1">
        <f t="array" ref="K42">IF(Properties!$D10=1,MIN(1,(1-INDEX(Input!$H$80:$H$89,Properties!$A10))*IF($B42="Retiro",K$17,K$15)),0)</f>
        <v>0.51</v>
      </c>
      <c r="L42" s="456" cm="1">
        <f t="array" ref="L42">IF(Properties!$D10=1,MIN(1,(1-INDEX(Input!$H$80:$H$89,Properties!$A10))*IF($B42="Retiro",L$17,L$15)),0)</f>
        <v>0.54</v>
      </c>
      <c r="M42" s="456" cm="1">
        <f t="array" ref="M42">IF(Properties!$D10=1,MIN(1,(1-INDEX(Input!$H$80:$H$89,Properties!$A10))*IF($B42="Retiro",M$17,M$15)),0)</f>
        <v>0.56999999999999995</v>
      </c>
      <c r="N42" s="456" cm="1">
        <f t="array" ref="N42">IF(Properties!$D10=1,MIN(1,(1-INDEX(Input!$H$80:$H$89,Properties!$A10))*IF($B42="Retiro",N$17,N$15)),0)</f>
        <v>0.78</v>
      </c>
      <c r="O42" s="456">
        <f t="shared" si="9"/>
        <v>0.60049315068493159</v>
      </c>
    </row>
    <row r="43" spans="1:15" ht="16.05" customHeight="1" x14ac:dyDescent="0.3">
      <c r="A43" s="454" t="str">
        <f t="shared" si="8"/>
        <v/>
      </c>
      <c r="B43" s="454" t="str">
        <f t="shared" si="8"/>
        <v>Poblado</v>
      </c>
      <c r="C43" s="456" cm="1">
        <f t="array" ref="C43">IF(Properties!$D11=1,MIN(1,(1-INDEX(Input!$H$80:$H$89,Properties!$A11))*IF($B43="Retiro",C$17,C$15)),0)</f>
        <v>0</v>
      </c>
      <c r="D43" s="456" cm="1">
        <f t="array" ref="D43">IF(Properties!$D11=1,MIN(1,(1-INDEX(Input!$H$80:$H$89,Properties!$A11))*IF($B43="Retiro",D$17,D$15)),0)</f>
        <v>0</v>
      </c>
      <c r="E43" s="456" cm="1">
        <f t="array" ref="E43">IF(Properties!$D11=1,MIN(1,(1-INDEX(Input!$H$80:$H$89,Properties!$A11))*IF($B43="Retiro",E$17,E$15)),0)</f>
        <v>0</v>
      </c>
      <c r="F43" s="456" cm="1">
        <f t="array" ref="F43">IF(Properties!$D11=1,MIN(1,(1-INDEX(Input!$H$80:$H$89,Properties!$A11))*IF($B43="Retiro",F$17,F$15)),0)</f>
        <v>0</v>
      </c>
      <c r="G43" s="456" cm="1">
        <f t="array" ref="G43">IF(Properties!$D11=1,MIN(1,(1-INDEX(Input!$H$80:$H$89,Properties!$A11))*IF($B43="Retiro",G$17,G$15)),0)</f>
        <v>0</v>
      </c>
      <c r="H43" s="456" cm="1">
        <f t="array" ref="H43">IF(Properties!$D11=1,MIN(1,(1-INDEX(Input!$H$80:$H$89,Properties!$A11))*IF($B43="Retiro",H$17,H$15)),0)</f>
        <v>0</v>
      </c>
      <c r="I43" s="456" cm="1">
        <f t="array" ref="I43">IF(Properties!$D11=1,MIN(1,(1-INDEX(Input!$H$80:$H$89,Properties!$A11))*IF($B43="Retiro",I$17,I$15)),0)</f>
        <v>0</v>
      </c>
      <c r="J43" s="456" cm="1">
        <f t="array" ref="J43">IF(Properties!$D11=1,MIN(1,(1-INDEX(Input!$H$80:$H$89,Properties!$A11))*IF($B43="Retiro",J$17,J$15)),0)</f>
        <v>0</v>
      </c>
      <c r="K43" s="456" cm="1">
        <f t="array" ref="K43">IF(Properties!$D11=1,MIN(1,(1-INDEX(Input!$H$80:$H$89,Properties!$A11))*IF($B43="Retiro",K$17,K$15)),0)</f>
        <v>0</v>
      </c>
      <c r="L43" s="456" cm="1">
        <f t="array" ref="L43">IF(Properties!$D11=1,MIN(1,(1-INDEX(Input!$H$80:$H$89,Properties!$A11))*IF($B43="Retiro",L$17,L$15)),0)</f>
        <v>0</v>
      </c>
      <c r="M43" s="456" cm="1">
        <f t="array" ref="M43">IF(Properties!$D11=1,MIN(1,(1-INDEX(Input!$H$80:$H$89,Properties!$A11))*IF($B43="Retiro",M$17,M$15)),0)</f>
        <v>0</v>
      </c>
      <c r="N43" s="456" cm="1">
        <f t="array" ref="N43">IF(Properties!$D11=1,MIN(1,(1-INDEX(Input!$H$80:$H$89,Properties!$A11))*IF($B43="Retiro",N$17,N$15)),0)</f>
        <v>0</v>
      </c>
      <c r="O43" s="456">
        <f t="shared" si="9"/>
        <v>0</v>
      </c>
    </row>
    <row r="44" spans="1:15" ht="16.05" customHeight="1" x14ac:dyDescent="0.3">
      <c r="A44" s="454" t="str">
        <f t="shared" si="8"/>
        <v/>
      </c>
      <c r="B44" s="454" t="str">
        <f t="shared" si="8"/>
        <v>Poblado</v>
      </c>
      <c r="C44" s="456" cm="1">
        <f t="array" ref="C44">IF(Properties!$D12=1,MIN(1,(1-INDEX(Input!$H$80:$H$89,Properties!$A12))*IF($B44="Retiro",C$17,C$15)),0)</f>
        <v>0</v>
      </c>
      <c r="D44" s="456" cm="1">
        <f t="array" ref="D44">IF(Properties!$D12=1,MIN(1,(1-INDEX(Input!$H$80:$H$89,Properties!$A12))*IF($B44="Retiro",D$17,D$15)),0)</f>
        <v>0</v>
      </c>
      <c r="E44" s="456" cm="1">
        <f t="array" ref="E44">IF(Properties!$D12=1,MIN(1,(1-INDEX(Input!$H$80:$H$89,Properties!$A12))*IF($B44="Retiro",E$17,E$15)),0)</f>
        <v>0</v>
      </c>
      <c r="F44" s="456" cm="1">
        <f t="array" ref="F44">IF(Properties!$D12=1,MIN(1,(1-INDEX(Input!$H$80:$H$89,Properties!$A12))*IF($B44="Retiro",F$17,F$15)),0)</f>
        <v>0</v>
      </c>
      <c r="G44" s="456" cm="1">
        <f t="array" ref="G44">IF(Properties!$D12=1,MIN(1,(1-INDEX(Input!$H$80:$H$89,Properties!$A12))*IF($B44="Retiro",G$17,G$15)),0)</f>
        <v>0</v>
      </c>
      <c r="H44" s="456" cm="1">
        <f t="array" ref="H44">IF(Properties!$D12=1,MIN(1,(1-INDEX(Input!$H$80:$H$89,Properties!$A12))*IF($B44="Retiro",H$17,H$15)),0)</f>
        <v>0</v>
      </c>
      <c r="I44" s="456" cm="1">
        <f t="array" ref="I44">IF(Properties!$D12=1,MIN(1,(1-INDEX(Input!$H$80:$H$89,Properties!$A12))*IF($B44="Retiro",I$17,I$15)),0)</f>
        <v>0</v>
      </c>
      <c r="J44" s="456" cm="1">
        <f t="array" ref="J44">IF(Properties!$D12=1,MIN(1,(1-INDEX(Input!$H$80:$H$89,Properties!$A12))*IF($B44="Retiro",J$17,J$15)),0)</f>
        <v>0</v>
      </c>
      <c r="K44" s="456" cm="1">
        <f t="array" ref="K44">IF(Properties!$D12=1,MIN(1,(1-INDEX(Input!$H$80:$H$89,Properties!$A12))*IF($B44="Retiro",K$17,K$15)),0)</f>
        <v>0</v>
      </c>
      <c r="L44" s="456" cm="1">
        <f t="array" ref="L44">IF(Properties!$D12=1,MIN(1,(1-INDEX(Input!$H$80:$H$89,Properties!$A12))*IF($B44="Retiro",L$17,L$15)),0)</f>
        <v>0</v>
      </c>
      <c r="M44" s="456" cm="1">
        <f t="array" ref="M44">IF(Properties!$D12=1,MIN(1,(1-INDEX(Input!$H$80:$H$89,Properties!$A12))*IF($B44="Retiro",M$17,M$15)),0)</f>
        <v>0</v>
      </c>
      <c r="N44" s="456" cm="1">
        <f t="array" ref="N44">IF(Properties!$D12=1,MIN(1,(1-INDEX(Input!$H$80:$H$89,Properties!$A12))*IF($B44="Retiro",N$17,N$15)),0)</f>
        <v>0</v>
      </c>
      <c r="O44" s="456">
        <f t="shared" si="9"/>
        <v>0</v>
      </c>
    </row>
    <row r="45" spans="1:15" ht="16.05" customHeight="1" x14ac:dyDescent="0.3">
      <c r="A45" s="454" t="str">
        <f t="shared" si="8"/>
        <v/>
      </c>
      <c r="B45" s="454" t="str">
        <f t="shared" si="8"/>
        <v>Poblado</v>
      </c>
      <c r="C45" s="456" cm="1">
        <f t="array" ref="C45">IF(Properties!$D13=1,MIN(1,(1-INDEX(Input!$H$80:$H$89,Properties!$A13))*IF($B45="Retiro",C$17,C$15)),0)</f>
        <v>0</v>
      </c>
      <c r="D45" s="456" cm="1">
        <f t="array" ref="D45">IF(Properties!$D13=1,MIN(1,(1-INDEX(Input!$H$80:$H$89,Properties!$A13))*IF($B45="Retiro",D$17,D$15)),0)</f>
        <v>0</v>
      </c>
      <c r="E45" s="456" cm="1">
        <f t="array" ref="E45">IF(Properties!$D13=1,MIN(1,(1-INDEX(Input!$H$80:$H$89,Properties!$A13))*IF($B45="Retiro",E$17,E$15)),0)</f>
        <v>0</v>
      </c>
      <c r="F45" s="456" cm="1">
        <f t="array" ref="F45">IF(Properties!$D13=1,MIN(1,(1-INDEX(Input!$H$80:$H$89,Properties!$A13))*IF($B45="Retiro",F$17,F$15)),0)</f>
        <v>0</v>
      </c>
      <c r="G45" s="456" cm="1">
        <f t="array" ref="G45">IF(Properties!$D13=1,MIN(1,(1-INDEX(Input!$H$80:$H$89,Properties!$A13))*IF($B45="Retiro",G$17,G$15)),0)</f>
        <v>0</v>
      </c>
      <c r="H45" s="456" cm="1">
        <f t="array" ref="H45">IF(Properties!$D13=1,MIN(1,(1-INDEX(Input!$H$80:$H$89,Properties!$A13))*IF($B45="Retiro",H$17,H$15)),0)</f>
        <v>0</v>
      </c>
      <c r="I45" s="456" cm="1">
        <f t="array" ref="I45">IF(Properties!$D13=1,MIN(1,(1-INDEX(Input!$H$80:$H$89,Properties!$A13))*IF($B45="Retiro",I$17,I$15)),0)</f>
        <v>0</v>
      </c>
      <c r="J45" s="456" cm="1">
        <f t="array" ref="J45">IF(Properties!$D13=1,MIN(1,(1-INDEX(Input!$H$80:$H$89,Properties!$A13))*IF($B45="Retiro",J$17,J$15)),0)</f>
        <v>0</v>
      </c>
      <c r="K45" s="456" cm="1">
        <f t="array" ref="K45">IF(Properties!$D13=1,MIN(1,(1-INDEX(Input!$H$80:$H$89,Properties!$A13))*IF($B45="Retiro",K$17,K$15)),0)</f>
        <v>0</v>
      </c>
      <c r="L45" s="456" cm="1">
        <f t="array" ref="L45">IF(Properties!$D13=1,MIN(1,(1-INDEX(Input!$H$80:$H$89,Properties!$A13))*IF($B45="Retiro",L$17,L$15)),0)</f>
        <v>0</v>
      </c>
      <c r="M45" s="456" cm="1">
        <f t="array" ref="M45">IF(Properties!$D13=1,MIN(1,(1-INDEX(Input!$H$80:$H$89,Properties!$A13))*IF($B45="Retiro",M$17,M$15)),0)</f>
        <v>0</v>
      </c>
      <c r="N45" s="456" cm="1">
        <f t="array" ref="N45">IF(Properties!$D13=1,MIN(1,(1-INDEX(Input!$H$80:$H$89,Properties!$A13))*IF($B45="Retiro",N$17,N$15)),0)</f>
        <v>0</v>
      </c>
      <c r="O45" s="456">
        <f t="shared" si="9"/>
        <v>0</v>
      </c>
    </row>
    <row r="46" spans="1:15" ht="16.05" customHeight="1" x14ac:dyDescent="0.3">
      <c r="A46" s="454" t="str">
        <f t="shared" si="8"/>
        <v/>
      </c>
      <c r="B46" s="454" t="str">
        <f t="shared" si="8"/>
        <v>Poblado</v>
      </c>
      <c r="C46" s="456" cm="1">
        <f t="array" ref="C46">IF(Properties!$D14=1,MIN(1,(1-INDEX(Input!$H$80:$H$89,Properties!$A14))*IF($B46="Retiro",C$17,C$15)),0)</f>
        <v>0</v>
      </c>
      <c r="D46" s="456" cm="1">
        <f t="array" ref="D46">IF(Properties!$D14=1,MIN(1,(1-INDEX(Input!$H$80:$H$89,Properties!$A14))*IF($B46="Retiro",D$17,D$15)),0)</f>
        <v>0</v>
      </c>
      <c r="E46" s="456" cm="1">
        <f t="array" ref="E46">IF(Properties!$D14=1,MIN(1,(1-INDEX(Input!$H$80:$H$89,Properties!$A14))*IF($B46="Retiro",E$17,E$15)),0)</f>
        <v>0</v>
      </c>
      <c r="F46" s="456" cm="1">
        <f t="array" ref="F46">IF(Properties!$D14=1,MIN(1,(1-INDEX(Input!$H$80:$H$89,Properties!$A14))*IF($B46="Retiro",F$17,F$15)),0)</f>
        <v>0</v>
      </c>
      <c r="G46" s="456" cm="1">
        <f t="array" ref="G46">IF(Properties!$D14=1,MIN(1,(1-INDEX(Input!$H$80:$H$89,Properties!$A14))*IF($B46="Retiro",G$17,G$15)),0)</f>
        <v>0</v>
      </c>
      <c r="H46" s="456" cm="1">
        <f t="array" ref="H46">IF(Properties!$D14=1,MIN(1,(1-INDEX(Input!$H$80:$H$89,Properties!$A14))*IF($B46="Retiro",H$17,H$15)),0)</f>
        <v>0</v>
      </c>
      <c r="I46" s="456" cm="1">
        <f t="array" ref="I46">IF(Properties!$D14=1,MIN(1,(1-INDEX(Input!$H$80:$H$89,Properties!$A14))*IF($B46="Retiro",I$17,I$15)),0)</f>
        <v>0</v>
      </c>
      <c r="J46" s="456" cm="1">
        <f t="array" ref="J46">IF(Properties!$D14=1,MIN(1,(1-INDEX(Input!$H$80:$H$89,Properties!$A14))*IF($B46="Retiro",J$17,J$15)),0)</f>
        <v>0</v>
      </c>
      <c r="K46" s="456" cm="1">
        <f t="array" ref="K46">IF(Properties!$D14=1,MIN(1,(1-INDEX(Input!$H$80:$H$89,Properties!$A14))*IF($B46="Retiro",K$17,K$15)),0)</f>
        <v>0</v>
      </c>
      <c r="L46" s="456" cm="1">
        <f t="array" ref="L46">IF(Properties!$D14=1,MIN(1,(1-INDEX(Input!$H$80:$H$89,Properties!$A14))*IF($B46="Retiro",L$17,L$15)),0)</f>
        <v>0</v>
      </c>
      <c r="M46" s="456" cm="1">
        <f t="array" ref="M46">IF(Properties!$D14=1,MIN(1,(1-INDEX(Input!$H$80:$H$89,Properties!$A14))*IF($B46="Retiro",M$17,M$15)),0)</f>
        <v>0</v>
      </c>
      <c r="N46" s="456" cm="1">
        <f t="array" ref="N46">IF(Properties!$D14=1,MIN(1,(1-INDEX(Input!$H$80:$H$89,Properties!$A14))*IF($B46="Retiro",N$17,N$15)),0)</f>
        <v>0</v>
      </c>
      <c r="O46" s="456">
        <f t="shared" si="9"/>
        <v>0</v>
      </c>
    </row>
    <row r="47" spans="1:15" ht="16.05" customHeight="1" x14ac:dyDescent="0.3">
      <c r="A47" s="454" t="str">
        <f t="shared" si="8"/>
        <v/>
      </c>
      <c r="B47" s="454" t="str">
        <f t="shared" si="8"/>
        <v>Poblado</v>
      </c>
      <c r="C47" s="456" cm="1">
        <f t="array" ref="C47">IF(Properties!$D15=1,MIN(1,(1-INDEX(Input!$H$80:$H$89,Properties!$A15))*IF($B47="Retiro",C$17,C$15)),0)</f>
        <v>0</v>
      </c>
      <c r="D47" s="456" cm="1">
        <f t="array" ref="D47">IF(Properties!$D15=1,MIN(1,(1-INDEX(Input!$H$80:$H$89,Properties!$A15))*IF($B47="Retiro",D$17,D$15)),0)</f>
        <v>0</v>
      </c>
      <c r="E47" s="456" cm="1">
        <f t="array" ref="E47">IF(Properties!$D15=1,MIN(1,(1-INDEX(Input!$H$80:$H$89,Properties!$A15))*IF($B47="Retiro",E$17,E$15)),0)</f>
        <v>0</v>
      </c>
      <c r="F47" s="456" cm="1">
        <f t="array" ref="F47">IF(Properties!$D15=1,MIN(1,(1-INDEX(Input!$H$80:$H$89,Properties!$A15))*IF($B47="Retiro",F$17,F$15)),0)</f>
        <v>0</v>
      </c>
      <c r="G47" s="456" cm="1">
        <f t="array" ref="G47">IF(Properties!$D15=1,MIN(1,(1-INDEX(Input!$H$80:$H$89,Properties!$A15))*IF($B47="Retiro",G$17,G$15)),0)</f>
        <v>0</v>
      </c>
      <c r="H47" s="456" cm="1">
        <f t="array" ref="H47">IF(Properties!$D15=1,MIN(1,(1-INDEX(Input!$H$80:$H$89,Properties!$A15))*IF($B47="Retiro",H$17,H$15)),0)</f>
        <v>0</v>
      </c>
      <c r="I47" s="456" cm="1">
        <f t="array" ref="I47">IF(Properties!$D15=1,MIN(1,(1-INDEX(Input!$H$80:$H$89,Properties!$A15))*IF($B47="Retiro",I$17,I$15)),0)</f>
        <v>0</v>
      </c>
      <c r="J47" s="456" cm="1">
        <f t="array" ref="J47">IF(Properties!$D15=1,MIN(1,(1-INDEX(Input!$H$80:$H$89,Properties!$A15))*IF($B47="Retiro",J$17,J$15)),0)</f>
        <v>0</v>
      </c>
      <c r="K47" s="456" cm="1">
        <f t="array" ref="K47">IF(Properties!$D15=1,MIN(1,(1-INDEX(Input!$H$80:$H$89,Properties!$A15))*IF($B47="Retiro",K$17,K$15)),0)</f>
        <v>0</v>
      </c>
      <c r="L47" s="456" cm="1">
        <f t="array" ref="L47">IF(Properties!$D15=1,MIN(1,(1-INDEX(Input!$H$80:$H$89,Properties!$A15))*IF($B47="Retiro",L$17,L$15)),0)</f>
        <v>0</v>
      </c>
      <c r="M47" s="456" cm="1">
        <f t="array" ref="M47">IF(Properties!$D15=1,MIN(1,(1-INDEX(Input!$H$80:$H$89,Properties!$A15))*IF($B47="Retiro",M$17,M$15)),0)</f>
        <v>0</v>
      </c>
      <c r="N47" s="456" cm="1">
        <f t="array" ref="N47">IF(Properties!$D15=1,MIN(1,(1-INDEX(Input!$H$80:$H$89,Properties!$A15))*IF($B47="Retiro",N$17,N$15)),0)</f>
        <v>0</v>
      </c>
      <c r="O47" s="456">
        <f t="shared" si="9"/>
        <v>0</v>
      </c>
    </row>
    <row r="48" spans="1:15" ht="16.05" customHeight="1" x14ac:dyDescent="0.3">
      <c r="A48" s="439"/>
      <c r="B48" s="439"/>
      <c r="C48" s="439"/>
      <c r="D48" s="439"/>
      <c r="E48" s="439"/>
      <c r="F48" s="439"/>
      <c r="G48" s="439"/>
      <c r="H48" s="439"/>
      <c r="I48" s="439"/>
      <c r="J48" s="439"/>
      <c r="K48" s="439"/>
      <c r="L48" s="439"/>
      <c r="M48" s="439"/>
      <c r="N48" s="439"/>
      <c r="O48" s="439"/>
    </row>
    <row r="49" spans="1:15" ht="19.95" customHeight="1" x14ac:dyDescent="0.3">
      <c r="A49" s="447" t="s">
        <v>1119</v>
      </c>
      <c r="B49" s="447"/>
      <c r="C49" s="447"/>
      <c r="D49" s="447"/>
      <c r="E49" s="447"/>
      <c r="F49" s="447"/>
      <c r="G49" s="447"/>
      <c r="H49" s="447"/>
      <c r="I49" s="447"/>
      <c r="J49" s="447"/>
      <c r="K49" s="447"/>
      <c r="L49" s="447"/>
      <c r="M49" s="447"/>
      <c r="N49" s="447"/>
      <c r="O49" s="447" t="s">
        <v>1121</v>
      </c>
    </row>
    <row r="50" spans="1:15" ht="16.05" customHeight="1" x14ac:dyDescent="0.3">
      <c r="A50" s="454" t="str">
        <f t="shared" ref="A50:B59" si="10">A26</f>
        <v>Aires de Campestre Apto 801 (Penthouse)</v>
      </c>
      <c r="B50" s="454" t="str">
        <f t="shared" si="10"/>
        <v>Poblado</v>
      </c>
      <c r="C50" s="457">
        <f>IF(Properties!$D6=1,C$6*C38*C26,0)</f>
        <v>6352.83</v>
      </c>
      <c r="D50" s="457">
        <f>IF(Properties!$D6=1,D$6*D38*D26,0)</f>
        <v>4536</v>
      </c>
      <c r="E50" s="457">
        <f>IF(Properties!$D6=1,E$6*E38*E26,0)</f>
        <v>4532.3549999999996</v>
      </c>
      <c r="F50" s="457">
        <f>IF(Properties!$D6=1,F$6*F38*F26,0)</f>
        <v>3924.4500000000003</v>
      </c>
      <c r="G50" s="457">
        <f>IF(Properties!$D6=1,G$6*G38*G26,0)</f>
        <v>3841.8300000000008</v>
      </c>
      <c r="H50" s="457">
        <f>IF(Properties!$D6=1,H$6*H38*H26,0)</f>
        <v>5103</v>
      </c>
      <c r="I50" s="457">
        <f>IF(Properties!$D6=1,I$6*I38*I26,0)</f>
        <v>6064.0650000000005</v>
      </c>
      <c r="J50" s="457">
        <f>IF(Properties!$D6=1,J$6*J38*J26,0)</f>
        <v>6352.83</v>
      </c>
      <c r="K50" s="457">
        <f>IF(Properties!$D6=1,K$6*K38*K26,0)</f>
        <v>4155.3000000000011</v>
      </c>
      <c r="L50" s="457">
        <f>IF(Properties!$D6=1,L$6*L38*L26,0)</f>
        <v>4293.8100000000004</v>
      </c>
      <c r="M50" s="457">
        <f>IF(Properties!$D6=1,M$6*M38*M26,0)</f>
        <v>4386.1499999999996</v>
      </c>
      <c r="N50" s="457">
        <f>IF(Properties!$D6=1,N$6*N38*N26,0)</f>
        <v>6076.6200000000017</v>
      </c>
      <c r="O50" s="457">
        <f t="shared" ref="O50:O59" si="11">SUM(C50:N50)</f>
        <v>59619.240000000005</v>
      </c>
    </row>
    <row r="51" spans="1:15" ht="16.05" customHeight="1" x14ac:dyDescent="0.3">
      <c r="A51" s="454" t="str">
        <f t="shared" si="10"/>
        <v>Fontanar Apto 201 (Penthouse)</v>
      </c>
      <c r="B51" s="454" t="str">
        <f t="shared" si="10"/>
        <v>Poblado</v>
      </c>
      <c r="C51" s="457">
        <f>IF(Properties!$D7=1,C$6*C39*C27,0)</f>
        <v>6352.83</v>
      </c>
      <c r="D51" s="457">
        <f>IF(Properties!$D7=1,D$6*D39*D27,0)</f>
        <v>4536</v>
      </c>
      <c r="E51" s="457">
        <f>IF(Properties!$D7=1,E$6*E39*E27,0)</f>
        <v>4532.3549999999996</v>
      </c>
      <c r="F51" s="457">
        <f>IF(Properties!$D7=1,F$6*F39*F27,0)</f>
        <v>3924.4500000000003</v>
      </c>
      <c r="G51" s="457">
        <f>IF(Properties!$D7=1,G$6*G39*G27,0)</f>
        <v>3841.8300000000008</v>
      </c>
      <c r="H51" s="457">
        <f>IF(Properties!$D7=1,H$6*H39*H27,0)</f>
        <v>5103</v>
      </c>
      <c r="I51" s="457">
        <f>IF(Properties!$D7=1,I$6*I39*I27,0)</f>
        <v>6064.0650000000005</v>
      </c>
      <c r="J51" s="457">
        <f>IF(Properties!$D7=1,J$6*J39*J27,0)</f>
        <v>6352.83</v>
      </c>
      <c r="K51" s="457">
        <f>IF(Properties!$D7=1,K$6*K39*K27,0)</f>
        <v>4155.3000000000011</v>
      </c>
      <c r="L51" s="457">
        <f>IF(Properties!$D7=1,L$6*L39*L27,0)</f>
        <v>4293.8100000000004</v>
      </c>
      <c r="M51" s="457">
        <f>IF(Properties!$D7=1,M$6*M39*M27,0)</f>
        <v>4386.1499999999996</v>
      </c>
      <c r="N51" s="457">
        <f>IF(Properties!$D7=1,N$6*N39*N27,0)</f>
        <v>6076.6200000000017</v>
      </c>
      <c r="O51" s="457">
        <f t="shared" si="11"/>
        <v>59619.240000000005</v>
      </c>
    </row>
    <row r="52" spans="1:15" ht="16.05" customHeight="1" x14ac:dyDescent="0.3">
      <c r="A52" s="454" t="str">
        <f t="shared" si="10"/>
        <v>San Lucas Apto 101</v>
      </c>
      <c r="B52" s="454" t="str">
        <f t="shared" si="10"/>
        <v>Poblado</v>
      </c>
      <c r="C52" s="457">
        <f>IF(Properties!$D8=1,C$6*C40*C28,0)</f>
        <v>5882.25</v>
      </c>
      <c r="D52" s="457">
        <f>IF(Properties!$D8=1,D$6*D40*D28,0)</f>
        <v>4200</v>
      </c>
      <c r="E52" s="457">
        <f>IF(Properties!$D8=1,E$6*E40*E28,0)</f>
        <v>4196.6250000000009</v>
      </c>
      <c r="F52" s="457">
        <f>IF(Properties!$D8=1,F$6*F40*F28,0)</f>
        <v>3633.7500000000009</v>
      </c>
      <c r="G52" s="457">
        <f>IF(Properties!$D8=1,G$6*G40*G28,0)</f>
        <v>3557.2500000000005</v>
      </c>
      <c r="H52" s="457">
        <f>IF(Properties!$D8=1,H$6*H40*H28,0)</f>
        <v>4725</v>
      </c>
      <c r="I52" s="457">
        <f>IF(Properties!$D8=1,I$6*I40*I28,0)</f>
        <v>5614.875</v>
      </c>
      <c r="J52" s="457">
        <f>IF(Properties!$D8=1,J$6*J40*J28,0)</f>
        <v>5882.25</v>
      </c>
      <c r="K52" s="457">
        <f>IF(Properties!$D8=1,K$6*K40*K28,0)</f>
        <v>3847.5000000000018</v>
      </c>
      <c r="L52" s="457">
        <f>IF(Properties!$D8=1,L$6*L40*L28,0)</f>
        <v>3975.7500000000014</v>
      </c>
      <c r="M52" s="457">
        <f>IF(Properties!$D8=1,M$6*M40*M28,0)</f>
        <v>4061.2500000000005</v>
      </c>
      <c r="N52" s="457">
        <f>IF(Properties!$D8=1,N$6*N40*N28,0)</f>
        <v>5626.5000000000018</v>
      </c>
      <c r="O52" s="457">
        <f t="shared" si="11"/>
        <v>55203</v>
      </c>
    </row>
    <row r="53" spans="1:15" ht="16.05" customHeight="1" x14ac:dyDescent="0.3">
      <c r="A53" s="454" t="str">
        <f t="shared" si="10"/>
        <v>Casa Montana Lote 2 (Samuel Gaviria House)</v>
      </c>
      <c r="B53" s="454" t="str">
        <f t="shared" si="10"/>
        <v>Retiro</v>
      </c>
      <c r="C53" s="457">
        <f>IF(Properties!$D9=1,C$6*C41*C29,0)</f>
        <v>8128.8642857142859</v>
      </c>
      <c r="D53" s="457">
        <f>IF(Properties!$D9=1,D$6*D41*D29,0)</f>
        <v>5426.4000000000005</v>
      </c>
      <c r="E53" s="457">
        <f>IF(Properties!$D9=1,E$6*E41*E29,0)</f>
        <v>5407.02</v>
      </c>
      <c r="F53" s="457">
        <f>IF(Properties!$D9=1,F$6*F41*F29,0)</f>
        <v>5193.2571428571437</v>
      </c>
      <c r="G53" s="457">
        <f>IF(Properties!$D9=1,G$6*G41*G29,0)</f>
        <v>4553.2800000000007</v>
      </c>
      <c r="H53" s="457">
        <f>IF(Properties!$D9=1,H$6*H41*H29,0)</f>
        <v>6415.2</v>
      </c>
      <c r="I53" s="457">
        <f>IF(Properties!$D9=1,I$6*I41*I29,0)</f>
        <v>7014.2725714285716</v>
      </c>
      <c r="J53" s="457">
        <f>IF(Properties!$D9=1,J$6*J41*J29,0)</f>
        <v>6629.0400000000009</v>
      </c>
      <c r="K53" s="457">
        <f>IF(Properties!$D9=1,K$6*K41*K29,0)</f>
        <v>4941.9000000000005</v>
      </c>
      <c r="L53" s="457">
        <f>IF(Properties!$D9=1,L$6*L41*L29,0)</f>
        <v>5122.4400000000014</v>
      </c>
      <c r="M53" s="457">
        <f>IF(Properties!$D9=1,M$6*M41*M29,0)</f>
        <v>5523.2999999999993</v>
      </c>
      <c r="N53" s="457">
        <f>IF(Properties!$D9=1,N$6*N41*N29,0)</f>
        <v>8536.2308571428566</v>
      </c>
      <c r="O53" s="457">
        <f t="shared" si="11"/>
        <v>72891.20485714286</v>
      </c>
    </row>
    <row r="54" spans="1:15" ht="16.05" customHeight="1" x14ac:dyDescent="0.3">
      <c r="A54" s="454" t="str">
        <f t="shared" si="10"/>
        <v>Casa Monte Sereno</v>
      </c>
      <c r="B54" s="454" t="str">
        <f t="shared" si="10"/>
        <v>Retiro</v>
      </c>
      <c r="C54" s="457">
        <f>IF(Properties!$D10=1,C$6*C42*C30,0)</f>
        <v>7219.1250000000009</v>
      </c>
      <c r="D54" s="457">
        <f>IF(Properties!$D10=1,D$6*D42*D30,0)</f>
        <v>4309.2</v>
      </c>
      <c r="E54" s="457">
        <f>IF(Properties!$D10=1,E$6*E42*E30,0)</f>
        <v>4293.8100000000004</v>
      </c>
      <c r="F54" s="457">
        <f>IF(Properties!$D10=1,F$6*F42*F30,0)</f>
        <v>4131</v>
      </c>
      <c r="G54" s="457">
        <f>IF(Properties!$D10=1,G$6*G42*G30,0)</f>
        <v>3615.8400000000006</v>
      </c>
      <c r="H54" s="457">
        <f>IF(Properties!$D10=1,H$6*H42*H30,0)</f>
        <v>5103</v>
      </c>
      <c r="I54" s="457">
        <f>IF(Properties!$D10=1,I$6*I42*I30,0)</f>
        <v>5800.4100000000017</v>
      </c>
      <c r="J54" s="457">
        <f>IF(Properties!$D10=1,J$6*J42*J30,0)</f>
        <v>5273.1</v>
      </c>
      <c r="K54" s="457">
        <f>IF(Properties!$D10=1,K$6*K42*K30,0)</f>
        <v>3924.4500000000003</v>
      </c>
      <c r="L54" s="457">
        <f>IF(Properties!$D10=1,L$6*L42*L30,0)</f>
        <v>4067.8200000000015</v>
      </c>
      <c r="M54" s="457">
        <f>IF(Properties!$D10=1,M$6*M42*M30,0)</f>
        <v>4386.1499999999996</v>
      </c>
      <c r="N54" s="457">
        <f>IF(Properties!$D10=1,N$6*N42*N30,0)</f>
        <v>7834.3200000000015</v>
      </c>
      <c r="O54" s="457">
        <f t="shared" si="11"/>
        <v>59958.224999999999</v>
      </c>
    </row>
    <row r="55" spans="1:15" ht="16.05" customHeight="1" x14ac:dyDescent="0.3">
      <c r="A55" s="454" t="str">
        <f t="shared" si="10"/>
        <v/>
      </c>
      <c r="B55" s="454" t="str">
        <f t="shared" si="10"/>
        <v>Poblado</v>
      </c>
      <c r="C55" s="457">
        <f>IF(Properties!$D11=1,C$6*C43*C31,0)</f>
        <v>0</v>
      </c>
      <c r="D55" s="457">
        <f>IF(Properties!$D11=1,D$6*D43*D31,0)</f>
        <v>0</v>
      </c>
      <c r="E55" s="457">
        <f>IF(Properties!$D11=1,E$6*E43*E31,0)</f>
        <v>0</v>
      </c>
      <c r="F55" s="457">
        <f>IF(Properties!$D11=1,F$6*F43*F31,0)</f>
        <v>0</v>
      </c>
      <c r="G55" s="457">
        <f>IF(Properties!$D11=1,G$6*G43*G31,0)</f>
        <v>0</v>
      </c>
      <c r="H55" s="457">
        <f>IF(Properties!$D11=1,H$6*H43*H31,0)</f>
        <v>0</v>
      </c>
      <c r="I55" s="457">
        <f>IF(Properties!$D11=1,I$6*I43*I31,0)</f>
        <v>0</v>
      </c>
      <c r="J55" s="457">
        <f>IF(Properties!$D11=1,J$6*J43*J31,0)</f>
        <v>0</v>
      </c>
      <c r="K55" s="457">
        <f>IF(Properties!$D11=1,K$6*K43*K31,0)</f>
        <v>0</v>
      </c>
      <c r="L55" s="457">
        <f>IF(Properties!$D11=1,L$6*L43*L31,0)</f>
        <v>0</v>
      </c>
      <c r="M55" s="457">
        <f>IF(Properties!$D11=1,M$6*M43*M31,0)</f>
        <v>0</v>
      </c>
      <c r="N55" s="457">
        <f>IF(Properties!$D11=1,N$6*N43*N31,0)</f>
        <v>0</v>
      </c>
      <c r="O55" s="457">
        <f t="shared" si="11"/>
        <v>0</v>
      </c>
    </row>
    <row r="56" spans="1:15" ht="16.05" customHeight="1" x14ac:dyDescent="0.3">
      <c r="A56" s="454" t="str">
        <f t="shared" si="10"/>
        <v/>
      </c>
      <c r="B56" s="454" t="str">
        <f t="shared" si="10"/>
        <v>Poblado</v>
      </c>
      <c r="C56" s="457">
        <f>IF(Properties!$D12=1,C$6*C44*C32,0)</f>
        <v>0</v>
      </c>
      <c r="D56" s="457">
        <f>IF(Properties!$D12=1,D$6*D44*D32,0)</f>
        <v>0</v>
      </c>
      <c r="E56" s="457">
        <f>IF(Properties!$D12=1,E$6*E44*E32,0)</f>
        <v>0</v>
      </c>
      <c r="F56" s="457">
        <f>IF(Properties!$D12=1,F$6*F44*F32,0)</f>
        <v>0</v>
      </c>
      <c r="G56" s="457">
        <f>IF(Properties!$D12=1,G$6*G44*G32,0)</f>
        <v>0</v>
      </c>
      <c r="H56" s="457">
        <f>IF(Properties!$D12=1,H$6*H44*H32,0)</f>
        <v>0</v>
      </c>
      <c r="I56" s="457">
        <f>IF(Properties!$D12=1,I$6*I44*I32,0)</f>
        <v>0</v>
      </c>
      <c r="J56" s="457">
        <f>IF(Properties!$D12=1,J$6*J44*J32,0)</f>
        <v>0</v>
      </c>
      <c r="K56" s="457">
        <f>IF(Properties!$D12=1,K$6*K44*K32,0)</f>
        <v>0</v>
      </c>
      <c r="L56" s="457">
        <f>IF(Properties!$D12=1,L$6*L44*L32,0)</f>
        <v>0</v>
      </c>
      <c r="M56" s="457">
        <f>IF(Properties!$D12=1,M$6*M44*M32,0)</f>
        <v>0</v>
      </c>
      <c r="N56" s="457">
        <f>IF(Properties!$D12=1,N$6*N44*N32,0)</f>
        <v>0</v>
      </c>
      <c r="O56" s="457">
        <f t="shared" si="11"/>
        <v>0</v>
      </c>
    </row>
    <row r="57" spans="1:15" ht="16.05" customHeight="1" x14ac:dyDescent="0.3">
      <c r="A57" s="454" t="str">
        <f t="shared" si="10"/>
        <v/>
      </c>
      <c r="B57" s="454" t="str">
        <f t="shared" si="10"/>
        <v>Poblado</v>
      </c>
      <c r="C57" s="457">
        <f>IF(Properties!$D13=1,C$6*C45*C33,0)</f>
        <v>0</v>
      </c>
      <c r="D57" s="457">
        <f>IF(Properties!$D13=1,D$6*D45*D33,0)</f>
        <v>0</v>
      </c>
      <c r="E57" s="457">
        <f>IF(Properties!$D13=1,E$6*E45*E33,0)</f>
        <v>0</v>
      </c>
      <c r="F57" s="457">
        <f>IF(Properties!$D13=1,F$6*F45*F33,0)</f>
        <v>0</v>
      </c>
      <c r="G57" s="457">
        <f>IF(Properties!$D13=1,G$6*G45*G33,0)</f>
        <v>0</v>
      </c>
      <c r="H57" s="457">
        <f>IF(Properties!$D13=1,H$6*H45*H33,0)</f>
        <v>0</v>
      </c>
      <c r="I57" s="457">
        <f>IF(Properties!$D13=1,I$6*I45*I33,0)</f>
        <v>0</v>
      </c>
      <c r="J57" s="457">
        <f>IF(Properties!$D13=1,J$6*J45*J33,0)</f>
        <v>0</v>
      </c>
      <c r="K57" s="457">
        <f>IF(Properties!$D13=1,K$6*K45*K33,0)</f>
        <v>0</v>
      </c>
      <c r="L57" s="457">
        <f>IF(Properties!$D13=1,L$6*L45*L33,0)</f>
        <v>0</v>
      </c>
      <c r="M57" s="457">
        <f>IF(Properties!$D13=1,M$6*M45*M33,0)</f>
        <v>0</v>
      </c>
      <c r="N57" s="457">
        <f>IF(Properties!$D13=1,N$6*N45*N33,0)</f>
        <v>0</v>
      </c>
      <c r="O57" s="457">
        <f t="shared" si="11"/>
        <v>0</v>
      </c>
    </row>
    <row r="58" spans="1:15" ht="16.05" customHeight="1" x14ac:dyDescent="0.3">
      <c r="A58" s="454" t="str">
        <f t="shared" si="10"/>
        <v/>
      </c>
      <c r="B58" s="454" t="str">
        <f t="shared" si="10"/>
        <v>Poblado</v>
      </c>
      <c r="C58" s="457">
        <f>IF(Properties!$D14=1,C$6*C46*C34,0)</f>
        <v>0</v>
      </c>
      <c r="D58" s="457">
        <f>IF(Properties!$D14=1,D$6*D46*D34,0)</f>
        <v>0</v>
      </c>
      <c r="E58" s="457">
        <f>IF(Properties!$D14=1,E$6*E46*E34,0)</f>
        <v>0</v>
      </c>
      <c r="F58" s="457">
        <f>IF(Properties!$D14=1,F$6*F46*F34,0)</f>
        <v>0</v>
      </c>
      <c r="G58" s="457">
        <f>IF(Properties!$D14=1,G$6*G46*G34,0)</f>
        <v>0</v>
      </c>
      <c r="H58" s="457">
        <f>IF(Properties!$D14=1,H$6*H46*H34,0)</f>
        <v>0</v>
      </c>
      <c r="I58" s="457">
        <f>IF(Properties!$D14=1,I$6*I46*I34,0)</f>
        <v>0</v>
      </c>
      <c r="J58" s="457">
        <f>IF(Properties!$D14=1,J$6*J46*J34,0)</f>
        <v>0</v>
      </c>
      <c r="K58" s="457">
        <f>IF(Properties!$D14=1,K$6*K46*K34,0)</f>
        <v>0</v>
      </c>
      <c r="L58" s="457">
        <f>IF(Properties!$D14=1,L$6*L46*L34,0)</f>
        <v>0</v>
      </c>
      <c r="M58" s="457">
        <f>IF(Properties!$D14=1,M$6*M46*M34,0)</f>
        <v>0</v>
      </c>
      <c r="N58" s="457">
        <f>IF(Properties!$D14=1,N$6*N46*N34,0)</f>
        <v>0</v>
      </c>
      <c r="O58" s="457">
        <f t="shared" si="11"/>
        <v>0</v>
      </c>
    </row>
    <row r="59" spans="1:15" ht="16.05" customHeight="1" x14ac:dyDescent="0.3">
      <c r="A59" s="454" t="str">
        <f t="shared" si="10"/>
        <v/>
      </c>
      <c r="B59" s="454" t="str">
        <f t="shared" si="10"/>
        <v>Poblado</v>
      </c>
      <c r="C59" s="457">
        <f>IF(Properties!$D15=1,C$6*C47*C35,0)</f>
        <v>0</v>
      </c>
      <c r="D59" s="457">
        <f>IF(Properties!$D15=1,D$6*D47*D35,0)</f>
        <v>0</v>
      </c>
      <c r="E59" s="457">
        <f>IF(Properties!$D15=1,E$6*E47*E35,0)</f>
        <v>0</v>
      </c>
      <c r="F59" s="457">
        <f>IF(Properties!$D15=1,F$6*F47*F35,0)</f>
        <v>0</v>
      </c>
      <c r="G59" s="457">
        <f>IF(Properties!$D15=1,G$6*G47*G35,0)</f>
        <v>0</v>
      </c>
      <c r="H59" s="457">
        <f>IF(Properties!$D15=1,H$6*H47*H35,0)</f>
        <v>0</v>
      </c>
      <c r="I59" s="457">
        <f>IF(Properties!$D15=1,I$6*I47*I35,0)</f>
        <v>0</v>
      </c>
      <c r="J59" s="457">
        <f>IF(Properties!$D15=1,J$6*J47*J35,0)</f>
        <v>0</v>
      </c>
      <c r="K59" s="457">
        <f>IF(Properties!$D15=1,K$6*K47*K35,0)</f>
        <v>0</v>
      </c>
      <c r="L59" s="457">
        <f>IF(Properties!$D15=1,L$6*L47*L35,0)</f>
        <v>0</v>
      </c>
      <c r="M59" s="457">
        <f>IF(Properties!$D15=1,M$6*M47*M35,0)</f>
        <v>0</v>
      </c>
      <c r="N59" s="457">
        <f>IF(Properties!$D15=1,N$6*N47*N35,0)</f>
        <v>0</v>
      </c>
      <c r="O59" s="457">
        <f t="shared" si="11"/>
        <v>0</v>
      </c>
    </row>
    <row r="60" spans="1:15" ht="16.05" customHeight="1" x14ac:dyDescent="0.3">
      <c r="A60" s="458" t="s">
        <v>1130</v>
      </c>
      <c r="B60" s="458"/>
      <c r="C60" s="459">
        <f t="shared" ref="C60:O60" si="12">SUM(C50:C59)</f>
        <v>33935.899285714288</v>
      </c>
      <c r="D60" s="459">
        <f t="shared" si="12"/>
        <v>23007.600000000002</v>
      </c>
      <c r="E60" s="459">
        <f t="shared" si="12"/>
        <v>22962.165000000001</v>
      </c>
      <c r="F60" s="459">
        <f t="shared" si="12"/>
        <v>20806.907142857144</v>
      </c>
      <c r="G60" s="459">
        <f t="shared" si="12"/>
        <v>19410.030000000002</v>
      </c>
      <c r="H60" s="459">
        <f t="shared" si="12"/>
        <v>26449.200000000001</v>
      </c>
      <c r="I60" s="459">
        <f t="shared" si="12"/>
        <v>30557.687571428578</v>
      </c>
      <c r="J60" s="459">
        <f t="shared" si="12"/>
        <v>30490.050000000003</v>
      </c>
      <c r="K60" s="459">
        <f t="shared" si="12"/>
        <v>21024.450000000004</v>
      </c>
      <c r="L60" s="459">
        <f t="shared" si="12"/>
        <v>21753.630000000005</v>
      </c>
      <c r="M60" s="459">
        <f t="shared" si="12"/>
        <v>22743</v>
      </c>
      <c r="N60" s="459">
        <f t="shared" si="12"/>
        <v>34150.290857142863</v>
      </c>
      <c r="O60" s="459">
        <f t="shared" si="12"/>
        <v>307290.90985714283</v>
      </c>
    </row>
    <row r="61" spans="1:15" ht="16.05" customHeight="1" x14ac:dyDescent="0.3">
      <c r="A61" s="439"/>
      <c r="B61" s="439"/>
      <c r="C61" s="439"/>
      <c r="D61" s="439"/>
      <c r="E61" s="439"/>
      <c r="F61" s="439"/>
      <c r="G61" s="439"/>
      <c r="H61" s="439"/>
      <c r="I61" s="439"/>
      <c r="J61" s="439"/>
      <c r="K61" s="439"/>
      <c r="L61" s="439"/>
      <c r="M61" s="439"/>
      <c r="N61" s="439"/>
      <c r="O61" s="439"/>
    </row>
    <row r="62" spans="1:15" ht="16.05" customHeight="1" x14ac:dyDescent="0.3">
      <c r="A62" s="441" t="s">
        <v>1551</v>
      </c>
      <c r="B62" s="439"/>
      <c r="C62" s="439"/>
      <c r="D62" s="439"/>
      <c r="E62" s="439"/>
      <c r="F62" s="439"/>
      <c r="G62" s="439"/>
      <c r="H62" s="439"/>
      <c r="I62" s="439"/>
      <c r="J62" s="439"/>
      <c r="K62" s="439"/>
      <c r="L62" s="439"/>
      <c r="M62" s="439"/>
      <c r="N62" s="439"/>
      <c r="O62" s="439"/>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50398-6F4E-47B6-B418-D01D664FEF63}">
  <sheetPr>
    <tabColor rgb="FF132E57"/>
  </sheetPr>
  <dimension ref="A1:E15"/>
  <sheetViews>
    <sheetView workbookViewId="0"/>
  </sheetViews>
  <sheetFormatPr defaultRowHeight="14.4" x14ac:dyDescent="0.3"/>
  <cols>
    <col min="1" max="1" width="3.6640625" customWidth="1"/>
    <col min="2" max="2" width="48.109375" customWidth="1"/>
    <col min="3" max="3" width="37" customWidth="1"/>
    <col min="4" max="4" width="31.44140625" customWidth="1"/>
    <col min="5" max="5" width="61.109375" customWidth="1"/>
  </cols>
  <sheetData>
    <row r="1" spans="1:5" ht="14.55" customHeight="1" x14ac:dyDescent="0.3">
      <c r="A1" s="5" t="s">
        <v>406</v>
      </c>
      <c r="B1" s="1"/>
      <c r="C1" s="1"/>
      <c r="D1" s="1"/>
      <c r="E1" s="1"/>
    </row>
    <row r="2" spans="1:5" ht="14.55" customHeight="1" x14ac:dyDescent="0.3">
      <c r="A2" s="152" t="s">
        <v>1367</v>
      </c>
      <c r="B2" s="1"/>
      <c r="C2" s="1"/>
      <c r="D2" s="1"/>
      <c r="E2" s="1"/>
    </row>
    <row r="3" spans="1:5" x14ac:dyDescent="0.3">
      <c r="A3" s="1"/>
      <c r="B3" s="1"/>
      <c r="C3" s="1"/>
      <c r="D3" s="1"/>
      <c r="E3" s="1"/>
    </row>
    <row r="4" spans="1:5" ht="14.55" customHeight="1" x14ac:dyDescent="0.3">
      <c r="A4" s="144" t="s">
        <v>26</v>
      </c>
      <c r="B4" s="144" t="s">
        <v>407</v>
      </c>
      <c r="C4" s="144" t="s">
        <v>408</v>
      </c>
      <c r="D4" s="144" t="s">
        <v>409</v>
      </c>
      <c r="E4" s="144" t="s">
        <v>410</v>
      </c>
    </row>
    <row r="5" spans="1:5" ht="28.8" customHeight="1" x14ac:dyDescent="0.3">
      <c r="A5" s="145">
        <v>1</v>
      </c>
      <c r="B5" s="145" t="s">
        <v>411</v>
      </c>
      <c r="C5" s="145" t="str">
        <f>TEXT(Input!$I$80,"0%")&amp;" below fully improved comparable"</f>
        <v>30% below fully improved comparable</v>
      </c>
      <c r="D5" s="145" t="s">
        <v>418</v>
      </c>
      <c r="E5" s="145" t="s">
        <v>428</v>
      </c>
    </row>
    <row r="6" spans="1:5" ht="57.45" customHeight="1" x14ac:dyDescent="0.3">
      <c r="A6" s="145">
        <v>2</v>
      </c>
      <c r="B6" s="145" t="s">
        <v>935</v>
      </c>
      <c r="C6" s="145" t="str">
        <f>TEXT(MAX(Input!$G$80:$G$89),"0.0%")&amp;" apartments / "&amp;TEXT(_xlfn.MINIFS(Input!$G$80:$G$89,Properties!$D$6:$D$15,1),"0.0%")&amp;" houses / "&amp;TEXT(Input!$C$55,"0.0%")&amp;" weighted avg"</f>
        <v>8.5% apartments / 7.1% houses / 7.8% weighted avg</v>
      </c>
      <c r="D6" s="145" t="s">
        <v>936</v>
      </c>
      <c r="E6" s="145" t="str">
        <f>"The Medellin estrato 5-6 DANE print is "&amp;TEXT('Medellín Market Data'!$F$29,"0.0%")&amp;", below the seeded apartment rate; at that level portfolio Equity Investor IRR falls from "&amp;TEXT('Portfolio Analysis'!$E$17,"0.0%")&amp;" toward the "&amp;TEXT('Portfolio Analysis'!$D$17,"0.0%")&amp;" low column. Peso depreciation at zero is the post-election view - a reversion to COP 3,650 would take USD appreciation to roughly 4-5%."</f>
        <v>The Medellin estrato 5-6 DANE print is 6.2%, below the seeded apartment rate; at that level portfolio Equity Investor IRR falls from 15.7% toward the 14.0% low column. Peso depreciation at zero is the post-election view - a reversion to COP 3,650 would take USD appreciation to roughly 4-5%.</v>
      </c>
    </row>
    <row r="7" spans="1:5" ht="43.35" customHeight="1" x14ac:dyDescent="0.3">
      <c r="A7" s="145">
        <v>3</v>
      </c>
      <c r="B7" s="145" t="s">
        <v>412</v>
      </c>
      <c r="C7" s="145" t="str">
        <f>"$"&amp;TEXT(Input!$J$80,"0")&amp;"/m² penthouse · "&amp;TEXT(1-Input!$H$80,"0%")&amp;" occupancy"</f>
        <v>$270/m² penthouse · 60% occupancy</v>
      </c>
      <c r="D7" s="145" t="s">
        <v>419</v>
      </c>
      <c r="E7" s="145" t="s">
        <v>429</v>
      </c>
    </row>
    <row r="8" spans="1:5" ht="28.8" customHeight="1" x14ac:dyDescent="0.3">
      <c r="A8" s="145">
        <v>4</v>
      </c>
      <c r="B8" s="145" t="s">
        <v>413</v>
      </c>
      <c r="C8" s="145" t="str">
        <f>TEXT('ServCo Personnel US'!$H$6,"0%")&amp;"/"&amp;TEXT('ServCo Personnel US'!$H$7,"0%")&amp;" US · "&amp;TEXT('ServCo Personnel US'!$I$10+'ServCo Personnel Colombia'!$I$14,"$#,##0")&amp;"/yr total allocation"</f>
        <v>20%/20% US · $158,400/yr total allocation</v>
      </c>
      <c r="D8" s="145" t="s">
        <v>420</v>
      </c>
      <c r="E8" s="145" t="s">
        <v>430</v>
      </c>
    </row>
    <row r="9" spans="1:5" ht="43.35" customHeight="1" x14ac:dyDescent="0.3">
      <c r="A9" s="145">
        <v>5</v>
      </c>
      <c r="B9" s="145" t="s">
        <v>414</v>
      </c>
      <c r="C9" s="145" t="str">
        <f>"24 months (15% CG vs 35% ordinary) — final exit model month "&amp;TEXT(Input!$C$56,"0")</f>
        <v>24 months (15% CG vs 35% ordinary) — final exit model month 43</v>
      </c>
      <c r="D9" s="145" t="s">
        <v>421</v>
      </c>
      <c r="E9" s="145" t="s">
        <v>1087</v>
      </c>
    </row>
    <row r="10" spans="1:5" ht="57.45" customHeight="1" x14ac:dyDescent="0.3">
      <c r="A10" s="145">
        <v>6</v>
      </c>
      <c r="B10" s="145" t="s">
        <v>415</v>
      </c>
      <c r="C10" s="145" t="str">
        <f>"Exit cap "&amp;TEXT(_xlfn.MINIFS(Properties!$AH$6:$AH$15,Properties!$D$6:$D$15,1),"0.00%")&amp;"–"&amp;TEXT(_xlfn.MAXIFS(Properties!$AH$6:$AH$15,Properties!$D$6:$D$15,1),"0.00%")&amp;" annual; active portfolio "&amp;TEXT(Properties!$AH$21,"0.00%")</f>
        <v>Exit cap 0.61%–2.10% annual; active portfolio 1.01%</v>
      </c>
      <c r="D10" s="145" t="s">
        <v>422</v>
      </c>
      <c r="E10" s="145" t="str">
        <f>"Effective exit cap is "&amp;TEXT(Properties!$AH$21,"0.00%")&amp;" on the trailing twelve months of stabilized NOI at exit ("&amp;TEXT(_xlfn.MINIFS(Properties!$AH$6:$AH$15,Properties!$D$6:$D$15,1),"0.00%")&amp;"–"&amp;TEXT(_xlfn.MAXIFS(Properties!$AH$6:$AH$15,Properties!$D$6:$D$15,1),"0.00%")&amp;" by property, two estates negative) — the exit buyer is a residential consumer, not a yield investor. See the Portfolio Analysis tab for the gross-rent-to-NOI bridge."</f>
        <v>Effective exit cap is 1.01% on the trailing twelve months of stabilized NOI at exit (0.61%–2.10% by property, two estates negative) — the exit buyer is a residential consumer, not a yield investor. See the Portfolio Analysis tab for the gross-rent-to-NOI bridge.</v>
      </c>
    </row>
    <row r="11" spans="1:5" ht="28.8" customHeight="1" x14ac:dyDescent="0.3">
      <c r="A11" s="145">
        <v>7</v>
      </c>
      <c r="B11" s="145" t="s">
        <v>919</v>
      </c>
      <c r="C11" s="145" t="str">
        <f>"Fund life "&amp;TEXT(Input!$C$57,"0")&amp;" yrs · MOIC "&amp;TEXT('Investor Return'!$C$21,"0.00")&amp;"x · IRR "&amp;TEXT('Investor Return'!$C$22,"0.0%")</f>
        <v>Fund life 4 yrs · MOIC 1.44x · IRR 15.7%</v>
      </c>
      <c r="D11" s="145" t="s">
        <v>423</v>
      </c>
      <c r="E11" s="145" t="str">
        <f>"Cap binds where cumulative need exceeds "&amp;TEXT(Input!$C$37,"$#,##0")&amp;": "&amp;TEXT('Sources &amp; Uses'!$C$7+'Sources &amp; Uses'!$C$24,"$#,##0")&amp;" of shortfall absorbed by retained proceeds and the reserve."</f>
        <v>Cap binds where cumulative need exceeds $7,000,000: $86,801 of shortfall absorbed by retained proceeds and the reserve.</v>
      </c>
    </row>
    <row r="12" spans="1:5" ht="28.8" customHeight="1" x14ac:dyDescent="0.3">
      <c r="A12" s="145">
        <v>8</v>
      </c>
      <c r="B12" s="145" t="s">
        <v>920</v>
      </c>
      <c r="C12" s="145" t="str">
        <f>"Calls: "&amp;TEXT('Statement of Cash Flows'!C47,"$#,##0,")&amp;"K / "&amp;TEXT('Statement of Cash Flows'!D47,"$#,##0,")&amp;"K / "&amp;TEXT('Statement of Cash Flows'!E47,"$#,##0,")&amp;"K"</f>
        <v>Calls: $6,631K / $85K / $0K</v>
      </c>
      <c r="D12" s="145" t="s">
        <v>424</v>
      </c>
      <c r="E12" s="145" t="s">
        <v>1368</v>
      </c>
    </row>
    <row r="13" spans="1:5" ht="43.35" customHeight="1" x14ac:dyDescent="0.3">
      <c r="A13" s="145">
        <v>9</v>
      </c>
      <c r="B13" s="145" t="s">
        <v>416</v>
      </c>
      <c r="C13" s="145" t="s">
        <v>432</v>
      </c>
      <c r="D13" s="145" t="s">
        <v>425</v>
      </c>
      <c r="E13" s="145" t="s">
        <v>1528</v>
      </c>
    </row>
    <row r="14" spans="1:5" ht="43.2" customHeight="1" x14ac:dyDescent="0.3">
      <c r="A14" s="145">
        <v>10</v>
      </c>
      <c r="B14" s="145" t="s">
        <v>417</v>
      </c>
      <c r="C14" s="145" t="str">
        <f>"TRM "&amp;TEXT(Input!$C$5,"#,##0")&amp;" COP/USD fixed"</f>
        <v>TRM 3,090 COP/USD fixed</v>
      </c>
      <c r="D14" s="145" t="s">
        <v>426</v>
      </c>
      <c r="E14" s="145" t="s">
        <v>937</v>
      </c>
    </row>
    <row r="15" spans="1:5" ht="28.8" customHeight="1" x14ac:dyDescent="0.3">
      <c r="A15" s="145">
        <v>11</v>
      </c>
      <c r="B15" s="145" t="s">
        <v>1088</v>
      </c>
      <c r="C15" s="145" t="str">
        <f>"Overhead gated at month "&amp;TEXT(Input!$C$56,"0")</f>
        <v>Overhead gated at month 43</v>
      </c>
      <c r="D15" s="145" t="s">
        <v>427</v>
      </c>
      <c r="E15" s="145" t="s">
        <v>431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677A9-E885-454C-B2FB-31071B40968D}">
  <sheetPr>
    <tabColor rgb="FF132E57"/>
  </sheetPr>
  <dimension ref="A1:Q125"/>
  <sheetViews>
    <sheetView workbookViewId="0">
      <pane ySplit="5" topLeftCell="A6" activePane="bottomLeft" state="frozen"/>
      <selection pane="bottomLeft" activeCell="N46" sqref="N46"/>
    </sheetView>
  </sheetViews>
  <sheetFormatPr defaultRowHeight="14.4" x14ac:dyDescent="0.3"/>
  <cols>
    <col min="1" max="1" width="10.21875" customWidth="1"/>
    <col min="2" max="2" width="13.88671875" customWidth="1"/>
    <col min="3" max="4" width="10.21875" customWidth="1"/>
    <col min="5" max="14" width="17.5546875" customWidth="1"/>
    <col min="16" max="16" width="55.5546875" customWidth="1"/>
    <col min="17" max="17" width="17.5546875" customWidth="1"/>
  </cols>
  <sheetData>
    <row r="1" spans="1:17" ht="18" customHeight="1" x14ac:dyDescent="0.3">
      <c r="A1" s="4" t="s">
        <v>680</v>
      </c>
      <c r="B1" s="1"/>
      <c r="C1" s="1"/>
      <c r="D1" s="1"/>
      <c r="E1" s="1"/>
      <c r="F1" s="1"/>
      <c r="G1" s="1"/>
      <c r="H1" s="1"/>
      <c r="I1" s="1"/>
      <c r="J1" s="1"/>
      <c r="K1" s="1"/>
      <c r="L1" s="1"/>
      <c r="M1" s="1"/>
      <c r="N1" s="1"/>
      <c r="O1" s="1"/>
    </row>
    <row r="2" spans="1:17" ht="34.049999999999997" customHeight="1" x14ac:dyDescent="0.3">
      <c r="A2" s="543" t="str">
        <f>TEXT($Q$5,"0")&amp;" months ("&amp;TEXT($Q$5/$Q$7,"0")&amp;_xlfn._LONGTEXT(" years). Every row is formula-driven from Properties, Input, _Month Engine, Statement of Cash Flows and Investor Return — no inputs live here except the three calendar/unit constants named in the Engine Parameters block. Timing convention: acquisition, ca","pex start and sale land in the FIRST month of their model quarter (matching the quarterly engine); rental income and holding costs accrue monthly; the quarterly ramp factor applies to every month in its quarter. Equity Investor capital calls and distribut","ions preserve the annual statement totals exactly and are re-dated to the month of the acquisition or exit that drives them.")</f>
        <v>120 months (10 years). Every row is formula-driven from Properties, Input, _Month Engine, Statement of Cash Flows and Investor Return — no inputs live here except the three calendar/unit constants named in the Engine Parameters block. Timing convention: acquisition, capex start and sale land in the FIRST month of their model quarter (matching the quarterly engine); rental income and holding costs accrue monthly; the quarterly ramp factor applies to every month in its quarter. Equity Investor capital calls and distributions preserve the annual statement totals exactly and are re-dated to the month of the acquisition or exit that drives them.</v>
      </c>
      <c r="B2" s="543"/>
      <c r="C2" s="543"/>
      <c r="D2" s="543"/>
      <c r="E2" s="543"/>
      <c r="F2" s="543"/>
      <c r="G2" s="543"/>
      <c r="H2" s="543"/>
      <c r="I2" s="543"/>
      <c r="J2" s="543"/>
      <c r="K2" s="543"/>
      <c r="L2" s="543"/>
      <c r="M2" s="543"/>
      <c r="N2" s="543"/>
      <c r="O2" s="543"/>
      <c r="P2" s="543"/>
      <c r="Q2" s="543"/>
    </row>
    <row r="3" spans="1:17" x14ac:dyDescent="0.3">
      <c r="A3" s="1"/>
      <c r="B3" s="1"/>
      <c r="C3" s="1"/>
      <c r="D3" s="1"/>
      <c r="E3" s="1"/>
      <c r="F3" s="1"/>
      <c r="G3" s="1"/>
      <c r="H3" s="1"/>
      <c r="I3" s="1"/>
      <c r="J3" s="1"/>
      <c r="K3" s="1"/>
      <c r="L3" s="1"/>
      <c r="M3" s="1"/>
      <c r="N3" s="1"/>
      <c r="O3" s="1"/>
    </row>
    <row r="4" spans="1:17" ht="19.95" customHeight="1" x14ac:dyDescent="0.3">
      <c r="A4" s="563" t="s">
        <v>65</v>
      </c>
      <c r="B4" s="551"/>
      <c r="C4" s="551"/>
      <c r="D4" s="551"/>
      <c r="E4" s="563" t="s">
        <v>1345</v>
      </c>
      <c r="F4" s="551"/>
      <c r="G4" s="551"/>
      <c r="H4" s="563" t="s">
        <v>755</v>
      </c>
      <c r="I4" s="551"/>
      <c r="J4" s="551"/>
      <c r="K4" s="551"/>
      <c r="L4" s="551"/>
      <c r="M4" s="551"/>
      <c r="N4" s="551"/>
      <c r="O4" s="1"/>
      <c r="P4" s="249" t="s">
        <v>710</v>
      </c>
      <c r="Q4" s="249"/>
    </row>
    <row r="5" spans="1:17" ht="57.45" customHeight="1" x14ac:dyDescent="0.3">
      <c r="A5" s="248" t="s">
        <v>681</v>
      </c>
      <c r="B5" s="248" t="s">
        <v>682</v>
      </c>
      <c r="C5" s="248" t="s">
        <v>52</v>
      </c>
      <c r="D5" s="248" t="s">
        <v>683</v>
      </c>
      <c r="E5" s="248" t="s">
        <v>1369</v>
      </c>
      <c r="F5" s="248" t="s">
        <v>1370</v>
      </c>
      <c r="G5" s="248" t="s">
        <v>1371</v>
      </c>
      <c r="H5" s="248" t="s">
        <v>684</v>
      </c>
      <c r="I5" s="248" t="s">
        <v>685</v>
      </c>
      <c r="J5" s="248" t="s">
        <v>686</v>
      </c>
      <c r="K5" s="248" t="s">
        <v>687</v>
      </c>
      <c r="L5" s="248" t="s">
        <v>688</v>
      </c>
      <c r="M5" s="248" t="s">
        <v>689</v>
      </c>
      <c r="N5" s="248" t="s">
        <v>690</v>
      </c>
      <c r="O5" s="1"/>
      <c r="P5" s="259" t="s">
        <v>711</v>
      </c>
      <c r="Q5" s="250">
        <f>$Q$7*COLUMNS('Income Statement'!$C$7:$L$7)</f>
        <v>120</v>
      </c>
    </row>
    <row r="6" spans="1:17" ht="18" customHeight="1" x14ac:dyDescent="0.3">
      <c r="A6" s="1">
        <f t="shared" ref="A6:A37" si="0">ROW()-5</f>
        <v>1</v>
      </c>
      <c r="B6" s="227">
        <f>EOMONTH(Input!$C$7,$A6-1)</f>
        <v>46326</v>
      </c>
      <c r="C6" s="1">
        <f t="shared" ref="C6:C37" si="1">ROUNDUP($A6/$Q$7,0)</f>
        <v>1</v>
      </c>
      <c r="D6" s="1">
        <f t="shared" ref="D6:D37" si="2">ROUNDUP($A6/$Q$8,0)</f>
        <v>1</v>
      </c>
      <c r="E6" s="122" cm="1">
        <f t="array" ref="E6">_xlfn.LET(_xlpm.ann,-INDEX('Statement of Cash Flows'!$C$47:$L$47,$C6),_xlpm.w,-($H6+$I6)+MAX(0,-$J6),_xlpm.yrW,SUMPRODUCT(($C$6:$C$125=$C6)*(-($H$6:$H$125+$I$6:$I$125)+((-$J$6:$J$125)&gt;0)*(-$J$6:$J$125))),_xlpm.ann*IF(_xlpm.yrW&gt;0,_xlpm.w/_xlpm.yrW,IF($A6=($C6-1)*$Q$7+1,1,0)))</f>
        <v>-1107234.685750939</v>
      </c>
      <c r="F6" s="122" cm="1">
        <f t="array" ref="F6">_xlfn.LET(_xlpm.ann,INDEX('Investor Return'!$C$11:$L$11,$C6),_xlpm.sale,'_Month Engine'!$C$71:$DR$71,_xlpm.yr,'_Month Engine'!$C$5:$DR$5,_xlpm.yearS,SUMPRODUCT((_xlpm.yr=$C6)*_xlpm.sale),_xlpm.mS,INDEX(_xlpm.sale,$A6),_xlpm.ann*IF(_xlpm.yearS&gt;0,_xlpm.mS/_xlpm.yearS,IF($A6=$C6*$Q$7,1,0)))</f>
        <v>0</v>
      </c>
      <c r="G6" s="122">
        <f t="shared" ref="G6:G37" si="3">$E6+$F6</f>
        <v>-1107234.685750939</v>
      </c>
      <c r="H6" s="122" cm="1">
        <f t="array" ref="H6">-SUMPRODUCT(Properties!$D$6:$D$15*(Properties!$Q$6:$Q$15=$A6)*(Properties!$M$6:$M$15+Properties!$O$6:$O$15))</f>
        <v>-1044902.9126213592</v>
      </c>
      <c r="I6" s="122" cm="1">
        <f t="array" ref="I6">-SUMPRODUCT(Properties!$D$6:$D$15*($A6&gt;=Properties!$Q$6:$Q$15)*($A6&lt;Properties!$T$6:$T$15)*Properties!$N$6:$N$15/(Properties!$R$6:$R$15+(Properties!$R$6:$R$15=0)))</f>
        <v>-40992.448759439052</v>
      </c>
      <c r="J6" s="122" cm="1">
        <f t="array" ref="J6">_xlfn.LET(_xlpm.act,Properties!$D$6:$D$15,_xlpm.accM,Properties!$Q$6:$Q$15,_xlpm.rentM,Properties!$T$6:$T$15,_xlpm.saleM,Properties!$U$6:$U$15,_xlpm.owned,($A6&gt;=_xlpm.accM)*($A6&lt;_xlpm.saleM),_xlpm.renting,($A6&gt;=_xlpm.rentM)*($A6&lt;_xlpm.saleM),_xlpm.ratio,($A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-1)-_xlpm.owned*_xlpm.ownFix/$Q$7-_xlpm.renting*_xlpm.rentFix/$Q$7)))</f>
        <v>-1800.161812297735</v>
      </c>
      <c r="K6" s="122" cm="1">
        <f t="array" ref="K6">SUMPRODUCT(Properties!$D$6:$D$15*(Properties!$U$6:$U$15=$A6)*Properties!$AB$6:$AB$15)</f>
        <v>0</v>
      </c>
      <c r="L6" s="122">
        <f t="shared" ref="L6:L37" si="4">$H6+$I6+$J6+$K6</f>
        <v>-1087695.523193096</v>
      </c>
      <c r="M6" s="122" cm="1">
        <f t="array" ref="M6">-SUMPRODUCT(Properties!$D$6:$D$15*(Properties!$U$6:$U$15=$A6)*Properties!$AD$6:$AD$15)</f>
        <v>0</v>
      </c>
      <c r="N6" s="122">
        <f t="shared" ref="N6:N37" si="5">$L6+$M6</f>
        <v>-1087695.523193096</v>
      </c>
      <c r="O6" s="1"/>
      <c r="P6" s="257" t="s">
        <v>712</v>
      </c>
      <c r="Q6" s="250">
        <f>ROWS(Properties!$E$6:$E$15)</f>
        <v>10</v>
      </c>
    </row>
    <row r="7" spans="1:17" ht="18" customHeight="1" x14ac:dyDescent="0.3">
      <c r="A7" s="1">
        <f t="shared" si="0"/>
        <v>2</v>
      </c>
      <c r="B7" s="227">
        <f>EOMONTH(Input!$C$7,$A7-1)</f>
        <v>46356</v>
      </c>
      <c r="C7" s="1">
        <f t="shared" si="1"/>
        <v>1</v>
      </c>
      <c r="D7" s="1">
        <f t="shared" si="2"/>
        <v>1</v>
      </c>
      <c r="E7" s="122" cm="1">
        <f t="array" ref="E7">_xlfn.LET(_xlpm.ann,-INDEX('Statement of Cash Flows'!$C$47:$L$47,$C7),_xlpm.w,-($H7+$I7)+MAX(0,-$J7),_xlpm.yrW,SUMPRODUCT(($C$6:$C$125=$C7)*(-($H$6:$H$125+$I$6:$I$125)+((-$J$6:$J$125)&gt;0)*(-$J$6:$J$125))),_xlpm.ann*IF(_xlpm.yrW&gt;0,_xlpm.w/_xlpm.yrW,IF($A7=($C7-1)*$Q$7+1,1,0)))</f>
        <v>-823257.37200956</v>
      </c>
      <c r="F7" s="122" cm="1">
        <f t="array" ref="F7">_xlfn.LET(_xlpm.ann,INDEX('Investor Return'!$C$11:$L$11,$C7),_xlpm.sale,'_Month Engine'!$C$71:$DR$71,_xlpm.yr,'_Month Engine'!$C$5:$DR$5,_xlpm.yearS,SUMPRODUCT((_xlpm.yr=$C7)*_xlpm.sale),_xlpm.mS,INDEX(_xlpm.sale,$A7),_xlpm.ann*IF(_xlpm.yearS&gt;0,_xlpm.mS/_xlpm.yearS,IF($A7=$C7*$Q$7,1,0)))</f>
        <v>0</v>
      </c>
      <c r="G7" s="122">
        <f t="shared" si="3"/>
        <v>-823257.37200956</v>
      </c>
      <c r="H7" s="122" cm="1">
        <f t="array" ref="H7">-SUMPRODUCT(Properties!$D$6:$D$15*(Properties!$Q$6:$Q$15=$A7)*(Properties!$M$6:$M$15+Properties!$O$6:$O$15))</f>
        <v>-683333.33333333326</v>
      </c>
      <c r="I7" s="122" cm="1">
        <f t="array" ref="I7">-SUMPRODUCT(Properties!$D$6:$D$15*($A7&gt;=Properties!$Q$6:$Q$15)*($A7&lt;Properties!$T$6:$T$15)*Properties!$N$6:$N$15/(Properties!$R$6:$R$15+(Properties!$R$6:$R$15=0)))</f>
        <v>-121898.59762675296</v>
      </c>
      <c r="J7" s="122" cm="1">
        <f t="array" ref="J7">_xlfn.LET(_xlpm.act,Properties!$D$6:$D$15,_xlpm.accM,Properties!$Q$6:$Q$15,_xlpm.rentM,Properties!$T$6:$T$15,_xlpm.saleM,Properties!$U$6:$U$15,_xlpm.owned,($A7&gt;=_xlpm.accM)*($A7&lt;_xlpm.saleM),_xlpm.renting,($A7&gt;=_xlpm.rentM)*($A7&lt;_xlpm.saleM),_xlpm.ratio,($A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-1)-_xlpm.owned*_xlpm.ownFix/$Q$7-_xlpm.renting*_xlpm.rentFix/$Q$7)))</f>
        <v>-3497.5728155339812</v>
      </c>
      <c r="K7" s="122" cm="1">
        <f t="array" ref="K7">SUMPRODUCT(Properties!$D$6:$D$15*(Properties!$U$6:$U$15=$A7)*Properties!$AB$6:$AB$15)</f>
        <v>0</v>
      </c>
      <c r="L7" s="122">
        <f t="shared" si="4"/>
        <v>-808729.50377562013</v>
      </c>
      <c r="M7" s="122" cm="1">
        <f t="array" ref="M7">-SUMPRODUCT(Properties!$D$6:$D$15*(Properties!$U$6:$U$15=$A7)*Properties!$AD$6:$AD$15)</f>
        <v>0</v>
      </c>
      <c r="N7" s="122">
        <f t="shared" si="5"/>
        <v>-808729.50377562013</v>
      </c>
      <c r="O7" s="1"/>
      <c r="P7" s="257" t="s">
        <v>713</v>
      </c>
      <c r="Q7" s="251">
        <v>12</v>
      </c>
    </row>
    <row r="8" spans="1:17" ht="18" customHeight="1" x14ac:dyDescent="0.3">
      <c r="A8" s="1">
        <f t="shared" si="0"/>
        <v>3</v>
      </c>
      <c r="B8" s="227">
        <f>EOMONTH(Input!$C$7,$A8-1)</f>
        <v>46387</v>
      </c>
      <c r="C8" s="1">
        <f t="shared" si="1"/>
        <v>1</v>
      </c>
      <c r="D8" s="1">
        <f t="shared" si="2"/>
        <v>1</v>
      </c>
      <c r="E8" s="122" cm="1">
        <f t="array" ref="E8">_xlfn.LET(_xlpm.ann,-INDEX('Statement of Cash Flows'!$C$47:$L$47,$C8),_xlpm.w,-($H8+$I8)+MAX(0,-$J8),_xlpm.yrW,SUMPRODUCT(($C$6:$C$125=$C8)*(-($H$6:$H$125+$I$6:$I$125)+((-$J$6:$J$125)&gt;0)*(-$J$6:$J$125))),_xlpm.ann*IF(_xlpm.yrW&gt;0,_xlpm.w/_xlpm.yrW,IF($A8=($C8-1)*$Q$7+1,1,0)))</f>
        <v>-642572.91259472957</v>
      </c>
      <c r="F8" s="122" cm="1">
        <f t="array" ref="F8">_xlfn.LET(_xlpm.ann,INDEX('Investor Return'!$C$11:$L$11,$C8),_xlpm.sale,'_Month Engine'!$C$71:$DR$71,_xlpm.yr,'_Month Engine'!$C$5:$DR$5,_xlpm.yearS,SUMPRODUCT((_xlpm.yr=$C8)*_xlpm.sale),_xlpm.mS,INDEX(_xlpm.sale,$A8),_xlpm.ann*IF(_xlpm.yearS&gt;0,_xlpm.mS/_xlpm.yearS,IF($A8=$C8*$Q$7,1,0)))</f>
        <v>0</v>
      </c>
      <c r="G8" s="122">
        <f t="shared" si="3"/>
        <v>-642572.91259472957</v>
      </c>
      <c r="H8" s="122" cm="1">
        <f t="array" ref="H8">-SUMPRODUCT(Properties!$D$6:$D$15*(Properties!$Q$6:$Q$15=$A8)*(Properties!$M$6:$M$15+Properties!$O$6:$O$15))</f>
        <v>-456108.4142394822</v>
      </c>
      <c r="I8" s="122" cm="1">
        <f t="array" ref="I8">-SUMPRODUCT(Properties!$D$6:$D$15*($A8&gt;=Properties!$Q$6:$Q$15)*($A8&lt;Properties!$T$6:$T$15)*Properties!$N$6:$N$15/(Properties!$R$6:$R$15+(Properties!$R$6:$R$15=0)))</f>
        <v>-170442.28694714131</v>
      </c>
      <c r="J8" s="122" cm="1">
        <f t="array" ref="J8">_xlfn.LET(_xlpm.act,Properties!$D$6:$D$15,_xlpm.accM,Properties!$Q$6:$Q$15,_xlpm.rentM,Properties!$T$6:$T$15,_xlpm.saleM,Properties!$U$6:$U$15,_xlpm.owned,($A8&gt;=_xlpm.accM)*($A8&lt;_xlpm.saleM),_xlpm.renting,($A8&gt;=_xlpm.rentM)*($A8&lt;_xlpm.saleM),_xlpm.ratio,($A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-1)-_xlpm.owned*_xlpm.ownFix/$Q$7-_xlpm.renting*_xlpm.rentFix/$Q$7)))</f>
        <v>-4682.8478964401302</v>
      </c>
      <c r="K8" s="122" cm="1">
        <f t="array" ref="K8">SUMPRODUCT(Properties!$D$6:$D$15*(Properties!$U$6:$U$15=$A8)*Properties!$AB$6:$AB$15)</f>
        <v>0</v>
      </c>
      <c r="L8" s="122">
        <f t="shared" si="4"/>
        <v>-631233.54908306373</v>
      </c>
      <c r="M8" s="122" cm="1">
        <f t="array" ref="M8">-SUMPRODUCT(Properties!$D$6:$D$15*(Properties!$U$6:$U$15=$A8)*Properties!$AD$6:$AD$15)</f>
        <v>0</v>
      </c>
      <c r="N8" s="122">
        <f t="shared" si="5"/>
        <v>-631233.54908306373</v>
      </c>
      <c r="O8" s="1"/>
      <c r="P8" s="257" t="s">
        <v>714</v>
      </c>
      <c r="Q8" s="251">
        <v>3</v>
      </c>
    </row>
    <row r="9" spans="1:17" ht="18" customHeight="1" x14ac:dyDescent="0.3">
      <c r="A9" s="1">
        <f t="shared" si="0"/>
        <v>4</v>
      </c>
      <c r="B9" s="227">
        <f>EOMONTH(Input!$C$7,$A9-1)</f>
        <v>46418</v>
      </c>
      <c r="C9" s="1">
        <f t="shared" si="1"/>
        <v>1</v>
      </c>
      <c r="D9" s="1">
        <f t="shared" si="2"/>
        <v>2</v>
      </c>
      <c r="E9" s="122" cm="1">
        <f t="array" ref="E9">_xlfn.LET(_xlpm.ann,-INDEX('Statement of Cash Flows'!$C$47:$L$47,$C9),_xlpm.w,-($H9+$I9)+MAX(0,-$J9),_xlpm.yrW,SUMPRODUCT(($C$6:$C$125=$C9)*(-($H$6:$H$125+$I$6:$I$125)+((-$J$6:$J$125)&gt;0)*(-$J$6:$J$125))),_xlpm.ann*IF(_xlpm.yrW&gt;0,_xlpm.w/_xlpm.yrW,IF($A9=($C9-1)*$Q$7+1,1,0)))</f>
        <v>-178271.05059363224</v>
      </c>
      <c r="F9" s="122" cm="1">
        <f t="array" ref="F9">_xlfn.LET(_xlpm.ann,INDEX('Investor Return'!$C$11:$L$11,$C9),_xlpm.sale,'_Month Engine'!$C$71:$DR$71,_xlpm.yr,'_Month Engine'!$C$5:$DR$5,_xlpm.yearS,SUMPRODUCT((_xlpm.yr=$C9)*_xlpm.sale),_xlpm.mS,INDEX(_xlpm.sale,$A9),_xlpm.ann*IF(_xlpm.yearS&gt;0,_xlpm.mS/_xlpm.yearS,IF($A9=$C9*$Q$7,1,0)))</f>
        <v>0</v>
      </c>
      <c r="G9" s="122">
        <f t="shared" si="3"/>
        <v>-178271.05059363224</v>
      </c>
      <c r="H9" s="122" cm="1">
        <f t="array" ref="H9">-SUMPRODUCT(Properties!$D$6:$D$15*(Properties!$Q$6:$Q$15=$A9)*(Properties!$M$6:$M$15+Properties!$O$6:$O$15))</f>
        <v>0</v>
      </c>
      <c r="I9" s="122" cm="1">
        <f t="array" ref="I9">-SUMPRODUCT(Properties!$D$6:$D$15*($A9&gt;=Properties!$Q$6:$Q$15)*($A9&lt;Properties!$T$6:$T$15)*Properties!$N$6:$N$15/(Properties!$R$6:$R$15+(Properties!$R$6:$R$15=0)))</f>
        <v>-170442.28694714131</v>
      </c>
      <c r="J9" s="122" cm="1">
        <f t="array" ref="J9">_xlfn.LET(_xlpm.act,Properties!$D$6:$D$15,_xlpm.accM,Properties!$Q$6:$Q$15,_xlpm.rentM,Properties!$T$6:$T$15,_xlpm.saleM,Properties!$U$6:$U$15,_xlpm.owned,($A9&gt;=_xlpm.accM)*($A9&lt;_xlpm.saleM),_xlpm.renting,($A9&gt;=_xlpm.rentM)*($A9&lt;_xlpm.saleM),_xlpm.ratio,($A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-1)-_xlpm.owned*_xlpm.ownFix/$Q$7-_xlpm.renting*_xlpm.rentFix/$Q$7)))</f>
        <v>-4682.8478964401302</v>
      </c>
      <c r="K9" s="122" cm="1">
        <f t="array" ref="K9">SUMPRODUCT(Properties!$D$6:$D$15*(Properties!$U$6:$U$15=$A9)*Properties!$AB$6:$AB$15)</f>
        <v>0</v>
      </c>
      <c r="L9" s="122">
        <f t="shared" si="4"/>
        <v>-175125.13484358144</v>
      </c>
      <c r="M9" s="122" cm="1">
        <f t="array" ref="M9">-SUMPRODUCT(Properties!$D$6:$D$15*(Properties!$U$6:$U$15=$A9)*Properties!$AD$6:$AD$15)</f>
        <v>0</v>
      </c>
      <c r="N9" s="122">
        <f t="shared" si="5"/>
        <v>-175125.13484358144</v>
      </c>
      <c r="O9" s="1"/>
      <c r="P9" s="257" t="s">
        <v>715</v>
      </c>
      <c r="Q9" s="251">
        <v>1000000</v>
      </c>
    </row>
    <row r="10" spans="1:17" ht="18" customHeight="1" x14ac:dyDescent="0.3">
      <c r="A10" s="1">
        <f t="shared" si="0"/>
        <v>5</v>
      </c>
      <c r="B10" s="227">
        <f>EOMONTH(Input!$C$7,$A10-1)</f>
        <v>46446</v>
      </c>
      <c r="C10" s="1">
        <f t="shared" si="1"/>
        <v>1</v>
      </c>
      <c r="D10" s="1">
        <f t="shared" si="2"/>
        <v>2</v>
      </c>
      <c r="E10" s="122" cm="1">
        <f t="array" ref="E10">_xlfn.LET(_xlpm.ann,-INDEX('Statement of Cash Flows'!$C$47:$L$47,$C10),_xlpm.w,-($H10+$I10)+MAX(0,-$J10),_xlpm.yrW,SUMPRODUCT(($C$6:$C$125=$C10)*(-($H$6:$H$125+$I$6:$I$125)+((-$J$6:$J$125)&gt;0)*(-$J$6:$J$125))),_xlpm.ann*IF(_xlpm.yrW&gt;0,_xlpm.w/_xlpm.yrW,IF($A10=($C10-1)*$Q$7+1,1,0)))</f>
        <v>-1585883.3037055114</v>
      </c>
      <c r="F10" s="122" cm="1">
        <f t="array" ref="F10">_xlfn.LET(_xlpm.ann,INDEX('Investor Return'!$C$11:$L$11,$C10),_xlpm.sale,'_Month Engine'!$C$71:$DR$71,_xlpm.yr,'_Month Engine'!$C$5:$DR$5,_xlpm.yearS,SUMPRODUCT((_xlpm.yr=$C10)*_xlpm.sale),_xlpm.mS,INDEX(_xlpm.sale,$A10),_xlpm.ann*IF(_xlpm.yearS&gt;0,_xlpm.mS/_xlpm.yearS,IF($A10=$C10*$Q$7,1,0)))</f>
        <v>0</v>
      </c>
      <c r="G10" s="122">
        <f t="shared" si="3"/>
        <v>-1585883.3037055114</v>
      </c>
      <c r="H10" s="122" cm="1">
        <f t="array" ref="H10">-SUMPRODUCT(Properties!$D$6:$D$15*(Properties!$Q$6:$Q$15=$A10)*(Properties!$M$6:$M$15+Properties!$O$6:$O$15))</f>
        <v>-1326860.8414239481</v>
      </c>
      <c r="I10" s="122" cm="1">
        <f t="array" ref="I10">-SUMPRODUCT(Properties!$D$6:$D$15*($A10&gt;=Properties!$Q$6:$Q$15)*($A10&lt;Properties!$T$6:$T$15)*Properties!$N$6:$N$15/(Properties!$R$6:$R$15+(Properties!$R$6:$R$15=0)))</f>
        <v>-224379.71952535058</v>
      </c>
      <c r="J10" s="122" cm="1">
        <f t="array" ref="J10">_xlfn.LET(_xlpm.act,Properties!$D$6:$D$15,_xlpm.accM,Properties!$Q$6:$Q$15,_xlpm.rentM,Properties!$T$6:$T$15,_xlpm.saleM,Properties!$U$6:$U$15,_xlpm.owned,($A10&gt;=_xlpm.accM)*($A10&lt;_xlpm.saleM),_xlpm.renting,($A10&gt;=_xlpm.rentM)*($A10&lt;_xlpm.saleM),_xlpm.ratio,($A10-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-1)-_xlpm.owned*_xlpm.ownFix/$Q$7-_xlpm.renting*_xlpm.rentFix/$Q$7)))</f>
        <v>-6656.9579288025898</v>
      </c>
      <c r="K10" s="122" cm="1">
        <f t="array" ref="K10">SUMPRODUCT(Properties!$D$6:$D$15*(Properties!$U$6:$U$15=$A10)*Properties!$AB$6:$AB$15)</f>
        <v>0</v>
      </c>
      <c r="L10" s="122">
        <f t="shared" si="4"/>
        <v>-1557897.5188781011</v>
      </c>
      <c r="M10" s="122" cm="1">
        <f t="array" ref="M10">-SUMPRODUCT(Properties!$D$6:$D$15*(Properties!$U$6:$U$15=$A10)*Properties!$AD$6:$AD$15)</f>
        <v>0</v>
      </c>
      <c r="N10" s="122">
        <f t="shared" si="5"/>
        <v>-1557897.5188781011</v>
      </c>
      <c r="O10" s="1"/>
      <c r="P10" s="257" t="s">
        <v>1026</v>
      </c>
      <c r="Q10" s="252">
        <f>Input!$C$7</f>
        <v>46296</v>
      </c>
    </row>
    <row r="11" spans="1:17" ht="18" customHeight="1" x14ac:dyDescent="0.3">
      <c r="A11" s="1">
        <f t="shared" si="0"/>
        <v>6</v>
      </c>
      <c r="B11" s="227">
        <f>EOMONTH(Input!$C$7,$A11-1)</f>
        <v>46477</v>
      </c>
      <c r="C11" s="1">
        <f t="shared" si="1"/>
        <v>1</v>
      </c>
      <c r="D11" s="1">
        <f t="shared" si="2"/>
        <v>2</v>
      </c>
      <c r="E11" s="122" cm="1">
        <f t="array" ref="E11">_xlfn.LET(_xlpm.ann,-INDEX('Statement of Cash Flows'!$C$47:$L$47,$C11),_xlpm.w,-($H11+$I11)+MAX(0,-$J11),_xlpm.yrW,SUMPRODUCT(($C$6:$C$125=$C11)*(-($H$6:$H$125+$I$6:$I$125)+((-$J$6:$J$125)&gt;0)*(-$J$6:$J$125))),_xlpm.ann*IF(_xlpm.yrW&gt;0,_xlpm.w/_xlpm.yrW,IF($A11=($C11-1)*$Q$7+1,1,0)))</f>
        <v>-235186.97788413774</v>
      </c>
      <c r="F11" s="122" cm="1">
        <f t="array" ref="F11">_xlfn.LET(_xlpm.ann,INDEX('Investor Return'!$C$11:$L$11,$C11),_xlpm.sale,'_Month Engine'!$C$71:$DR$71,_xlpm.yr,'_Month Engine'!$C$5:$DR$5,_xlpm.yearS,SUMPRODUCT((_xlpm.yr=$C11)*_xlpm.sale),_xlpm.mS,INDEX(_xlpm.sale,$A11),_xlpm.ann*IF(_xlpm.yearS&gt;0,_xlpm.mS/_xlpm.yearS,IF($A11=$C11*$Q$7,1,0)))</f>
        <v>0</v>
      </c>
      <c r="G11" s="122">
        <f t="shared" si="3"/>
        <v>-235186.97788413774</v>
      </c>
      <c r="H11" s="122" cm="1">
        <f t="array" ref="H11">-SUMPRODUCT(Properties!$D$6:$D$15*(Properties!$Q$6:$Q$15=$A11)*(Properties!$M$6:$M$15+Properties!$O$6:$O$15))</f>
        <v>0</v>
      </c>
      <c r="I11" s="122" cm="1">
        <f t="array" ref="I11">-SUMPRODUCT(Properties!$D$6:$D$15*($A11&gt;=Properties!$Q$6:$Q$15)*($A11&lt;Properties!$T$6:$T$15)*Properties!$N$6:$N$15/(Properties!$R$6:$R$15+(Properties!$R$6:$R$15=0)))</f>
        <v>-224379.71952535058</v>
      </c>
      <c r="J11" s="122" cm="1">
        <f t="array" ref="J11">_xlfn.LET(_xlpm.act,Properties!$D$6:$D$15,_xlpm.accM,Properties!$Q$6:$Q$15,_xlpm.rentM,Properties!$T$6:$T$15,_xlpm.saleM,Properties!$U$6:$U$15,_xlpm.owned,($A11&gt;=_xlpm.accM)*($A11&lt;_xlpm.saleM),_xlpm.renting,($A11&gt;=_xlpm.rentM)*($A11&lt;_xlpm.saleM),_xlpm.ratio,($A11-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-1)-_xlpm.owned*_xlpm.ownFix/$Q$7-_xlpm.renting*_xlpm.rentFix/$Q$7)))</f>
        <v>-6656.9579288025898</v>
      </c>
      <c r="K11" s="122" cm="1">
        <f t="array" ref="K11">SUMPRODUCT(Properties!$D$6:$D$15*(Properties!$U$6:$U$15=$A11)*Properties!$AB$6:$AB$15)</f>
        <v>0</v>
      </c>
      <c r="L11" s="122">
        <f t="shared" si="4"/>
        <v>-231036.67745415316</v>
      </c>
      <c r="M11" s="122" cm="1">
        <f t="array" ref="M11">-SUMPRODUCT(Properties!$D$6:$D$15*(Properties!$U$6:$U$15=$A11)*Properties!$AD$6:$AD$15)</f>
        <v>0</v>
      </c>
      <c r="N11" s="122">
        <f t="shared" si="5"/>
        <v>-231036.67745415316</v>
      </c>
      <c r="O11" s="1"/>
      <c r="P11" s="257" t="s">
        <v>1076</v>
      </c>
      <c r="Q11" s="250">
        <f>Input!$C$56</f>
        <v>43</v>
      </c>
    </row>
    <row r="12" spans="1:17" ht="18" customHeight="1" x14ac:dyDescent="0.3">
      <c r="A12" s="1">
        <f t="shared" si="0"/>
        <v>7</v>
      </c>
      <c r="B12" s="227">
        <f>EOMONTH(Input!$C$7,$A12-1)</f>
        <v>46507</v>
      </c>
      <c r="C12" s="1">
        <f t="shared" si="1"/>
        <v>1</v>
      </c>
      <c r="D12" s="1">
        <f t="shared" si="2"/>
        <v>3</v>
      </c>
      <c r="E12" s="122" cm="1">
        <f t="array" ref="E12">_xlfn.LET(_xlpm.ann,-INDEX('Statement of Cash Flows'!$C$47:$L$47,$C12),_xlpm.w,-($H12+$I12)+MAX(0,-$J12),_xlpm.yrW,SUMPRODUCT(($C$6:$C$125=$C12)*(-($H$6:$H$125+$I$6:$I$125)+((-$J$6:$J$125)&gt;0)*(-$J$6:$J$125))),_xlpm.ann*IF(_xlpm.yrW&gt;0,_xlpm.w/_xlpm.yrW,IF($A12=($C12-1)*$Q$7+1,1,0)))</f>
        <v>-190187.12712050197</v>
      </c>
      <c r="F12" s="122" cm="1">
        <f t="array" ref="F12">_xlfn.LET(_xlpm.ann,INDEX('Investor Return'!$C$11:$L$11,$C12),_xlpm.sale,'_Month Engine'!$C$71:$DR$71,_xlpm.yr,'_Month Engine'!$C$5:$DR$5,_xlpm.yearS,SUMPRODUCT((_xlpm.yr=$C12)*_xlpm.sale),_xlpm.mS,INDEX(_xlpm.sale,$A12),_xlpm.ann*IF(_xlpm.yearS&gt;0,_xlpm.mS/_xlpm.yearS,IF($A12=$C12*$Q$7,1,0)))</f>
        <v>0</v>
      </c>
      <c r="G12" s="122">
        <f t="shared" si="3"/>
        <v>-190187.12712050197</v>
      </c>
      <c r="H12" s="122" cm="1">
        <f t="array" ref="H12">-SUMPRODUCT(Properties!$D$6:$D$15*(Properties!$Q$6:$Q$15=$A12)*(Properties!$M$6:$M$15+Properties!$O$6:$O$15))</f>
        <v>0</v>
      </c>
      <c r="I12" s="122" cm="1">
        <f t="array" ref="I12">-SUMPRODUCT(Properties!$D$6:$D$15*($A12&gt;=Properties!$Q$6:$Q$15)*($A12&lt;Properties!$T$6:$T$15)*Properties!$N$6:$N$15/(Properties!$R$6:$R$15+(Properties!$R$6:$R$15=0)))</f>
        <v>-183387.27076591153</v>
      </c>
      <c r="J12" s="122" cm="1">
        <f t="array" ref="J12">_xlfn.LET(_xlpm.act,Properties!$D$6:$D$15,_xlpm.accM,Properties!$Q$6:$Q$15,_xlpm.rentM,Properties!$T$6:$T$15,_xlpm.saleM,Properties!$U$6:$U$15,_xlpm.owned,($A12&gt;=_xlpm.accM)*($A12&lt;_xlpm.saleM),_xlpm.renting,($A12&gt;=_xlpm.rentM)*($A12&lt;_xlpm.saleM),_xlpm.ratio,($A12-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12-1)-_xlpm.owned*_xlpm.ownFix/$Q$7-_xlpm.renting*_xlpm.rentFix/$Q$7)))</f>
        <v>-3443.6598399406685</v>
      </c>
      <c r="K12" s="122" cm="1">
        <f t="array" ref="K12">SUMPRODUCT(Properties!$D$6:$D$15*(Properties!$U$6:$U$15=$A12)*Properties!$AB$6:$AB$15)</f>
        <v>0</v>
      </c>
      <c r="L12" s="122">
        <f t="shared" si="4"/>
        <v>-186830.93060585219</v>
      </c>
      <c r="M12" s="122" cm="1">
        <f t="array" ref="M12">-SUMPRODUCT(Properties!$D$6:$D$15*(Properties!$U$6:$U$15=$A12)*Properties!$AD$6:$AD$15)</f>
        <v>0</v>
      </c>
      <c r="N12" s="122">
        <f t="shared" si="5"/>
        <v>-186830.93060585219</v>
      </c>
      <c r="O12" s="1"/>
      <c r="P12" s="257" t="s">
        <v>716</v>
      </c>
      <c r="Q12" s="119" t="str">
        <f>IF($Q$11&lt;=$Q$5,"OK","CHECK")</f>
        <v>OK</v>
      </c>
    </row>
    <row r="13" spans="1:17" ht="18" customHeight="1" x14ac:dyDescent="0.3">
      <c r="A13" s="1">
        <f t="shared" si="0"/>
        <v>8</v>
      </c>
      <c r="B13" s="227">
        <f>EOMONTH(Input!$C$7,$A13-1)</f>
        <v>46538</v>
      </c>
      <c r="C13" s="1">
        <f t="shared" si="1"/>
        <v>1</v>
      </c>
      <c r="D13" s="1">
        <f t="shared" si="2"/>
        <v>3</v>
      </c>
      <c r="E13" s="122" cm="1">
        <f t="array" ref="E13">_xlfn.LET(_xlpm.ann,-INDEX('Statement of Cash Flows'!$C$47:$L$47,$C13),_xlpm.w,-($H13+$I13)+MAX(0,-$J13),_xlpm.yrW,SUMPRODUCT(($C$6:$C$125=$C13)*(-($H$6:$H$125+$I$6:$I$125)+((-$J$6:$J$125)&gt;0)*(-$J$6:$J$125))),_xlpm.ann*IF(_xlpm.yrW&gt;0,_xlpm.w/_xlpm.yrW,IF($A13=($C13-1)*$Q$7+1,1,0)))</f>
        <v>-1384912.9143094257</v>
      </c>
      <c r="F13" s="122" cm="1">
        <f t="array" ref="F13">_xlfn.LET(_xlpm.ann,INDEX('Investor Return'!$C$11:$L$11,$C13),_xlpm.sale,'_Month Engine'!$C$71:$DR$71,_xlpm.yr,'_Month Engine'!$C$5:$DR$5,_xlpm.yearS,SUMPRODUCT((_xlpm.yr=$C13)*_xlpm.sale),_xlpm.mS,INDEX(_xlpm.sale,$A13),_xlpm.ann*IF(_xlpm.yearS&gt;0,_xlpm.mS/_xlpm.yearS,IF($A13=$C13*$Q$7,1,0)))</f>
        <v>0</v>
      </c>
      <c r="G13" s="122">
        <f t="shared" si="3"/>
        <v>-1384912.9143094257</v>
      </c>
      <c r="H13" s="122" cm="1">
        <f t="array" ref="H13">-SUMPRODUCT(Properties!$D$6:$D$15*(Properties!$Q$6:$Q$15=$A13)*(Properties!$M$6:$M$15+Properties!$O$6:$O$15))</f>
        <v>-1164320.3883495147</v>
      </c>
      <c r="I13" s="122" cm="1">
        <f t="array" ref="I13">-SUMPRODUCT(Properties!$D$6:$D$15*($A13&gt;=Properties!$Q$6:$Q$15)*($A13&lt;Properties!$T$6:$T$15)*Properties!$N$6:$N$15/(Properties!$R$6:$R$15+(Properties!$R$6:$R$15=0)))</f>
        <v>-194174.75728155338</v>
      </c>
      <c r="J13" s="122" cm="1">
        <f t="array" ref="J13">_xlfn.LET(_xlpm.act,Properties!$D$6:$D$15,_xlpm.accM,Properties!$Q$6:$Q$15,_xlpm.rentM,Properties!$T$6:$T$15,_xlpm.saleM,Properties!$U$6:$U$15,_xlpm.owned,($A13&gt;=_xlpm.accM)*($A13&lt;_xlpm.saleM),_xlpm.renting,($A13&gt;=_xlpm.rentM)*($A13&lt;_xlpm.saleM),_xlpm.ratio,($A13-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13-1)-_xlpm.owned*_xlpm.ownFix/$Q$7-_xlpm.renting*_xlpm.rentFix/$Q$7)))</f>
        <v>-1978.4705698489743</v>
      </c>
      <c r="K13" s="122" cm="1">
        <f t="array" ref="K13">SUMPRODUCT(Properties!$D$6:$D$15*(Properties!$U$6:$U$15=$A13)*Properties!$AB$6:$AB$15)</f>
        <v>0</v>
      </c>
      <c r="L13" s="122">
        <f t="shared" si="4"/>
        <v>-1360473.6162009172</v>
      </c>
      <c r="M13" s="122" cm="1">
        <f t="array" ref="M13">-SUMPRODUCT(Properties!$D$6:$D$15*(Properties!$U$6:$U$15=$A13)*Properties!$AD$6:$AD$15)</f>
        <v>0</v>
      </c>
      <c r="N13" s="122">
        <f t="shared" si="5"/>
        <v>-1360473.6162009172</v>
      </c>
      <c r="O13" s="1"/>
      <c r="P13" s="257"/>
      <c r="Q13" s="1"/>
    </row>
    <row r="14" spans="1:17" ht="18" customHeight="1" x14ac:dyDescent="0.3">
      <c r="A14" s="1">
        <f t="shared" si="0"/>
        <v>9</v>
      </c>
      <c r="B14" s="227">
        <f>EOMONTH(Input!$C$7,$A14-1)</f>
        <v>46568</v>
      </c>
      <c r="C14" s="1">
        <f t="shared" si="1"/>
        <v>1</v>
      </c>
      <c r="D14" s="1">
        <f t="shared" si="2"/>
        <v>3</v>
      </c>
      <c r="E14" s="122" cm="1">
        <f t="array" ref="E14">_xlfn.LET(_xlpm.ann,-INDEX('Statement of Cash Flows'!$C$47:$L$47,$C14),_xlpm.w,-($H14+$I14)+MAX(0,-$J14),_xlpm.yrW,SUMPRODUCT(($C$6:$C$125=$C14)*(-($H$6:$H$125+$I$6:$I$125)+((-$J$6:$J$125)&gt;0)*(-$J$6:$J$125))),_xlpm.ann*IF(_xlpm.yrW&gt;0,_xlpm.w/_xlpm.yrW,IF($A14=($C14-1)*$Q$7+1,1,0)))</f>
        <v>-148247.15771210202</v>
      </c>
      <c r="F14" s="122" cm="1">
        <f t="array" ref="F14">_xlfn.LET(_xlpm.ann,INDEX('Investor Return'!$C$11:$L$11,$C14),_xlpm.sale,'_Month Engine'!$C$71:$DR$71,_xlpm.yr,'_Month Engine'!$C$5:$DR$5,_xlpm.yearS,SUMPRODUCT((_xlpm.yr=$C14)*_xlpm.sale),_xlpm.mS,INDEX(_xlpm.sale,$A14),_xlpm.ann*IF(_xlpm.yearS&gt;0,_xlpm.mS/_xlpm.yearS,IF($A14=$C14*$Q$7,1,0)))</f>
        <v>0</v>
      </c>
      <c r="G14" s="122">
        <f t="shared" si="3"/>
        <v>-148247.15771210202</v>
      </c>
      <c r="H14" s="122" cm="1">
        <f t="array" ref="H14">-SUMPRODUCT(Properties!$D$6:$D$15*(Properties!$Q$6:$Q$15=$A14)*(Properties!$M$6:$M$15+Properties!$O$6:$O$15))</f>
        <v>0</v>
      </c>
      <c r="I14" s="122" cm="1">
        <f t="array" ref="I14">-SUMPRODUCT(Properties!$D$6:$D$15*($A14&gt;=Properties!$Q$6:$Q$15)*($A14&lt;Properties!$T$6:$T$15)*Properties!$N$6:$N$15/(Properties!$R$6:$R$15+(Properties!$R$6:$R$15=0)))</f>
        <v>-145631.06796116504</v>
      </c>
      <c r="J14" s="122" cm="1">
        <f t="array" ref="J14">_xlfn.LET(_xlpm.act,Properties!$D$6:$D$15,_xlpm.accM,Properties!$Q$6:$Q$15,_xlpm.rentM,Properties!$T$6:$T$15,_xlpm.saleM,Properties!$U$6:$U$15,_xlpm.owned,($A14&gt;=_xlpm.accM)*($A14&lt;_xlpm.saleM),_xlpm.renting,($A14&gt;=_xlpm.rentM)*($A14&lt;_xlpm.saleM),_xlpm.ratio,($A14-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14-1)-_xlpm.owned*_xlpm.ownFix/$Q$7-_xlpm.renting*_xlpm.rentFix/$Q$7)))</f>
        <v>1239.4005904800442</v>
      </c>
      <c r="K14" s="122" cm="1">
        <f t="array" ref="K14">SUMPRODUCT(Properties!$D$6:$D$15*(Properties!$U$6:$U$15=$A14)*Properties!$AB$6:$AB$15)</f>
        <v>0</v>
      </c>
      <c r="L14" s="122">
        <f t="shared" si="4"/>
        <v>-144391.667370685</v>
      </c>
      <c r="M14" s="122" cm="1">
        <f t="array" ref="M14">-SUMPRODUCT(Properties!$D$6:$D$15*(Properties!$U$6:$U$15=$A14)*Properties!$AD$6:$AD$15)</f>
        <v>0</v>
      </c>
      <c r="N14" s="122">
        <f t="shared" si="5"/>
        <v>-144391.667370685</v>
      </c>
      <c r="O14" s="1"/>
      <c r="P14" s="258" t="s">
        <v>691</v>
      </c>
      <c r="Q14" s="249"/>
    </row>
    <row r="15" spans="1:17" ht="18" customHeight="1" x14ac:dyDescent="0.3">
      <c r="A15" s="1">
        <f t="shared" si="0"/>
        <v>10</v>
      </c>
      <c r="B15" s="227">
        <f>EOMONTH(Input!$C$7,$A15-1)</f>
        <v>46599</v>
      </c>
      <c r="C15" s="1">
        <f t="shared" si="1"/>
        <v>1</v>
      </c>
      <c r="D15" s="1">
        <f t="shared" si="2"/>
        <v>4</v>
      </c>
      <c r="E15" s="122" cm="1">
        <f t="array" ref="E15">_xlfn.LET(_xlpm.ann,-INDEX('Statement of Cash Flows'!$C$47:$L$47,$C15),_xlpm.w,-($H15+$I15)+MAX(0,-$J15),_xlpm.yrW,SUMPRODUCT(($C$6:$C$125=$C15)*(-($H$6:$H$125+$I$6:$I$125)+((-$J$6:$J$125)&gt;0)*(-$J$6:$J$125))),_xlpm.ann*IF(_xlpm.yrW&gt;0,_xlpm.w/_xlpm.yrW,IF($A15=($C15-1)*$Q$7+1,1,0)))</f>
        <v>-148247.15771210202</v>
      </c>
      <c r="F15" s="122" cm="1">
        <f t="array" ref="F15">_xlfn.LET(_xlpm.ann,INDEX('Investor Return'!$C$11:$L$11,$C15),_xlpm.sale,'_Month Engine'!$C$71:$DR$71,_xlpm.yr,'_Month Engine'!$C$5:$DR$5,_xlpm.yearS,SUMPRODUCT((_xlpm.yr=$C15)*_xlpm.sale),_xlpm.mS,INDEX(_xlpm.sale,$A15),_xlpm.ann*IF(_xlpm.yearS&gt;0,_xlpm.mS/_xlpm.yearS,IF($A15=$C15*$Q$7,1,0)))</f>
        <v>0</v>
      </c>
      <c r="G15" s="122">
        <f t="shared" si="3"/>
        <v>-148247.15771210202</v>
      </c>
      <c r="H15" s="122" cm="1">
        <f t="array" ref="H15">-SUMPRODUCT(Properties!$D$6:$D$15*(Properties!$Q$6:$Q$15=$A15)*(Properties!$M$6:$M$15+Properties!$O$6:$O$15))</f>
        <v>0</v>
      </c>
      <c r="I15" s="122" cm="1">
        <f t="array" ref="I15">-SUMPRODUCT(Properties!$D$6:$D$15*($A15&gt;=Properties!$Q$6:$Q$15)*($A15&lt;Properties!$T$6:$T$15)*Properties!$N$6:$N$15/(Properties!$R$6:$R$15+(Properties!$R$6:$R$15=0)))</f>
        <v>-145631.06796116504</v>
      </c>
      <c r="J15" s="122" cm="1">
        <f t="array" ref="J15">_xlfn.LET(_xlpm.act,Properties!$D$6:$D$15,_xlpm.accM,Properties!$Q$6:$Q$15,_xlpm.rentM,Properties!$T$6:$T$15,_xlpm.saleM,Properties!$U$6:$U$15,_xlpm.owned,($A15&gt;=_xlpm.accM)*($A15&lt;_xlpm.saleM),_xlpm.renting,($A15&gt;=_xlpm.rentM)*($A15&lt;_xlpm.saleM),_xlpm.ratio,($A15-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15-1)-_xlpm.owned*_xlpm.ownFix/$Q$7-_xlpm.renting*_xlpm.rentFix/$Q$7)))</f>
        <v>1239.4005904800442</v>
      </c>
      <c r="K15" s="122" cm="1">
        <f t="array" ref="K15">SUMPRODUCT(Properties!$D$6:$D$15*(Properties!$U$6:$U$15=$A15)*Properties!$AB$6:$AB$15)</f>
        <v>0</v>
      </c>
      <c r="L15" s="122">
        <f t="shared" si="4"/>
        <v>-144391.667370685</v>
      </c>
      <c r="M15" s="122" cm="1">
        <f t="array" ref="M15">-SUMPRODUCT(Properties!$D$6:$D$15*(Properties!$U$6:$U$15=$A15)*Properties!$AD$6:$AD$15)</f>
        <v>0</v>
      </c>
      <c r="N15" s="122">
        <f t="shared" si="5"/>
        <v>-144391.667370685</v>
      </c>
      <c r="O15" s="1"/>
      <c r="P15" s="257" t="s">
        <v>1372</v>
      </c>
      <c r="Q15" s="253">
        <f>XIRR($G$6:$G$125,$B$6:$B$125)</f>
        <v>0.15722407698631283</v>
      </c>
    </row>
    <row r="16" spans="1:17" ht="18" customHeight="1" x14ac:dyDescent="0.3">
      <c r="A16" s="1">
        <f t="shared" si="0"/>
        <v>11</v>
      </c>
      <c r="B16" s="227">
        <f>EOMONTH(Input!$C$7,$A16-1)</f>
        <v>46630</v>
      </c>
      <c r="C16" s="1">
        <f t="shared" si="1"/>
        <v>1</v>
      </c>
      <c r="D16" s="1">
        <f t="shared" si="2"/>
        <v>4</v>
      </c>
      <c r="E16" s="122" cm="1">
        <f t="array" ref="E16">_xlfn.LET(_xlpm.ann,-INDEX('Statement of Cash Flows'!$C$47:$L$47,$C16),_xlpm.w,-($H16+$I16)+MAX(0,-$J16),_xlpm.yrW,SUMPRODUCT(($C$6:$C$125=$C16)*(-($H$6:$H$125+$I$6:$I$125)+((-$J$6:$J$125)&gt;0)*(-$J$6:$J$125))),_xlpm.ann*IF(_xlpm.yrW&gt;0,_xlpm.w/_xlpm.yrW,IF($A16=($C16-1)*$Q$7+1,1,0)))</f>
        <v>-93340.803003916095</v>
      </c>
      <c r="F16" s="122" cm="1">
        <f t="array" ref="F16">_xlfn.LET(_xlpm.ann,INDEX('Investor Return'!$C$11:$L$11,$C16),_xlpm.sale,'_Month Engine'!$C$71:$DR$71,_xlpm.yr,'_Month Engine'!$C$5:$DR$5,_xlpm.yearS,SUMPRODUCT((_xlpm.yr=$C16)*_xlpm.sale),_xlpm.mS,INDEX(_xlpm.sale,$A16),_xlpm.ann*IF(_xlpm.yearS&gt;0,_xlpm.mS/_xlpm.yearS,IF($A16=$C16*$Q$7,1,0)))</f>
        <v>0</v>
      </c>
      <c r="G16" s="122">
        <f t="shared" si="3"/>
        <v>-93340.803003916095</v>
      </c>
      <c r="H16" s="122" cm="1">
        <f t="array" ref="H16">-SUMPRODUCT(Properties!$D$6:$D$15*(Properties!$Q$6:$Q$15=$A16)*(Properties!$M$6:$M$15+Properties!$O$6:$O$15))</f>
        <v>0</v>
      </c>
      <c r="I16" s="122" cm="1">
        <f t="array" ref="I16">-SUMPRODUCT(Properties!$D$6:$D$15*($A16&gt;=Properties!$Q$6:$Q$15)*($A16&lt;Properties!$T$6:$T$15)*Properties!$N$6:$N$15/(Properties!$R$6:$R$15+(Properties!$R$6:$R$15=0)))</f>
        <v>-91693.635382955777</v>
      </c>
      <c r="J16" s="122" cm="1">
        <f t="array" ref="J16">_xlfn.LET(_xlpm.act,Properties!$D$6:$D$15,_xlpm.accM,Properties!$Q$6:$Q$15,_xlpm.rentM,Properties!$T$6:$T$15,_xlpm.saleM,Properties!$U$6:$U$15,_xlpm.owned,($A16&gt;=_xlpm.accM)*($A16&lt;_xlpm.saleM),_xlpm.renting,($A16&gt;=_xlpm.rentM)*($A16&lt;_xlpm.saleM),_xlpm.ratio,($A16-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16-1)-_xlpm.owned*_xlpm.ownFix/$Q$7-_xlpm.renting*_xlpm.rentFix/$Q$7)))</f>
        <v>4280.1461611212253</v>
      </c>
      <c r="K16" s="122" cm="1">
        <f t="array" ref="K16">SUMPRODUCT(Properties!$D$6:$D$15*(Properties!$U$6:$U$15=$A16)*Properties!$AB$6:$AB$15)</f>
        <v>0</v>
      </c>
      <c r="L16" s="122">
        <f t="shared" si="4"/>
        <v>-87413.489221834549</v>
      </c>
      <c r="M16" s="122" cm="1">
        <f t="array" ref="M16">-SUMPRODUCT(Properties!$D$6:$D$15*(Properties!$U$6:$U$15=$A16)*Properties!$AD$6:$AD$15)</f>
        <v>0</v>
      </c>
      <c r="N16" s="122">
        <f t="shared" si="5"/>
        <v>-87413.489221834549</v>
      </c>
      <c r="O16" s="1"/>
      <c r="P16" s="257" t="s">
        <v>692</v>
      </c>
      <c r="Q16" s="253">
        <f>XIRR($L$6:$L$125,$B$6:$B$125)</f>
        <v>0.23396413922309875</v>
      </c>
    </row>
    <row r="17" spans="1:17" ht="18" customHeight="1" x14ac:dyDescent="0.3">
      <c r="A17" s="1">
        <f t="shared" si="0"/>
        <v>12</v>
      </c>
      <c r="B17" s="227">
        <f>EOMONTH(Input!$C$7,$A17-1)</f>
        <v>46660</v>
      </c>
      <c r="C17" s="1">
        <f t="shared" si="1"/>
        <v>1</v>
      </c>
      <c r="D17" s="1">
        <f t="shared" si="2"/>
        <v>4</v>
      </c>
      <c r="E17" s="122" cm="1">
        <f t="array" ref="E17">_xlfn.LET(_xlpm.ann,-INDEX('Statement of Cash Flows'!$C$47:$L$47,$C17),_xlpm.w,-($H17+$I17)+MAX(0,-$J17),_xlpm.yrW,SUMPRODUCT(($C$6:$C$125=$C17)*(-($H$6:$H$125+$I$6:$I$125)+((-$J$6:$J$125)&gt;0)*(-$J$6:$J$125))),_xlpm.ann*IF(_xlpm.yrW&gt;0,_xlpm.w/_xlpm.yrW,IF($A17=($C17-1)*$Q$7+1,1,0)))</f>
        <v>-93340.803003916095</v>
      </c>
      <c r="F17" s="122" cm="1">
        <f t="array" ref="F17">_xlfn.LET(_xlpm.ann,INDEX('Investor Return'!$C$11:$L$11,$C17),_xlpm.sale,'_Month Engine'!$C$71:$DR$71,_xlpm.yr,'_Month Engine'!$C$5:$DR$5,_xlpm.yearS,SUMPRODUCT((_xlpm.yr=$C17)*_xlpm.sale),_xlpm.mS,INDEX(_xlpm.sale,$A17),_xlpm.ann*IF(_xlpm.yearS&gt;0,_xlpm.mS/_xlpm.yearS,IF($A17=$C17*$Q$7,1,0)))</f>
        <v>0</v>
      </c>
      <c r="G17" s="122">
        <f t="shared" si="3"/>
        <v>-93340.803003916095</v>
      </c>
      <c r="H17" s="122" cm="1">
        <f t="array" ref="H17">-SUMPRODUCT(Properties!$D$6:$D$15*(Properties!$Q$6:$Q$15=$A17)*(Properties!$M$6:$M$15+Properties!$O$6:$O$15))</f>
        <v>0</v>
      </c>
      <c r="I17" s="122" cm="1">
        <f t="array" ref="I17">-SUMPRODUCT(Properties!$D$6:$D$15*($A17&gt;=Properties!$Q$6:$Q$15)*($A17&lt;Properties!$T$6:$T$15)*Properties!$N$6:$N$15/(Properties!$R$6:$R$15+(Properties!$R$6:$R$15=0)))</f>
        <v>-91693.635382955777</v>
      </c>
      <c r="J17" s="122" cm="1">
        <f t="array" ref="J17">_xlfn.LET(_xlpm.act,Properties!$D$6:$D$15,_xlpm.accM,Properties!$Q$6:$Q$15,_xlpm.rentM,Properties!$T$6:$T$15,_xlpm.saleM,Properties!$U$6:$U$15,_xlpm.owned,($A17&gt;=_xlpm.accM)*($A17&lt;_xlpm.saleM),_xlpm.renting,($A17&gt;=_xlpm.rentM)*($A17&lt;_xlpm.saleM),_xlpm.ratio,($A17-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17-1)-_xlpm.owned*_xlpm.ownFix/$Q$7-_xlpm.renting*_xlpm.rentFix/$Q$7)))</f>
        <v>4280.1461611212253</v>
      </c>
      <c r="K17" s="122" cm="1">
        <f t="array" ref="K17">SUMPRODUCT(Properties!$D$6:$D$15*(Properties!$U$6:$U$15=$A17)*Properties!$AB$6:$AB$15)</f>
        <v>0</v>
      </c>
      <c r="L17" s="122">
        <f t="shared" si="4"/>
        <v>-87413.489221834549</v>
      </c>
      <c r="M17" s="122" cm="1">
        <f t="array" ref="M17">-SUMPRODUCT(Properties!$D$6:$D$15*(Properties!$U$6:$U$15=$A17)*Properties!$AD$6:$AD$15)</f>
        <v>0</v>
      </c>
      <c r="N17" s="122">
        <f t="shared" si="5"/>
        <v>-87413.489221834549</v>
      </c>
      <c r="O17" s="1"/>
      <c r="P17" s="257" t="s">
        <v>693</v>
      </c>
      <c r="Q17" s="253">
        <f>XIRR($N$6:$N$125,$B$6:$B$125)</f>
        <v>0.2081031024456024</v>
      </c>
    </row>
    <row r="18" spans="1:17" ht="18" customHeight="1" x14ac:dyDescent="0.3">
      <c r="A18" s="1">
        <f t="shared" si="0"/>
        <v>13</v>
      </c>
      <c r="B18" s="227">
        <f>EOMONTH(Input!$C$7,$A18-1)</f>
        <v>46691</v>
      </c>
      <c r="C18" s="1">
        <f t="shared" si="1"/>
        <v>2</v>
      </c>
      <c r="D18" s="1">
        <f t="shared" si="2"/>
        <v>5</v>
      </c>
      <c r="E18" s="122" cm="1">
        <f t="array" ref="E18">_xlfn.LET(_xlpm.ann,-INDEX('Statement of Cash Flows'!$C$47:$L$47,$C18),_xlpm.w,-($H18+$I18)+MAX(0,-$J18),_xlpm.yrW,SUMPRODUCT(($C$6:$C$125=$C18)*(-($H$6:$H$125+$I$6:$I$125)+((-$J$6:$J$125)&gt;0)*(-$J$6:$J$125))),_xlpm.ann*IF(_xlpm.yrW&gt;0,_xlpm.w/_xlpm.yrW,IF($A18=($C18-1)*$Q$7+1,1,0)))</f>
        <v>-84829.976603549541</v>
      </c>
      <c r="F18" s="122" cm="1">
        <f t="array" ref="F18">_xlfn.LET(_xlpm.ann,INDEX('Investor Return'!$C$11:$L$11,$C18),_xlpm.sale,'_Month Engine'!$C$71:$DR$71,_xlpm.yr,'_Month Engine'!$C$5:$DR$5,_xlpm.yearS,SUMPRODUCT((_xlpm.yr=$C18)*_xlpm.sale),_xlpm.mS,INDEX(_xlpm.sale,$A18),_xlpm.ann*IF(_xlpm.yearS&gt;0,_xlpm.mS/_xlpm.yearS,IF($A18=$C18*$Q$7,1,0)))</f>
        <v>0</v>
      </c>
      <c r="G18" s="122">
        <f t="shared" si="3"/>
        <v>-84829.976603549541</v>
      </c>
      <c r="H18" s="122" cm="1">
        <f t="array" ref="H18">-SUMPRODUCT(Properties!$D$6:$D$15*(Properties!$Q$6:$Q$15=$A18)*(Properties!$M$6:$M$15+Properties!$O$6:$O$15))</f>
        <v>0</v>
      </c>
      <c r="I18" s="122" cm="1">
        <f t="array" ref="I18">-SUMPRODUCT(Properties!$D$6:$D$15*($A18&gt;=Properties!$Q$6:$Q$15)*($A18&lt;Properties!$T$6:$T$15)*Properties!$N$6:$N$15/(Properties!$R$6:$R$15+(Properties!$R$6:$R$15=0)))</f>
        <v>-91693.635382955777</v>
      </c>
      <c r="J18" s="122" cm="1">
        <f t="array" ref="J18">_xlfn.LET(_xlpm.act,Properties!$D$6:$D$15,_xlpm.accM,Properties!$Q$6:$Q$15,_xlpm.rentM,Properties!$T$6:$T$15,_xlpm.saleM,Properties!$U$6:$U$15,_xlpm.owned,($A18&gt;=_xlpm.accM)*($A18&lt;_xlpm.saleM),_xlpm.renting,($A18&gt;=_xlpm.rentM)*($A18&lt;_xlpm.saleM),_xlpm.ratio,($A18-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18-1)-_xlpm.owned*_xlpm.ownFix/$Q$7-_xlpm.renting*_xlpm.rentFix/$Q$7)))</f>
        <v>4587.7957739337262</v>
      </c>
      <c r="K18" s="122" cm="1">
        <f t="array" ref="K18">SUMPRODUCT(Properties!$D$6:$D$15*(Properties!$U$6:$U$15=$A18)*Properties!$AB$6:$AB$15)</f>
        <v>0</v>
      </c>
      <c r="L18" s="122">
        <f t="shared" si="4"/>
        <v>-87105.839609022049</v>
      </c>
      <c r="M18" s="122" cm="1">
        <f t="array" ref="M18">-SUMPRODUCT(Properties!$D$6:$D$15*(Properties!$U$6:$U$15=$A18)*Properties!$AD$6:$AD$15)</f>
        <v>0</v>
      </c>
      <c r="N18" s="122">
        <f t="shared" si="5"/>
        <v>-87105.839609022049</v>
      </c>
      <c r="O18" s="1"/>
      <c r="P18" s="257"/>
      <c r="Q18" s="1"/>
    </row>
    <row r="19" spans="1:17" ht="18" customHeight="1" x14ac:dyDescent="0.3">
      <c r="A19" s="1">
        <f t="shared" si="0"/>
        <v>14</v>
      </c>
      <c r="B19" s="227">
        <f>EOMONTH(Input!$C$7,$A19-1)</f>
        <v>46721</v>
      </c>
      <c r="C19" s="1">
        <f t="shared" si="1"/>
        <v>2</v>
      </c>
      <c r="D19" s="1">
        <f t="shared" si="2"/>
        <v>5</v>
      </c>
      <c r="E19" s="122" cm="1">
        <f t="array" ref="E19">_xlfn.LET(_xlpm.ann,-INDEX('Statement of Cash Flows'!$C$47:$L$47,$C19),_xlpm.w,-($H19+$I19)+MAX(0,-$J19),_xlpm.yrW,SUMPRODUCT(($C$6:$C$125=$C19)*(-($H$6:$H$125+$I$6:$I$125)+((-$J$6:$J$125)&gt;0)*(-$J$6:$J$125))),_xlpm.ann*IF(_xlpm.yrW&gt;0,_xlpm.w/_xlpm.yrW,IF($A19=($C19-1)*$Q$7+1,1,0)))</f>
        <v>0</v>
      </c>
      <c r="F19" s="122" cm="1">
        <f t="array" ref="F19">_xlfn.LET(_xlpm.ann,INDEX('Investor Return'!$C$11:$L$11,$C19),_xlpm.sale,'_Month Engine'!$C$71:$DR$71,_xlpm.yr,'_Month Engine'!$C$5:$DR$5,_xlpm.yearS,SUMPRODUCT((_xlpm.yr=$C19)*_xlpm.sale),_xlpm.mS,INDEX(_xlpm.sale,$A19),_xlpm.ann*IF(_xlpm.yearS&gt;0,_xlpm.mS/_xlpm.yearS,IF($A19=$C19*$Q$7,1,0)))</f>
        <v>0</v>
      </c>
      <c r="G19" s="122">
        <f t="shared" si="3"/>
        <v>0</v>
      </c>
      <c r="H19" s="122" cm="1">
        <f t="array" ref="H19">-SUMPRODUCT(Properties!$D$6:$D$15*(Properties!$Q$6:$Q$15=$A19)*(Properties!$M$6:$M$15+Properties!$O$6:$O$15))</f>
        <v>0</v>
      </c>
      <c r="I19" s="122" cm="1">
        <f t="array" ref="I19">-SUMPRODUCT(Properties!$D$6:$D$15*($A19&gt;=Properties!$Q$6:$Q$15)*($A19&lt;Properties!$T$6:$T$15)*Properties!$N$6:$N$15/(Properties!$R$6:$R$15+(Properties!$R$6:$R$15=0)))</f>
        <v>0</v>
      </c>
      <c r="J19" s="122" cm="1">
        <f t="array" ref="J19">_xlfn.LET(_xlpm.act,Properties!$D$6:$D$15,_xlpm.accM,Properties!$Q$6:$Q$15,_xlpm.rentM,Properties!$T$6:$T$15,_xlpm.saleM,Properties!$U$6:$U$15,_xlpm.owned,($A19&gt;=_xlpm.accM)*($A19&lt;_xlpm.saleM),_xlpm.renting,($A19&gt;=_xlpm.rentM)*($A19&lt;_xlpm.saleM),_xlpm.ratio,($A19-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19-1)-_xlpm.owned*_xlpm.ownFix/$Q$7-_xlpm.renting*_xlpm.rentFix/$Q$7)))</f>
        <v>8538.2729403747999</v>
      </c>
      <c r="K19" s="122" cm="1">
        <f t="array" ref="K19">SUMPRODUCT(Properties!$D$6:$D$15*(Properties!$U$6:$U$15=$A19)*Properties!$AB$6:$AB$15)</f>
        <v>0</v>
      </c>
      <c r="L19" s="122">
        <f t="shared" si="4"/>
        <v>8538.2729403747999</v>
      </c>
      <c r="M19" s="122" cm="1">
        <f t="array" ref="M19">-SUMPRODUCT(Properties!$D$6:$D$15*(Properties!$U$6:$U$15=$A19)*Properties!$AD$6:$AD$15)</f>
        <v>0</v>
      </c>
      <c r="N19" s="122">
        <f t="shared" si="5"/>
        <v>8538.2729403747999</v>
      </c>
      <c r="O19" s="1"/>
      <c r="P19" s="258" t="s">
        <v>694</v>
      </c>
      <c r="Q19" s="249"/>
    </row>
    <row r="20" spans="1:17" ht="18" customHeight="1" x14ac:dyDescent="0.3">
      <c r="A20" s="1">
        <f t="shared" si="0"/>
        <v>15</v>
      </c>
      <c r="B20" s="227">
        <f>EOMONTH(Input!$C$7,$A20-1)</f>
        <v>46752</v>
      </c>
      <c r="C20" s="1">
        <f t="shared" si="1"/>
        <v>2</v>
      </c>
      <c r="D20" s="1">
        <f t="shared" si="2"/>
        <v>5</v>
      </c>
      <c r="E20" s="122" cm="1">
        <f t="array" ref="E20">_xlfn.LET(_xlpm.ann,-INDEX('Statement of Cash Flows'!$C$47:$L$47,$C20),_xlpm.w,-($H20+$I20)+MAX(0,-$J20),_xlpm.yrW,SUMPRODUCT(($C$6:$C$125=$C20)*(-($H$6:$H$125+$I$6:$I$125)+((-$J$6:$J$125)&gt;0)*(-$J$6:$J$125))),_xlpm.ann*IF(_xlpm.yrW&gt;0,_xlpm.w/_xlpm.yrW,IF($A20=($C20-1)*$Q$7+1,1,0)))</f>
        <v>0</v>
      </c>
      <c r="F20" s="122" cm="1">
        <f t="array" ref="F20">_xlfn.LET(_xlpm.ann,INDEX('Investor Return'!$C$11:$L$11,$C20),_xlpm.sale,'_Month Engine'!$C$71:$DR$71,_xlpm.yr,'_Month Engine'!$C$5:$DR$5,_xlpm.yearS,SUMPRODUCT((_xlpm.yr=$C20)*_xlpm.sale),_xlpm.mS,INDEX(_xlpm.sale,$A20),_xlpm.ann*IF(_xlpm.yearS&gt;0,_xlpm.mS/_xlpm.yearS,IF($A20=$C20*$Q$7,1,0)))</f>
        <v>0</v>
      </c>
      <c r="G20" s="122">
        <f t="shared" si="3"/>
        <v>0</v>
      </c>
      <c r="H20" s="122" cm="1">
        <f t="array" ref="H20">-SUMPRODUCT(Properties!$D$6:$D$15*(Properties!$Q$6:$Q$15=$A20)*(Properties!$M$6:$M$15+Properties!$O$6:$O$15))</f>
        <v>0</v>
      </c>
      <c r="I20" s="122" cm="1">
        <f t="array" ref="I20">-SUMPRODUCT(Properties!$D$6:$D$15*($A20&gt;=Properties!$Q$6:$Q$15)*($A20&lt;Properties!$T$6:$T$15)*Properties!$N$6:$N$15/(Properties!$R$6:$R$15+(Properties!$R$6:$R$15=0)))</f>
        <v>0</v>
      </c>
      <c r="J20" s="122" cm="1">
        <f t="array" ref="J20">_xlfn.LET(_xlpm.act,Properties!$D$6:$D$15,_xlpm.accM,Properties!$Q$6:$Q$15,_xlpm.rentM,Properties!$T$6:$T$15,_xlpm.saleM,Properties!$U$6:$U$15,_xlpm.owned,($A20&gt;=_xlpm.accM)*($A20&lt;_xlpm.saleM),_xlpm.renting,($A20&gt;=_xlpm.rentM)*($A20&lt;_xlpm.saleM),_xlpm.ratio,($A20-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20-1)-_xlpm.owned*_xlpm.ownFix/$Q$7-_xlpm.renting*_xlpm.rentFix/$Q$7)))</f>
        <v>8538.2729403747999</v>
      </c>
      <c r="K20" s="122" cm="1">
        <f t="array" ref="K20">SUMPRODUCT(Properties!$D$6:$D$15*(Properties!$U$6:$U$15=$A20)*Properties!$AB$6:$AB$15)</f>
        <v>0</v>
      </c>
      <c r="L20" s="122">
        <f t="shared" si="4"/>
        <v>8538.2729403747999</v>
      </c>
      <c r="M20" s="122" cm="1">
        <f t="array" ref="M20">-SUMPRODUCT(Properties!$D$6:$D$15*(Properties!$U$6:$U$15=$A20)*Properties!$AD$6:$AD$15)</f>
        <v>0</v>
      </c>
      <c r="N20" s="122">
        <f t="shared" si="5"/>
        <v>8538.2729403747999</v>
      </c>
      <c r="O20" s="1"/>
      <c r="P20" s="257" t="s">
        <v>1373</v>
      </c>
      <c r="Q20" s="254">
        <f>IRR('Investor Return'!$C$12:$L$12)</f>
        <v>0.15942381169737119</v>
      </c>
    </row>
    <row r="21" spans="1:17" ht="18" customHeight="1" x14ac:dyDescent="0.3">
      <c r="A21" s="1">
        <f t="shared" si="0"/>
        <v>16</v>
      </c>
      <c r="B21" s="227">
        <f>EOMONTH(Input!$C$7,$A21-1)</f>
        <v>46783</v>
      </c>
      <c r="C21" s="1">
        <f t="shared" si="1"/>
        <v>2</v>
      </c>
      <c r="D21" s="1">
        <f t="shared" si="2"/>
        <v>6</v>
      </c>
      <c r="E21" s="122" cm="1">
        <f t="array" ref="E21">_xlfn.LET(_xlpm.ann,-INDEX('Statement of Cash Flows'!$C$47:$L$47,$C21),_xlpm.w,-($H21+$I21)+MAX(0,-$J21),_xlpm.yrW,SUMPRODUCT(($C$6:$C$125=$C21)*(-($H$6:$H$125+$I$6:$I$125)+((-$J$6:$J$125)&gt;0)*(-$J$6:$J$125))),_xlpm.ann*IF(_xlpm.yrW&gt;0,_xlpm.w/_xlpm.yrW,IF($A21=($C21-1)*$Q$7+1,1,0)))</f>
        <v>0</v>
      </c>
      <c r="F21" s="122" cm="1">
        <f t="array" ref="F21">_xlfn.LET(_xlpm.ann,INDEX('Investor Return'!$C$11:$L$11,$C21),_xlpm.sale,'_Month Engine'!$C$71:$DR$71,_xlpm.yr,'_Month Engine'!$C$5:$DR$5,_xlpm.yearS,SUMPRODUCT((_xlpm.yr=$C21)*_xlpm.sale),_xlpm.mS,INDEX(_xlpm.sale,$A21),_xlpm.ann*IF(_xlpm.yearS&gt;0,_xlpm.mS/_xlpm.yearS,IF($A21=$C21*$Q$7,1,0)))</f>
        <v>0</v>
      </c>
      <c r="G21" s="122">
        <f t="shared" si="3"/>
        <v>0</v>
      </c>
      <c r="H21" s="122" cm="1">
        <f t="array" ref="H21">-SUMPRODUCT(Properties!$D$6:$D$15*(Properties!$Q$6:$Q$15=$A21)*(Properties!$M$6:$M$15+Properties!$O$6:$O$15))</f>
        <v>0</v>
      </c>
      <c r="I21" s="122" cm="1">
        <f t="array" ref="I21">-SUMPRODUCT(Properties!$D$6:$D$15*($A21&gt;=Properties!$Q$6:$Q$15)*($A21&lt;Properties!$T$6:$T$15)*Properties!$N$6:$N$15/(Properties!$R$6:$R$15+(Properties!$R$6:$R$15=0)))</f>
        <v>0</v>
      </c>
      <c r="J21" s="122" cm="1">
        <f t="array" ref="J21">_xlfn.LET(_xlpm.act,Properties!$D$6:$D$15,_xlpm.accM,Properties!$Q$6:$Q$15,_xlpm.rentM,Properties!$T$6:$T$15,_xlpm.saleM,Properties!$U$6:$U$15,_xlpm.owned,($A21&gt;=_xlpm.accM)*($A21&lt;_xlpm.saleM),_xlpm.renting,($A21&gt;=_xlpm.rentM)*($A21&lt;_xlpm.saleM),_xlpm.ratio,($A21-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21-1)-_xlpm.owned*_xlpm.ownFix/$Q$7-_xlpm.renting*_xlpm.rentFix/$Q$7)))</f>
        <v>8538.2729403747999</v>
      </c>
      <c r="K21" s="122" cm="1">
        <f t="array" ref="K21">SUMPRODUCT(Properties!$D$6:$D$15*(Properties!$U$6:$U$15=$A21)*Properties!$AB$6:$AB$15)</f>
        <v>0</v>
      </c>
      <c r="L21" s="122">
        <f t="shared" si="4"/>
        <v>8538.2729403747999</v>
      </c>
      <c r="M21" s="122" cm="1">
        <f t="array" ref="M21">-SUMPRODUCT(Properties!$D$6:$D$15*(Properties!$U$6:$U$15=$A21)*Properties!$AD$6:$AD$15)</f>
        <v>0</v>
      </c>
      <c r="N21" s="122">
        <f t="shared" si="5"/>
        <v>8538.2729403747999</v>
      </c>
      <c r="O21" s="1"/>
      <c r="P21" s="257" t="s">
        <v>704</v>
      </c>
      <c r="Q21" s="255">
        <f>($Q$15-$Q$20)*100</f>
        <v>-0.21997347110583598</v>
      </c>
    </row>
    <row r="22" spans="1:17" ht="18" customHeight="1" x14ac:dyDescent="0.3">
      <c r="A22" s="1">
        <f t="shared" si="0"/>
        <v>17</v>
      </c>
      <c r="B22" s="227">
        <f>EOMONTH(Input!$C$7,$A22-1)</f>
        <v>46812</v>
      </c>
      <c r="C22" s="1">
        <f t="shared" si="1"/>
        <v>2</v>
      </c>
      <c r="D22" s="1">
        <f t="shared" si="2"/>
        <v>6</v>
      </c>
      <c r="E22" s="122" cm="1">
        <f t="array" ref="E22">_xlfn.LET(_xlpm.ann,-INDEX('Statement of Cash Flows'!$C$47:$L$47,$C22),_xlpm.w,-($H22+$I22)+MAX(0,-$J22),_xlpm.yrW,SUMPRODUCT(($C$6:$C$125=$C22)*(-($H$6:$H$125+$I$6:$I$125)+((-$J$6:$J$125)&gt;0)*(-$J$6:$J$125))),_xlpm.ann*IF(_xlpm.yrW&gt;0,_xlpm.w/_xlpm.yrW,IF($A22=($C22-1)*$Q$7+1,1,0)))</f>
        <v>0</v>
      </c>
      <c r="F22" s="122" cm="1">
        <f t="array" ref="F22">_xlfn.LET(_xlpm.ann,INDEX('Investor Return'!$C$11:$L$11,$C22),_xlpm.sale,'_Month Engine'!$C$71:$DR$71,_xlpm.yr,'_Month Engine'!$C$5:$DR$5,_xlpm.yearS,SUMPRODUCT((_xlpm.yr=$C22)*_xlpm.sale),_xlpm.mS,INDEX(_xlpm.sale,$A22),_xlpm.ann*IF(_xlpm.yearS&gt;0,_xlpm.mS/_xlpm.yearS,IF($A22=$C22*$Q$7,1,0)))</f>
        <v>0</v>
      </c>
      <c r="G22" s="122">
        <f t="shared" si="3"/>
        <v>0</v>
      </c>
      <c r="H22" s="122" cm="1">
        <f t="array" ref="H22">-SUMPRODUCT(Properties!$D$6:$D$15*(Properties!$Q$6:$Q$15=$A22)*(Properties!$M$6:$M$15+Properties!$O$6:$O$15))</f>
        <v>0</v>
      </c>
      <c r="I22" s="122" cm="1">
        <f t="array" ref="I22">-SUMPRODUCT(Properties!$D$6:$D$15*($A22&gt;=Properties!$Q$6:$Q$15)*($A22&lt;Properties!$T$6:$T$15)*Properties!$N$6:$N$15/(Properties!$R$6:$R$15+(Properties!$R$6:$R$15=0)))</f>
        <v>0</v>
      </c>
      <c r="J22" s="122" cm="1">
        <f t="array" ref="J22">_xlfn.LET(_xlpm.act,Properties!$D$6:$D$15,_xlpm.accM,Properties!$Q$6:$Q$15,_xlpm.rentM,Properties!$T$6:$T$15,_xlpm.saleM,Properties!$U$6:$U$15,_xlpm.owned,($A22&gt;=_xlpm.accM)*($A22&lt;_xlpm.saleM),_xlpm.renting,($A22&gt;=_xlpm.rentM)*($A22&lt;_xlpm.saleM),_xlpm.ratio,($A22-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22-1)-_xlpm.owned*_xlpm.ownFix/$Q$7-_xlpm.renting*_xlpm.rentFix/$Q$7)))</f>
        <v>8538.2729403747999</v>
      </c>
      <c r="K22" s="122" cm="1">
        <f t="array" ref="K22">SUMPRODUCT(Properties!$D$6:$D$15*(Properties!$U$6:$U$15=$A22)*Properties!$AB$6:$AB$15)</f>
        <v>0</v>
      </c>
      <c r="L22" s="122">
        <f t="shared" si="4"/>
        <v>8538.2729403747999</v>
      </c>
      <c r="M22" s="122" cm="1">
        <f t="array" ref="M22">-SUMPRODUCT(Properties!$D$6:$D$15*(Properties!$U$6:$U$15=$A22)*Properties!$AD$6:$AD$15)</f>
        <v>0</v>
      </c>
      <c r="N22" s="122">
        <f t="shared" si="5"/>
        <v>8538.2729403747999</v>
      </c>
      <c r="O22" s="1"/>
      <c r="P22" s="257"/>
      <c r="Q22" s="1"/>
    </row>
    <row r="23" spans="1:17" ht="18" customHeight="1" x14ac:dyDescent="0.3">
      <c r="A23" s="1">
        <f t="shared" si="0"/>
        <v>18</v>
      </c>
      <c r="B23" s="227">
        <f>EOMONTH(Input!$C$7,$A23-1)</f>
        <v>46843</v>
      </c>
      <c r="C23" s="1">
        <f t="shared" si="1"/>
        <v>2</v>
      </c>
      <c r="D23" s="1">
        <f t="shared" si="2"/>
        <v>6</v>
      </c>
      <c r="E23" s="122" cm="1">
        <f t="array" ref="E23">_xlfn.LET(_xlpm.ann,-INDEX('Statement of Cash Flows'!$C$47:$L$47,$C23),_xlpm.w,-($H23+$I23)+MAX(0,-$J23),_xlpm.yrW,SUMPRODUCT(($C$6:$C$125=$C23)*(-($H$6:$H$125+$I$6:$I$125)+((-$J$6:$J$125)&gt;0)*(-$J$6:$J$125))),_xlpm.ann*IF(_xlpm.yrW&gt;0,_xlpm.w/_xlpm.yrW,IF($A23=($C23-1)*$Q$7+1,1,0)))</f>
        <v>0</v>
      </c>
      <c r="F23" s="122" cm="1">
        <f t="array" ref="F23">_xlfn.LET(_xlpm.ann,INDEX('Investor Return'!$C$11:$L$11,$C23),_xlpm.sale,'_Month Engine'!$C$71:$DR$71,_xlpm.yr,'_Month Engine'!$C$5:$DR$5,_xlpm.yearS,SUMPRODUCT((_xlpm.yr=$C23)*_xlpm.sale),_xlpm.mS,INDEX(_xlpm.sale,$A23),_xlpm.ann*IF(_xlpm.yearS&gt;0,_xlpm.mS/_xlpm.yearS,IF($A23=$C23*$Q$7,1,0)))</f>
        <v>0</v>
      </c>
      <c r="G23" s="122">
        <f t="shared" si="3"/>
        <v>0</v>
      </c>
      <c r="H23" s="122" cm="1">
        <f t="array" ref="H23">-SUMPRODUCT(Properties!$D$6:$D$15*(Properties!$Q$6:$Q$15=$A23)*(Properties!$M$6:$M$15+Properties!$O$6:$O$15))</f>
        <v>0</v>
      </c>
      <c r="I23" s="122" cm="1">
        <f t="array" ref="I23">-SUMPRODUCT(Properties!$D$6:$D$15*($A23&gt;=Properties!$Q$6:$Q$15)*($A23&lt;Properties!$T$6:$T$15)*Properties!$N$6:$N$15/(Properties!$R$6:$R$15+(Properties!$R$6:$R$15=0)))</f>
        <v>0</v>
      </c>
      <c r="J23" s="122" cm="1">
        <f t="array" ref="J23">_xlfn.LET(_xlpm.act,Properties!$D$6:$D$15,_xlpm.accM,Properties!$Q$6:$Q$15,_xlpm.rentM,Properties!$T$6:$T$15,_xlpm.saleM,Properties!$U$6:$U$15,_xlpm.owned,($A23&gt;=_xlpm.accM)*($A23&lt;_xlpm.saleM),_xlpm.renting,($A23&gt;=_xlpm.rentM)*($A23&lt;_xlpm.saleM),_xlpm.ratio,($A23-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23-1)-_xlpm.owned*_xlpm.ownFix/$Q$7-_xlpm.renting*_xlpm.rentFix/$Q$7)))</f>
        <v>8538.2729403747999</v>
      </c>
      <c r="K23" s="122" cm="1">
        <f t="array" ref="K23">SUMPRODUCT(Properties!$D$6:$D$15*(Properties!$U$6:$U$15=$A23)*Properties!$AB$6:$AB$15)</f>
        <v>0</v>
      </c>
      <c r="L23" s="122">
        <f t="shared" si="4"/>
        <v>8538.2729403747999</v>
      </c>
      <c r="M23" s="122" cm="1">
        <f t="array" ref="M23">-SUMPRODUCT(Properties!$D$6:$D$15*(Properties!$U$6:$U$15=$A23)*Properties!$AD$6:$AD$15)</f>
        <v>0</v>
      </c>
      <c r="N23" s="122">
        <f t="shared" si="5"/>
        <v>8538.2729403747999</v>
      </c>
      <c r="O23" s="1"/>
      <c r="P23" s="258" t="s">
        <v>695</v>
      </c>
      <c r="Q23" s="249"/>
    </row>
    <row r="24" spans="1:17" ht="18" customHeight="1" x14ac:dyDescent="0.3">
      <c r="A24" s="1">
        <f t="shared" si="0"/>
        <v>19</v>
      </c>
      <c r="B24" s="227">
        <f>EOMONTH(Input!$C$7,$A24-1)</f>
        <v>46873</v>
      </c>
      <c r="C24" s="1">
        <f t="shared" si="1"/>
        <v>2</v>
      </c>
      <c r="D24" s="1">
        <f t="shared" si="2"/>
        <v>7</v>
      </c>
      <c r="E24" s="122" cm="1">
        <f t="array" ref="E24">_xlfn.LET(_xlpm.ann,-INDEX('Statement of Cash Flows'!$C$47:$L$47,$C24),_xlpm.w,-($H24+$I24)+MAX(0,-$J24),_xlpm.yrW,SUMPRODUCT(($C$6:$C$125=$C24)*(-($H$6:$H$125+$I$6:$I$125)+((-$J$6:$J$125)&gt;0)*(-$J$6:$J$125))),_xlpm.ann*IF(_xlpm.yrW&gt;0,_xlpm.w/_xlpm.yrW,IF($A24=($C24-1)*$Q$7+1,1,0)))</f>
        <v>0</v>
      </c>
      <c r="F24" s="122" cm="1">
        <f t="array" ref="F24">_xlfn.LET(_xlpm.ann,INDEX('Investor Return'!$C$11:$L$11,$C24),_xlpm.sale,'_Month Engine'!$C$71:$DR$71,_xlpm.yr,'_Month Engine'!$C$5:$DR$5,_xlpm.yearS,SUMPRODUCT((_xlpm.yr=$C24)*_xlpm.sale),_xlpm.mS,INDEX(_xlpm.sale,$A24),_xlpm.ann*IF(_xlpm.yearS&gt;0,_xlpm.mS/_xlpm.yearS,IF($A24=$C24*$Q$7,1,0)))</f>
        <v>0</v>
      </c>
      <c r="G24" s="122">
        <f t="shared" si="3"/>
        <v>0</v>
      </c>
      <c r="H24" s="122" cm="1">
        <f t="array" ref="H24">-SUMPRODUCT(Properties!$D$6:$D$15*(Properties!$Q$6:$Q$15=$A24)*(Properties!$M$6:$M$15+Properties!$O$6:$O$15))</f>
        <v>0</v>
      </c>
      <c r="I24" s="122" cm="1">
        <f t="array" ref="I24">-SUMPRODUCT(Properties!$D$6:$D$15*($A24&gt;=Properties!$Q$6:$Q$15)*($A24&lt;Properties!$T$6:$T$15)*Properties!$N$6:$N$15/(Properties!$R$6:$R$15+(Properties!$R$6:$R$15=0)))</f>
        <v>0</v>
      </c>
      <c r="J24" s="122" cm="1">
        <f t="array" ref="J24">_xlfn.LET(_xlpm.act,Properties!$D$6:$D$15,_xlpm.accM,Properties!$Q$6:$Q$15,_xlpm.rentM,Properties!$T$6:$T$15,_xlpm.saleM,Properties!$U$6:$U$15,_xlpm.owned,($A24&gt;=_xlpm.accM)*($A24&lt;_xlpm.saleM),_xlpm.renting,($A24&gt;=_xlpm.rentM)*($A24&lt;_xlpm.saleM),_xlpm.ratio,($A24-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24-1)-_xlpm.owned*_xlpm.ownFix/$Q$7-_xlpm.renting*_xlpm.rentFix/$Q$7)))</f>
        <v>8538.2729403747999</v>
      </c>
      <c r="K24" s="122" cm="1">
        <f t="array" ref="K24">SUMPRODUCT(Properties!$D$6:$D$15*(Properties!$U$6:$U$15=$A24)*Properties!$AB$6:$AB$15)</f>
        <v>0</v>
      </c>
      <c r="L24" s="122">
        <f t="shared" si="4"/>
        <v>8538.2729403747999</v>
      </c>
      <c r="M24" s="122" cm="1">
        <f t="array" ref="M24">-SUMPRODUCT(Properties!$D$6:$D$15*(Properties!$U$6:$U$15=$A24)*Properties!$AD$6:$AD$15)</f>
        <v>0</v>
      </c>
      <c r="N24" s="122">
        <f t="shared" si="5"/>
        <v>8538.2729403747999</v>
      </c>
      <c r="O24" s="1"/>
      <c r="P24" s="257" t="s">
        <v>696</v>
      </c>
      <c r="Q24" s="122">
        <f>-SUM($E$6:$E$125)</f>
        <v>6719800.2413630942</v>
      </c>
    </row>
    <row r="25" spans="1:17" ht="18" customHeight="1" x14ac:dyDescent="0.3">
      <c r="A25" s="1">
        <f t="shared" si="0"/>
        <v>20</v>
      </c>
      <c r="B25" s="227">
        <f>EOMONTH(Input!$C$7,$A25-1)</f>
        <v>46904</v>
      </c>
      <c r="C25" s="1">
        <f t="shared" si="1"/>
        <v>2</v>
      </c>
      <c r="D25" s="1">
        <f t="shared" si="2"/>
        <v>7</v>
      </c>
      <c r="E25" s="122" cm="1">
        <f t="array" ref="E25">_xlfn.LET(_xlpm.ann,-INDEX('Statement of Cash Flows'!$C$47:$L$47,$C25),_xlpm.w,-($H25+$I25)+MAX(0,-$J25),_xlpm.yrW,SUMPRODUCT(($C$6:$C$125=$C25)*(-($H$6:$H$125+$I$6:$I$125)+((-$J$6:$J$125)&gt;0)*(-$J$6:$J$125))),_xlpm.ann*IF(_xlpm.yrW&gt;0,_xlpm.w/_xlpm.yrW,IF($A25=($C25-1)*$Q$7+1,1,0)))</f>
        <v>0</v>
      </c>
      <c r="F25" s="122" cm="1">
        <f t="array" ref="F25">_xlfn.LET(_xlpm.ann,INDEX('Investor Return'!$C$11:$L$11,$C25),_xlpm.sale,'_Month Engine'!$C$71:$DR$71,_xlpm.yr,'_Month Engine'!$C$5:$DR$5,_xlpm.yearS,SUMPRODUCT((_xlpm.yr=$C25)*_xlpm.sale),_xlpm.mS,INDEX(_xlpm.sale,$A25),_xlpm.ann*IF(_xlpm.yearS&gt;0,_xlpm.mS/_xlpm.yearS,IF($A25=$C25*$Q$7,1,0)))</f>
        <v>0</v>
      </c>
      <c r="G25" s="122">
        <f t="shared" si="3"/>
        <v>0</v>
      </c>
      <c r="H25" s="122" cm="1">
        <f t="array" ref="H25">-SUMPRODUCT(Properties!$D$6:$D$15*(Properties!$Q$6:$Q$15=$A25)*(Properties!$M$6:$M$15+Properties!$O$6:$O$15))</f>
        <v>0</v>
      </c>
      <c r="I25" s="122" cm="1">
        <f t="array" ref="I25">-SUMPRODUCT(Properties!$D$6:$D$15*($A25&gt;=Properties!$Q$6:$Q$15)*($A25&lt;Properties!$T$6:$T$15)*Properties!$N$6:$N$15/(Properties!$R$6:$R$15+(Properties!$R$6:$R$15=0)))</f>
        <v>0</v>
      </c>
      <c r="J25" s="122" cm="1">
        <f t="array" ref="J25">_xlfn.LET(_xlpm.act,Properties!$D$6:$D$15,_xlpm.accM,Properties!$Q$6:$Q$15,_xlpm.rentM,Properties!$T$6:$T$15,_xlpm.saleM,Properties!$U$6:$U$15,_xlpm.owned,($A25&gt;=_xlpm.accM)*($A25&lt;_xlpm.saleM),_xlpm.renting,($A25&gt;=_xlpm.rentM)*($A25&lt;_xlpm.saleM),_xlpm.ratio,($A25-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25-1)-_xlpm.owned*_xlpm.ownFix/$Q$7-_xlpm.renting*_xlpm.rentFix/$Q$7)))</f>
        <v>8538.2729403747999</v>
      </c>
      <c r="K25" s="122" cm="1">
        <f t="array" ref="K25">SUMPRODUCT(Properties!$D$6:$D$15*(Properties!$U$6:$U$15=$A25)*Properties!$AB$6:$AB$15)</f>
        <v>0</v>
      </c>
      <c r="L25" s="122">
        <f t="shared" si="4"/>
        <v>8538.2729403747999</v>
      </c>
      <c r="M25" s="122" cm="1">
        <f t="array" ref="M25">-SUMPRODUCT(Properties!$D$6:$D$15*(Properties!$U$6:$U$15=$A25)*Properties!$AD$6:$AD$15)</f>
        <v>0</v>
      </c>
      <c r="N25" s="122">
        <f t="shared" si="5"/>
        <v>8538.2729403747999</v>
      </c>
      <c r="O25" s="1"/>
      <c r="P25" s="257" t="s">
        <v>881</v>
      </c>
      <c r="Q25" s="256">
        <f>'Investor Return'!$C$16</f>
        <v>6719800.2413630933</v>
      </c>
    </row>
    <row r="26" spans="1:17" ht="18" customHeight="1" x14ac:dyDescent="0.3">
      <c r="A26" s="1">
        <f t="shared" si="0"/>
        <v>21</v>
      </c>
      <c r="B26" s="227">
        <f>EOMONTH(Input!$C$7,$A26-1)</f>
        <v>46934</v>
      </c>
      <c r="C26" s="1">
        <f t="shared" si="1"/>
        <v>2</v>
      </c>
      <c r="D26" s="1">
        <f t="shared" si="2"/>
        <v>7</v>
      </c>
      <c r="E26" s="122" cm="1">
        <f t="array" ref="E26">_xlfn.LET(_xlpm.ann,-INDEX('Statement of Cash Flows'!$C$47:$L$47,$C26),_xlpm.w,-($H26+$I26)+MAX(0,-$J26),_xlpm.yrW,SUMPRODUCT(($C$6:$C$125=$C26)*(-($H$6:$H$125+$I$6:$I$125)+((-$J$6:$J$125)&gt;0)*(-$J$6:$J$125))),_xlpm.ann*IF(_xlpm.yrW&gt;0,_xlpm.w/_xlpm.yrW,IF($A26=($C26-1)*$Q$7+1,1,0)))</f>
        <v>0</v>
      </c>
      <c r="F26" s="122" cm="1">
        <f t="array" ref="F26">_xlfn.LET(_xlpm.ann,INDEX('Investor Return'!$C$11:$L$11,$C26),_xlpm.sale,'_Month Engine'!$C$71:$DR$71,_xlpm.yr,'_Month Engine'!$C$5:$DR$5,_xlpm.yearS,SUMPRODUCT((_xlpm.yr=$C26)*_xlpm.sale),_xlpm.mS,INDEX(_xlpm.sale,$A26),_xlpm.ann*IF(_xlpm.yearS&gt;0,_xlpm.mS/_xlpm.yearS,IF($A26=$C26*$Q$7,1,0)))</f>
        <v>0</v>
      </c>
      <c r="G26" s="122">
        <f t="shared" si="3"/>
        <v>0</v>
      </c>
      <c r="H26" s="122" cm="1">
        <f t="array" ref="H26">-SUMPRODUCT(Properties!$D$6:$D$15*(Properties!$Q$6:$Q$15=$A26)*(Properties!$M$6:$M$15+Properties!$O$6:$O$15))</f>
        <v>0</v>
      </c>
      <c r="I26" s="122" cm="1">
        <f t="array" ref="I26">-SUMPRODUCT(Properties!$D$6:$D$15*($A26&gt;=Properties!$Q$6:$Q$15)*($A26&lt;Properties!$T$6:$T$15)*Properties!$N$6:$N$15/(Properties!$R$6:$R$15+(Properties!$R$6:$R$15=0)))</f>
        <v>0</v>
      </c>
      <c r="J26" s="122" cm="1">
        <f t="array" ref="J26">_xlfn.LET(_xlpm.act,Properties!$D$6:$D$15,_xlpm.accM,Properties!$Q$6:$Q$15,_xlpm.rentM,Properties!$T$6:$T$15,_xlpm.saleM,Properties!$U$6:$U$15,_xlpm.owned,($A26&gt;=_xlpm.accM)*($A26&lt;_xlpm.saleM),_xlpm.renting,($A26&gt;=_xlpm.rentM)*($A26&lt;_xlpm.saleM),_xlpm.ratio,($A26-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26-1)-_xlpm.owned*_xlpm.ownFix/$Q$7-_xlpm.renting*_xlpm.rentFix/$Q$7)))</f>
        <v>8538.2729403747999</v>
      </c>
      <c r="K26" s="122" cm="1">
        <f t="array" ref="K26">SUMPRODUCT(Properties!$D$6:$D$15*(Properties!$U$6:$U$15=$A26)*Properties!$AB$6:$AB$15)</f>
        <v>0</v>
      </c>
      <c r="L26" s="122">
        <f t="shared" si="4"/>
        <v>8538.2729403747999</v>
      </c>
      <c r="M26" s="122" cm="1">
        <f t="array" ref="M26">-SUMPRODUCT(Properties!$D$6:$D$15*(Properties!$U$6:$U$15=$A26)*Properties!$AD$6:$AD$15)</f>
        <v>0</v>
      </c>
      <c r="N26" s="122">
        <f t="shared" si="5"/>
        <v>8538.2729403747999</v>
      </c>
      <c r="O26" s="1"/>
      <c r="P26" s="257" t="s">
        <v>697</v>
      </c>
      <c r="Q26" s="122">
        <f>SUM($F$6:$F$125)</f>
        <v>9646474.6009361502</v>
      </c>
    </row>
    <row r="27" spans="1:17" ht="18" customHeight="1" x14ac:dyDescent="0.3">
      <c r="A27" s="1">
        <f t="shared" si="0"/>
        <v>22</v>
      </c>
      <c r="B27" s="227">
        <f>EOMONTH(Input!$C$7,$A27-1)</f>
        <v>46965</v>
      </c>
      <c r="C27" s="1">
        <f t="shared" si="1"/>
        <v>2</v>
      </c>
      <c r="D27" s="1">
        <f t="shared" si="2"/>
        <v>8</v>
      </c>
      <c r="E27" s="122" cm="1">
        <f t="array" ref="E27">_xlfn.LET(_xlpm.ann,-INDEX('Statement of Cash Flows'!$C$47:$L$47,$C27),_xlpm.w,-($H27+$I27)+MAX(0,-$J27),_xlpm.yrW,SUMPRODUCT(($C$6:$C$125=$C27)*(-($H$6:$H$125+$I$6:$I$125)+((-$J$6:$J$125)&gt;0)*(-$J$6:$J$125))),_xlpm.ann*IF(_xlpm.yrW&gt;0,_xlpm.w/_xlpm.yrW,IF($A27=($C27-1)*$Q$7+1,1,0)))</f>
        <v>0</v>
      </c>
      <c r="F27" s="122" cm="1">
        <f t="array" ref="F27">_xlfn.LET(_xlpm.ann,INDEX('Investor Return'!$C$11:$L$11,$C27),_xlpm.sale,'_Month Engine'!$C$71:$DR$71,_xlpm.yr,'_Month Engine'!$C$5:$DR$5,_xlpm.yearS,SUMPRODUCT((_xlpm.yr=$C27)*_xlpm.sale),_xlpm.mS,INDEX(_xlpm.sale,$A27),_xlpm.ann*IF(_xlpm.yearS&gt;0,_xlpm.mS/_xlpm.yearS,IF($A27=$C27*$Q$7,1,0)))</f>
        <v>0</v>
      </c>
      <c r="G27" s="122">
        <f t="shared" si="3"/>
        <v>0</v>
      </c>
      <c r="H27" s="122" cm="1">
        <f t="array" ref="H27">-SUMPRODUCT(Properties!$D$6:$D$15*(Properties!$Q$6:$Q$15=$A27)*(Properties!$M$6:$M$15+Properties!$O$6:$O$15))</f>
        <v>0</v>
      </c>
      <c r="I27" s="122" cm="1">
        <f t="array" ref="I27">-SUMPRODUCT(Properties!$D$6:$D$15*($A27&gt;=Properties!$Q$6:$Q$15)*($A27&lt;Properties!$T$6:$T$15)*Properties!$N$6:$N$15/(Properties!$R$6:$R$15+(Properties!$R$6:$R$15=0)))</f>
        <v>0</v>
      </c>
      <c r="J27" s="122" cm="1">
        <f t="array" ref="J27">_xlfn.LET(_xlpm.act,Properties!$D$6:$D$15,_xlpm.accM,Properties!$Q$6:$Q$15,_xlpm.rentM,Properties!$T$6:$T$15,_xlpm.saleM,Properties!$U$6:$U$15,_xlpm.owned,($A27&gt;=_xlpm.accM)*($A27&lt;_xlpm.saleM),_xlpm.renting,($A27&gt;=_xlpm.rentM)*($A27&lt;_xlpm.saleM),_xlpm.ratio,($A27-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27-1)-_xlpm.owned*_xlpm.ownFix/$Q$7-_xlpm.renting*_xlpm.rentFix/$Q$7)))</f>
        <v>8538.2729403747999</v>
      </c>
      <c r="K27" s="122" cm="1">
        <f t="array" ref="K27">SUMPRODUCT(Properties!$D$6:$D$15*(Properties!$U$6:$U$15=$A27)*Properties!$AB$6:$AB$15)</f>
        <v>0</v>
      </c>
      <c r="L27" s="122">
        <f t="shared" si="4"/>
        <v>8538.2729403747999</v>
      </c>
      <c r="M27" s="122" cm="1">
        <f t="array" ref="M27">-SUMPRODUCT(Properties!$D$6:$D$15*(Properties!$U$6:$U$15=$A27)*Properties!$AD$6:$AD$15)</f>
        <v>0</v>
      </c>
      <c r="N27" s="122">
        <f t="shared" si="5"/>
        <v>8538.2729403747999</v>
      </c>
      <c r="O27" s="1"/>
      <c r="P27" s="257" t="s">
        <v>882</v>
      </c>
      <c r="Q27" s="256">
        <f>'Investor Return'!$C$19</f>
        <v>9646474.6009361483</v>
      </c>
    </row>
    <row r="28" spans="1:17" ht="18" customHeight="1" x14ac:dyDescent="0.3">
      <c r="A28" s="1">
        <f t="shared" si="0"/>
        <v>23</v>
      </c>
      <c r="B28" s="227">
        <f>EOMONTH(Input!$C$7,$A28-1)</f>
        <v>46996</v>
      </c>
      <c r="C28" s="1">
        <f t="shared" si="1"/>
        <v>2</v>
      </c>
      <c r="D28" s="1">
        <f t="shared" si="2"/>
        <v>8</v>
      </c>
      <c r="E28" s="122" cm="1">
        <f t="array" ref="E28">_xlfn.LET(_xlpm.ann,-INDEX('Statement of Cash Flows'!$C$47:$L$47,$C28),_xlpm.w,-($H28+$I28)+MAX(0,-$J28),_xlpm.yrW,SUMPRODUCT(($C$6:$C$125=$C28)*(-($H$6:$H$125+$I$6:$I$125)+((-$J$6:$J$125)&gt;0)*(-$J$6:$J$125))),_xlpm.ann*IF(_xlpm.yrW&gt;0,_xlpm.w/_xlpm.yrW,IF($A28=($C28-1)*$Q$7+1,1,0)))</f>
        <v>0</v>
      </c>
      <c r="F28" s="122" cm="1">
        <f t="array" ref="F28">_xlfn.LET(_xlpm.ann,INDEX('Investor Return'!$C$11:$L$11,$C28),_xlpm.sale,'_Month Engine'!$C$71:$DR$71,_xlpm.yr,'_Month Engine'!$C$5:$DR$5,_xlpm.yearS,SUMPRODUCT((_xlpm.yr=$C28)*_xlpm.sale),_xlpm.mS,INDEX(_xlpm.sale,$A28),_xlpm.ann*IF(_xlpm.yearS&gt;0,_xlpm.mS/_xlpm.yearS,IF($A28=$C28*$Q$7,1,0)))</f>
        <v>0</v>
      </c>
      <c r="G28" s="122">
        <f t="shared" si="3"/>
        <v>0</v>
      </c>
      <c r="H28" s="122" cm="1">
        <f t="array" ref="H28">-SUMPRODUCT(Properties!$D$6:$D$15*(Properties!$Q$6:$Q$15=$A28)*(Properties!$M$6:$M$15+Properties!$O$6:$O$15))</f>
        <v>0</v>
      </c>
      <c r="I28" s="122" cm="1">
        <f t="array" ref="I28">-SUMPRODUCT(Properties!$D$6:$D$15*($A28&gt;=Properties!$Q$6:$Q$15)*($A28&lt;Properties!$T$6:$T$15)*Properties!$N$6:$N$15/(Properties!$R$6:$R$15+(Properties!$R$6:$R$15=0)))</f>
        <v>0</v>
      </c>
      <c r="J28" s="122" cm="1">
        <f t="array" ref="J28">_xlfn.LET(_xlpm.act,Properties!$D$6:$D$15,_xlpm.accM,Properties!$Q$6:$Q$15,_xlpm.rentM,Properties!$T$6:$T$15,_xlpm.saleM,Properties!$U$6:$U$15,_xlpm.owned,($A28&gt;=_xlpm.accM)*($A28&lt;_xlpm.saleM),_xlpm.renting,($A28&gt;=_xlpm.rentM)*($A28&lt;_xlpm.saleM),_xlpm.ratio,($A28-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28-1)-_xlpm.owned*_xlpm.ownFix/$Q$7-_xlpm.renting*_xlpm.rentFix/$Q$7)))</f>
        <v>8538.2729403747999</v>
      </c>
      <c r="K28" s="122" cm="1">
        <f t="array" ref="K28">SUMPRODUCT(Properties!$D$6:$D$15*(Properties!$U$6:$U$15=$A28)*Properties!$AB$6:$AB$15)</f>
        <v>0</v>
      </c>
      <c r="L28" s="122">
        <f t="shared" si="4"/>
        <v>8538.2729403747999</v>
      </c>
      <c r="M28" s="122" cm="1">
        <f t="array" ref="M28">-SUMPRODUCT(Properties!$D$6:$D$15*(Properties!$U$6:$U$15=$A28)*Properties!$AD$6:$AD$15)</f>
        <v>0</v>
      </c>
      <c r="N28" s="122">
        <f t="shared" si="5"/>
        <v>8538.2729403747999</v>
      </c>
      <c r="O28" s="1"/>
      <c r="P28" s="257" t="s">
        <v>717</v>
      </c>
      <c r="Q28" s="119" t="str">
        <f>IF(AND(ABS($Q$24-$Q$25)&lt;1,ABS($Q$26-$Q$27)&lt;1),"OK","CHECK")</f>
        <v>OK</v>
      </c>
    </row>
    <row r="29" spans="1:17" ht="18" customHeight="1" x14ac:dyDescent="0.3">
      <c r="A29" s="1">
        <f t="shared" si="0"/>
        <v>24</v>
      </c>
      <c r="B29" s="227">
        <f>EOMONTH(Input!$C$7,$A29-1)</f>
        <v>47026</v>
      </c>
      <c r="C29" s="1">
        <f t="shared" si="1"/>
        <v>2</v>
      </c>
      <c r="D29" s="1">
        <f t="shared" si="2"/>
        <v>8</v>
      </c>
      <c r="E29" s="122" cm="1">
        <f t="array" ref="E29">_xlfn.LET(_xlpm.ann,-INDEX('Statement of Cash Flows'!$C$47:$L$47,$C29),_xlpm.w,-($H29+$I29)+MAX(0,-$J29),_xlpm.yrW,SUMPRODUCT(($C$6:$C$125=$C29)*(-($H$6:$H$125+$I$6:$I$125)+((-$J$6:$J$125)&gt;0)*(-$J$6:$J$125))),_xlpm.ann*IF(_xlpm.yrW&gt;0,_xlpm.w/_xlpm.yrW,IF($A29=($C29-1)*$Q$7+1,1,0)))</f>
        <v>0</v>
      </c>
      <c r="F29" s="122" cm="1">
        <f t="array" ref="F29">_xlfn.LET(_xlpm.ann,INDEX('Investor Return'!$C$11:$L$11,$C29),_xlpm.sale,'_Month Engine'!$C$71:$DR$71,_xlpm.yr,'_Month Engine'!$C$5:$DR$5,_xlpm.yearS,SUMPRODUCT((_xlpm.yr=$C29)*_xlpm.sale),_xlpm.mS,INDEX(_xlpm.sale,$A29),_xlpm.ann*IF(_xlpm.yearS&gt;0,_xlpm.mS/_xlpm.yearS,IF($A29=$C29*$Q$7,1,0)))</f>
        <v>0</v>
      </c>
      <c r="G29" s="122">
        <f t="shared" si="3"/>
        <v>0</v>
      </c>
      <c r="H29" s="122" cm="1">
        <f t="array" ref="H29">-SUMPRODUCT(Properties!$D$6:$D$15*(Properties!$Q$6:$Q$15=$A29)*(Properties!$M$6:$M$15+Properties!$O$6:$O$15))</f>
        <v>0</v>
      </c>
      <c r="I29" s="122" cm="1">
        <f t="array" ref="I29">-SUMPRODUCT(Properties!$D$6:$D$15*($A29&gt;=Properties!$Q$6:$Q$15)*($A29&lt;Properties!$T$6:$T$15)*Properties!$N$6:$N$15/(Properties!$R$6:$R$15+(Properties!$R$6:$R$15=0)))</f>
        <v>0</v>
      </c>
      <c r="J29" s="122" cm="1">
        <f t="array" ref="J29">_xlfn.LET(_xlpm.act,Properties!$D$6:$D$15,_xlpm.accM,Properties!$Q$6:$Q$15,_xlpm.rentM,Properties!$T$6:$T$15,_xlpm.saleM,Properties!$U$6:$U$15,_xlpm.owned,($A29&gt;=_xlpm.accM)*($A29&lt;_xlpm.saleM),_xlpm.renting,($A29&gt;=_xlpm.rentM)*($A29&lt;_xlpm.saleM),_xlpm.ratio,($A29-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29-1)-_xlpm.owned*_xlpm.ownFix/$Q$7-_xlpm.renting*_xlpm.rentFix/$Q$7)))</f>
        <v>8538.2729403747999</v>
      </c>
      <c r="K29" s="122" cm="1">
        <f t="array" ref="K29">SUMPRODUCT(Properties!$D$6:$D$15*(Properties!$U$6:$U$15=$A29)*Properties!$AB$6:$AB$15)</f>
        <v>0</v>
      </c>
      <c r="L29" s="122">
        <f t="shared" si="4"/>
        <v>8538.2729403747999</v>
      </c>
      <c r="M29" s="122" cm="1">
        <f t="array" ref="M29">-SUMPRODUCT(Properties!$D$6:$D$15*(Properties!$U$6:$U$15=$A29)*Properties!$AD$6:$AD$15)</f>
        <v>0</v>
      </c>
      <c r="N29" s="122">
        <f t="shared" si="5"/>
        <v>8538.2729403747999</v>
      </c>
      <c r="O29" s="1"/>
      <c r="P29" s="257" t="s">
        <v>718</v>
      </c>
      <c r="Q29" s="122">
        <f>-SUM($H$6:$H$125)-SUM($I$6:$I$125)</f>
        <v>6571966.0194174759</v>
      </c>
    </row>
    <row r="30" spans="1:17" ht="18" customHeight="1" x14ac:dyDescent="0.3">
      <c r="A30" s="1">
        <f t="shared" si="0"/>
        <v>25</v>
      </c>
      <c r="B30" s="227">
        <f>EOMONTH(Input!$C$7,$A30-1)</f>
        <v>47057</v>
      </c>
      <c r="C30" s="1">
        <f t="shared" si="1"/>
        <v>3</v>
      </c>
      <c r="D30" s="1">
        <f t="shared" si="2"/>
        <v>9</v>
      </c>
      <c r="E30" s="122" cm="1">
        <f t="array" ref="E30">_xlfn.LET(_xlpm.ann,-INDEX('Statement of Cash Flows'!$C$47:$L$47,$C30),_xlpm.w,-($H30+$I30)+MAX(0,-$J30),_xlpm.yrW,SUMPRODUCT(($C$6:$C$125=$C30)*(-($H$6:$H$125+$I$6:$I$125)+((-$J$6:$J$125)&gt;0)*(-$J$6:$J$125))),_xlpm.ann*IF(_xlpm.yrW&gt;0,_xlpm.w/_xlpm.yrW,IF($A30=($C30-1)*$Q$7+1,1,0)))</f>
        <v>0</v>
      </c>
      <c r="F30" s="122" cm="1">
        <f t="array" ref="F30">_xlfn.LET(_xlpm.ann,INDEX('Investor Return'!$C$11:$L$11,$C30),_xlpm.sale,'_Month Engine'!$C$71:$DR$71,_xlpm.yr,'_Month Engine'!$C$5:$DR$5,_xlpm.yearS,SUMPRODUCT((_xlpm.yr=$C30)*_xlpm.sale),_xlpm.mS,INDEX(_xlpm.sale,$A30),_xlpm.ann*IF(_xlpm.yearS&gt;0,_xlpm.mS/_xlpm.yearS,IF($A30=$C30*$Q$7,1,0)))</f>
        <v>0</v>
      </c>
      <c r="G30" s="122">
        <f t="shared" si="3"/>
        <v>0</v>
      </c>
      <c r="H30" s="122" cm="1">
        <f t="array" ref="H30">-SUMPRODUCT(Properties!$D$6:$D$15*(Properties!$Q$6:$Q$15=$A30)*(Properties!$M$6:$M$15+Properties!$O$6:$O$15))</f>
        <v>0</v>
      </c>
      <c r="I30" s="122" cm="1">
        <f t="array" ref="I30">-SUMPRODUCT(Properties!$D$6:$D$15*($A30&gt;=Properties!$Q$6:$Q$15)*($A30&lt;Properties!$T$6:$T$15)*Properties!$N$6:$N$15/(Properties!$R$6:$R$15+(Properties!$R$6:$R$15=0)))</f>
        <v>0</v>
      </c>
      <c r="J30" s="122" cm="1">
        <f t="array" ref="J30">_xlfn.LET(_xlpm.act,Properties!$D$6:$D$15,_xlpm.accM,Properties!$Q$6:$Q$15,_xlpm.rentM,Properties!$T$6:$T$15,_xlpm.saleM,Properties!$U$6:$U$15,_xlpm.owned,($A30&gt;=_xlpm.accM)*($A30&lt;_xlpm.saleM),_xlpm.renting,($A30&gt;=_xlpm.rentM)*($A30&lt;_xlpm.saleM),_xlpm.ratio,($A30-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30-1)-_xlpm.owned*_xlpm.ownFix/$Q$7-_xlpm.renting*_xlpm.rentFix/$Q$7)))</f>
        <v>8949.6586459460486</v>
      </c>
      <c r="K30" s="122" cm="1">
        <f t="array" ref="K30">SUMPRODUCT(Properties!$D$6:$D$15*(Properties!$U$6:$U$15=$A30)*Properties!$AB$6:$AB$15)</f>
        <v>0</v>
      </c>
      <c r="L30" s="122">
        <f t="shared" si="4"/>
        <v>8949.6586459460486</v>
      </c>
      <c r="M30" s="122" cm="1">
        <f t="array" ref="M30">-SUMPRODUCT(Properties!$D$6:$D$15*(Properties!$U$6:$U$15=$A30)*Properties!$AD$6:$AD$15)</f>
        <v>0</v>
      </c>
      <c r="N30" s="122">
        <f t="shared" si="5"/>
        <v>8949.6586459460486</v>
      </c>
      <c r="O30" s="1"/>
      <c r="P30" s="257" t="s">
        <v>719</v>
      </c>
      <c r="Q30" s="256">
        <f>SUMPRODUCT(Properties!$D$6:$D$15,Properties!$P$6:$P$15)</f>
        <v>6571966.0194174759</v>
      </c>
    </row>
    <row r="31" spans="1:17" ht="18" customHeight="1" x14ac:dyDescent="0.3">
      <c r="A31" s="1">
        <f t="shared" si="0"/>
        <v>26</v>
      </c>
      <c r="B31" s="227">
        <f>EOMONTH(Input!$C$7,$A31-1)</f>
        <v>47087</v>
      </c>
      <c r="C31" s="1">
        <f t="shared" si="1"/>
        <v>3</v>
      </c>
      <c r="D31" s="1">
        <f t="shared" si="2"/>
        <v>9</v>
      </c>
      <c r="E31" s="122" cm="1">
        <f t="array" ref="E31">_xlfn.LET(_xlpm.ann,-INDEX('Statement of Cash Flows'!$C$47:$L$47,$C31),_xlpm.w,-($H31+$I31)+MAX(0,-$J31),_xlpm.yrW,SUMPRODUCT(($C$6:$C$125=$C31)*(-($H$6:$H$125+$I$6:$I$125)+((-$J$6:$J$125)&gt;0)*(-$J$6:$J$125))),_xlpm.ann*IF(_xlpm.yrW&gt;0,_xlpm.w/_xlpm.yrW,IF($A31=($C31-1)*$Q$7+1,1,0)))</f>
        <v>0</v>
      </c>
      <c r="F31" s="122" cm="1">
        <f t="array" ref="F31">_xlfn.LET(_xlpm.ann,INDEX('Investor Return'!$C$11:$L$11,$C31),_xlpm.sale,'_Month Engine'!$C$71:$DR$71,_xlpm.yr,'_Month Engine'!$C$5:$DR$5,_xlpm.yearS,SUMPRODUCT((_xlpm.yr=$C31)*_xlpm.sale),_xlpm.mS,INDEX(_xlpm.sale,$A31),_xlpm.ann*IF(_xlpm.yearS&gt;0,_xlpm.mS/_xlpm.yearS,IF($A31=$C31*$Q$7,1,0)))</f>
        <v>0</v>
      </c>
      <c r="G31" s="122">
        <f t="shared" si="3"/>
        <v>0</v>
      </c>
      <c r="H31" s="122" cm="1">
        <f t="array" ref="H31">-SUMPRODUCT(Properties!$D$6:$D$15*(Properties!$Q$6:$Q$15=$A31)*(Properties!$M$6:$M$15+Properties!$O$6:$O$15))</f>
        <v>0</v>
      </c>
      <c r="I31" s="122" cm="1">
        <f t="array" ref="I31">-SUMPRODUCT(Properties!$D$6:$D$15*($A31&gt;=Properties!$Q$6:$Q$15)*($A31&lt;Properties!$T$6:$T$15)*Properties!$N$6:$N$15/(Properties!$R$6:$R$15+(Properties!$R$6:$R$15=0)))</f>
        <v>0</v>
      </c>
      <c r="J31" s="122" cm="1">
        <f t="array" ref="J31">_xlfn.LET(_xlpm.act,Properties!$D$6:$D$15,_xlpm.accM,Properties!$Q$6:$Q$15,_xlpm.rentM,Properties!$T$6:$T$15,_xlpm.saleM,Properties!$U$6:$U$15,_xlpm.owned,($A31&gt;=_xlpm.accM)*($A31&lt;_xlpm.saleM),_xlpm.renting,($A31&gt;=_xlpm.rentM)*($A31&lt;_xlpm.saleM),_xlpm.ratio,($A31-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31-1)-_xlpm.owned*_xlpm.ownFix/$Q$7-_xlpm.renting*_xlpm.rentFix/$Q$7)))</f>
        <v>8949.6586459460486</v>
      </c>
      <c r="K31" s="122" cm="1">
        <f t="array" ref="K31">SUMPRODUCT(Properties!$D$6:$D$15*(Properties!$U$6:$U$15=$A31)*Properties!$AB$6:$AB$15)</f>
        <v>0</v>
      </c>
      <c r="L31" s="122">
        <f t="shared" si="4"/>
        <v>8949.6586459460486</v>
      </c>
      <c r="M31" s="122" cm="1">
        <f t="array" ref="M31">-SUMPRODUCT(Properties!$D$6:$D$15*(Properties!$U$6:$U$15=$A31)*Properties!$AD$6:$AD$15)</f>
        <v>0</v>
      </c>
      <c r="N31" s="122">
        <f t="shared" si="5"/>
        <v>8949.6586459460486</v>
      </c>
      <c r="O31" s="1"/>
      <c r="P31" s="257" t="s">
        <v>698</v>
      </c>
      <c r="Q31" s="119" t="str">
        <f>IF(ABS($Q$29-$Q$30)&lt;1,"OK","CHECK")</f>
        <v>OK</v>
      </c>
    </row>
    <row r="32" spans="1:17" ht="18" customHeight="1" x14ac:dyDescent="0.3">
      <c r="A32" s="1">
        <f t="shared" si="0"/>
        <v>27</v>
      </c>
      <c r="B32" s="227">
        <f>EOMONTH(Input!$C$7,$A32-1)</f>
        <v>47118</v>
      </c>
      <c r="C32" s="1">
        <f t="shared" si="1"/>
        <v>3</v>
      </c>
      <c r="D32" s="1">
        <f t="shared" si="2"/>
        <v>9</v>
      </c>
      <c r="E32" s="122" cm="1">
        <f t="array" ref="E32">_xlfn.LET(_xlpm.ann,-INDEX('Statement of Cash Flows'!$C$47:$L$47,$C32),_xlpm.w,-($H32+$I32)+MAX(0,-$J32),_xlpm.yrW,SUMPRODUCT(($C$6:$C$125=$C32)*(-($H$6:$H$125+$I$6:$I$125)+((-$J$6:$J$125)&gt;0)*(-$J$6:$J$125))),_xlpm.ann*IF(_xlpm.yrW&gt;0,_xlpm.w/_xlpm.yrW,IF($A32=($C32-1)*$Q$7+1,1,0)))</f>
        <v>0</v>
      </c>
      <c r="F32" s="122" cm="1">
        <f t="array" ref="F32">_xlfn.LET(_xlpm.ann,INDEX('Investor Return'!$C$11:$L$11,$C32),_xlpm.sale,'_Month Engine'!$C$71:$DR$71,_xlpm.yr,'_Month Engine'!$C$5:$DR$5,_xlpm.yearS,SUMPRODUCT((_xlpm.yr=$C32)*_xlpm.sale),_xlpm.mS,INDEX(_xlpm.sale,$A32),_xlpm.ann*IF(_xlpm.yearS&gt;0,_xlpm.mS/_xlpm.yearS,IF($A32=$C32*$Q$7,1,0)))</f>
        <v>0</v>
      </c>
      <c r="G32" s="122">
        <f t="shared" si="3"/>
        <v>0</v>
      </c>
      <c r="H32" s="122" cm="1">
        <f t="array" ref="H32">-SUMPRODUCT(Properties!$D$6:$D$15*(Properties!$Q$6:$Q$15=$A32)*(Properties!$M$6:$M$15+Properties!$O$6:$O$15))</f>
        <v>0</v>
      </c>
      <c r="I32" s="122" cm="1">
        <f t="array" ref="I32">-SUMPRODUCT(Properties!$D$6:$D$15*($A32&gt;=Properties!$Q$6:$Q$15)*($A32&lt;Properties!$T$6:$T$15)*Properties!$N$6:$N$15/(Properties!$R$6:$R$15+(Properties!$R$6:$R$15=0)))</f>
        <v>0</v>
      </c>
      <c r="J32" s="122" cm="1">
        <f t="array" ref="J32">_xlfn.LET(_xlpm.act,Properties!$D$6:$D$15,_xlpm.accM,Properties!$Q$6:$Q$15,_xlpm.rentM,Properties!$T$6:$T$15,_xlpm.saleM,Properties!$U$6:$U$15,_xlpm.owned,($A32&gt;=_xlpm.accM)*($A32&lt;_xlpm.saleM),_xlpm.renting,($A32&gt;=_xlpm.rentM)*($A32&lt;_xlpm.saleM),_xlpm.ratio,($A32-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32-1)-_xlpm.owned*_xlpm.ownFix/$Q$7-_xlpm.renting*_xlpm.rentFix/$Q$7)))</f>
        <v>8949.6586459460486</v>
      </c>
      <c r="K32" s="122" cm="1">
        <f t="array" ref="K32">SUMPRODUCT(Properties!$D$6:$D$15*(Properties!$U$6:$U$15=$A32)*Properties!$AB$6:$AB$15)</f>
        <v>0</v>
      </c>
      <c r="L32" s="122">
        <f t="shared" si="4"/>
        <v>8949.6586459460486</v>
      </c>
      <c r="M32" s="122" cm="1">
        <f t="array" ref="M32">-SUMPRODUCT(Properties!$D$6:$D$15*(Properties!$U$6:$U$15=$A32)*Properties!$AD$6:$AD$15)</f>
        <v>0</v>
      </c>
      <c r="N32" s="122">
        <f t="shared" si="5"/>
        <v>8949.6586459460486</v>
      </c>
      <c r="O32" s="1"/>
      <c r="P32" s="257" t="s">
        <v>699</v>
      </c>
      <c r="Q32" s="122">
        <f>SUM($K$6:$K$125)</f>
        <v>10944588.371053061</v>
      </c>
    </row>
    <row r="33" spans="1:17" ht="18" customHeight="1" x14ac:dyDescent="0.3">
      <c r="A33" s="1">
        <f t="shared" si="0"/>
        <v>28</v>
      </c>
      <c r="B33" s="227">
        <f>EOMONTH(Input!$C$7,$A33-1)</f>
        <v>47149</v>
      </c>
      <c r="C33" s="1">
        <f t="shared" si="1"/>
        <v>3</v>
      </c>
      <c r="D33" s="1">
        <f t="shared" si="2"/>
        <v>10</v>
      </c>
      <c r="E33" s="122" cm="1">
        <f t="array" ref="E33">_xlfn.LET(_xlpm.ann,-INDEX('Statement of Cash Flows'!$C$47:$L$47,$C33),_xlpm.w,-($H33+$I33)+MAX(0,-$J33),_xlpm.yrW,SUMPRODUCT(($C$6:$C$125=$C33)*(-($H$6:$H$125+$I$6:$I$125)+((-$J$6:$J$125)&gt;0)*(-$J$6:$J$125))),_xlpm.ann*IF(_xlpm.yrW&gt;0,_xlpm.w/_xlpm.yrW,IF($A33=($C33-1)*$Q$7+1,1,0)))</f>
        <v>0</v>
      </c>
      <c r="F33" s="122" cm="1">
        <f t="array" ref="F33">_xlfn.LET(_xlpm.ann,INDEX('Investor Return'!$C$11:$L$11,$C33),_xlpm.sale,'_Month Engine'!$C$71:$DR$71,_xlpm.yr,'_Month Engine'!$C$5:$DR$5,_xlpm.yearS,SUMPRODUCT((_xlpm.yr=$C33)*_xlpm.sale),_xlpm.mS,INDEX(_xlpm.sale,$A33),_xlpm.ann*IF(_xlpm.yearS&gt;0,_xlpm.mS/_xlpm.yearS,IF($A33=$C33*$Q$7,1,0)))</f>
        <v>1153825.2592317786</v>
      </c>
      <c r="G33" s="122">
        <f t="shared" si="3"/>
        <v>1153825.2592317786</v>
      </c>
      <c r="H33" s="122" cm="1">
        <f t="array" ref="H33">-SUMPRODUCT(Properties!$D$6:$D$15*(Properties!$Q$6:$Q$15=$A33)*(Properties!$M$6:$M$15+Properties!$O$6:$O$15))</f>
        <v>0</v>
      </c>
      <c r="I33" s="122" cm="1">
        <f t="array" ref="I33">-SUMPRODUCT(Properties!$D$6:$D$15*($A33&gt;=Properties!$Q$6:$Q$15)*($A33&lt;Properties!$T$6:$T$15)*Properties!$N$6:$N$15/(Properties!$R$6:$R$15+(Properties!$R$6:$R$15=0)))</f>
        <v>0</v>
      </c>
      <c r="J33" s="122" cm="1">
        <f t="array" ref="J33">_xlfn.LET(_xlpm.act,Properties!$D$6:$D$15,_xlpm.accM,Properties!$Q$6:$Q$15,_xlpm.rentM,Properties!$T$6:$T$15,_xlpm.saleM,Properties!$U$6:$U$15,_xlpm.owned,($A33&gt;=_xlpm.accM)*($A33&lt;_xlpm.saleM),_xlpm.renting,($A33&gt;=_xlpm.rentM)*($A33&lt;_xlpm.saleM),_xlpm.ratio,($A33-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33-1)-_xlpm.owned*_xlpm.ownFix/$Q$7-_xlpm.renting*_xlpm.rentFix/$Q$7)))</f>
        <v>6770.7056127731794</v>
      </c>
      <c r="K33" s="122" cm="1">
        <f t="array" ref="K33">SUMPRODUCT(Properties!$D$6:$D$15*(Properties!$U$6:$U$15=$A33)*Properties!$AB$6:$AB$15)</f>
        <v>1217376.6493032817</v>
      </c>
      <c r="L33" s="122">
        <f t="shared" si="4"/>
        <v>1224147.3549160548</v>
      </c>
      <c r="M33" s="122" cm="1">
        <f t="array" ref="M33">-SUMPRODUCT(Properties!$D$6:$D$15*(Properties!$U$6:$U$15=$A33)*Properties!$AD$6:$AD$15)</f>
        <v>-62534.774668072474</v>
      </c>
      <c r="N33" s="122">
        <f t="shared" si="5"/>
        <v>1161612.5802479822</v>
      </c>
      <c r="O33" s="1"/>
      <c r="P33" s="257" t="s">
        <v>700</v>
      </c>
      <c r="Q33" s="256">
        <f>SUMPRODUCT(Properties!$D$6:$D$15,Properties!$AB$6:$AB$15)</f>
        <v>10944588.371053061</v>
      </c>
    </row>
    <row r="34" spans="1:17" ht="18" customHeight="1" x14ac:dyDescent="0.3">
      <c r="A34" s="1">
        <f t="shared" si="0"/>
        <v>29</v>
      </c>
      <c r="B34" s="227">
        <f>EOMONTH(Input!$C$7,$A34-1)</f>
        <v>47177</v>
      </c>
      <c r="C34" s="1">
        <f t="shared" si="1"/>
        <v>3</v>
      </c>
      <c r="D34" s="1">
        <f t="shared" si="2"/>
        <v>10</v>
      </c>
      <c r="E34" s="122" cm="1">
        <f t="array" ref="E34">_xlfn.LET(_xlpm.ann,-INDEX('Statement of Cash Flows'!$C$47:$L$47,$C34),_xlpm.w,-($H34+$I34)+MAX(0,-$J34),_xlpm.yrW,SUMPRODUCT(($C$6:$C$125=$C34)*(-($H$6:$H$125+$I$6:$I$125)+((-$J$6:$J$125)&gt;0)*(-$J$6:$J$125))),_xlpm.ann*IF(_xlpm.yrW&gt;0,_xlpm.w/_xlpm.yrW,IF($A34=($C34-1)*$Q$7+1,1,0)))</f>
        <v>0</v>
      </c>
      <c r="F34" s="122" cm="1">
        <f t="array" ref="F34">_xlfn.LET(_xlpm.ann,INDEX('Investor Return'!$C$11:$L$11,$C34),_xlpm.sale,'_Month Engine'!$C$71:$DR$71,_xlpm.yr,'_Month Engine'!$C$5:$DR$5,_xlpm.yearS,SUMPRODUCT((_xlpm.yr=$C34)*_xlpm.sale),_xlpm.mS,INDEX(_xlpm.sale,$A34),_xlpm.ann*IF(_xlpm.yearS&gt;0,_xlpm.mS/_xlpm.yearS,IF($A34=$C34*$Q$7,1,0)))</f>
        <v>0</v>
      </c>
      <c r="G34" s="122">
        <f t="shared" si="3"/>
        <v>0</v>
      </c>
      <c r="H34" s="122" cm="1">
        <f t="array" ref="H34">-SUMPRODUCT(Properties!$D$6:$D$15*(Properties!$Q$6:$Q$15=$A34)*(Properties!$M$6:$M$15+Properties!$O$6:$O$15))</f>
        <v>0</v>
      </c>
      <c r="I34" s="122" cm="1">
        <f t="array" ref="I34">-SUMPRODUCT(Properties!$D$6:$D$15*($A34&gt;=Properties!$Q$6:$Q$15)*($A34&lt;Properties!$T$6:$T$15)*Properties!$N$6:$N$15/(Properties!$R$6:$R$15+(Properties!$R$6:$R$15=0)))</f>
        <v>0</v>
      </c>
      <c r="J34" s="122" cm="1">
        <f t="array" ref="J34">_xlfn.LET(_xlpm.act,Properties!$D$6:$D$15,_xlpm.accM,Properties!$Q$6:$Q$15,_xlpm.rentM,Properties!$T$6:$T$15,_xlpm.saleM,Properties!$U$6:$U$15,_xlpm.owned,($A34&gt;=_xlpm.accM)*($A34&lt;_xlpm.saleM),_xlpm.renting,($A34&gt;=_xlpm.rentM)*($A34&lt;_xlpm.saleM),_xlpm.ratio,($A34-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34-1)-_xlpm.owned*_xlpm.ownFix/$Q$7-_xlpm.renting*_xlpm.rentFix/$Q$7)))</f>
        <v>6770.7056127731794</v>
      </c>
      <c r="K34" s="122" cm="1">
        <f t="array" ref="K34">SUMPRODUCT(Properties!$D$6:$D$15*(Properties!$U$6:$U$15=$A34)*Properties!$AB$6:$AB$15)</f>
        <v>0</v>
      </c>
      <c r="L34" s="122">
        <f t="shared" si="4"/>
        <v>6770.7056127731794</v>
      </c>
      <c r="M34" s="122" cm="1">
        <f t="array" ref="M34">-SUMPRODUCT(Properties!$D$6:$D$15*(Properties!$U$6:$U$15=$A34)*Properties!$AD$6:$AD$15)</f>
        <v>0</v>
      </c>
      <c r="N34" s="122">
        <f t="shared" si="5"/>
        <v>6770.7056127731794</v>
      </c>
      <c r="O34" s="1"/>
      <c r="P34" s="257" t="s">
        <v>701</v>
      </c>
      <c r="Q34" s="119" t="str">
        <f>IF(ABS($Q$32-$Q$33)&lt;1,"OK","CHECK")</f>
        <v>OK</v>
      </c>
    </row>
    <row r="35" spans="1:17" ht="18" customHeight="1" x14ac:dyDescent="0.3">
      <c r="A35" s="1">
        <f t="shared" si="0"/>
        <v>30</v>
      </c>
      <c r="B35" s="227">
        <f>EOMONTH(Input!$C$7,$A35-1)</f>
        <v>47208</v>
      </c>
      <c r="C35" s="1">
        <f t="shared" si="1"/>
        <v>3</v>
      </c>
      <c r="D35" s="1">
        <f t="shared" si="2"/>
        <v>10</v>
      </c>
      <c r="E35" s="122" cm="1">
        <f t="array" ref="E35">_xlfn.LET(_xlpm.ann,-INDEX('Statement of Cash Flows'!$C$47:$L$47,$C35),_xlpm.w,-($H35+$I35)+MAX(0,-$J35),_xlpm.yrW,SUMPRODUCT(($C$6:$C$125=$C35)*(-($H$6:$H$125+$I$6:$I$125)+((-$J$6:$J$125)&gt;0)*(-$J$6:$J$125))),_xlpm.ann*IF(_xlpm.yrW&gt;0,_xlpm.w/_xlpm.yrW,IF($A35=($C35-1)*$Q$7+1,1,0)))</f>
        <v>0</v>
      </c>
      <c r="F35" s="122" cm="1">
        <f t="array" ref="F35">_xlfn.LET(_xlpm.ann,INDEX('Investor Return'!$C$11:$L$11,$C35),_xlpm.sale,'_Month Engine'!$C$71:$DR$71,_xlpm.yr,'_Month Engine'!$C$5:$DR$5,_xlpm.yearS,SUMPRODUCT((_xlpm.yr=$C35)*_xlpm.sale),_xlpm.mS,INDEX(_xlpm.sale,$A35),_xlpm.ann*IF(_xlpm.yearS&gt;0,_xlpm.mS/_xlpm.yearS,IF($A35=$C35*$Q$7,1,0)))</f>
        <v>1841580.1954072681</v>
      </c>
      <c r="G35" s="122">
        <f t="shared" si="3"/>
        <v>1841580.1954072681</v>
      </c>
      <c r="H35" s="122" cm="1">
        <f t="array" ref="H35">-SUMPRODUCT(Properties!$D$6:$D$15*(Properties!$Q$6:$Q$15=$A35)*(Properties!$M$6:$M$15+Properties!$O$6:$O$15))</f>
        <v>0</v>
      </c>
      <c r="I35" s="122" cm="1">
        <f t="array" ref="I35">-SUMPRODUCT(Properties!$D$6:$D$15*($A35&gt;=Properties!$Q$6:$Q$15)*($A35&lt;Properties!$T$6:$T$15)*Properties!$N$6:$N$15/(Properties!$R$6:$R$15+(Properties!$R$6:$R$15=0)))</f>
        <v>0</v>
      </c>
      <c r="J35" s="122" cm="1">
        <f t="array" ref="J35">_xlfn.LET(_xlpm.act,Properties!$D$6:$D$15,_xlpm.accM,Properties!$Q$6:$Q$15,_xlpm.rentM,Properties!$T$6:$T$15,_xlpm.saleM,Properties!$U$6:$U$15,_xlpm.owned,($A35&gt;=_xlpm.accM)*($A35&lt;_xlpm.saleM),_xlpm.renting,($A35&gt;=_xlpm.rentM)*($A35&lt;_xlpm.saleM),_xlpm.ratio,($A35-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35-1)-_xlpm.owned*_xlpm.ownFix/$Q$7-_xlpm.renting*_xlpm.rentFix/$Q$7)))</f>
        <v>5030.6223536670841</v>
      </c>
      <c r="K35" s="122" cm="1">
        <f t="array" ref="K35">SUMPRODUCT(Properties!$D$6:$D$15*(Properties!$U$6:$U$15=$A35)*Properties!$AB$6:$AB$15)</f>
        <v>1943012.349375023</v>
      </c>
      <c r="L35" s="122">
        <f t="shared" si="4"/>
        <v>1948042.9717286902</v>
      </c>
      <c r="M35" s="122" cm="1">
        <f t="array" ref="M35">-SUMPRODUCT(Properties!$D$6:$D$15*(Properties!$U$6:$U$15=$A35)*Properties!$AD$6:$AD$15)</f>
        <v>-102125.30239207931</v>
      </c>
      <c r="N35" s="122">
        <f t="shared" si="5"/>
        <v>1845917.6693366109</v>
      </c>
      <c r="O35" s="1"/>
      <c r="P35" s="257" t="s">
        <v>720</v>
      </c>
      <c r="Q35" s="122">
        <f>-SUM($M$6:$M$125)</f>
        <v>568608.74658931501</v>
      </c>
    </row>
    <row r="36" spans="1:17" ht="18" customHeight="1" x14ac:dyDescent="0.3">
      <c r="A36" s="1">
        <f t="shared" si="0"/>
        <v>31</v>
      </c>
      <c r="B36" s="227">
        <f>EOMONTH(Input!$C$7,$A36-1)</f>
        <v>47238</v>
      </c>
      <c r="C36" s="1">
        <f t="shared" si="1"/>
        <v>3</v>
      </c>
      <c r="D36" s="1">
        <f t="shared" si="2"/>
        <v>11</v>
      </c>
      <c r="E36" s="122" cm="1">
        <f t="array" ref="E36">_xlfn.LET(_xlpm.ann,-INDEX('Statement of Cash Flows'!$C$47:$L$47,$C36),_xlpm.w,-($H36+$I36)+MAX(0,-$J36),_xlpm.yrW,SUMPRODUCT(($C$6:$C$125=$C36)*(-($H$6:$H$125+$I$6:$I$125)+((-$J$6:$J$125)&gt;0)*(-$J$6:$J$125))),_xlpm.ann*IF(_xlpm.yrW&gt;0,_xlpm.w/_xlpm.yrW,IF($A36=($C36-1)*$Q$7+1,1,0)))</f>
        <v>0</v>
      </c>
      <c r="F36" s="122" cm="1">
        <f t="array" ref="F36">_xlfn.LET(_xlpm.ann,INDEX('Investor Return'!$C$11:$L$11,$C36),_xlpm.sale,'_Month Engine'!$C$71:$DR$71,_xlpm.yr,'_Month Engine'!$C$5:$DR$5,_xlpm.yearS,SUMPRODUCT((_xlpm.yr=$C36)*_xlpm.sale),_xlpm.mS,INDEX(_xlpm.sale,$A36),_xlpm.ann*IF(_xlpm.yearS&gt;0,_xlpm.mS/_xlpm.yearS,IF($A36=$C36*$Q$7,1,0)))</f>
        <v>2061791.7153609539</v>
      </c>
      <c r="G36" s="122">
        <f t="shared" si="3"/>
        <v>2061791.7153609539</v>
      </c>
      <c r="H36" s="122" cm="1">
        <f t="array" ref="H36">-SUMPRODUCT(Properties!$D$6:$D$15*(Properties!$Q$6:$Q$15=$A36)*(Properties!$M$6:$M$15+Properties!$O$6:$O$15))</f>
        <v>0</v>
      </c>
      <c r="I36" s="122" cm="1">
        <f t="array" ref="I36">-SUMPRODUCT(Properties!$D$6:$D$15*($A36&gt;=Properties!$Q$6:$Q$15)*($A36&lt;Properties!$T$6:$T$15)*Properties!$N$6:$N$15/(Properties!$R$6:$R$15+(Properties!$R$6:$R$15=0)))</f>
        <v>0</v>
      </c>
      <c r="J36" s="122" cm="1">
        <f t="array" ref="J36">_xlfn.LET(_xlpm.act,Properties!$D$6:$D$15,_xlpm.accM,Properties!$Q$6:$Q$15,_xlpm.rentM,Properties!$T$6:$T$15,_xlpm.saleM,Properties!$U$6:$U$15,_xlpm.owned,($A36&gt;=_xlpm.accM)*($A36&lt;_xlpm.saleM),_xlpm.renting,($A36&gt;=_xlpm.rentM)*($A36&lt;_xlpm.saleM),_xlpm.ratio,($A36-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36-1)-_xlpm.owned*_xlpm.ownFix/$Q$7-_xlpm.renting*_xlpm.rentFix/$Q$7)))</f>
        <v>3459.4205670528981</v>
      </c>
      <c r="K36" s="122" cm="1">
        <f t="array" ref="K36">SUMPRODUCT(Properties!$D$6:$D$15*(Properties!$U$6:$U$15=$A36)*Properties!$AB$6:$AB$15)</f>
        <v>2175352.8707445152</v>
      </c>
      <c r="L36" s="122">
        <f t="shared" si="4"/>
        <v>2178812.2913115681</v>
      </c>
      <c r="M36" s="122" cm="1">
        <f t="array" ref="M36">-SUMPRODUCT(Properties!$D$6:$D$15*(Properties!$U$6:$U$15=$A36)*Properties!$AD$6:$AD$15)</f>
        <v>-116048.18872833584</v>
      </c>
      <c r="N36" s="122">
        <f t="shared" si="5"/>
        <v>2062764.1025832323</v>
      </c>
      <c r="O36" s="1"/>
      <c r="P36" s="257" t="s">
        <v>721</v>
      </c>
      <c r="Q36" s="256">
        <f>SUMPRODUCT(Properties!$D$6:$D$15,Properties!$AD$6:$AD$15)</f>
        <v>568608.74658931501</v>
      </c>
    </row>
    <row r="37" spans="1:17" ht="18" customHeight="1" x14ac:dyDescent="0.3">
      <c r="A37" s="1">
        <f t="shared" si="0"/>
        <v>32</v>
      </c>
      <c r="B37" s="227">
        <f>EOMONTH(Input!$C$7,$A37-1)</f>
        <v>47269</v>
      </c>
      <c r="C37" s="1">
        <f t="shared" si="1"/>
        <v>3</v>
      </c>
      <c r="D37" s="1">
        <f t="shared" si="2"/>
        <v>11</v>
      </c>
      <c r="E37" s="122" cm="1">
        <f t="array" ref="E37">_xlfn.LET(_xlpm.ann,-INDEX('Statement of Cash Flows'!$C$47:$L$47,$C37),_xlpm.w,-($H37+$I37)+MAX(0,-$J37),_xlpm.yrW,SUMPRODUCT(($C$6:$C$125=$C37)*(-($H$6:$H$125+$I$6:$I$125)+((-$J$6:$J$125)&gt;0)*(-$J$6:$J$125))),_xlpm.ann*IF(_xlpm.yrW&gt;0,_xlpm.w/_xlpm.yrW,IF($A37=($C37-1)*$Q$7+1,1,0)))</f>
        <v>0</v>
      </c>
      <c r="F37" s="122" cm="1">
        <f t="array" ref="F37">_xlfn.LET(_xlpm.ann,INDEX('Investor Return'!$C$11:$L$11,$C37),_xlpm.sale,'_Month Engine'!$C$71:$DR$71,_xlpm.yr,'_Month Engine'!$C$5:$DR$5,_xlpm.yearS,SUMPRODUCT((_xlpm.yr=$C37)*_xlpm.sale),_xlpm.mS,INDEX(_xlpm.sale,$A37),_xlpm.ann*IF(_xlpm.yearS&gt;0,_xlpm.mS/_xlpm.yearS,IF($A37=$C37*$Q$7,1,0)))</f>
        <v>0</v>
      </c>
      <c r="G37" s="122">
        <f t="shared" si="3"/>
        <v>0</v>
      </c>
      <c r="H37" s="122" cm="1">
        <f t="array" ref="H37">-SUMPRODUCT(Properties!$D$6:$D$15*(Properties!$Q$6:$Q$15=$A37)*(Properties!$M$6:$M$15+Properties!$O$6:$O$15))</f>
        <v>0</v>
      </c>
      <c r="I37" s="122" cm="1">
        <f t="array" ref="I37">-SUMPRODUCT(Properties!$D$6:$D$15*($A37&gt;=Properties!$Q$6:$Q$15)*($A37&lt;Properties!$T$6:$T$15)*Properties!$N$6:$N$15/(Properties!$R$6:$R$15+(Properties!$R$6:$R$15=0)))</f>
        <v>0</v>
      </c>
      <c r="J37" s="122" cm="1">
        <f t="array" ref="J37">_xlfn.LET(_xlpm.act,Properties!$D$6:$D$15,_xlpm.accM,Properties!$Q$6:$Q$15,_xlpm.rentM,Properties!$T$6:$T$15,_xlpm.saleM,Properties!$U$6:$U$15,_xlpm.owned,($A37&gt;=_xlpm.accM)*($A37&lt;_xlpm.saleM),_xlpm.renting,($A37&gt;=_xlpm.rentM)*($A37&lt;_xlpm.saleM),_xlpm.ratio,($A37-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37-1)-_xlpm.owned*_xlpm.ownFix/$Q$7-_xlpm.renting*_xlpm.rentFix/$Q$7)))</f>
        <v>3459.4205670528981</v>
      </c>
      <c r="K37" s="122" cm="1">
        <f t="array" ref="K37">SUMPRODUCT(Properties!$D$6:$D$15*(Properties!$U$6:$U$15=$A37)*Properties!$AB$6:$AB$15)</f>
        <v>0</v>
      </c>
      <c r="L37" s="122">
        <f t="shared" si="4"/>
        <v>3459.4205670528981</v>
      </c>
      <c r="M37" s="122" cm="1">
        <f t="array" ref="M37">-SUMPRODUCT(Properties!$D$6:$D$15*(Properties!$U$6:$U$15=$A37)*Properties!$AD$6:$AD$15)</f>
        <v>0</v>
      </c>
      <c r="N37" s="122">
        <f t="shared" si="5"/>
        <v>3459.4205670528981</v>
      </c>
      <c r="O37" s="1"/>
      <c r="P37" s="257" t="s">
        <v>722</v>
      </c>
      <c r="Q37" s="119" t="str">
        <f>IF(ABS($Q$35-$Q$36)&lt;1,"OK","CHECK")</f>
        <v>OK</v>
      </c>
    </row>
    <row r="38" spans="1:17" ht="18" customHeight="1" x14ac:dyDescent="0.3">
      <c r="A38" s="1">
        <f t="shared" ref="A38:A69" si="6">ROW()-5</f>
        <v>33</v>
      </c>
      <c r="B38" s="227">
        <f>EOMONTH(Input!$C$7,$A38-1)</f>
        <v>47299</v>
      </c>
      <c r="C38" s="1">
        <f t="shared" ref="C38:C69" si="7">ROUNDUP($A38/$Q$7,0)</f>
        <v>3</v>
      </c>
      <c r="D38" s="1">
        <f t="shared" ref="D38:D69" si="8">ROUNDUP($A38/$Q$8,0)</f>
        <v>11</v>
      </c>
      <c r="E38" s="122" cm="1">
        <f t="array" ref="E38">_xlfn.LET(_xlpm.ann,-INDEX('Statement of Cash Flows'!$C$47:$L$47,$C38),_xlpm.w,-($H38+$I38)+MAX(0,-$J38),_xlpm.yrW,SUMPRODUCT(($C$6:$C$125=$C38)*(-($H$6:$H$125+$I$6:$I$125)+((-$J$6:$J$125)&gt;0)*(-$J$6:$J$125))),_xlpm.ann*IF(_xlpm.yrW&gt;0,_xlpm.w/_xlpm.yrW,IF($A38=($C38-1)*$Q$7+1,1,0)))</f>
        <v>0</v>
      </c>
      <c r="F38" s="122" cm="1">
        <f t="array" ref="F38">_xlfn.LET(_xlpm.ann,INDEX('Investor Return'!$C$11:$L$11,$C38),_xlpm.sale,'_Month Engine'!$C$71:$DR$71,_xlpm.yr,'_Month Engine'!$C$5:$DR$5,_xlpm.yearS,SUMPRODUCT((_xlpm.yr=$C38)*_xlpm.sale),_xlpm.mS,INDEX(_xlpm.sale,$A38),_xlpm.ann*IF(_xlpm.yearS&gt;0,_xlpm.mS/_xlpm.yearS,IF($A38=$C38*$Q$7,1,0)))</f>
        <v>0</v>
      </c>
      <c r="G38" s="122">
        <f t="shared" ref="G38:G69" si="9">$E38+$F38</f>
        <v>0</v>
      </c>
      <c r="H38" s="122" cm="1">
        <f t="array" ref="H38">-SUMPRODUCT(Properties!$D$6:$D$15*(Properties!$Q$6:$Q$15=$A38)*(Properties!$M$6:$M$15+Properties!$O$6:$O$15))</f>
        <v>0</v>
      </c>
      <c r="I38" s="122" cm="1">
        <f t="array" ref="I38">-SUMPRODUCT(Properties!$D$6:$D$15*($A38&gt;=Properties!$Q$6:$Q$15)*($A38&lt;Properties!$T$6:$T$15)*Properties!$N$6:$N$15/(Properties!$R$6:$R$15+(Properties!$R$6:$R$15=0)))</f>
        <v>0</v>
      </c>
      <c r="J38" s="122" cm="1">
        <f t="array" ref="J38">_xlfn.LET(_xlpm.act,Properties!$D$6:$D$15,_xlpm.accM,Properties!$Q$6:$Q$15,_xlpm.rentM,Properties!$T$6:$T$15,_xlpm.saleM,Properties!$U$6:$U$15,_xlpm.owned,($A38&gt;=_xlpm.accM)*($A38&lt;_xlpm.saleM),_xlpm.renting,($A38&gt;=_xlpm.rentM)*($A38&lt;_xlpm.saleM),_xlpm.ratio,($A38-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38-1)-_xlpm.owned*_xlpm.ownFix/$Q$7-_xlpm.renting*_xlpm.rentFix/$Q$7)))</f>
        <v>3459.4205670528981</v>
      </c>
      <c r="K38" s="122" cm="1">
        <f t="array" ref="K38">SUMPRODUCT(Properties!$D$6:$D$15*(Properties!$U$6:$U$15=$A38)*Properties!$AB$6:$AB$15)</f>
        <v>0</v>
      </c>
      <c r="L38" s="122">
        <f t="shared" ref="L38:L69" si="10">$H38+$I38+$J38+$K38</f>
        <v>3459.4205670528981</v>
      </c>
      <c r="M38" s="122" cm="1">
        <f t="array" ref="M38">-SUMPRODUCT(Properties!$D$6:$D$15*(Properties!$U$6:$U$15=$A38)*Properties!$AD$6:$AD$15)</f>
        <v>0</v>
      </c>
      <c r="N38" s="122">
        <f t="shared" ref="N38:N69" si="11">$L38+$M38</f>
        <v>3459.4205670528981</v>
      </c>
      <c r="O38" s="1"/>
      <c r="P38" s="257" t="s">
        <v>723</v>
      </c>
      <c r="Q38" s="119" t="str">
        <f>IF(AND(MIN($G$6:$G$125)&lt;0,MAX($G$6:$G$125)&gt;0,MIN($L$6:$L$125)&lt;0,MAX($L$6:$L$125)&gt;0),"OK","CHECK")</f>
        <v>OK</v>
      </c>
    </row>
    <row r="39" spans="1:17" ht="18" customHeight="1" x14ac:dyDescent="0.3">
      <c r="A39" s="1">
        <f t="shared" si="6"/>
        <v>34</v>
      </c>
      <c r="B39" s="227">
        <f>EOMONTH(Input!$C$7,$A39-1)</f>
        <v>47330</v>
      </c>
      <c r="C39" s="1">
        <f t="shared" si="7"/>
        <v>3</v>
      </c>
      <c r="D39" s="1">
        <f t="shared" si="8"/>
        <v>12</v>
      </c>
      <c r="E39" s="122" cm="1">
        <f t="array" ref="E39">_xlfn.LET(_xlpm.ann,-INDEX('Statement of Cash Flows'!$C$47:$L$47,$C39),_xlpm.w,-($H39+$I39)+MAX(0,-$J39),_xlpm.yrW,SUMPRODUCT(($C$6:$C$125=$C39)*(-($H$6:$H$125+$I$6:$I$125)+((-$J$6:$J$125)&gt;0)*(-$J$6:$J$125))),_xlpm.ann*IF(_xlpm.yrW&gt;0,_xlpm.w/_xlpm.yrW,IF($A39=($C39-1)*$Q$7+1,1,0)))</f>
        <v>0</v>
      </c>
      <c r="F39" s="122" cm="1">
        <f t="array" ref="F39">_xlfn.LET(_xlpm.ann,INDEX('Investor Return'!$C$11:$L$11,$C39),_xlpm.sale,'_Month Engine'!$C$71:$DR$71,_xlpm.yr,'_Month Engine'!$C$5:$DR$5,_xlpm.yearS,SUMPRODUCT((_xlpm.yr=$C39)*_xlpm.sale),_xlpm.mS,INDEX(_xlpm.sale,$A39),_xlpm.ann*IF(_xlpm.yearS&gt;0,_xlpm.mS/_xlpm.yearS,IF($A39=$C39*$Q$7,1,0)))</f>
        <v>0</v>
      </c>
      <c r="G39" s="122">
        <f t="shared" si="9"/>
        <v>0</v>
      </c>
      <c r="H39" s="122" cm="1">
        <f t="array" ref="H39">-SUMPRODUCT(Properties!$D$6:$D$15*(Properties!$Q$6:$Q$15=$A39)*(Properties!$M$6:$M$15+Properties!$O$6:$O$15))</f>
        <v>0</v>
      </c>
      <c r="I39" s="122" cm="1">
        <f t="array" ref="I39">-SUMPRODUCT(Properties!$D$6:$D$15*($A39&gt;=Properties!$Q$6:$Q$15)*($A39&lt;Properties!$T$6:$T$15)*Properties!$N$6:$N$15/(Properties!$R$6:$R$15+(Properties!$R$6:$R$15=0)))</f>
        <v>0</v>
      </c>
      <c r="J39" s="122" cm="1">
        <f t="array" ref="J39">_xlfn.LET(_xlpm.act,Properties!$D$6:$D$15,_xlpm.accM,Properties!$Q$6:$Q$15,_xlpm.rentM,Properties!$T$6:$T$15,_xlpm.saleM,Properties!$U$6:$U$15,_xlpm.owned,($A39&gt;=_xlpm.accM)*($A39&lt;_xlpm.saleM),_xlpm.renting,($A39&gt;=_xlpm.rentM)*($A39&lt;_xlpm.saleM),_xlpm.ratio,($A39-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39-1)-_xlpm.owned*_xlpm.ownFix/$Q$7-_xlpm.renting*_xlpm.rentFix/$Q$7)))</f>
        <v>3459.4205670528981</v>
      </c>
      <c r="K39" s="122" cm="1">
        <f t="array" ref="K39">SUMPRODUCT(Properties!$D$6:$D$15*(Properties!$U$6:$U$15=$A39)*Properties!$AB$6:$AB$15)</f>
        <v>0</v>
      </c>
      <c r="L39" s="122">
        <f t="shared" si="10"/>
        <v>3459.4205670528981</v>
      </c>
      <c r="M39" s="122" cm="1">
        <f t="array" ref="M39">-SUMPRODUCT(Properties!$D$6:$D$15*(Properties!$U$6:$U$15=$A39)*Properties!$AD$6:$AD$15)</f>
        <v>0</v>
      </c>
      <c r="N39" s="122">
        <f t="shared" si="11"/>
        <v>3459.4205670528981</v>
      </c>
      <c r="O39" s="1"/>
      <c r="P39" s="257" t="s">
        <v>724</v>
      </c>
      <c r="Q39" s="119" t="str">
        <f>IF(COUNT($A$6:$A$125)=$Q$5,"OK","CHECK")</f>
        <v>OK</v>
      </c>
    </row>
    <row r="40" spans="1:17" ht="18" customHeight="1" x14ac:dyDescent="0.3">
      <c r="A40" s="1">
        <f t="shared" si="6"/>
        <v>35</v>
      </c>
      <c r="B40" s="227">
        <f>EOMONTH(Input!$C$7,$A40-1)</f>
        <v>47361</v>
      </c>
      <c r="C40" s="1">
        <f t="shared" si="7"/>
        <v>3</v>
      </c>
      <c r="D40" s="1">
        <f t="shared" si="8"/>
        <v>12</v>
      </c>
      <c r="E40" s="122" cm="1">
        <f t="array" ref="E40">_xlfn.LET(_xlpm.ann,-INDEX('Statement of Cash Flows'!$C$47:$L$47,$C40),_xlpm.w,-($H40+$I40)+MAX(0,-$J40),_xlpm.yrW,SUMPRODUCT(($C$6:$C$125=$C40)*(-($H$6:$H$125+$I$6:$I$125)+((-$J$6:$J$125)&gt;0)*(-$J$6:$J$125))),_xlpm.ann*IF(_xlpm.yrW&gt;0,_xlpm.w/_xlpm.yrW,IF($A40=($C40-1)*$Q$7+1,1,0)))</f>
        <v>0</v>
      </c>
      <c r="F40" s="122" cm="1">
        <f t="array" ref="F40">_xlfn.LET(_xlpm.ann,INDEX('Investor Return'!$C$11:$L$11,$C40),_xlpm.sale,'_Month Engine'!$C$71:$DR$71,_xlpm.yr,'_Month Engine'!$C$5:$DR$5,_xlpm.yearS,SUMPRODUCT((_xlpm.yr=$C40)*_xlpm.sale),_xlpm.mS,INDEX(_xlpm.sale,$A40),_xlpm.ann*IF(_xlpm.yearS&gt;0,_xlpm.mS/_xlpm.yearS,IF($A40=$C40*$Q$7,1,0)))</f>
        <v>0</v>
      </c>
      <c r="G40" s="122">
        <f t="shared" si="9"/>
        <v>0</v>
      </c>
      <c r="H40" s="122" cm="1">
        <f t="array" ref="H40">-SUMPRODUCT(Properties!$D$6:$D$15*(Properties!$Q$6:$Q$15=$A40)*(Properties!$M$6:$M$15+Properties!$O$6:$O$15))</f>
        <v>0</v>
      </c>
      <c r="I40" s="122" cm="1">
        <f t="array" ref="I40">-SUMPRODUCT(Properties!$D$6:$D$15*($A40&gt;=Properties!$Q$6:$Q$15)*($A40&lt;Properties!$T$6:$T$15)*Properties!$N$6:$N$15/(Properties!$R$6:$R$15+(Properties!$R$6:$R$15=0)))</f>
        <v>0</v>
      </c>
      <c r="J40" s="122" cm="1">
        <f t="array" ref="J40">_xlfn.LET(_xlpm.act,Properties!$D$6:$D$15,_xlpm.accM,Properties!$Q$6:$Q$15,_xlpm.rentM,Properties!$T$6:$T$15,_xlpm.saleM,Properties!$U$6:$U$15,_xlpm.owned,($A40&gt;=_xlpm.accM)*($A40&lt;_xlpm.saleM),_xlpm.renting,($A40&gt;=_xlpm.rentM)*($A40&lt;_xlpm.saleM),_xlpm.ratio,($A40-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40-1)-_xlpm.owned*_xlpm.ownFix/$Q$7-_xlpm.renting*_xlpm.rentFix/$Q$7)))</f>
        <v>3459.4205670528981</v>
      </c>
      <c r="K40" s="122" cm="1">
        <f t="array" ref="K40">SUMPRODUCT(Properties!$D$6:$D$15*(Properties!$U$6:$U$15=$A40)*Properties!$AB$6:$AB$15)</f>
        <v>0</v>
      </c>
      <c r="L40" s="122">
        <f t="shared" si="10"/>
        <v>3459.4205670528981</v>
      </c>
      <c r="M40" s="122" cm="1">
        <f t="array" ref="M40">-SUMPRODUCT(Properties!$D$6:$D$15*(Properties!$U$6:$U$15=$A40)*Properties!$AD$6:$AD$15)</f>
        <v>0</v>
      </c>
      <c r="N40" s="122">
        <f t="shared" si="11"/>
        <v>3459.4205670528981</v>
      </c>
      <c r="O40" s="1"/>
    </row>
    <row r="41" spans="1:17" ht="18" customHeight="1" x14ac:dyDescent="0.3">
      <c r="A41" s="1">
        <f t="shared" si="6"/>
        <v>36</v>
      </c>
      <c r="B41" s="227">
        <f>EOMONTH(Input!$C$7,$A41-1)</f>
        <v>47391</v>
      </c>
      <c r="C41" s="1">
        <f t="shared" si="7"/>
        <v>3</v>
      </c>
      <c r="D41" s="1">
        <f t="shared" si="8"/>
        <v>12</v>
      </c>
      <c r="E41" s="122" cm="1">
        <f t="array" ref="E41">_xlfn.LET(_xlpm.ann,-INDEX('Statement of Cash Flows'!$C$47:$L$47,$C41),_xlpm.w,-($H41+$I41)+MAX(0,-$J41),_xlpm.yrW,SUMPRODUCT(($C$6:$C$125=$C41)*(-($H$6:$H$125+$I$6:$I$125)+((-$J$6:$J$125)&gt;0)*(-$J$6:$J$125))),_xlpm.ann*IF(_xlpm.yrW&gt;0,_xlpm.w/_xlpm.yrW,IF($A41=($C41-1)*$Q$7+1,1,0)))</f>
        <v>0</v>
      </c>
      <c r="F41" s="122" cm="1">
        <f t="array" ref="F41">_xlfn.LET(_xlpm.ann,INDEX('Investor Return'!$C$11:$L$11,$C41),_xlpm.sale,'_Month Engine'!$C$71:$DR$71,_xlpm.yr,'_Month Engine'!$C$5:$DR$5,_xlpm.yearS,SUMPRODUCT((_xlpm.yr=$C41)*_xlpm.sale),_xlpm.mS,INDEX(_xlpm.sale,$A41),_xlpm.ann*IF(_xlpm.yearS&gt;0,_xlpm.mS/_xlpm.yearS,IF($A41=$C41*$Q$7,1,0)))</f>
        <v>0</v>
      </c>
      <c r="G41" s="122">
        <f t="shared" si="9"/>
        <v>0</v>
      </c>
      <c r="H41" s="122" cm="1">
        <f t="array" ref="H41">-SUMPRODUCT(Properties!$D$6:$D$15*(Properties!$Q$6:$Q$15=$A41)*(Properties!$M$6:$M$15+Properties!$O$6:$O$15))</f>
        <v>0</v>
      </c>
      <c r="I41" s="122" cm="1">
        <f t="array" ref="I41">-SUMPRODUCT(Properties!$D$6:$D$15*($A41&gt;=Properties!$Q$6:$Q$15)*($A41&lt;Properties!$T$6:$T$15)*Properties!$N$6:$N$15/(Properties!$R$6:$R$15+(Properties!$R$6:$R$15=0)))</f>
        <v>0</v>
      </c>
      <c r="J41" s="122" cm="1">
        <f t="array" ref="J41">_xlfn.LET(_xlpm.act,Properties!$D$6:$D$15,_xlpm.accM,Properties!$Q$6:$Q$15,_xlpm.rentM,Properties!$T$6:$T$15,_xlpm.saleM,Properties!$U$6:$U$15,_xlpm.owned,($A41&gt;=_xlpm.accM)*($A41&lt;_xlpm.saleM),_xlpm.renting,($A41&gt;=_xlpm.rentM)*($A41&lt;_xlpm.saleM),_xlpm.ratio,($A41-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41-1)-_xlpm.owned*_xlpm.ownFix/$Q$7-_xlpm.renting*_xlpm.rentFix/$Q$7)))</f>
        <v>3459.4205670528981</v>
      </c>
      <c r="K41" s="122" cm="1">
        <f t="array" ref="K41">SUMPRODUCT(Properties!$D$6:$D$15*(Properties!$U$6:$U$15=$A41)*Properties!$AB$6:$AB$15)</f>
        <v>0</v>
      </c>
      <c r="L41" s="122">
        <f t="shared" si="10"/>
        <v>3459.4205670528981</v>
      </c>
      <c r="M41" s="122" cm="1">
        <f t="array" ref="M41">-SUMPRODUCT(Properties!$D$6:$D$15*(Properties!$U$6:$U$15=$A41)*Properties!$AD$6:$AD$15)</f>
        <v>0</v>
      </c>
      <c r="N41" s="122">
        <f t="shared" si="11"/>
        <v>3459.4205670528981</v>
      </c>
      <c r="O41" s="1"/>
      <c r="P41" s="1"/>
      <c r="Q41" s="1"/>
    </row>
    <row r="42" spans="1:17" ht="18" customHeight="1" x14ac:dyDescent="0.3">
      <c r="A42" s="1">
        <f t="shared" si="6"/>
        <v>37</v>
      </c>
      <c r="B42" s="227">
        <f>EOMONTH(Input!$C$7,$A42-1)</f>
        <v>47422</v>
      </c>
      <c r="C42" s="1">
        <f t="shared" si="7"/>
        <v>4</v>
      </c>
      <c r="D42" s="1">
        <f t="shared" si="8"/>
        <v>13</v>
      </c>
      <c r="E42" s="122" cm="1">
        <f t="array" ref="E42">_xlfn.LET(_xlpm.ann,-INDEX('Statement of Cash Flows'!$C$47:$L$47,$C42),_xlpm.w,-($H42+$I42)+MAX(0,-$J42),_xlpm.yrW,SUMPRODUCT(($C$6:$C$125=$C42)*(-($H$6:$H$125+$I$6:$I$125)+((-$J$6:$J$125)&gt;0)*(-$J$6:$J$125))),_xlpm.ann*IF(_xlpm.yrW&gt;0,_xlpm.w/_xlpm.yrW,IF($A42=($C42-1)*$Q$7+1,1,0)))</f>
        <v>-4287.9993590698141</v>
      </c>
      <c r="F42" s="122" cm="1">
        <f t="array" ref="F42">_xlfn.LET(_xlpm.ann,INDEX('Investor Return'!$C$11:$L$11,$C42),_xlpm.sale,'_Month Engine'!$C$71:$DR$71,_xlpm.yr,'_Month Engine'!$C$5:$DR$5,_xlpm.yearS,SUMPRODUCT((_xlpm.yr=$C42)*_xlpm.sale),_xlpm.mS,INDEX(_xlpm.sale,$A42),_xlpm.ann*IF(_xlpm.yearS&gt;0,_xlpm.mS/_xlpm.yearS,IF($A42=$C42*$Q$7,1,0)))</f>
        <v>2231200.6138292435</v>
      </c>
      <c r="G42" s="122">
        <f t="shared" si="9"/>
        <v>2226912.6144701736</v>
      </c>
      <c r="H42" s="122" cm="1">
        <f t="array" ref="H42">-SUMPRODUCT(Properties!$D$6:$D$15*(Properties!$Q$6:$Q$15=$A42)*(Properties!$M$6:$M$15+Properties!$O$6:$O$15))</f>
        <v>0</v>
      </c>
      <c r="I42" s="122" cm="1">
        <f t="array" ref="I42">-SUMPRODUCT(Properties!$D$6:$D$15*($A42&gt;=Properties!$Q$6:$Q$15)*($A42&lt;Properties!$T$6:$T$15)*Properties!$N$6:$N$15/(Properties!$R$6:$R$15+(Properties!$R$6:$R$15=0)))</f>
        <v>0</v>
      </c>
      <c r="J42" s="122" cm="1">
        <f t="array" ref="J42">_xlfn.LET(_xlpm.act,Properties!$D$6:$D$15,_xlpm.accM,Properties!$Q$6:$Q$15,_xlpm.rentM,Properties!$T$6:$T$15,_xlpm.saleM,Properties!$U$6:$U$15,_xlpm.owned,($A42&gt;=_xlpm.accM)*($A42&lt;_xlpm.saleM),_xlpm.renting,($A42&gt;=_xlpm.rentM)*($A42&lt;_xlpm.saleM),_xlpm.ratio,($A42-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42-1)-_xlpm.owned*_xlpm.ownFix/$Q$7-_xlpm.renting*_xlpm.rentFix/$Q$7)))</f>
        <v>2333.3555472554758</v>
      </c>
      <c r="K42" s="122" cm="1">
        <f t="array" ref="K42">SUMPRODUCT(Properties!$D$6:$D$15*(Properties!$U$6:$U$15=$A42)*Properties!$AB$6:$AB$15)</f>
        <v>2726891.5304513681</v>
      </c>
      <c r="L42" s="122">
        <f t="shared" si="10"/>
        <v>2729224.8859986234</v>
      </c>
      <c r="M42" s="122" cm="1">
        <f t="array" ref="M42">-SUMPRODUCT(Properties!$D$6:$D$15*(Properties!$U$6:$U$15=$A42)*Properties!$AD$6:$AD$15)</f>
        <v>-138722.4064616588</v>
      </c>
      <c r="N42" s="122">
        <f t="shared" si="11"/>
        <v>2590502.4795369646</v>
      </c>
      <c r="O42" s="1"/>
      <c r="P42" s="1"/>
      <c r="Q42" s="1"/>
    </row>
    <row r="43" spans="1:17" ht="18" customHeight="1" x14ac:dyDescent="0.3">
      <c r="A43" s="1">
        <f t="shared" si="6"/>
        <v>38</v>
      </c>
      <c r="B43" s="227">
        <f>EOMONTH(Input!$C$7,$A43-1)</f>
        <v>47452</v>
      </c>
      <c r="C43" s="1">
        <f t="shared" si="7"/>
        <v>4</v>
      </c>
      <c r="D43" s="1">
        <f t="shared" si="8"/>
        <v>13</v>
      </c>
      <c r="E43" s="122" cm="1">
        <f t="array" ref="E43">_xlfn.LET(_xlpm.ann,-INDEX('Statement of Cash Flows'!$C$47:$L$47,$C43),_xlpm.w,-($H43+$I43)+MAX(0,-$J43),_xlpm.yrW,SUMPRODUCT(($C$6:$C$125=$C43)*(-($H$6:$H$125+$I$6:$I$125)+((-$J$6:$J$125)&gt;0)*(-$J$6:$J$125))),_xlpm.ann*IF(_xlpm.yrW&gt;0,_xlpm.w/_xlpm.yrW,IF($A43=($C43-1)*$Q$7+1,1,0)))</f>
        <v>0</v>
      </c>
      <c r="F43" s="122" cm="1">
        <f t="array" ref="F43">_xlfn.LET(_xlpm.ann,INDEX('Investor Return'!$C$11:$L$11,$C43),_xlpm.sale,'_Month Engine'!$C$71:$DR$71,_xlpm.yr,'_Month Engine'!$C$5:$DR$5,_xlpm.yearS,SUMPRODUCT((_xlpm.yr=$C43)*_xlpm.sale),_xlpm.mS,INDEX(_xlpm.sale,$A43),_xlpm.ann*IF(_xlpm.yearS&gt;0,_xlpm.mS/_xlpm.yearS,IF($A43=$C43*$Q$7,1,0)))</f>
        <v>0</v>
      </c>
      <c r="G43" s="122">
        <f t="shared" si="9"/>
        <v>0</v>
      </c>
      <c r="H43" s="122" cm="1">
        <f t="array" ref="H43">-SUMPRODUCT(Properties!$D$6:$D$15*(Properties!$Q$6:$Q$15=$A43)*(Properties!$M$6:$M$15+Properties!$O$6:$O$15))</f>
        <v>0</v>
      </c>
      <c r="I43" s="122" cm="1">
        <f t="array" ref="I43">-SUMPRODUCT(Properties!$D$6:$D$15*($A43&gt;=Properties!$Q$6:$Q$15)*($A43&lt;Properties!$T$6:$T$15)*Properties!$N$6:$N$15/(Properties!$R$6:$R$15+(Properties!$R$6:$R$15=0)))</f>
        <v>0</v>
      </c>
      <c r="J43" s="122" cm="1">
        <f t="array" ref="J43">_xlfn.LET(_xlpm.act,Properties!$D$6:$D$15,_xlpm.accM,Properties!$Q$6:$Q$15,_xlpm.rentM,Properties!$T$6:$T$15,_xlpm.saleM,Properties!$U$6:$U$15,_xlpm.owned,($A43&gt;=_xlpm.accM)*($A43&lt;_xlpm.saleM),_xlpm.renting,($A43&gt;=_xlpm.rentM)*($A43&lt;_xlpm.saleM),_xlpm.ratio,($A43-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43-1)-_xlpm.owned*_xlpm.ownFix/$Q$7-_xlpm.renting*_xlpm.rentFix/$Q$7)))</f>
        <v>2333.3555472554758</v>
      </c>
      <c r="K43" s="122" cm="1">
        <f t="array" ref="K43">SUMPRODUCT(Properties!$D$6:$D$15*(Properties!$U$6:$U$15=$A43)*Properties!$AB$6:$AB$15)</f>
        <v>0</v>
      </c>
      <c r="L43" s="122">
        <f t="shared" si="10"/>
        <v>2333.3555472554758</v>
      </c>
      <c r="M43" s="122" cm="1">
        <f t="array" ref="M43">-SUMPRODUCT(Properties!$D$6:$D$15*(Properties!$U$6:$U$15=$A43)*Properties!$AD$6:$AD$15)</f>
        <v>0</v>
      </c>
      <c r="N43" s="122">
        <f t="shared" si="11"/>
        <v>2333.3555472554758</v>
      </c>
      <c r="O43" s="1"/>
      <c r="P43" s="1"/>
      <c r="Q43" s="1"/>
    </row>
    <row r="44" spans="1:17" ht="18" customHeight="1" x14ac:dyDescent="0.3">
      <c r="A44" s="1">
        <f t="shared" si="6"/>
        <v>39</v>
      </c>
      <c r="B44" s="227">
        <f>EOMONTH(Input!$C$7,$A44-1)</f>
        <v>47483</v>
      </c>
      <c r="C44" s="1">
        <f t="shared" si="7"/>
        <v>4</v>
      </c>
      <c r="D44" s="1">
        <f t="shared" si="8"/>
        <v>13</v>
      </c>
      <c r="E44" s="122" cm="1">
        <f t="array" ref="E44">_xlfn.LET(_xlpm.ann,-INDEX('Statement of Cash Flows'!$C$47:$L$47,$C44),_xlpm.w,-($H44+$I44)+MAX(0,-$J44),_xlpm.yrW,SUMPRODUCT(($C$6:$C$125=$C44)*(-($H$6:$H$125+$I$6:$I$125)+((-$J$6:$J$125)&gt;0)*(-$J$6:$J$125))),_xlpm.ann*IF(_xlpm.yrW&gt;0,_xlpm.w/_xlpm.yrW,IF($A44=($C44-1)*$Q$7+1,1,0)))</f>
        <v>0</v>
      </c>
      <c r="F44" s="122" cm="1">
        <f t="array" ref="F44">_xlfn.LET(_xlpm.ann,INDEX('Investor Return'!$C$11:$L$11,$C44),_xlpm.sale,'_Month Engine'!$C$71:$DR$71,_xlpm.yr,'_Month Engine'!$C$5:$DR$5,_xlpm.yearS,SUMPRODUCT((_xlpm.yr=$C44)*_xlpm.sale),_xlpm.mS,INDEX(_xlpm.sale,$A44),_xlpm.ann*IF(_xlpm.yearS&gt;0,_xlpm.mS/_xlpm.yearS,IF($A44=$C44*$Q$7,1,0)))</f>
        <v>0</v>
      </c>
      <c r="G44" s="122">
        <f t="shared" si="9"/>
        <v>0</v>
      </c>
      <c r="H44" s="122" cm="1">
        <f t="array" ref="H44">-SUMPRODUCT(Properties!$D$6:$D$15*(Properties!$Q$6:$Q$15=$A44)*(Properties!$M$6:$M$15+Properties!$O$6:$O$15))</f>
        <v>0</v>
      </c>
      <c r="I44" s="122" cm="1">
        <f t="array" ref="I44">-SUMPRODUCT(Properties!$D$6:$D$15*($A44&gt;=Properties!$Q$6:$Q$15)*($A44&lt;Properties!$T$6:$T$15)*Properties!$N$6:$N$15/(Properties!$R$6:$R$15+(Properties!$R$6:$R$15=0)))</f>
        <v>0</v>
      </c>
      <c r="J44" s="122" cm="1">
        <f t="array" ref="J44">_xlfn.LET(_xlpm.act,Properties!$D$6:$D$15,_xlpm.accM,Properties!$Q$6:$Q$15,_xlpm.rentM,Properties!$T$6:$T$15,_xlpm.saleM,Properties!$U$6:$U$15,_xlpm.owned,($A44&gt;=_xlpm.accM)*($A44&lt;_xlpm.saleM),_xlpm.renting,($A44&gt;=_xlpm.rentM)*($A44&lt;_xlpm.saleM),_xlpm.ratio,($A44-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44-1)-_xlpm.owned*_xlpm.ownFix/$Q$7-_xlpm.renting*_xlpm.rentFix/$Q$7)))</f>
        <v>2333.3555472554758</v>
      </c>
      <c r="K44" s="122" cm="1">
        <f t="array" ref="K44">SUMPRODUCT(Properties!$D$6:$D$15*(Properties!$U$6:$U$15=$A44)*Properties!$AB$6:$AB$15)</f>
        <v>0</v>
      </c>
      <c r="L44" s="122">
        <f t="shared" si="10"/>
        <v>2333.3555472554758</v>
      </c>
      <c r="M44" s="122" cm="1">
        <f t="array" ref="M44">-SUMPRODUCT(Properties!$D$6:$D$15*(Properties!$U$6:$U$15=$A44)*Properties!$AD$6:$AD$15)</f>
        <v>0</v>
      </c>
      <c r="N44" s="122">
        <f t="shared" si="11"/>
        <v>2333.3555472554758</v>
      </c>
      <c r="O44" s="1"/>
      <c r="P44" s="1"/>
      <c r="Q44" s="1"/>
    </row>
    <row r="45" spans="1:17" ht="18" customHeight="1" x14ac:dyDescent="0.3">
      <c r="A45" s="1">
        <f t="shared" si="6"/>
        <v>40</v>
      </c>
      <c r="B45" s="227">
        <f>EOMONTH(Input!$C$7,$A45-1)</f>
        <v>47514</v>
      </c>
      <c r="C45" s="1">
        <f t="shared" si="7"/>
        <v>4</v>
      </c>
      <c r="D45" s="1">
        <f t="shared" si="8"/>
        <v>14</v>
      </c>
      <c r="E45" s="122" cm="1">
        <f t="array" ref="E45">_xlfn.LET(_xlpm.ann,-INDEX('Statement of Cash Flows'!$C$47:$L$47,$C45),_xlpm.w,-($H45+$I45)+MAX(0,-$J45),_xlpm.yrW,SUMPRODUCT(($C$6:$C$125=$C45)*(-($H$6:$H$125+$I$6:$I$125)+((-$J$6:$J$125)&gt;0)*(-$J$6:$J$125))),_xlpm.ann*IF(_xlpm.yrW&gt;0,_xlpm.w/_xlpm.yrW,IF($A45=($C45-1)*$Q$7+1,1,0)))</f>
        <v>0</v>
      </c>
      <c r="F45" s="122" cm="1">
        <f t="array" ref="F45">_xlfn.LET(_xlpm.ann,INDEX('Investor Return'!$C$11:$L$11,$C45),_xlpm.sale,'_Month Engine'!$C$71:$DR$71,_xlpm.yr,'_Month Engine'!$C$5:$DR$5,_xlpm.yearS,SUMPRODUCT((_xlpm.yr=$C45)*_xlpm.sale),_xlpm.mS,INDEX(_xlpm.sale,$A45),_xlpm.ann*IF(_xlpm.yearS&gt;0,_xlpm.mS/_xlpm.yearS,IF($A45=$C45*$Q$7,1,0)))</f>
        <v>0</v>
      </c>
      <c r="G45" s="122">
        <f t="shared" si="9"/>
        <v>0</v>
      </c>
      <c r="H45" s="122" cm="1">
        <f t="array" ref="H45">-SUMPRODUCT(Properties!$D$6:$D$15*(Properties!$Q$6:$Q$15=$A45)*(Properties!$M$6:$M$15+Properties!$O$6:$O$15))</f>
        <v>0</v>
      </c>
      <c r="I45" s="122" cm="1">
        <f t="array" ref="I45">-SUMPRODUCT(Properties!$D$6:$D$15*($A45&gt;=Properties!$Q$6:$Q$15)*($A45&lt;Properties!$T$6:$T$15)*Properties!$N$6:$N$15/(Properties!$R$6:$R$15+(Properties!$R$6:$R$15=0)))</f>
        <v>0</v>
      </c>
      <c r="J45" s="122" cm="1">
        <f t="array" ref="J45">_xlfn.LET(_xlpm.act,Properties!$D$6:$D$15,_xlpm.accM,Properties!$Q$6:$Q$15,_xlpm.rentM,Properties!$T$6:$T$15,_xlpm.saleM,Properties!$U$6:$U$15,_xlpm.owned,($A45&gt;=_xlpm.accM)*($A45&lt;_xlpm.saleM),_xlpm.renting,($A45&gt;=_xlpm.rentM)*($A45&lt;_xlpm.saleM),_xlpm.ratio,($A45-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45-1)-_xlpm.owned*_xlpm.ownFix/$Q$7-_xlpm.renting*_xlpm.rentFix/$Q$7)))</f>
        <v>2333.3555472554758</v>
      </c>
      <c r="K45" s="122" cm="1">
        <f t="array" ref="K45">SUMPRODUCT(Properties!$D$6:$D$15*(Properties!$U$6:$U$15=$A45)*Properties!$AB$6:$AB$15)</f>
        <v>0</v>
      </c>
      <c r="L45" s="122">
        <f t="shared" si="10"/>
        <v>2333.3555472554758</v>
      </c>
      <c r="M45" s="122" cm="1">
        <f t="array" ref="M45">-SUMPRODUCT(Properties!$D$6:$D$15*(Properties!$U$6:$U$15=$A45)*Properties!$AD$6:$AD$15)</f>
        <v>0</v>
      </c>
      <c r="N45" s="122">
        <f t="shared" si="11"/>
        <v>2333.3555472554758</v>
      </c>
      <c r="O45" s="1"/>
      <c r="P45" s="1"/>
      <c r="Q45" s="1"/>
    </row>
    <row r="46" spans="1:17" ht="18" customHeight="1" x14ac:dyDescent="0.3">
      <c r="A46" s="1">
        <f t="shared" si="6"/>
        <v>41</v>
      </c>
      <c r="B46" s="227">
        <f>EOMONTH(Input!$C$7,$A46-1)</f>
        <v>47542</v>
      </c>
      <c r="C46" s="1">
        <f t="shared" si="7"/>
        <v>4</v>
      </c>
      <c r="D46" s="1">
        <f t="shared" si="8"/>
        <v>14</v>
      </c>
      <c r="E46" s="122" cm="1">
        <f t="array" ref="E46">_xlfn.LET(_xlpm.ann,-INDEX('Statement of Cash Flows'!$C$47:$L$47,$C46),_xlpm.w,-($H46+$I46)+MAX(0,-$J46),_xlpm.yrW,SUMPRODUCT(($C$6:$C$125=$C46)*(-($H$6:$H$125+$I$6:$I$125)+((-$J$6:$J$125)&gt;0)*(-$J$6:$J$125))),_xlpm.ann*IF(_xlpm.yrW&gt;0,_xlpm.w/_xlpm.yrW,IF($A46=($C46-1)*$Q$7+1,1,0)))</f>
        <v>0</v>
      </c>
      <c r="F46" s="122" cm="1">
        <f t="array" ref="F46">_xlfn.LET(_xlpm.ann,INDEX('Investor Return'!$C$11:$L$11,$C46),_xlpm.sale,'_Month Engine'!$C$71:$DR$71,_xlpm.yr,'_Month Engine'!$C$5:$DR$5,_xlpm.yearS,SUMPRODUCT((_xlpm.yr=$C46)*_xlpm.sale),_xlpm.mS,INDEX(_xlpm.sale,$A46),_xlpm.ann*IF(_xlpm.yearS&gt;0,_xlpm.mS/_xlpm.yearS,IF($A46=$C46*$Q$7,1,0)))</f>
        <v>0</v>
      </c>
      <c r="G46" s="122">
        <f t="shared" si="9"/>
        <v>0</v>
      </c>
      <c r="H46" s="122" cm="1">
        <f t="array" ref="H46">-SUMPRODUCT(Properties!$D$6:$D$15*(Properties!$Q$6:$Q$15=$A46)*(Properties!$M$6:$M$15+Properties!$O$6:$O$15))</f>
        <v>0</v>
      </c>
      <c r="I46" s="122" cm="1">
        <f t="array" ref="I46">-SUMPRODUCT(Properties!$D$6:$D$15*($A46&gt;=Properties!$Q$6:$Q$15)*($A46&lt;Properties!$T$6:$T$15)*Properties!$N$6:$N$15/(Properties!$R$6:$R$15+(Properties!$R$6:$R$15=0)))</f>
        <v>0</v>
      </c>
      <c r="J46" s="122" cm="1">
        <f t="array" ref="J46">_xlfn.LET(_xlpm.act,Properties!$D$6:$D$15,_xlpm.accM,Properties!$Q$6:$Q$15,_xlpm.rentM,Properties!$T$6:$T$15,_xlpm.saleM,Properties!$U$6:$U$15,_xlpm.owned,($A46&gt;=_xlpm.accM)*($A46&lt;_xlpm.saleM),_xlpm.renting,($A46&gt;=_xlpm.rentM)*($A46&lt;_xlpm.saleM),_xlpm.ratio,($A46-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46-1)-_xlpm.owned*_xlpm.ownFix/$Q$7-_xlpm.renting*_xlpm.rentFix/$Q$7)))</f>
        <v>2333.3555472554758</v>
      </c>
      <c r="K46" s="122" cm="1">
        <f t="array" ref="K46">SUMPRODUCT(Properties!$D$6:$D$15*(Properties!$U$6:$U$15=$A46)*Properties!$AB$6:$AB$15)</f>
        <v>0</v>
      </c>
      <c r="L46" s="122">
        <f t="shared" si="10"/>
        <v>2333.3555472554758</v>
      </c>
      <c r="M46" s="122" cm="1">
        <f t="array" ref="M46">-SUMPRODUCT(Properties!$D$6:$D$15*(Properties!$U$6:$U$15=$A46)*Properties!$AD$6:$AD$15)</f>
        <v>0</v>
      </c>
      <c r="N46" s="122">
        <f t="shared" si="11"/>
        <v>2333.3555472554758</v>
      </c>
      <c r="O46" s="1"/>
      <c r="P46" s="1"/>
      <c r="Q46" s="1"/>
    </row>
    <row r="47" spans="1:17" ht="18" customHeight="1" x14ac:dyDescent="0.3">
      <c r="A47" s="1">
        <f t="shared" si="6"/>
        <v>42</v>
      </c>
      <c r="B47" s="227">
        <f>EOMONTH(Input!$C$7,$A47-1)</f>
        <v>47573</v>
      </c>
      <c r="C47" s="1">
        <f t="shared" si="7"/>
        <v>4</v>
      </c>
      <c r="D47" s="1">
        <f t="shared" si="8"/>
        <v>14</v>
      </c>
      <c r="E47" s="122" cm="1">
        <f t="array" ref="E47">_xlfn.LET(_xlpm.ann,-INDEX('Statement of Cash Flows'!$C$47:$L$47,$C47),_xlpm.w,-($H47+$I47)+MAX(0,-$J47),_xlpm.yrW,SUMPRODUCT(($C$6:$C$125=$C47)*(-($H$6:$H$125+$I$6:$I$125)+((-$J$6:$J$125)&gt;0)*(-$J$6:$J$125))),_xlpm.ann*IF(_xlpm.yrW&gt;0,_xlpm.w/_xlpm.yrW,IF($A47=($C47-1)*$Q$7+1,1,0)))</f>
        <v>0</v>
      </c>
      <c r="F47" s="122" cm="1">
        <f t="array" ref="F47">_xlfn.LET(_xlpm.ann,INDEX('Investor Return'!$C$11:$L$11,$C47),_xlpm.sale,'_Month Engine'!$C$71:$DR$71,_xlpm.yr,'_Month Engine'!$C$5:$DR$5,_xlpm.yearS,SUMPRODUCT((_xlpm.yr=$C47)*_xlpm.sale),_xlpm.mS,INDEX(_xlpm.sale,$A47),_xlpm.ann*IF(_xlpm.yearS&gt;0,_xlpm.mS/_xlpm.yearS,IF($A47=$C47*$Q$7,1,0)))</f>
        <v>0</v>
      </c>
      <c r="G47" s="122">
        <f t="shared" si="9"/>
        <v>0</v>
      </c>
      <c r="H47" s="122" cm="1">
        <f t="array" ref="H47">-SUMPRODUCT(Properties!$D$6:$D$15*(Properties!$Q$6:$Q$15=$A47)*(Properties!$M$6:$M$15+Properties!$O$6:$O$15))</f>
        <v>0</v>
      </c>
      <c r="I47" s="122" cm="1">
        <f t="array" ref="I47">-SUMPRODUCT(Properties!$D$6:$D$15*($A47&gt;=Properties!$Q$6:$Q$15)*($A47&lt;Properties!$T$6:$T$15)*Properties!$N$6:$N$15/(Properties!$R$6:$R$15+(Properties!$R$6:$R$15=0)))</f>
        <v>0</v>
      </c>
      <c r="J47" s="122" cm="1">
        <f t="array" ref="J47">_xlfn.LET(_xlpm.act,Properties!$D$6:$D$15,_xlpm.accM,Properties!$Q$6:$Q$15,_xlpm.rentM,Properties!$T$6:$T$15,_xlpm.saleM,Properties!$U$6:$U$15,_xlpm.owned,($A47&gt;=_xlpm.accM)*($A47&lt;_xlpm.saleM),_xlpm.renting,($A47&gt;=_xlpm.rentM)*($A47&lt;_xlpm.saleM),_xlpm.ratio,($A47-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47-1)-_xlpm.owned*_xlpm.ownFix/$Q$7-_xlpm.renting*_xlpm.rentFix/$Q$7)))</f>
        <v>2333.3555472554758</v>
      </c>
      <c r="K47" s="122" cm="1">
        <f t="array" ref="K47">SUMPRODUCT(Properties!$D$6:$D$15*(Properties!$U$6:$U$15=$A47)*Properties!$AB$6:$AB$15)</f>
        <v>0</v>
      </c>
      <c r="L47" s="122">
        <f t="shared" si="10"/>
        <v>2333.3555472554758</v>
      </c>
      <c r="M47" s="122" cm="1">
        <f t="array" ref="M47">-SUMPRODUCT(Properties!$D$6:$D$15*(Properties!$U$6:$U$15=$A47)*Properties!$AD$6:$AD$15)</f>
        <v>0</v>
      </c>
      <c r="N47" s="122">
        <f t="shared" si="11"/>
        <v>2333.3555472554758</v>
      </c>
      <c r="O47" s="1"/>
      <c r="P47" s="1"/>
      <c r="Q47" s="1"/>
    </row>
    <row r="48" spans="1:17" ht="18" customHeight="1" x14ac:dyDescent="0.3">
      <c r="A48" s="1">
        <f t="shared" si="6"/>
        <v>43</v>
      </c>
      <c r="B48" s="227">
        <f>EOMONTH(Input!$C$7,$A48-1)</f>
        <v>47603</v>
      </c>
      <c r="C48" s="1">
        <f t="shared" si="7"/>
        <v>4</v>
      </c>
      <c r="D48" s="1">
        <f t="shared" si="8"/>
        <v>15</v>
      </c>
      <c r="E48" s="122" cm="1">
        <f t="array" ref="E48">_xlfn.LET(_xlpm.ann,-INDEX('Statement of Cash Flows'!$C$47:$L$47,$C48),_xlpm.w,-($H48+$I48)+MAX(0,-$J48),_xlpm.yrW,SUMPRODUCT(($C$6:$C$125=$C48)*(-($H$6:$H$125+$I$6:$I$125)+((-$J$6:$J$125)&gt;0)*(-$J$6:$J$125))),_xlpm.ann*IF(_xlpm.yrW&gt;0,_xlpm.w/_xlpm.yrW,IF($A48=($C48-1)*$Q$7+1,1,0)))</f>
        <v>0</v>
      </c>
      <c r="F48" s="122" cm="1">
        <f t="array" ref="F48">_xlfn.LET(_xlpm.ann,INDEX('Investor Return'!$C$11:$L$11,$C48),_xlpm.sale,'_Month Engine'!$C$71:$DR$71,_xlpm.yr,'_Month Engine'!$C$5:$DR$5,_xlpm.yearS,SUMPRODUCT((_xlpm.yr=$C48)*_xlpm.sale),_xlpm.mS,INDEX(_xlpm.sale,$A48),_xlpm.ann*IF(_xlpm.yearS&gt;0,_xlpm.mS/_xlpm.yearS,IF($A48=$C48*$Q$7,1,0)))</f>
        <v>2358076.8171069059</v>
      </c>
      <c r="G48" s="122">
        <f t="shared" si="9"/>
        <v>2358076.8171069059</v>
      </c>
      <c r="H48" s="122" cm="1">
        <f t="array" ref="H48">-SUMPRODUCT(Properties!$D$6:$D$15*(Properties!$Q$6:$Q$15=$A48)*(Properties!$M$6:$M$15+Properties!$O$6:$O$15))</f>
        <v>0</v>
      </c>
      <c r="I48" s="122" cm="1">
        <f t="array" ref="I48">-SUMPRODUCT(Properties!$D$6:$D$15*($A48&gt;=Properties!$Q$6:$Q$15)*($A48&lt;Properties!$T$6:$T$15)*Properties!$N$6:$N$15/(Properties!$R$6:$R$15+(Properties!$R$6:$R$15=0)))</f>
        <v>0</v>
      </c>
      <c r="J48" s="122" cm="1">
        <f t="array" ref="J48">_xlfn.LET(_xlpm.act,Properties!$D$6:$D$15,_xlpm.accM,Properties!$Q$6:$Q$15,_xlpm.rentM,Properties!$T$6:$T$15,_xlpm.saleM,Properties!$U$6:$U$15,_xlpm.owned,($A48&gt;=_xlpm.accM)*($A48&lt;_xlpm.saleM),_xlpm.renting,($A48&gt;=_xlpm.rentM)*($A48&lt;_xlpm.saleM),_xlpm.ratio,($A48-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48-1)-_xlpm.owned*_xlpm.ownFix/$Q$7-_xlpm.renting*_xlpm.rentFix/$Q$7)))</f>
        <v>0</v>
      </c>
      <c r="K48" s="122" cm="1">
        <f t="array" ref="K48">SUMPRODUCT(Properties!$D$6:$D$15*(Properties!$U$6:$U$15=$A48)*Properties!$AB$6:$AB$15)</f>
        <v>2881954.9711788725</v>
      </c>
      <c r="L48" s="122">
        <f t="shared" si="10"/>
        <v>2881954.9711788725</v>
      </c>
      <c r="M48" s="122" cm="1">
        <f t="array" ref="M48">-SUMPRODUCT(Properties!$D$6:$D$15*(Properties!$U$6:$U$15=$A48)*Properties!$AD$6:$AD$15)</f>
        <v>-149178.07433916861</v>
      </c>
      <c r="N48" s="122">
        <f t="shared" si="11"/>
        <v>2732776.8968397039</v>
      </c>
      <c r="O48" s="1"/>
      <c r="P48" s="1"/>
      <c r="Q48" s="1"/>
    </row>
    <row r="49" spans="1:17" ht="18" customHeight="1" x14ac:dyDescent="0.3">
      <c r="A49" s="1">
        <f t="shared" si="6"/>
        <v>44</v>
      </c>
      <c r="B49" s="227">
        <f>EOMONTH(Input!$C$7,$A49-1)</f>
        <v>47634</v>
      </c>
      <c r="C49" s="1">
        <f t="shared" si="7"/>
        <v>4</v>
      </c>
      <c r="D49" s="1">
        <f t="shared" si="8"/>
        <v>15</v>
      </c>
      <c r="E49" s="122" cm="1">
        <f t="array" ref="E49">_xlfn.LET(_xlpm.ann,-INDEX('Statement of Cash Flows'!$C$47:$L$47,$C49),_xlpm.w,-($H49+$I49)+MAX(0,-$J49),_xlpm.yrW,SUMPRODUCT(($C$6:$C$125=$C49)*(-($H$6:$H$125+$I$6:$I$125)+((-$J$6:$J$125)&gt;0)*(-$J$6:$J$125))),_xlpm.ann*IF(_xlpm.yrW&gt;0,_xlpm.w/_xlpm.yrW,IF($A49=($C49-1)*$Q$7+1,1,0)))</f>
        <v>0</v>
      </c>
      <c r="F49" s="122" cm="1">
        <f t="array" ref="F49">_xlfn.LET(_xlpm.ann,INDEX('Investor Return'!$C$11:$L$11,$C49),_xlpm.sale,'_Month Engine'!$C$71:$DR$71,_xlpm.yr,'_Month Engine'!$C$5:$DR$5,_xlpm.yearS,SUMPRODUCT((_xlpm.yr=$C49)*_xlpm.sale),_xlpm.mS,INDEX(_xlpm.sale,$A49),_xlpm.ann*IF(_xlpm.yearS&gt;0,_xlpm.mS/_xlpm.yearS,IF($A49=$C49*$Q$7,1,0)))</f>
        <v>0</v>
      </c>
      <c r="G49" s="122">
        <f t="shared" si="9"/>
        <v>0</v>
      </c>
      <c r="H49" s="122" cm="1">
        <f t="array" ref="H49">-SUMPRODUCT(Properties!$D$6:$D$15*(Properties!$Q$6:$Q$15=$A49)*(Properties!$M$6:$M$15+Properties!$O$6:$O$15))</f>
        <v>0</v>
      </c>
      <c r="I49" s="122" cm="1">
        <f t="array" ref="I49">-SUMPRODUCT(Properties!$D$6:$D$15*($A49&gt;=Properties!$Q$6:$Q$15)*($A49&lt;Properties!$T$6:$T$15)*Properties!$N$6:$N$15/(Properties!$R$6:$R$15+(Properties!$R$6:$R$15=0)))</f>
        <v>0</v>
      </c>
      <c r="J49" s="122" cm="1">
        <f t="array" ref="J49">_xlfn.LET(_xlpm.act,Properties!$D$6:$D$15,_xlpm.accM,Properties!$Q$6:$Q$15,_xlpm.rentM,Properties!$T$6:$T$15,_xlpm.saleM,Properties!$U$6:$U$15,_xlpm.owned,($A49&gt;=_xlpm.accM)*($A49&lt;_xlpm.saleM),_xlpm.renting,($A49&gt;=_xlpm.rentM)*($A49&lt;_xlpm.saleM),_xlpm.ratio,($A49-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49-1)-_xlpm.owned*_xlpm.ownFix/$Q$7-_xlpm.renting*_xlpm.rentFix/$Q$7)))</f>
        <v>0</v>
      </c>
      <c r="K49" s="122" cm="1">
        <f t="array" ref="K49">SUMPRODUCT(Properties!$D$6:$D$15*(Properties!$U$6:$U$15=$A49)*Properties!$AB$6:$AB$15)</f>
        <v>0</v>
      </c>
      <c r="L49" s="122">
        <f t="shared" si="10"/>
        <v>0</v>
      </c>
      <c r="M49" s="122" cm="1">
        <f t="array" ref="M49">-SUMPRODUCT(Properties!$D$6:$D$15*(Properties!$U$6:$U$15=$A49)*Properties!$AD$6:$AD$15)</f>
        <v>0</v>
      </c>
      <c r="N49" s="122">
        <f t="shared" si="11"/>
        <v>0</v>
      </c>
      <c r="O49" s="1"/>
      <c r="P49" s="1"/>
      <c r="Q49" s="1"/>
    </row>
    <row r="50" spans="1:17" ht="18" customHeight="1" x14ac:dyDescent="0.3">
      <c r="A50" s="1">
        <f t="shared" si="6"/>
        <v>45</v>
      </c>
      <c r="B50" s="227">
        <f>EOMONTH(Input!$C$7,$A50-1)</f>
        <v>47664</v>
      </c>
      <c r="C50" s="1">
        <f t="shared" si="7"/>
        <v>4</v>
      </c>
      <c r="D50" s="1">
        <f t="shared" si="8"/>
        <v>15</v>
      </c>
      <c r="E50" s="122" cm="1">
        <f t="array" ref="E50">_xlfn.LET(_xlpm.ann,-INDEX('Statement of Cash Flows'!$C$47:$L$47,$C50),_xlpm.w,-($H50+$I50)+MAX(0,-$J50),_xlpm.yrW,SUMPRODUCT(($C$6:$C$125=$C50)*(-($H$6:$H$125+$I$6:$I$125)+((-$J$6:$J$125)&gt;0)*(-$J$6:$J$125))),_xlpm.ann*IF(_xlpm.yrW&gt;0,_xlpm.w/_xlpm.yrW,IF($A50=($C50-1)*$Q$7+1,1,0)))</f>
        <v>0</v>
      </c>
      <c r="F50" s="122" cm="1">
        <f t="array" ref="F50">_xlfn.LET(_xlpm.ann,INDEX('Investor Return'!$C$11:$L$11,$C50),_xlpm.sale,'_Month Engine'!$C$71:$DR$71,_xlpm.yr,'_Month Engine'!$C$5:$DR$5,_xlpm.yearS,SUMPRODUCT((_xlpm.yr=$C50)*_xlpm.sale),_xlpm.mS,INDEX(_xlpm.sale,$A50),_xlpm.ann*IF(_xlpm.yearS&gt;0,_xlpm.mS/_xlpm.yearS,IF($A50=$C50*$Q$7,1,0)))</f>
        <v>0</v>
      </c>
      <c r="G50" s="122">
        <f t="shared" si="9"/>
        <v>0</v>
      </c>
      <c r="H50" s="122" cm="1">
        <f t="array" ref="H50">-SUMPRODUCT(Properties!$D$6:$D$15*(Properties!$Q$6:$Q$15=$A50)*(Properties!$M$6:$M$15+Properties!$O$6:$O$15))</f>
        <v>0</v>
      </c>
      <c r="I50" s="122" cm="1">
        <f t="array" ref="I50">-SUMPRODUCT(Properties!$D$6:$D$15*($A50&gt;=Properties!$Q$6:$Q$15)*($A50&lt;Properties!$T$6:$T$15)*Properties!$N$6:$N$15/(Properties!$R$6:$R$15+(Properties!$R$6:$R$15=0)))</f>
        <v>0</v>
      </c>
      <c r="J50" s="122" cm="1">
        <f t="array" ref="J50">_xlfn.LET(_xlpm.act,Properties!$D$6:$D$15,_xlpm.accM,Properties!$Q$6:$Q$15,_xlpm.rentM,Properties!$T$6:$T$15,_xlpm.saleM,Properties!$U$6:$U$15,_xlpm.owned,($A50&gt;=_xlpm.accM)*($A50&lt;_xlpm.saleM),_xlpm.renting,($A50&gt;=_xlpm.rentM)*($A50&lt;_xlpm.saleM),_xlpm.ratio,($A50-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50-1)-_xlpm.owned*_xlpm.ownFix/$Q$7-_xlpm.renting*_xlpm.rentFix/$Q$7)))</f>
        <v>0</v>
      </c>
      <c r="K50" s="122" cm="1">
        <f t="array" ref="K50">SUMPRODUCT(Properties!$D$6:$D$15*(Properties!$U$6:$U$15=$A50)*Properties!$AB$6:$AB$15)</f>
        <v>0</v>
      </c>
      <c r="L50" s="122">
        <f t="shared" si="10"/>
        <v>0</v>
      </c>
      <c r="M50" s="122" cm="1">
        <f t="array" ref="M50">-SUMPRODUCT(Properties!$D$6:$D$15*(Properties!$U$6:$U$15=$A50)*Properties!$AD$6:$AD$15)</f>
        <v>0</v>
      </c>
      <c r="N50" s="122">
        <f t="shared" si="11"/>
        <v>0</v>
      </c>
      <c r="O50" s="1"/>
      <c r="P50" s="1"/>
      <c r="Q50" s="1"/>
    </row>
    <row r="51" spans="1:17" ht="18" customHeight="1" x14ac:dyDescent="0.3">
      <c r="A51" s="1">
        <f t="shared" si="6"/>
        <v>46</v>
      </c>
      <c r="B51" s="227">
        <f>EOMONTH(Input!$C$7,$A51-1)</f>
        <v>47695</v>
      </c>
      <c r="C51" s="1">
        <f t="shared" si="7"/>
        <v>4</v>
      </c>
      <c r="D51" s="1">
        <f t="shared" si="8"/>
        <v>16</v>
      </c>
      <c r="E51" s="122" cm="1">
        <f t="array" ref="E51">_xlfn.LET(_xlpm.ann,-INDEX('Statement of Cash Flows'!$C$47:$L$47,$C51),_xlpm.w,-($H51+$I51)+MAX(0,-$J51),_xlpm.yrW,SUMPRODUCT(($C$6:$C$125=$C51)*(-($H$6:$H$125+$I$6:$I$125)+((-$J$6:$J$125)&gt;0)*(-$J$6:$J$125))),_xlpm.ann*IF(_xlpm.yrW&gt;0,_xlpm.w/_xlpm.yrW,IF($A51=($C51-1)*$Q$7+1,1,0)))</f>
        <v>0</v>
      </c>
      <c r="F51" s="122" cm="1">
        <f t="array" ref="F51">_xlfn.LET(_xlpm.ann,INDEX('Investor Return'!$C$11:$L$11,$C51),_xlpm.sale,'_Month Engine'!$C$71:$DR$71,_xlpm.yr,'_Month Engine'!$C$5:$DR$5,_xlpm.yearS,SUMPRODUCT((_xlpm.yr=$C51)*_xlpm.sale),_xlpm.mS,INDEX(_xlpm.sale,$A51),_xlpm.ann*IF(_xlpm.yearS&gt;0,_xlpm.mS/_xlpm.yearS,IF($A51=$C51*$Q$7,1,0)))</f>
        <v>0</v>
      </c>
      <c r="G51" s="122">
        <f t="shared" si="9"/>
        <v>0</v>
      </c>
      <c r="H51" s="122" cm="1">
        <f t="array" ref="H51">-SUMPRODUCT(Properties!$D$6:$D$15*(Properties!$Q$6:$Q$15=$A51)*(Properties!$M$6:$M$15+Properties!$O$6:$O$15))</f>
        <v>0</v>
      </c>
      <c r="I51" s="122" cm="1">
        <f t="array" ref="I51">-SUMPRODUCT(Properties!$D$6:$D$15*($A51&gt;=Properties!$Q$6:$Q$15)*($A51&lt;Properties!$T$6:$T$15)*Properties!$N$6:$N$15/(Properties!$R$6:$R$15+(Properties!$R$6:$R$15=0)))</f>
        <v>0</v>
      </c>
      <c r="J51" s="122" cm="1">
        <f t="array" ref="J51">_xlfn.LET(_xlpm.act,Properties!$D$6:$D$15,_xlpm.accM,Properties!$Q$6:$Q$15,_xlpm.rentM,Properties!$T$6:$T$15,_xlpm.saleM,Properties!$U$6:$U$15,_xlpm.owned,($A51&gt;=_xlpm.accM)*($A51&lt;_xlpm.saleM),_xlpm.renting,($A51&gt;=_xlpm.rentM)*($A51&lt;_xlpm.saleM),_xlpm.ratio,($A51-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51-1)-_xlpm.owned*_xlpm.ownFix/$Q$7-_xlpm.renting*_xlpm.rentFix/$Q$7)))</f>
        <v>0</v>
      </c>
      <c r="K51" s="122" cm="1">
        <f t="array" ref="K51">SUMPRODUCT(Properties!$D$6:$D$15*(Properties!$U$6:$U$15=$A51)*Properties!$AB$6:$AB$15)</f>
        <v>0</v>
      </c>
      <c r="L51" s="122">
        <f t="shared" si="10"/>
        <v>0</v>
      </c>
      <c r="M51" s="122" cm="1">
        <f t="array" ref="M51">-SUMPRODUCT(Properties!$D$6:$D$15*(Properties!$U$6:$U$15=$A51)*Properties!$AD$6:$AD$15)</f>
        <v>0</v>
      </c>
      <c r="N51" s="122">
        <f t="shared" si="11"/>
        <v>0</v>
      </c>
      <c r="O51" s="1"/>
      <c r="P51" s="1"/>
      <c r="Q51" s="1"/>
    </row>
    <row r="52" spans="1:17" ht="18" customHeight="1" x14ac:dyDescent="0.3">
      <c r="A52" s="1">
        <f t="shared" si="6"/>
        <v>47</v>
      </c>
      <c r="B52" s="227">
        <f>EOMONTH(Input!$C$7,$A52-1)</f>
        <v>47726</v>
      </c>
      <c r="C52" s="1">
        <f t="shared" si="7"/>
        <v>4</v>
      </c>
      <c r="D52" s="1">
        <f t="shared" si="8"/>
        <v>16</v>
      </c>
      <c r="E52" s="122" cm="1">
        <f t="array" ref="E52">_xlfn.LET(_xlpm.ann,-INDEX('Statement of Cash Flows'!$C$47:$L$47,$C52),_xlpm.w,-($H52+$I52)+MAX(0,-$J52),_xlpm.yrW,SUMPRODUCT(($C$6:$C$125=$C52)*(-($H$6:$H$125+$I$6:$I$125)+((-$J$6:$J$125)&gt;0)*(-$J$6:$J$125))),_xlpm.ann*IF(_xlpm.yrW&gt;0,_xlpm.w/_xlpm.yrW,IF($A52=($C52-1)*$Q$7+1,1,0)))</f>
        <v>0</v>
      </c>
      <c r="F52" s="122" cm="1">
        <f t="array" ref="F52">_xlfn.LET(_xlpm.ann,INDEX('Investor Return'!$C$11:$L$11,$C52),_xlpm.sale,'_Month Engine'!$C$71:$DR$71,_xlpm.yr,'_Month Engine'!$C$5:$DR$5,_xlpm.yearS,SUMPRODUCT((_xlpm.yr=$C52)*_xlpm.sale),_xlpm.mS,INDEX(_xlpm.sale,$A52),_xlpm.ann*IF(_xlpm.yearS&gt;0,_xlpm.mS/_xlpm.yearS,IF($A52=$C52*$Q$7,1,0)))</f>
        <v>0</v>
      </c>
      <c r="G52" s="122">
        <f t="shared" si="9"/>
        <v>0</v>
      </c>
      <c r="H52" s="122" cm="1">
        <f t="array" ref="H52">-SUMPRODUCT(Properties!$D$6:$D$15*(Properties!$Q$6:$Q$15=$A52)*(Properties!$M$6:$M$15+Properties!$O$6:$O$15))</f>
        <v>0</v>
      </c>
      <c r="I52" s="122" cm="1">
        <f t="array" ref="I52">-SUMPRODUCT(Properties!$D$6:$D$15*($A52&gt;=Properties!$Q$6:$Q$15)*($A52&lt;Properties!$T$6:$T$15)*Properties!$N$6:$N$15/(Properties!$R$6:$R$15+(Properties!$R$6:$R$15=0)))</f>
        <v>0</v>
      </c>
      <c r="J52" s="122" cm="1">
        <f t="array" ref="J52">_xlfn.LET(_xlpm.act,Properties!$D$6:$D$15,_xlpm.accM,Properties!$Q$6:$Q$15,_xlpm.rentM,Properties!$T$6:$T$15,_xlpm.saleM,Properties!$U$6:$U$15,_xlpm.owned,($A52&gt;=_xlpm.accM)*($A52&lt;_xlpm.saleM),_xlpm.renting,($A52&gt;=_xlpm.rentM)*($A52&lt;_xlpm.saleM),_xlpm.ratio,($A52-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52-1)-_xlpm.owned*_xlpm.ownFix/$Q$7-_xlpm.renting*_xlpm.rentFix/$Q$7)))</f>
        <v>0</v>
      </c>
      <c r="K52" s="122" cm="1">
        <f t="array" ref="K52">SUMPRODUCT(Properties!$D$6:$D$15*(Properties!$U$6:$U$15=$A52)*Properties!$AB$6:$AB$15)</f>
        <v>0</v>
      </c>
      <c r="L52" s="122">
        <f t="shared" si="10"/>
        <v>0</v>
      </c>
      <c r="M52" s="122" cm="1">
        <f t="array" ref="M52">-SUMPRODUCT(Properties!$D$6:$D$15*(Properties!$U$6:$U$15=$A52)*Properties!$AD$6:$AD$15)</f>
        <v>0</v>
      </c>
      <c r="N52" s="122">
        <f t="shared" si="11"/>
        <v>0</v>
      </c>
      <c r="O52" s="1"/>
      <c r="P52" s="1"/>
      <c r="Q52" s="1"/>
    </row>
    <row r="53" spans="1:17" ht="18" customHeight="1" x14ac:dyDescent="0.3">
      <c r="A53" s="1">
        <f t="shared" si="6"/>
        <v>48</v>
      </c>
      <c r="B53" s="227">
        <f>EOMONTH(Input!$C$7,$A53-1)</f>
        <v>47756</v>
      </c>
      <c r="C53" s="1">
        <f t="shared" si="7"/>
        <v>4</v>
      </c>
      <c r="D53" s="1">
        <f t="shared" si="8"/>
        <v>16</v>
      </c>
      <c r="E53" s="122" cm="1">
        <f t="array" ref="E53">_xlfn.LET(_xlpm.ann,-INDEX('Statement of Cash Flows'!$C$47:$L$47,$C53),_xlpm.w,-($H53+$I53)+MAX(0,-$J53),_xlpm.yrW,SUMPRODUCT(($C$6:$C$125=$C53)*(-($H$6:$H$125+$I$6:$I$125)+((-$J$6:$J$125)&gt;0)*(-$J$6:$J$125))),_xlpm.ann*IF(_xlpm.yrW&gt;0,_xlpm.w/_xlpm.yrW,IF($A53=($C53-1)*$Q$7+1,1,0)))</f>
        <v>0</v>
      </c>
      <c r="F53" s="122" cm="1">
        <f t="array" ref="F53">_xlfn.LET(_xlpm.ann,INDEX('Investor Return'!$C$11:$L$11,$C53),_xlpm.sale,'_Month Engine'!$C$71:$DR$71,_xlpm.yr,'_Month Engine'!$C$5:$DR$5,_xlpm.yearS,SUMPRODUCT((_xlpm.yr=$C53)*_xlpm.sale),_xlpm.mS,INDEX(_xlpm.sale,$A53),_xlpm.ann*IF(_xlpm.yearS&gt;0,_xlpm.mS/_xlpm.yearS,IF($A53=$C53*$Q$7,1,0)))</f>
        <v>0</v>
      </c>
      <c r="G53" s="122">
        <f t="shared" si="9"/>
        <v>0</v>
      </c>
      <c r="H53" s="122" cm="1">
        <f t="array" ref="H53">-SUMPRODUCT(Properties!$D$6:$D$15*(Properties!$Q$6:$Q$15=$A53)*(Properties!$M$6:$M$15+Properties!$O$6:$O$15))</f>
        <v>0</v>
      </c>
      <c r="I53" s="122" cm="1">
        <f t="array" ref="I53">-SUMPRODUCT(Properties!$D$6:$D$15*($A53&gt;=Properties!$Q$6:$Q$15)*($A53&lt;Properties!$T$6:$T$15)*Properties!$N$6:$N$15/(Properties!$R$6:$R$15+(Properties!$R$6:$R$15=0)))</f>
        <v>0</v>
      </c>
      <c r="J53" s="122" cm="1">
        <f t="array" ref="J53">_xlfn.LET(_xlpm.act,Properties!$D$6:$D$15,_xlpm.accM,Properties!$Q$6:$Q$15,_xlpm.rentM,Properties!$T$6:$T$15,_xlpm.saleM,Properties!$U$6:$U$15,_xlpm.owned,($A53&gt;=_xlpm.accM)*($A53&lt;_xlpm.saleM),_xlpm.renting,($A53&gt;=_xlpm.rentM)*($A53&lt;_xlpm.saleM),_xlpm.ratio,($A53-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53-1)-_xlpm.owned*_xlpm.ownFix/$Q$7-_xlpm.renting*_xlpm.rentFix/$Q$7)))</f>
        <v>0</v>
      </c>
      <c r="K53" s="122" cm="1">
        <f t="array" ref="K53">SUMPRODUCT(Properties!$D$6:$D$15*(Properties!$U$6:$U$15=$A53)*Properties!$AB$6:$AB$15)</f>
        <v>0</v>
      </c>
      <c r="L53" s="122">
        <f t="shared" si="10"/>
        <v>0</v>
      </c>
      <c r="M53" s="122" cm="1">
        <f t="array" ref="M53">-SUMPRODUCT(Properties!$D$6:$D$15*(Properties!$U$6:$U$15=$A53)*Properties!$AD$6:$AD$15)</f>
        <v>0</v>
      </c>
      <c r="N53" s="122">
        <f t="shared" si="11"/>
        <v>0</v>
      </c>
      <c r="O53" s="1"/>
      <c r="P53" s="1"/>
      <c r="Q53" s="1"/>
    </row>
    <row r="54" spans="1:17" ht="18" customHeight="1" x14ac:dyDescent="0.3">
      <c r="A54" s="1">
        <f t="shared" si="6"/>
        <v>49</v>
      </c>
      <c r="B54" s="227">
        <f>EOMONTH(Input!$C$7,$A54-1)</f>
        <v>47787</v>
      </c>
      <c r="C54" s="1">
        <f t="shared" si="7"/>
        <v>5</v>
      </c>
      <c r="D54" s="1">
        <f t="shared" si="8"/>
        <v>17</v>
      </c>
      <c r="E54" s="122" cm="1">
        <f t="array" ref="E54">_xlfn.LET(_xlpm.ann,-INDEX('Statement of Cash Flows'!$C$47:$L$47,$C54),_xlpm.w,-($H54+$I54)+MAX(0,-$J54),_xlpm.yrW,SUMPRODUCT(($C$6:$C$125=$C54)*(-($H$6:$H$125+$I$6:$I$125)+((-$J$6:$J$125)&gt;0)*(-$J$6:$J$125))),_xlpm.ann*IF(_xlpm.yrW&gt;0,_xlpm.w/_xlpm.yrW,IF($A54=($C54-1)*$Q$7+1,1,0)))</f>
        <v>0</v>
      </c>
      <c r="F54" s="122" cm="1">
        <f t="array" ref="F54">_xlfn.LET(_xlpm.ann,INDEX('Investor Return'!$C$11:$L$11,$C54),_xlpm.sale,'_Month Engine'!$C$71:$DR$71,_xlpm.yr,'_Month Engine'!$C$5:$DR$5,_xlpm.yearS,SUMPRODUCT((_xlpm.yr=$C54)*_xlpm.sale),_xlpm.mS,INDEX(_xlpm.sale,$A54),_xlpm.ann*IF(_xlpm.yearS&gt;0,_xlpm.mS/_xlpm.yearS,IF($A54=$C54*$Q$7,1,0)))</f>
        <v>0</v>
      </c>
      <c r="G54" s="122">
        <f t="shared" si="9"/>
        <v>0</v>
      </c>
      <c r="H54" s="122" cm="1">
        <f t="array" ref="H54">-SUMPRODUCT(Properties!$D$6:$D$15*(Properties!$Q$6:$Q$15=$A54)*(Properties!$M$6:$M$15+Properties!$O$6:$O$15))</f>
        <v>0</v>
      </c>
      <c r="I54" s="122" cm="1">
        <f t="array" ref="I54">-SUMPRODUCT(Properties!$D$6:$D$15*($A54&gt;=Properties!$Q$6:$Q$15)*($A54&lt;Properties!$T$6:$T$15)*Properties!$N$6:$N$15/(Properties!$R$6:$R$15+(Properties!$R$6:$R$15=0)))</f>
        <v>0</v>
      </c>
      <c r="J54" s="122" cm="1">
        <f t="array" ref="J54">_xlfn.LET(_xlpm.act,Properties!$D$6:$D$15,_xlpm.accM,Properties!$Q$6:$Q$15,_xlpm.rentM,Properties!$T$6:$T$15,_xlpm.saleM,Properties!$U$6:$U$15,_xlpm.owned,($A54&gt;=_xlpm.accM)*($A54&lt;_xlpm.saleM),_xlpm.renting,($A54&gt;=_xlpm.rentM)*($A54&lt;_xlpm.saleM),_xlpm.ratio,($A54-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54-1)-_xlpm.owned*_xlpm.ownFix/$Q$7-_xlpm.renting*_xlpm.rentFix/$Q$7)))</f>
        <v>0</v>
      </c>
      <c r="K54" s="122" cm="1">
        <f t="array" ref="K54">SUMPRODUCT(Properties!$D$6:$D$15*(Properties!$U$6:$U$15=$A54)*Properties!$AB$6:$AB$15)</f>
        <v>0</v>
      </c>
      <c r="L54" s="122">
        <f t="shared" si="10"/>
        <v>0</v>
      </c>
      <c r="M54" s="122" cm="1">
        <f t="array" ref="M54">-SUMPRODUCT(Properties!$D$6:$D$15*(Properties!$U$6:$U$15=$A54)*Properties!$AD$6:$AD$15)</f>
        <v>0</v>
      </c>
      <c r="N54" s="122">
        <f t="shared" si="11"/>
        <v>0</v>
      </c>
      <c r="O54" s="1"/>
      <c r="P54" s="1"/>
      <c r="Q54" s="1"/>
    </row>
    <row r="55" spans="1:17" ht="18" customHeight="1" x14ac:dyDescent="0.3">
      <c r="A55" s="1">
        <f t="shared" si="6"/>
        <v>50</v>
      </c>
      <c r="B55" s="227">
        <f>EOMONTH(Input!$C$7,$A55-1)</f>
        <v>47817</v>
      </c>
      <c r="C55" s="1">
        <f t="shared" si="7"/>
        <v>5</v>
      </c>
      <c r="D55" s="1">
        <f t="shared" si="8"/>
        <v>17</v>
      </c>
      <c r="E55" s="122" cm="1">
        <f t="array" ref="E55">_xlfn.LET(_xlpm.ann,-INDEX('Statement of Cash Flows'!$C$47:$L$47,$C55),_xlpm.w,-($H55+$I55)+MAX(0,-$J55),_xlpm.yrW,SUMPRODUCT(($C$6:$C$125=$C55)*(-($H$6:$H$125+$I$6:$I$125)+((-$J$6:$J$125)&gt;0)*(-$J$6:$J$125))),_xlpm.ann*IF(_xlpm.yrW&gt;0,_xlpm.w/_xlpm.yrW,IF($A55=($C55-1)*$Q$7+1,1,0)))</f>
        <v>0</v>
      </c>
      <c r="F55" s="122" cm="1">
        <f t="array" ref="F55">_xlfn.LET(_xlpm.ann,INDEX('Investor Return'!$C$11:$L$11,$C55),_xlpm.sale,'_Month Engine'!$C$71:$DR$71,_xlpm.yr,'_Month Engine'!$C$5:$DR$5,_xlpm.yearS,SUMPRODUCT((_xlpm.yr=$C55)*_xlpm.sale),_xlpm.mS,INDEX(_xlpm.sale,$A55),_xlpm.ann*IF(_xlpm.yearS&gt;0,_xlpm.mS/_xlpm.yearS,IF($A55=$C55*$Q$7,1,0)))</f>
        <v>0</v>
      </c>
      <c r="G55" s="122">
        <f t="shared" si="9"/>
        <v>0</v>
      </c>
      <c r="H55" s="122" cm="1">
        <f t="array" ref="H55">-SUMPRODUCT(Properties!$D$6:$D$15*(Properties!$Q$6:$Q$15=$A55)*(Properties!$M$6:$M$15+Properties!$O$6:$O$15))</f>
        <v>0</v>
      </c>
      <c r="I55" s="122" cm="1">
        <f t="array" ref="I55">-SUMPRODUCT(Properties!$D$6:$D$15*($A55&gt;=Properties!$Q$6:$Q$15)*($A55&lt;Properties!$T$6:$T$15)*Properties!$N$6:$N$15/(Properties!$R$6:$R$15+(Properties!$R$6:$R$15=0)))</f>
        <v>0</v>
      </c>
      <c r="J55" s="122" cm="1">
        <f t="array" ref="J55">_xlfn.LET(_xlpm.act,Properties!$D$6:$D$15,_xlpm.accM,Properties!$Q$6:$Q$15,_xlpm.rentM,Properties!$T$6:$T$15,_xlpm.saleM,Properties!$U$6:$U$15,_xlpm.owned,($A55&gt;=_xlpm.accM)*($A55&lt;_xlpm.saleM),_xlpm.renting,($A55&gt;=_xlpm.rentM)*($A55&lt;_xlpm.saleM),_xlpm.ratio,($A55-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55-1)-_xlpm.owned*_xlpm.ownFix/$Q$7-_xlpm.renting*_xlpm.rentFix/$Q$7)))</f>
        <v>0</v>
      </c>
      <c r="K55" s="122" cm="1">
        <f t="array" ref="K55">SUMPRODUCT(Properties!$D$6:$D$15*(Properties!$U$6:$U$15=$A55)*Properties!$AB$6:$AB$15)</f>
        <v>0</v>
      </c>
      <c r="L55" s="122">
        <f t="shared" si="10"/>
        <v>0</v>
      </c>
      <c r="M55" s="122" cm="1">
        <f t="array" ref="M55">-SUMPRODUCT(Properties!$D$6:$D$15*(Properties!$U$6:$U$15=$A55)*Properties!$AD$6:$AD$15)</f>
        <v>0</v>
      </c>
      <c r="N55" s="122">
        <f t="shared" si="11"/>
        <v>0</v>
      </c>
      <c r="O55" s="1"/>
      <c r="P55" s="1"/>
      <c r="Q55" s="1"/>
    </row>
    <row r="56" spans="1:17" ht="18" customHeight="1" x14ac:dyDescent="0.3">
      <c r="A56" s="1">
        <f t="shared" si="6"/>
        <v>51</v>
      </c>
      <c r="B56" s="227">
        <f>EOMONTH(Input!$C$7,$A56-1)</f>
        <v>47848</v>
      </c>
      <c r="C56" s="1">
        <f t="shared" si="7"/>
        <v>5</v>
      </c>
      <c r="D56" s="1">
        <f t="shared" si="8"/>
        <v>17</v>
      </c>
      <c r="E56" s="122" cm="1">
        <f t="array" ref="E56">_xlfn.LET(_xlpm.ann,-INDEX('Statement of Cash Flows'!$C$47:$L$47,$C56),_xlpm.w,-($H56+$I56)+MAX(0,-$J56),_xlpm.yrW,SUMPRODUCT(($C$6:$C$125=$C56)*(-($H$6:$H$125+$I$6:$I$125)+((-$J$6:$J$125)&gt;0)*(-$J$6:$J$125))),_xlpm.ann*IF(_xlpm.yrW&gt;0,_xlpm.w/_xlpm.yrW,IF($A56=($C56-1)*$Q$7+1,1,0)))</f>
        <v>0</v>
      </c>
      <c r="F56" s="122" cm="1">
        <f t="array" ref="F56">_xlfn.LET(_xlpm.ann,INDEX('Investor Return'!$C$11:$L$11,$C56),_xlpm.sale,'_Month Engine'!$C$71:$DR$71,_xlpm.yr,'_Month Engine'!$C$5:$DR$5,_xlpm.yearS,SUMPRODUCT((_xlpm.yr=$C56)*_xlpm.sale),_xlpm.mS,INDEX(_xlpm.sale,$A56),_xlpm.ann*IF(_xlpm.yearS&gt;0,_xlpm.mS/_xlpm.yearS,IF($A56=$C56*$Q$7,1,0)))</f>
        <v>0</v>
      </c>
      <c r="G56" s="122">
        <f t="shared" si="9"/>
        <v>0</v>
      </c>
      <c r="H56" s="122" cm="1">
        <f t="array" ref="H56">-SUMPRODUCT(Properties!$D$6:$D$15*(Properties!$Q$6:$Q$15=$A56)*(Properties!$M$6:$M$15+Properties!$O$6:$O$15))</f>
        <v>0</v>
      </c>
      <c r="I56" s="122" cm="1">
        <f t="array" ref="I56">-SUMPRODUCT(Properties!$D$6:$D$15*($A56&gt;=Properties!$Q$6:$Q$15)*($A56&lt;Properties!$T$6:$T$15)*Properties!$N$6:$N$15/(Properties!$R$6:$R$15+(Properties!$R$6:$R$15=0)))</f>
        <v>0</v>
      </c>
      <c r="J56" s="122" cm="1">
        <f t="array" ref="J56">_xlfn.LET(_xlpm.act,Properties!$D$6:$D$15,_xlpm.accM,Properties!$Q$6:$Q$15,_xlpm.rentM,Properties!$T$6:$T$15,_xlpm.saleM,Properties!$U$6:$U$15,_xlpm.owned,($A56&gt;=_xlpm.accM)*($A56&lt;_xlpm.saleM),_xlpm.renting,($A56&gt;=_xlpm.rentM)*($A56&lt;_xlpm.saleM),_xlpm.ratio,($A56-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56-1)-_xlpm.owned*_xlpm.ownFix/$Q$7-_xlpm.renting*_xlpm.rentFix/$Q$7)))</f>
        <v>0</v>
      </c>
      <c r="K56" s="122" cm="1">
        <f t="array" ref="K56">SUMPRODUCT(Properties!$D$6:$D$15*(Properties!$U$6:$U$15=$A56)*Properties!$AB$6:$AB$15)</f>
        <v>0</v>
      </c>
      <c r="L56" s="122">
        <f t="shared" si="10"/>
        <v>0</v>
      </c>
      <c r="M56" s="122" cm="1">
        <f t="array" ref="M56">-SUMPRODUCT(Properties!$D$6:$D$15*(Properties!$U$6:$U$15=$A56)*Properties!$AD$6:$AD$15)</f>
        <v>0</v>
      </c>
      <c r="N56" s="122">
        <f t="shared" si="11"/>
        <v>0</v>
      </c>
      <c r="O56" s="1"/>
      <c r="P56" s="1"/>
      <c r="Q56" s="1"/>
    </row>
    <row r="57" spans="1:17" ht="18" customHeight="1" x14ac:dyDescent="0.3">
      <c r="A57" s="1">
        <f t="shared" si="6"/>
        <v>52</v>
      </c>
      <c r="B57" s="227">
        <f>EOMONTH(Input!$C$7,$A57-1)</f>
        <v>47879</v>
      </c>
      <c r="C57" s="1">
        <f t="shared" si="7"/>
        <v>5</v>
      </c>
      <c r="D57" s="1">
        <f t="shared" si="8"/>
        <v>18</v>
      </c>
      <c r="E57" s="122" cm="1">
        <f t="array" ref="E57">_xlfn.LET(_xlpm.ann,-INDEX('Statement of Cash Flows'!$C$47:$L$47,$C57),_xlpm.w,-($H57+$I57)+MAX(0,-$J57),_xlpm.yrW,SUMPRODUCT(($C$6:$C$125=$C57)*(-($H$6:$H$125+$I$6:$I$125)+((-$J$6:$J$125)&gt;0)*(-$J$6:$J$125))),_xlpm.ann*IF(_xlpm.yrW&gt;0,_xlpm.w/_xlpm.yrW,IF($A57=($C57-1)*$Q$7+1,1,0)))</f>
        <v>0</v>
      </c>
      <c r="F57" s="122" cm="1">
        <f t="array" ref="F57">_xlfn.LET(_xlpm.ann,INDEX('Investor Return'!$C$11:$L$11,$C57),_xlpm.sale,'_Month Engine'!$C$71:$DR$71,_xlpm.yr,'_Month Engine'!$C$5:$DR$5,_xlpm.yearS,SUMPRODUCT((_xlpm.yr=$C57)*_xlpm.sale),_xlpm.mS,INDEX(_xlpm.sale,$A57),_xlpm.ann*IF(_xlpm.yearS&gt;0,_xlpm.mS/_xlpm.yearS,IF($A57=$C57*$Q$7,1,0)))</f>
        <v>0</v>
      </c>
      <c r="G57" s="122">
        <f t="shared" si="9"/>
        <v>0</v>
      </c>
      <c r="H57" s="122" cm="1">
        <f t="array" ref="H57">-SUMPRODUCT(Properties!$D$6:$D$15*(Properties!$Q$6:$Q$15=$A57)*(Properties!$M$6:$M$15+Properties!$O$6:$O$15))</f>
        <v>0</v>
      </c>
      <c r="I57" s="122" cm="1">
        <f t="array" ref="I57">-SUMPRODUCT(Properties!$D$6:$D$15*($A57&gt;=Properties!$Q$6:$Q$15)*($A57&lt;Properties!$T$6:$T$15)*Properties!$N$6:$N$15/(Properties!$R$6:$R$15+(Properties!$R$6:$R$15=0)))</f>
        <v>0</v>
      </c>
      <c r="J57" s="122" cm="1">
        <f t="array" ref="J57">_xlfn.LET(_xlpm.act,Properties!$D$6:$D$15,_xlpm.accM,Properties!$Q$6:$Q$15,_xlpm.rentM,Properties!$T$6:$T$15,_xlpm.saleM,Properties!$U$6:$U$15,_xlpm.owned,($A57&gt;=_xlpm.accM)*($A57&lt;_xlpm.saleM),_xlpm.renting,($A57&gt;=_xlpm.rentM)*($A57&lt;_xlpm.saleM),_xlpm.ratio,($A57-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57-1)-_xlpm.owned*_xlpm.ownFix/$Q$7-_xlpm.renting*_xlpm.rentFix/$Q$7)))</f>
        <v>0</v>
      </c>
      <c r="K57" s="122" cm="1">
        <f t="array" ref="K57">SUMPRODUCT(Properties!$D$6:$D$15*(Properties!$U$6:$U$15=$A57)*Properties!$AB$6:$AB$15)</f>
        <v>0</v>
      </c>
      <c r="L57" s="122">
        <f t="shared" si="10"/>
        <v>0</v>
      </c>
      <c r="M57" s="122" cm="1">
        <f t="array" ref="M57">-SUMPRODUCT(Properties!$D$6:$D$15*(Properties!$U$6:$U$15=$A57)*Properties!$AD$6:$AD$15)</f>
        <v>0</v>
      </c>
      <c r="N57" s="122">
        <f t="shared" si="11"/>
        <v>0</v>
      </c>
      <c r="O57" s="1"/>
      <c r="P57" s="1"/>
      <c r="Q57" s="1"/>
    </row>
    <row r="58" spans="1:17" ht="18" customHeight="1" x14ac:dyDescent="0.3">
      <c r="A58" s="1">
        <f t="shared" si="6"/>
        <v>53</v>
      </c>
      <c r="B58" s="227">
        <f>EOMONTH(Input!$C$7,$A58-1)</f>
        <v>47907</v>
      </c>
      <c r="C58" s="1">
        <f t="shared" si="7"/>
        <v>5</v>
      </c>
      <c r="D58" s="1">
        <f t="shared" si="8"/>
        <v>18</v>
      </c>
      <c r="E58" s="122" cm="1">
        <f t="array" ref="E58">_xlfn.LET(_xlpm.ann,-INDEX('Statement of Cash Flows'!$C$47:$L$47,$C58),_xlpm.w,-($H58+$I58)+MAX(0,-$J58),_xlpm.yrW,SUMPRODUCT(($C$6:$C$125=$C58)*(-($H$6:$H$125+$I$6:$I$125)+((-$J$6:$J$125)&gt;0)*(-$J$6:$J$125))),_xlpm.ann*IF(_xlpm.yrW&gt;0,_xlpm.w/_xlpm.yrW,IF($A58=($C58-1)*$Q$7+1,1,0)))</f>
        <v>0</v>
      </c>
      <c r="F58" s="122" cm="1">
        <f t="array" ref="F58">_xlfn.LET(_xlpm.ann,INDEX('Investor Return'!$C$11:$L$11,$C58),_xlpm.sale,'_Month Engine'!$C$71:$DR$71,_xlpm.yr,'_Month Engine'!$C$5:$DR$5,_xlpm.yearS,SUMPRODUCT((_xlpm.yr=$C58)*_xlpm.sale),_xlpm.mS,INDEX(_xlpm.sale,$A58),_xlpm.ann*IF(_xlpm.yearS&gt;0,_xlpm.mS/_xlpm.yearS,IF($A58=$C58*$Q$7,1,0)))</f>
        <v>0</v>
      </c>
      <c r="G58" s="122">
        <f t="shared" si="9"/>
        <v>0</v>
      </c>
      <c r="H58" s="122" cm="1">
        <f t="array" ref="H58">-SUMPRODUCT(Properties!$D$6:$D$15*(Properties!$Q$6:$Q$15=$A58)*(Properties!$M$6:$M$15+Properties!$O$6:$O$15))</f>
        <v>0</v>
      </c>
      <c r="I58" s="122" cm="1">
        <f t="array" ref="I58">-SUMPRODUCT(Properties!$D$6:$D$15*($A58&gt;=Properties!$Q$6:$Q$15)*($A58&lt;Properties!$T$6:$T$15)*Properties!$N$6:$N$15/(Properties!$R$6:$R$15+(Properties!$R$6:$R$15=0)))</f>
        <v>0</v>
      </c>
      <c r="J58" s="122" cm="1">
        <f t="array" ref="J58">_xlfn.LET(_xlpm.act,Properties!$D$6:$D$15,_xlpm.accM,Properties!$Q$6:$Q$15,_xlpm.rentM,Properties!$T$6:$T$15,_xlpm.saleM,Properties!$U$6:$U$15,_xlpm.owned,($A58&gt;=_xlpm.accM)*($A58&lt;_xlpm.saleM),_xlpm.renting,($A58&gt;=_xlpm.rentM)*($A58&lt;_xlpm.saleM),_xlpm.ratio,($A58-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58-1)-_xlpm.owned*_xlpm.ownFix/$Q$7-_xlpm.renting*_xlpm.rentFix/$Q$7)))</f>
        <v>0</v>
      </c>
      <c r="K58" s="122" cm="1">
        <f t="array" ref="K58">SUMPRODUCT(Properties!$D$6:$D$15*(Properties!$U$6:$U$15=$A58)*Properties!$AB$6:$AB$15)</f>
        <v>0</v>
      </c>
      <c r="L58" s="122">
        <f t="shared" si="10"/>
        <v>0</v>
      </c>
      <c r="M58" s="122" cm="1">
        <f t="array" ref="M58">-SUMPRODUCT(Properties!$D$6:$D$15*(Properties!$U$6:$U$15=$A58)*Properties!$AD$6:$AD$15)</f>
        <v>0</v>
      </c>
      <c r="N58" s="122">
        <f t="shared" si="11"/>
        <v>0</v>
      </c>
      <c r="O58" s="1"/>
      <c r="P58" s="1"/>
      <c r="Q58" s="1"/>
    </row>
    <row r="59" spans="1:17" ht="18" customHeight="1" x14ac:dyDescent="0.3">
      <c r="A59" s="1">
        <f t="shared" si="6"/>
        <v>54</v>
      </c>
      <c r="B59" s="227">
        <f>EOMONTH(Input!$C$7,$A59-1)</f>
        <v>47938</v>
      </c>
      <c r="C59" s="1">
        <f t="shared" si="7"/>
        <v>5</v>
      </c>
      <c r="D59" s="1">
        <f t="shared" si="8"/>
        <v>18</v>
      </c>
      <c r="E59" s="122" cm="1">
        <f t="array" ref="E59">_xlfn.LET(_xlpm.ann,-INDEX('Statement of Cash Flows'!$C$47:$L$47,$C59),_xlpm.w,-($H59+$I59)+MAX(0,-$J59),_xlpm.yrW,SUMPRODUCT(($C$6:$C$125=$C59)*(-($H$6:$H$125+$I$6:$I$125)+((-$J$6:$J$125)&gt;0)*(-$J$6:$J$125))),_xlpm.ann*IF(_xlpm.yrW&gt;0,_xlpm.w/_xlpm.yrW,IF($A59=($C59-1)*$Q$7+1,1,0)))</f>
        <v>0</v>
      </c>
      <c r="F59" s="122" cm="1">
        <f t="array" ref="F59">_xlfn.LET(_xlpm.ann,INDEX('Investor Return'!$C$11:$L$11,$C59),_xlpm.sale,'_Month Engine'!$C$71:$DR$71,_xlpm.yr,'_Month Engine'!$C$5:$DR$5,_xlpm.yearS,SUMPRODUCT((_xlpm.yr=$C59)*_xlpm.sale),_xlpm.mS,INDEX(_xlpm.sale,$A59),_xlpm.ann*IF(_xlpm.yearS&gt;0,_xlpm.mS/_xlpm.yearS,IF($A59=$C59*$Q$7,1,0)))</f>
        <v>0</v>
      </c>
      <c r="G59" s="122">
        <f t="shared" si="9"/>
        <v>0</v>
      </c>
      <c r="H59" s="122" cm="1">
        <f t="array" ref="H59">-SUMPRODUCT(Properties!$D$6:$D$15*(Properties!$Q$6:$Q$15=$A59)*(Properties!$M$6:$M$15+Properties!$O$6:$O$15))</f>
        <v>0</v>
      </c>
      <c r="I59" s="122" cm="1">
        <f t="array" ref="I59">-SUMPRODUCT(Properties!$D$6:$D$15*($A59&gt;=Properties!$Q$6:$Q$15)*($A59&lt;Properties!$T$6:$T$15)*Properties!$N$6:$N$15/(Properties!$R$6:$R$15+(Properties!$R$6:$R$15=0)))</f>
        <v>0</v>
      </c>
      <c r="J59" s="122" cm="1">
        <f t="array" ref="J59">_xlfn.LET(_xlpm.act,Properties!$D$6:$D$15,_xlpm.accM,Properties!$Q$6:$Q$15,_xlpm.rentM,Properties!$T$6:$T$15,_xlpm.saleM,Properties!$U$6:$U$15,_xlpm.owned,($A59&gt;=_xlpm.accM)*($A59&lt;_xlpm.saleM),_xlpm.renting,($A59&gt;=_xlpm.rentM)*($A59&lt;_xlpm.saleM),_xlpm.ratio,($A59-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59-1)-_xlpm.owned*_xlpm.ownFix/$Q$7-_xlpm.renting*_xlpm.rentFix/$Q$7)))</f>
        <v>0</v>
      </c>
      <c r="K59" s="122" cm="1">
        <f t="array" ref="K59">SUMPRODUCT(Properties!$D$6:$D$15*(Properties!$U$6:$U$15=$A59)*Properties!$AB$6:$AB$15)</f>
        <v>0</v>
      </c>
      <c r="L59" s="122">
        <f t="shared" si="10"/>
        <v>0</v>
      </c>
      <c r="M59" s="122" cm="1">
        <f t="array" ref="M59">-SUMPRODUCT(Properties!$D$6:$D$15*(Properties!$U$6:$U$15=$A59)*Properties!$AD$6:$AD$15)</f>
        <v>0</v>
      </c>
      <c r="N59" s="122">
        <f t="shared" si="11"/>
        <v>0</v>
      </c>
      <c r="O59" s="1"/>
      <c r="P59" s="1"/>
      <c r="Q59" s="1"/>
    </row>
    <row r="60" spans="1:17" ht="18" customHeight="1" x14ac:dyDescent="0.3">
      <c r="A60" s="1">
        <f t="shared" si="6"/>
        <v>55</v>
      </c>
      <c r="B60" s="227">
        <f>EOMONTH(Input!$C$7,$A60-1)</f>
        <v>47968</v>
      </c>
      <c r="C60" s="1">
        <f t="shared" si="7"/>
        <v>5</v>
      </c>
      <c r="D60" s="1">
        <f t="shared" si="8"/>
        <v>19</v>
      </c>
      <c r="E60" s="122" cm="1">
        <f t="array" ref="E60">_xlfn.LET(_xlpm.ann,-INDEX('Statement of Cash Flows'!$C$47:$L$47,$C60),_xlpm.w,-($H60+$I60)+MAX(0,-$J60),_xlpm.yrW,SUMPRODUCT(($C$6:$C$125=$C60)*(-($H$6:$H$125+$I$6:$I$125)+((-$J$6:$J$125)&gt;0)*(-$J$6:$J$125))),_xlpm.ann*IF(_xlpm.yrW&gt;0,_xlpm.w/_xlpm.yrW,IF($A60=($C60-1)*$Q$7+1,1,0)))</f>
        <v>0</v>
      </c>
      <c r="F60" s="122" cm="1">
        <f t="array" ref="F60">_xlfn.LET(_xlpm.ann,INDEX('Investor Return'!$C$11:$L$11,$C60),_xlpm.sale,'_Month Engine'!$C$71:$DR$71,_xlpm.yr,'_Month Engine'!$C$5:$DR$5,_xlpm.yearS,SUMPRODUCT((_xlpm.yr=$C60)*_xlpm.sale),_xlpm.mS,INDEX(_xlpm.sale,$A60),_xlpm.ann*IF(_xlpm.yearS&gt;0,_xlpm.mS/_xlpm.yearS,IF($A60=$C60*$Q$7,1,0)))</f>
        <v>0</v>
      </c>
      <c r="G60" s="122">
        <f t="shared" si="9"/>
        <v>0</v>
      </c>
      <c r="H60" s="122" cm="1">
        <f t="array" ref="H60">-SUMPRODUCT(Properties!$D$6:$D$15*(Properties!$Q$6:$Q$15=$A60)*(Properties!$M$6:$M$15+Properties!$O$6:$O$15))</f>
        <v>0</v>
      </c>
      <c r="I60" s="122" cm="1">
        <f t="array" ref="I60">-SUMPRODUCT(Properties!$D$6:$D$15*($A60&gt;=Properties!$Q$6:$Q$15)*($A60&lt;Properties!$T$6:$T$15)*Properties!$N$6:$N$15/(Properties!$R$6:$R$15+(Properties!$R$6:$R$15=0)))</f>
        <v>0</v>
      </c>
      <c r="J60" s="122" cm="1">
        <f t="array" ref="J60">_xlfn.LET(_xlpm.act,Properties!$D$6:$D$15,_xlpm.accM,Properties!$Q$6:$Q$15,_xlpm.rentM,Properties!$T$6:$T$15,_xlpm.saleM,Properties!$U$6:$U$15,_xlpm.owned,($A60&gt;=_xlpm.accM)*($A60&lt;_xlpm.saleM),_xlpm.renting,($A60&gt;=_xlpm.rentM)*($A60&lt;_xlpm.saleM),_xlpm.ratio,($A60-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60-1)-_xlpm.owned*_xlpm.ownFix/$Q$7-_xlpm.renting*_xlpm.rentFix/$Q$7)))</f>
        <v>0</v>
      </c>
      <c r="K60" s="122" cm="1">
        <f t="array" ref="K60">SUMPRODUCT(Properties!$D$6:$D$15*(Properties!$U$6:$U$15=$A60)*Properties!$AB$6:$AB$15)</f>
        <v>0</v>
      </c>
      <c r="L60" s="122">
        <f t="shared" si="10"/>
        <v>0</v>
      </c>
      <c r="M60" s="122" cm="1">
        <f t="array" ref="M60">-SUMPRODUCT(Properties!$D$6:$D$15*(Properties!$U$6:$U$15=$A60)*Properties!$AD$6:$AD$15)</f>
        <v>0</v>
      </c>
      <c r="N60" s="122">
        <f t="shared" si="11"/>
        <v>0</v>
      </c>
      <c r="O60" s="1"/>
      <c r="P60" s="1"/>
      <c r="Q60" s="1"/>
    </row>
    <row r="61" spans="1:17" ht="18" customHeight="1" x14ac:dyDescent="0.3">
      <c r="A61" s="1">
        <f t="shared" si="6"/>
        <v>56</v>
      </c>
      <c r="B61" s="227">
        <f>EOMONTH(Input!$C$7,$A61-1)</f>
        <v>47999</v>
      </c>
      <c r="C61" s="1">
        <f t="shared" si="7"/>
        <v>5</v>
      </c>
      <c r="D61" s="1">
        <f t="shared" si="8"/>
        <v>19</v>
      </c>
      <c r="E61" s="122" cm="1">
        <f t="array" ref="E61">_xlfn.LET(_xlpm.ann,-INDEX('Statement of Cash Flows'!$C$47:$L$47,$C61),_xlpm.w,-($H61+$I61)+MAX(0,-$J61),_xlpm.yrW,SUMPRODUCT(($C$6:$C$125=$C61)*(-($H$6:$H$125+$I$6:$I$125)+((-$J$6:$J$125)&gt;0)*(-$J$6:$J$125))),_xlpm.ann*IF(_xlpm.yrW&gt;0,_xlpm.w/_xlpm.yrW,IF($A61=($C61-1)*$Q$7+1,1,0)))</f>
        <v>0</v>
      </c>
      <c r="F61" s="122" cm="1">
        <f t="array" ref="F61">_xlfn.LET(_xlpm.ann,INDEX('Investor Return'!$C$11:$L$11,$C61),_xlpm.sale,'_Month Engine'!$C$71:$DR$71,_xlpm.yr,'_Month Engine'!$C$5:$DR$5,_xlpm.yearS,SUMPRODUCT((_xlpm.yr=$C61)*_xlpm.sale),_xlpm.mS,INDEX(_xlpm.sale,$A61),_xlpm.ann*IF(_xlpm.yearS&gt;0,_xlpm.mS/_xlpm.yearS,IF($A61=$C61*$Q$7,1,0)))</f>
        <v>0</v>
      </c>
      <c r="G61" s="122">
        <f t="shared" si="9"/>
        <v>0</v>
      </c>
      <c r="H61" s="122" cm="1">
        <f t="array" ref="H61">-SUMPRODUCT(Properties!$D$6:$D$15*(Properties!$Q$6:$Q$15=$A61)*(Properties!$M$6:$M$15+Properties!$O$6:$O$15))</f>
        <v>0</v>
      </c>
      <c r="I61" s="122" cm="1">
        <f t="array" ref="I61">-SUMPRODUCT(Properties!$D$6:$D$15*($A61&gt;=Properties!$Q$6:$Q$15)*($A61&lt;Properties!$T$6:$T$15)*Properties!$N$6:$N$15/(Properties!$R$6:$R$15+(Properties!$R$6:$R$15=0)))</f>
        <v>0</v>
      </c>
      <c r="J61" s="122" cm="1">
        <f t="array" ref="J61">_xlfn.LET(_xlpm.act,Properties!$D$6:$D$15,_xlpm.accM,Properties!$Q$6:$Q$15,_xlpm.rentM,Properties!$T$6:$T$15,_xlpm.saleM,Properties!$U$6:$U$15,_xlpm.owned,($A61&gt;=_xlpm.accM)*($A61&lt;_xlpm.saleM),_xlpm.renting,($A61&gt;=_xlpm.rentM)*($A61&lt;_xlpm.saleM),_xlpm.ratio,($A61-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61-1)-_xlpm.owned*_xlpm.ownFix/$Q$7-_xlpm.renting*_xlpm.rentFix/$Q$7)))</f>
        <v>0</v>
      </c>
      <c r="K61" s="122" cm="1">
        <f t="array" ref="K61">SUMPRODUCT(Properties!$D$6:$D$15*(Properties!$U$6:$U$15=$A61)*Properties!$AB$6:$AB$15)</f>
        <v>0</v>
      </c>
      <c r="L61" s="122">
        <f t="shared" si="10"/>
        <v>0</v>
      </c>
      <c r="M61" s="122" cm="1">
        <f t="array" ref="M61">-SUMPRODUCT(Properties!$D$6:$D$15*(Properties!$U$6:$U$15=$A61)*Properties!$AD$6:$AD$15)</f>
        <v>0</v>
      </c>
      <c r="N61" s="122">
        <f t="shared" si="11"/>
        <v>0</v>
      </c>
      <c r="O61" s="1"/>
      <c r="P61" s="1"/>
      <c r="Q61" s="1"/>
    </row>
    <row r="62" spans="1:17" ht="18" customHeight="1" x14ac:dyDescent="0.3">
      <c r="A62" s="1">
        <f t="shared" si="6"/>
        <v>57</v>
      </c>
      <c r="B62" s="227">
        <f>EOMONTH(Input!$C$7,$A62-1)</f>
        <v>48029</v>
      </c>
      <c r="C62" s="1">
        <f t="shared" si="7"/>
        <v>5</v>
      </c>
      <c r="D62" s="1">
        <f t="shared" si="8"/>
        <v>19</v>
      </c>
      <c r="E62" s="122" cm="1">
        <f t="array" ref="E62">_xlfn.LET(_xlpm.ann,-INDEX('Statement of Cash Flows'!$C$47:$L$47,$C62),_xlpm.w,-($H62+$I62)+MAX(0,-$J62),_xlpm.yrW,SUMPRODUCT(($C$6:$C$125=$C62)*(-($H$6:$H$125+$I$6:$I$125)+((-$J$6:$J$125)&gt;0)*(-$J$6:$J$125))),_xlpm.ann*IF(_xlpm.yrW&gt;0,_xlpm.w/_xlpm.yrW,IF($A62=($C62-1)*$Q$7+1,1,0)))</f>
        <v>0</v>
      </c>
      <c r="F62" s="122" cm="1">
        <f t="array" ref="F62">_xlfn.LET(_xlpm.ann,INDEX('Investor Return'!$C$11:$L$11,$C62),_xlpm.sale,'_Month Engine'!$C$71:$DR$71,_xlpm.yr,'_Month Engine'!$C$5:$DR$5,_xlpm.yearS,SUMPRODUCT((_xlpm.yr=$C62)*_xlpm.sale),_xlpm.mS,INDEX(_xlpm.sale,$A62),_xlpm.ann*IF(_xlpm.yearS&gt;0,_xlpm.mS/_xlpm.yearS,IF($A62=$C62*$Q$7,1,0)))</f>
        <v>0</v>
      </c>
      <c r="G62" s="122">
        <f t="shared" si="9"/>
        <v>0</v>
      </c>
      <c r="H62" s="122" cm="1">
        <f t="array" ref="H62">-SUMPRODUCT(Properties!$D$6:$D$15*(Properties!$Q$6:$Q$15=$A62)*(Properties!$M$6:$M$15+Properties!$O$6:$O$15))</f>
        <v>0</v>
      </c>
      <c r="I62" s="122" cm="1">
        <f t="array" ref="I62">-SUMPRODUCT(Properties!$D$6:$D$15*($A62&gt;=Properties!$Q$6:$Q$15)*($A62&lt;Properties!$T$6:$T$15)*Properties!$N$6:$N$15/(Properties!$R$6:$R$15+(Properties!$R$6:$R$15=0)))</f>
        <v>0</v>
      </c>
      <c r="J62" s="122" cm="1">
        <f t="array" ref="J62">_xlfn.LET(_xlpm.act,Properties!$D$6:$D$15,_xlpm.accM,Properties!$Q$6:$Q$15,_xlpm.rentM,Properties!$T$6:$T$15,_xlpm.saleM,Properties!$U$6:$U$15,_xlpm.owned,($A62&gt;=_xlpm.accM)*($A62&lt;_xlpm.saleM),_xlpm.renting,($A62&gt;=_xlpm.rentM)*($A62&lt;_xlpm.saleM),_xlpm.ratio,($A62-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62-1)-_xlpm.owned*_xlpm.ownFix/$Q$7-_xlpm.renting*_xlpm.rentFix/$Q$7)))</f>
        <v>0</v>
      </c>
      <c r="K62" s="122" cm="1">
        <f t="array" ref="K62">SUMPRODUCT(Properties!$D$6:$D$15*(Properties!$U$6:$U$15=$A62)*Properties!$AB$6:$AB$15)</f>
        <v>0</v>
      </c>
      <c r="L62" s="122">
        <f t="shared" si="10"/>
        <v>0</v>
      </c>
      <c r="M62" s="122" cm="1">
        <f t="array" ref="M62">-SUMPRODUCT(Properties!$D$6:$D$15*(Properties!$U$6:$U$15=$A62)*Properties!$AD$6:$AD$15)</f>
        <v>0</v>
      </c>
      <c r="N62" s="122">
        <f t="shared" si="11"/>
        <v>0</v>
      </c>
      <c r="O62" s="1"/>
      <c r="P62" s="1"/>
      <c r="Q62" s="1"/>
    </row>
    <row r="63" spans="1:17" ht="18" customHeight="1" x14ac:dyDescent="0.3">
      <c r="A63" s="1">
        <f t="shared" si="6"/>
        <v>58</v>
      </c>
      <c r="B63" s="227">
        <f>EOMONTH(Input!$C$7,$A63-1)</f>
        <v>48060</v>
      </c>
      <c r="C63" s="1">
        <f t="shared" si="7"/>
        <v>5</v>
      </c>
      <c r="D63" s="1">
        <f t="shared" si="8"/>
        <v>20</v>
      </c>
      <c r="E63" s="122" cm="1">
        <f t="array" ref="E63">_xlfn.LET(_xlpm.ann,-INDEX('Statement of Cash Flows'!$C$47:$L$47,$C63),_xlpm.w,-($H63+$I63)+MAX(0,-$J63),_xlpm.yrW,SUMPRODUCT(($C$6:$C$125=$C63)*(-($H$6:$H$125+$I$6:$I$125)+((-$J$6:$J$125)&gt;0)*(-$J$6:$J$125))),_xlpm.ann*IF(_xlpm.yrW&gt;0,_xlpm.w/_xlpm.yrW,IF($A63=($C63-1)*$Q$7+1,1,0)))</f>
        <v>0</v>
      </c>
      <c r="F63" s="122" cm="1">
        <f t="array" ref="F63">_xlfn.LET(_xlpm.ann,INDEX('Investor Return'!$C$11:$L$11,$C63),_xlpm.sale,'_Month Engine'!$C$71:$DR$71,_xlpm.yr,'_Month Engine'!$C$5:$DR$5,_xlpm.yearS,SUMPRODUCT((_xlpm.yr=$C63)*_xlpm.sale),_xlpm.mS,INDEX(_xlpm.sale,$A63),_xlpm.ann*IF(_xlpm.yearS&gt;0,_xlpm.mS/_xlpm.yearS,IF($A63=$C63*$Q$7,1,0)))</f>
        <v>0</v>
      </c>
      <c r="G63" s="122">
        <f t="shared" si="9"/>
        <v>0</v>
      </c>
      <c r="H63" s="122" cm="1">
        <f t="array" ref="H63">-SUMPRODUCT(Properties!$D$6:$D$15*(Properties!$Q$6:$Q$15=$A63)*(Properties!$M$6:$M$15+Properties!$O$6:$O$15))</f>
        <v>0</v>
      </c>
      <c r="I63" s="122" cm="1">
        <f t="array" ref="I63">-SUMPRODUCT(Properties!$D$6:$D$15*($A63&gt;=Properties!$Q$6:$Q$15)*($A63&lt;Properties!$T$6:$T$15)*Properties!$N$6:$N$15/(Properties!$R$6:$R$15+(Properties!$R$6:$R$15=0)))</f>
        <v>0</v>
      </c>
      <c r="J63" s="122" cm="1">
        <f t="array" ref="J63">_xlfn.LET(_xlpm.act,Properties!$D$6:$D$15,_xlpm.accM,Properties!$Q$6:$Q$15,_xlpm.rentM,Properties!$T$6:$T$15,_xlpm.saleM,Properties!$U$6:$U$15,_xlpm.owned,($A63&gt;=_xlpm.accM)*($A63&lt;_xlpm.saleM),_xlpm.renting,($A63&gt;=_xlpm.rentM)*($A63&lt;_xlpm.saleM),_xlpm.ratio,($A63-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63-1)-_xlpm.owned*_xlpm.ownFix/$Q$7-_xlpm.renting*_xlpm.rentFix/$Q$7)))</f>
        <v>0</v>
      </c>
      <c r="K63" s="122" cm="1">
        <f t="array" ref="K63">SUMPRODUCT(Properties!$D$6:$D$15*(Properties!$U$6:$U$15=$A63)*Properties!$AB$6:$AB$15)</f>
        <v>0</v>
      </c>
      <c r="L63" s="122">
        <f t="shared" si="10"/>
        <v>0</v>
      </c>
      <c r="M63" s="122" cm="1">
        <f t="array" ref="M63">-SUMPRODUCT(Properties!$D$6:$D$15*(Properties!$U$6:$U$15=$A63)*Properties!$AD$6:$AD$15)</f>
        <v>0</v>
      </c>
      <c r="N63" s="122">
        <f t="shared" si="11"/>
        <v>0</v>
      </c>
      <c r="O63" s="1"/>
      <c r="P63" s="1"/>
      <c r="Q63" s="1"/>
    </row>
    <row r="64" spans="1:17" ht="18" customHeight="1" x14ac:dyDescent="0.3">
      <c r="A64" s="1">
        <f t="shared" si="6"/>
        <v>59</v>
      </c>
      <c r="B64" s="227">
        <f>EOMONTH(Input!$C$7,$A64-1)</f>
        <v>48091</v>
      </c>
      <c r="C64" s="1">
        <f t="shared" si="7"/>
        <v>5</v>
      </c>
      <c r="D64" s="1">
        <f t="shared" si="8"/>
        <v>20</v>
      </c>
      <c r="E64" s="122" cm="1">
        <f t="array" ref="E64">_xlfn.LET(_xlpm.ann,-INDEX('Statement of Cash Flows'!$C$47:$L$47,$C64),_xlpm.w,-($H64+$I64)+MAX(0,-$J64),_xlpm.yrW,SUMPRODUCT(($C$6:$C$125=$C64)*(-($H$6:$H$125+$I$6:$I$125)+((-$J$6:$J$125)&gt;0)*(-$J$6:$J$125))),_xlpm.ann*IF(_xlpm.yrW&gt;0,_xlpm.w/_xlpm.yrW,IF($A64=($C64-1)*$Q$7+1,1,0)))</f>
        <v>0</v>
      </c>
      <c r="F64" s="122" cm="1">
        <f t="array" ref="F64">_xlfn.LET(_xlpm.ann,INDEX('Investor Return'!$C$11:$L$11,$C64),_xlpm.sale,'_Month Engine'!$C$71:$DR$71,_xlpm.yr,'_Month Engine'!$C$5:$DR$5,_xlpm.yearS,SUMPRODUCT((_xlpm.yr=$C64)*_xlpm.sale),_xlpm.mS,INDEX(_xlpm.sale,$A64),_xlpm.ann*IF(_xlpm.yearS&gt;0,_xlpm.mS/_xlpm.yearS,IF($A64=$C64*$Q$7,1,0)))</f>
        <v>0</v>
      </c>
      <c r="G64" s="122">
        <f t="shared" si="9"/>
        <v>0</v>
      </c>
      <c r="H64" s="122" cm="1">
        <f t="array" ref="H64">-SUMPRODUCT(Properties!$D$6:$D$15*(Properties!$Q$6:$Q$15=$A64)*(Properties!$M$6:$M$15+Properties!$O$6:$O$15))</f>
        <v>0</v>
      </c>
      <c r="I64" s="122" cm="1">
        <f t="array" ref="I64">-SUMPRODUCT(Properties!$D$6:$D$15*($A64&gt;=Properties!$Q$6:$Q$15)*($A64&lt;Properties!$T$6:$T$15)*Properties!$N$6:$N$15/(Properties!$R$6:$R$15+(Properties!$R$6:$R$15=0)))</f>
        <v>0</v>
      </c>
      <c r="J64" s="122" cm="1">
        <f t="array" ref="J64">_xlfn.LET(_xlpm.act,Properties!$D$6:$D$15,_xlpm.accM,Properties!$Q$6:$Q$15,_xlpm.rentM,Properties!$T$6:$T$15,_xlpm.saleM,Properties!$U$6:$U$15,_xlpm.owned,($A64&gt;=_xlpm.accM)*($A64&lt;_xlpm.saleM),_xlpm.renting,($A64&gt;=_xlpm.rentM)*($A64&lt;_xlpm.saleM),_xlpm.ratio,($A64-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64-1)-_xlpm.owned*_xlpm.ownFix/$Q$7-_xlpm.renting*_xlpm.rentFix/$Q$7)))</f>
        <v>0</v>
      </c>
      <c r="K64" s="122" cm="1">
        <f t="array" ref="K64">SUMPRODUCT(Properties!$D$6:$D$15*(Properties!$U$6:$U$15=$A64)*Properties!$AB$6:$AB$15)</f>
        <v>0</v>
      </c>
      <c r="L64" s="122">
        <f t="shared" si="10"/>
        <v>0</v>
      </c>
      <c r="M64" s="122" cm="1">
        <f t="array" ref="M64">-SUMPRODUCT(Properties!$D$6:$D$15*(Properties!$U$6:$U$15=$A64)*Properties!$AD$6:$AD$15)</f>
        <v>0</v>
      </c>
      <c r="N64" s="122">
        <f t="shared" si="11"/>
        <v>0</v>
      </c>
      <c r="O64" s="1"/>
      <c r="P64" s="1"/>
      <c r="Q64" s="1"/>
    </row>
    <row r="65" spans="1:17" ht="18" customHeight="1" x14ac:dyDescent="0.3">
      <c r="A65" s="1">
        <f t="shared" si="6"/>
        <v>60</v>
      </c>
      <c r="B65" s="227">
        <f>EOMONTH(Input!$C$7,$A65-1)</f>
        <v>48121</v>
      </c>
      <c r="C65" s="1">
        <f t="shared" si="7"/>
        <v>5</v>
      </c>
      <c r="D65" s="1">
        <f t="shared" si="8"/>
        <v>20</v>
      </c>
      <c r="E65" s="122" cm="1">
        <f t="array" ref="E65">_xlfn.LET(_xlpm.ann,-INDEX('Statement of Cash Flows'!$C$47:$L$47,$C65),_xlpm.w,-($H65+$I65)+MAX(0,-$J65),_xlpm.yrW,SUMPRODUCT(($C$6:$C$125=$C65)*(-($H$6:$H$125+$I$6:$I$125)+((-$J$6:$J$125)&gt;0)*(-$J$6:$J$125))),_xlpm.ann*IF(_xlpm.yrW&gt;0,_xlpm.w/_xlpm.yrW,IF($A65=($C65-1)*$Q$7+1,1,0)))</f>
        <v>0</v>
      </c>
      <c r="F65" s="122" cm="1">
        <f t="array" ref="F65">_xlfn.LET(_xlpm.ann,INDEX('Investor Return'!$C$11:$L$11,$C65),_xlpm.sale,'_Month Engine'!$C$71:$DR$71,_xlpm.yr,'_Month Engine'!$C$5:$DR$5,_xlpm.yearS,SUMPRODUCT((_xlpm.yr=$C65)*_xlpm.sale),_xlpm.mS,INDEX(_xlpm.sale,$A65),_xlpm.ann*IF(_xlpm.yearS&gt;0,_xlpm.mS/_xlpm.yearS,IF($A65=$C65*$Q$7,1,0)))</f>
        <v>0</v>
      </c>
      <c r="G65" s="122">
        <f t="shared" si="9"/>
        <v>0</v>
      </c>
      <c r="H65" s="122" cm="1">
        <f t="array" ref="H65">-SUMPRODUCT(Properties!$D$6:$D$15*(Properties!$Q$6:$Q$15=$A65)*(Properties!$M$6:$M$15+Properties!$O$6:$O$15))</f>
        <v>0</v>
      </c>
      <c r="I65" s="122" cm="1">
        <f t="array" ref="I65">-SUMPRODUCT(Properties!$D$6:$D$15*($A65&gt;=Properties!$Q$6:$Q$15)*($A65&lt;Properties!$T$6:$T$15)*Properties!$N$6:$N$15/(Properties!$R$6:$R$15+(Properties!$R$6:$R$15=0)))</f>
        <v>0</v>
      </c>
      <c r="J65" s="122" cm="1">
        <f t="array" ref="J65">_xlfn.LET(_xlpm.act,Properties!$D$6:$D$15,_xlpm.accM,Properties!$Q$6:$Q$15,_xlpm.rentM,Properties!$T$6:$T$15,_xlpm.saleM,Properties!$U$6:$U$15,_xlpm.owned,($A65&gt;=_xlpm.accM)*($A65&lt;_xlpm.saleM),_xlpm.renting,($A65&gt;=_xlpm.rentM)*($A65&lt;_xlpm.saleM),_xlpm.ratio,($A65-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65-1)-_xlpm.owned*_xlpm.ownFix/$Q$7-_xlpm.renting*_xlpm.rentFix/$Q$7)))</f>
        <v>0</v>
      </c>
      <c r="K65" s="122" cm="1">
        <f t="array" ref="K65">SUMPRODUCT(Properties!$D$6:$D$15*(Properties!$U$6:$U$15=$A65)*Properties!$AB$6:$AB$15)</f>
        <v>0</v>
      </c>
      <c r="L65" s="122">
        <f t="shared" si="10"/>
        <v>0</v>
      </c>
      <c r="M65" s="122" cm="1">
        <f t="array" ref="M65">-SUMPRODUCT(Properties!$D$6:$D$15*(Properties!$U$6:$U$15=$A65)*Properties!$AD$6:$AD$15)</f>
        <v>0</v>
      </c>
      <c r="N65" s="122">
        <f t="shared" si="11"/>
        <v>0</v>
      </c>
      <c r="O65" s="1"/>
      <c r="P65" s="1"/>
      <c r="Q65" s="1"/>
    </row>
    <row r="66" spans="1:17" ht="18" customHeight="1" x14ac:dyDescent="0.3">
      <c r="A66" s="1">
        <f t="shared" si="6"/>
        <v>61</v>
      </c>
      <c r="B66" s="227">
        <f>EOMONTH(Input!$C$7,$A66-1)</f>
        <v>48152</v>
      </c>
      <c r="C66" s="1">
        <f t="shared" si="7"/>
        <v>6</v>
      </c>
      <c r="D66" s="1">
        <f t="shared" si="8"/>
        <v>21</v>
      </c>
      <c r="E66" s="122" cm="1">
        <f t="array" ref="E66">_xlfn.LET(_xlpm.ann,-INDEX('Statement of Cash Flows'!$C$47:$L$47,$C66),_xlpm.w,-($H66+$I66)+MAX(0,-$J66),_xlpm.yrW,SUMPRODUCT(($C$6:$C$125=$C66)*(-($H$6:$H$125+$I$6:$I$125)+((-$J$6:$J$125)&gt;0)*(-$J$6:$J$125))),_xlpm.ann*IF(_xlpm.yrW&gt;0,_xlpm.w/_xlpm.yrW,IF($A66=($C66-1)*$Q$7+1,1,0)))</f>
        <v>0</v>
      </c>
      <c r="F66" s="122" cm="1">
        <f t="array" ref="F66">_xlfn.LET(_xlpm.ann,INDEX('Investor Return'!$C$11:$L$11,$C66),_xlpm.sale,'_Month Engine'!$C$71:$DR$71,_xlpm.yr,'_Month Engine'!$C$5:$DR$5,_xlpm.yearS,SUMPRODUCT((_xlpm.yr=$C66)*_xlpm.sale),_xlpm.mS,INDEX(_xlpm.sale,$A66),_xlpm.ann*IF(_xlpm.yearS&gt;0,_xlpm.mS/_xlpm.yearS,IF($A66=$C66*$Q$7,1,0)))</f>
        <v>0</v>
      </c>
      <c r="G66" s="122">
        <f t="shared" si="9"/>
        <v>0</v>
      </c>
      <c r="H66" s="122" cm="1">
        <f t="array" ref="H66">-SUMPRODUCT(Properties!$D$6:$D$15*(Properties!$Q$6:$Q$15=$A66)*(Properties!$M$6:$M$15+Properties!$O$6:$O$15))</f>
        <v>0</v>
      </c>
      <c r="I66" s="122" cm="1">
        <f t="array" ref="I66">-SUMPRODUCT(Properties!$D$6:$D$15*($A66&gt;=Properties!$Q$6:$Q$15)*($A66&lt;Properties!$T$6:$T$15)*Properties!$N$6:$N$15/(Properties!$R$6:$R$15+(Properties!$R$6:$R$15=0)))</f>
        <v>0</v>
      </c>
      <c r="J66" s="122" cm="1">
        <f t="array" ref="J66">_xlfn.LET(_xlpm.act,Properties!$D$6:$D$15,_xlpm.accM,Properties!$Q$6:$Q$15,_xlpm.rentM,Properties!$T$6:$T$15,_xlpm.saleM,Properties!$U$6:$U$15,_xlpm.owned,($A66&gt;=_xlpm.accM)*($A66&lt;_xlpm.saleM),_xlpm.renting,($A66&gt;=_xlpm.rentM)*($A66&lt;_xlpm.saleM),_xlpm.ratio,($A66-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66-1)-_xlpm.owned*_xlpm.ownFix/$Q$7-_xlpm.renting*_xlpm.rentFix/$Q$7)))</f>
        <v>0</v>
      </c>
      <c r="K66" s="122" cm="1">
        <f t="array" ref="K66">SUMPRODUCT(Properties!$D$6:$D$15*(Properties!$U$6:$U$15=$A66)*Properties!$AB$6:$AB$15)</f>
        <v>0</v>
      </c>
      <c r="L66" s="122">
        <f t="shared" si="10"/>
        <v>0</v>
      </c>
      <c r="M66" s="122" cm="1">
        <f t="array" ref="M66">-SUMPRODUCT(Properties!$D$6:$D$15*(Properties!$U$6:$U$15=$A66)*Properties!$AD$6:$AD$15)</f>
        <v>0</v>
      </c>
      <c r="N66" s="122">
        <f t="shared" si="11"/>
        <v>0</v>
      </c>
      <c r="O66" s="1"/>
      <c r="P66" s="1"/>
      <c r="Q66" s="1"/>
    </row>
    <row r="67" spans="1:17" ht="18" customHeight="1" x14ac:dyDescent="0.3">
      <c r="A67" s="1">
        <f t="shared" si="6"/>
        <v>62</v>
      </c>
      <c r="B67" s="227">
        <f>EOMONTH(Input!$C$7,$A67-1)</f>
        <v>48182</v>
      </c>
      <c r="C67" s="1">
        <f t="shared" si="7"/>
        <v>6</v>
      </c>
      <c r="D67" s="1">
        <f t="shared" si="8"/>
        <v>21</v>
      </c>
      <c r="E67" s="122" cm="1">
        <f t="array" ref="E67">_xlfn.LET(_xlpm.ann,-INDEX('Statement of Cash Flows'!$C$47:$L$47,$C67),_xlpm.w,-($H67+$I67)+MAX(0,-$J67),_xlpm.yrW,SUMPRODUCT(($C$6:$C$125=$C67)*(-($H$6:$H$125+$I$6:$I$125)+((-$J$6:$J$125)&gt;0)*(-$J$6:$J$125))),_xlpm.ann*IF(_xlpm.yrW&gt;0,_xlpm.w/_xlpm.yrW,IF($A67=($C67-1)*$Q$7+1,1,0)))</f>
        <v>0</v>
      </c>
      <c r="F67" s="122" cm="1">
        <f t="array" ref="F67">_xlfn.LET(_xlpm.ann,INDEX('Investor Return'!$C$11:$L$11,$C67),_xlpm.sale,'_Month Engine'!$C$71:$DR$71,_xlpm.yr,'_Month Engine'!$C$5:$DR$5,_xlpm.yearS,SUMPRODUCT((_xlpm.yr=$C67)*_xlpm.sale),_xlpm.mS,INDEX(_xlpm.sale,$A67),_xlpm.ann*IF(_xlpm.yearS&gt;0,_xlpm.mS/_xlpm.yearS,IF($A67=$C67*$Q$7,1,0)))</f>
        <v>0</v>
      </c>
      <c r="G67" s="122">
        <f t="shared" si="9"/>
        <v>0</v>
      </c>
      <c r="H67" s="122" cm="1">
        <f t="array" ref="H67">-SUMPRODUCT(Properties!$D$6:$D$15*(Properties!$Q$6:$Q$15=$A67)*(Properties!$M$6:$M$15+Properties!$O$6:$O$15))</f>
        <v>0</v>
      </c>
      <c r="I67" s="122" cm="1">
        <f t="array" ref="I67">-SUMPRODUCT(Properties!$D$6:$D$15*($A67&gt;=Properties!$Q$6:$Q$15)*($A67&lt;Properties!$T$6:$T$15)*Properties!$N$6:$N$15/(Properties!$R$6:$R$15+(Properties!$R$6:$R$15=0)))</f>
        <v>0</v>
      </c>
      <c r="J67" s="122" cm="1">
        <f t="array" ref="J67">_xlfn.LET(_xlpm.act,Properties!$D$6:$D$15,_xlpm.accM,Properties!$Q$6:$Q$15,_xlpm.rentM,Properties!$T$6:$T$15,_xlpm.saleM,Properties!$U$6:$U$15,_xlpm.owned,($A67&gt;=_xlpm.accM)*($A67&lt;_xlpm.saleM),_xlpm.renting,($A67&gt;=_xlpm.rentM)*($A67&lt;_xlpm.saleM),_xlpm.ratio,($A67-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67-1)-_xlpm.owned*_xlpm.ownFix/$Q$7-_xlpm.renting*_xlpm.rentFix/$Q$7)))</f>
        <v>0</v>
      </c>
      <c r="K67" s="122" cm="1">
        <f t="array" ref="K67">SUMPRODUCT(Properties!$D$6:$D$15*(Properties!$U$6:$U$15=$A67)*Properties!$AB$6:$AB$15)</f>
        <v>0</v>
      </c>
      <c r="L67" s="122">
        <f t="shared" si="10"/>
        <v>0</v>
      </c>
      <c r="M67" s="122" cm="1">
        <f t="array" ref="M67">-SUMPRODUCT(Properties!$D$6:$D$15*(Properties!$U$6:$U$15=$A67)*Properties!$AD$6:$AD$15)</f>
        <v>0</v>
      </c>
      <c r="N67" s="122">
        <f t="shared" si="11"/>
        <v>0</v>
      </c>
      <c r="O67" s="1"/>
      <c r="P67" s="1"/>
      <c r="Q67" s="1"/>
    </row>
    <row r="68" spans="1:17" ht="18" customHeight="1" x14ac:dyDescent="0.3">
      <c r="A68" s="1">
        <f t="shared" si="6"/>
        <v>63</v>
      </c>
      <c r="B68" s="227">
        <f>EOMONTH(Input!$C$7,$A68-1)</f>
        <v>48213</v>
      </c>
      <c r="C68" s="1">
        <f t="shared" si="7"/>
        <v>6</v>
      </c>
      <c r="D68" s="1">
        <f t="shared" si="8"/>
        <v>21</v>
      </c>
      <c r="E68" s="122" cm="1">
        <f t="array" ref="E68">_xlfn.LET(_xlpm.ann,-INDEX('Statement of Cash Flows'!$C$47:$L$47,$C68),_xlpm.w,-($H68+$I68)+MAX(0,-$J68),_xlpm.yrW,SUMPRODUCT(($C$6:$C$125=$C68)*(-($H$6:$H$125+$I$6:$I$125)+((-$J$6:$J$125)&gt;0)*(-$J$6:$J$125))),_xlpm.ann*IF(_xlpm.yrW&gt;0,_xlpm.w/_xlpm.yrW,IF($A68=($C68-1)*$Q$7+1,1,0)))</f>
        <v>0</v>
      </c>
      <c r="F68" s="122" cm="1">
        <f t="array" ref="F68">_xlfn.LET(_xlpm.ann,INDEX('Investor Return'!$C$11:$L$11,$C68),_xlpm.sale,'_Month Engine'!$C$71:$DR$71,_xlpm.yr,'_Month Engine'!$C$5:$DR$5,_xlpm.yearS,SUMPRODUCT((_xlpm.yr=$C68)*_xlpm.sale),_xlpm.mS,INDEX(_xlpm.sale,$A68),_xlpm.ann*IF(_xlpm.yearS&gt;0,_xlpm.mS/_xlpm.yearS,IF($A68=$C68*$Q$7,1,0)))</f>
        <v>0</v>
      </c>
      <c r="G68" s="122">
        <f t="shared" si="9"/>
        <v>0</v>
      </c>
      <c r="H68" s="122" cm="1">
        <f t="array" ref="H68">-SUMPRODUCT(Properties!$D$6:$D$15*(Properties!$Q$6:$Q$15=$A68)*(Properties!$M$6:$M$15+Properties!$O$6:$O$15))</f>
        <v>0</v>
      </c>
      <c r="I68" s="122" cm="1">
        <f t="array" ref="I68">-SUMPRODUCT(Properties!$D$6:$D$15*($A68&gt;=Properties!$Q$6:$Q$15)*($A68&lt;Properties!$T$6:$T$15)*Properties!$N$6:$N$15/(Properties!$R$6:$R$15+(Properties!$R$6:$R$15=0)))</f>
        <v>0</v>
      </c>
      <c r="J68" s="122" cm="1">
        <f t="array" ref="J68">_xlfn.LET(_xlpm.act,Properties!$D$6:$D$15,_xlpm.accM,Properties!$Q$6:$Q$15,_xlpm.rentM,Properties!$T$6:$T$15,_xlpm.saleM,Properties!$U$6:$U$15,_xlpm.owned,($A68&gt;=_xlpm.accM)*($A68&lt;_xlpm.saleM),_xlpm.renting,($A68&gt;=_xlpm.rentM)*($A68&lt;_xlpm.saleM),_xlpm.ratio,($A68-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68-1)-_xlpm.owned*_xlpm.ownFix/$Q$7-_xlpm.renting*_xlpm.rentFix/$Q$7)))</f>
        <v>0</v>
      </c>
      <c r="K68" s="122" cm="1">
        <f t="array" ref="K68">SUMPRODUCT(Properties!$D$6:$D$15*(Properties!$U$6:$U$15=$A68)*Properties!$AB$6:$AB$15)</f>
        <v>0</v>
      </c>
      <c r="L68" s="122">
        <f t="shared" si="10"/>
        <v>0</v>
      </c>
      <c r="M68" s="122" cm="1">
        <f t="array" ref="M68">-SUMPRODUCT(Properties!$D$6:$D$15*(Properties!$U$6:$U$15=$A68)*Properties!$AD$6:$AD$15)</f>
        <v>0</v>
      </c>
      <c r="N68" s="122">
        <f t="shared" si="11"/>
        <v>0</v>
      </c>
      <c r="O68" s="1"/>
      <c r="P68" s="1"/>
      <c r="Q68" s="1"/>
    </row>
    <row r="69" spans="1:17" ht="18" customHeight="1" x14ac:dyDescent="0.3">
      <c r="A69" s="1">
        <f t="shared" si="6"/>
        <v>64</v>
      </c>
      <c r="B69" s="227">
        <f>EOMONTH(Input!$C$7,$A69-1)</f>
        <v>48244</v>
      </c>
      <c r="C69" s="1">
        <f t="shared" si="7"/>
        <v>6</v>
      </c>
      <c r="D69" s="1">
        <f t="shared" si="8"/>
        <v>22</v>
      </c>
      <c r="E69" s="122" cm="1">
        <f t="array" ref="E69">_xlfn.LET(_xlpm.ann,-INDEX('Statement of Cash Flows'!$C$47:$L$47,$C69),_xlpm.w,-($H69+$I69)+MAX(0,-$J69),_xlpm.yrW,SUMPRODUCT(($C$6:$C$125=$C69)*(-($H$6:$H$125+$I$6:$I$125)+((-$J$6:$J$125)&gt;0)*(-$J$6:$J$125))),_xlpm.ann*IF(_xlpm.yrW&gt;0,_xlpm.w/_xlpm.yrW,IF($A69=($C69-1)*$Q$7+1,1,0)))</f>
        <v>0</v>
      </c>
      <c r="F69" s="122" cm="1">
        <f t="array" ref="F69">_xlfn.LET(_xlpm.ann,INDEX('Investor Return'!$C$11:$L$11,$C69),_xlpm.sale,'_Month Engine'!$C$71:$DR$71,_xlpm.yr,'_Month Engine'!$C$5:$DR$5,_xlpm.yearS,SUMPRODUCT((_xlpm.yr=$C69)*_xlpm.sale),_xlpm.mS,INDEX(_xlpm.sale,$A69),_xlpm.ann*IF(_xlpm.yearS&gt;0,_xlpm.mS/_xlpm.yearS,IF($A69=$C69*$Q$7,1,0)))</f>
        <v>0</v>
      </c>
      <c r="G69" s="122">
        <f t="shared" si="9"/>
        <v>0</v>
      </c>
      <c r="H69" s="122" cm="1">
        <f t="array" ref="H69">-SUMPRODUCT(Properties!$D$6:$D$15*(Properties!$Q$6:$Q$15=$A69)*(Properties!$M$6:$M$15+Properties!$O$6:$O$15))</f>
        <v>0</v>
      </c>
      <c r="I69" s="122" cm="1">
        <f t="array" ref="I69">-SUMPRODUCT(Properties!$D$6:$D$15*($A69&gt;=Properties!$Q$6:$Q$15)*($A69&lt;Properties!$T$6:$T$15)*Properties!$N$6:$N$15/(Properties!$R$6:$R$15+(Properties!$R$6:$R$15=0)))</f>
        <v>0</v>
      </c>
      <c r="J69" s="122" cm="1">
        <f t="array" ref="J69">_xlfn.LET(_xlpm.act,Properties!$D$6:$D$15,_xlpm.accM,Properties!$Q$6:$Q$15,_xlpm.rentM,Properties!$T$6:$T$15,_xlpm.saleM,Properties!$U$6:$U$15,_xlpm.owned,($A69&gt;=_xlpm.accM)*($A69&lt;_xlpm.saleM),_xlpm.renting,($A69&gt;=_xlpm.rentM)*($A69&lt;_xlpm.saleM),_xlpm.ratio,($A69-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69-1)-_xlpm.owned*_xlpm.ownFix/$Q$7-_xlpm.renting*_xlpm.rentFix/$Q$7)))</f>
        <v>0</v>
      </c>
      <c r="K69" s="122" cm="1">
        <f t="array" ref="K69">SUMPRODUCT(Properties!$D$6:$D$15*(Properties!$U$6:$U$15=$A69)*Properties!$AB$6:$AB$15)</f>
        <v>0</v>
      </c>
      <c r="L69" s="122">
        <f t="shared" si="10"/>
        <v>0</v>
      </c>
      <c r="M69" s="122" cm="1">
        <f t="array" ref="M69">-SUMPRODUCT(Properties!$D$6:$D$15*(Properties!$U$6:$U$15=$A69)*Properties!$AD$6:$AD$15)</f>
        <v>0</v>
      </c>
      <c r="N69" s="122">
        <f t="shared" si="11"/>
        <v>0</v>
      </c>
      <c r="O69" s="1"/>
      <c r="P69" s="1"/>
      <c r="Q69" s="1"/>
    </row>
    <row r="70" spans="1:17" ht="18" customHeight="1" x14ac:dyDescent="0.3">
      <c r="A70" s="1">
        <f t="shared" ref="A70:A101" si="12">ROW()-5</f>
        <v>65</v>
      </c>
      <c r="B70" s="227">
        <f>EOMONTH(Input!$C$7,$A70-1)</f>
        <v>48273</v>
      </c>
      <c r="C70" s="1">
        <f t="shared" ref="C70:C101" si="13">ROUNDUP($A70/$Q$7,0)</f>
        <v>6</v>
      </c>
      <c r="D70" s="1">
        <f t="shared" ref="D70:D101" si="14">ROUNDUP($A70/$Q$8,0)</f>
        <v>22</v>
      </c>
      <c r="E70" s="122" cm="1">
        <f t="array" ref="E70">_xlfn.LET(_xlpm.ann,-INDEX('Statement of Cash Flows'!$C$47:$L$47,$C70),_xlpm.w,-($H70+$I70)+MAX(0,-$J70),_xlpm.yrW,SUMPRODUCT(($C$6:$C$125=$C70)*(-($H$6:$H$125+$I$6:$I$125)+((-$J$6:$J$125)&gt;0)*(-$J$6:$J$125))),_xlpm.ann*IF(_xlpm.yrW&gt;0,_xlpm.w/_xlpm.yrW,IF($A70=($C70-1)*$Q$7+1,1,0)))</f>
        <v>0</v>
      </c>
      <c r="F70" s="122" cm="1">
        <f t="array" ref="F70">_xlfn.LET(_xlpm.ann,INDEX('Investor Return'!$C$11:$L$11,$C70),_xlpm.sale,'_Month Engine'!$C$71:$DR$71,_xlpm.yr,'_Month Engine'!$C$5:$DR$5,_xlpm.yearS,SUMPRODUCT((_xlpm.yr=$C70)*_xlpm.sale),_xlpm.mS,INDEX(_xlpm.sale,$A70),_xlpm.ann*IF(_xlpm.yearS&gt;0,_xlpm.mS/_xlpm.yearS,IF($A70=$C70*$Q$7,1,0)))</f>
        <v>0</v>
      </c>
      <c r="G70" s="122">
        <f t="shared" ref="G70:G101" si="15">$E70+$F70</f>
        <v>0</v>
      </c>
      <c r="H70" s="122" cm="1">
        <f t="array" ref="H70">-SUMPRODUCT(Properties!$D$6:$D$15*(Properties!$Q$6:$Q$15=$A70)*(Properties!$M$6:$M$15+Properties!$O$6:$O$15))</f>
        <v>0</v>
      </c>
      <c r="I70" s="122" cm="1">
        <f t="array" ref="I70">-SUMPRODUCT(Properties!$D$6:$D$15*($A70&gt;=Properties!$Q$6:$Q$15)*($A70&lt;Properties!$T$6:$T$15)*Properties!$N$6:$N$15/(Properties!$R$6:$R$15+(Properties!$R$6:$R$15=0)))</f>
        <v>0</v>
      </c>
      <c r="J70" s="122" cm="1">
        <f t="array" ref="J70">_xlfn.LET(_xlpm.act,Properties!$D$6:$D$15,_xlpm.accM,Properties!$Q$6:$Q$15,_xlpm.rentM,Properties!$T$6:$T$15,_xlpm.saleM,Properties!$U$6:$U$15,_xlpm.owned,($A70&gt;=_xlpm.accM)*($A70&lt;_xlpm.saleM),_xlpm.renting,($A70&gt;=_xlpm.rentM)*($A70&lt;_xlpm.saleM),_xlpm.ratio,($A70-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70-1)-_xlpm.owned*_xlpm.ownFix/$Q$7-_xlpm.renting*_xlpm.rentFix/$Q$7)))</f>
        <v>0</v>
      </c>
      <c r="K70" s="122" cm="1">
        <f t="array" ref="K70">SUMPRODUCT(Properties!$D$6:$D$15*(Properties!$U$6:$U$15=$A70)*Properties!$AB$6:$AB$15)</f>
        <v>0</v>
      </c>
      <c r="L70" s="122">
        <f t="shared" ref="L70:L101" si="16">$H70+$I70+$J70+$K70</f>
        <v>0</v>
      </c>
      <c r="M70" s="122" cm="1">
        <f t="array" ref="M70">-SUMPRODUCT(Properties!$D$6:$D$15*(Properties!$U$6:$U$15=$A70)*Properties!$AD$6:$AD$15)</f>
        <v>0</v>
      </c>
      <c r="N70" s="122">
        <f t="shared" ref="N70:N101" si="17">$L70+$M70</f>
        <v>0</v>
      </c>
      <c r="O70" s="1"/>
      <c r="P70" s="1"/>
      <c r="Q70" s="1"/>
    </row>
    <row r="71" spans="1:17" ht="18" customHeight="1" x14ac:dyDescent="0.3">
      <c r="A71" s="1">
        <f t="shared" si="12"/>
        <v>66</v>
      </c>
      <c r="B71" s="227">
        <f>EOMONTH(Input!$C$7,$A71-1)</f>
        <v>48304</v>
      </c>
      <c r="C71" s="1">
        <f t="shared" si="13"/>
        <v>6</v>
      </c>
      <c r="D71" s="1">
        <f t="shared" si="14"/>
        <v>22</v>
      </c>
      <c r="E71" s="122" cm="1">
        <f t="array" ref="E71">_xlfn.LET(_xlpm.ann,-INDEX('Statement of Cash Flows'!$C$47:$L$47,$C71),_xlpm.w,-($H71+$I71)+MAX(0,-$J71),_xlpm.yrW,SUMPRODUCT(($C$6:$C$125=$C71)*(-($H$6:$H$125+$I$6:$I$125)+((-$J$6:$J$125)&gt;0)*(-$J$6:$J$125))),_xlpm.ann*IF(_xlpm.yrW&gt;0,_xlpm.w/_xlpm.yrW,IF($A71=($C71-1)*$Q$7+1,1,0)))</f>
        <v>0</v>
      </c>
      <c r="F71" s="122" cm="1">
        <f t="array" ref="F71">_xlfn.LET(_xlpm.ann,INDEX('Investor Return'!$C$11:$L$11,$C71),_xlpm.sale,'_Month Engine'!$C$71:$DR$71,_xlpm.yr,'_Month Engine'!$C$5:$DR$5,_xlpm.yearS,SUMPRODUCT((_xlpm.yr=$C71)*_xlpm.sale),_xlpm.mS,INDEX(_xlpm.sale,$A71),_xlpm.ann*IF(_xlpm.yearS&gt;0,_xlpm.mS/_xlpm.yearS,IF($A71=$C71*$Q$7,1,0)))</f>
        <v>0</v>
      </c>
      <c r="G71" s="122">
        <f t="shared" si="15"/>
        <v>0</v>
      </c>
      <c r="H71" s="122" cm="1">
        <f t="array" ref="H71">-SUMPRODUCT(Properties!$D$6:$D$15*(Properties!$Q$6:$Q$15=$A71)*(Properties!$M$6:$M$15+Properties!$O$6:$O$15))</f>
        <v>0</v>
      </c>
      <c r="I71" s="122" cm="1">
        <f t="array" ref="I71">-SUMPRODUCT(Properties!$D$6:$D$15*($A71&gt;=Properties!$Q$6:$Q$15)*($A71&lt;Properties!$T$6:$T$15)*Properties!$N$6:$N$15/(Properties!$R$6:$R$15+(Properties!$R$6:$R$15=0)))</f>
        <v>0</v>
      </c>
      <c r="J71" s="122" cm="1">
        <f t="array" ref="J71">_xlfn.LET(_xlpm.act,Properties!$D$6:$D$15,_xlpm.accM,Properties!$Q$6:$Q$15,_xlpm.rentM,Properties!$T$6:$T$15,_xlpm.saleM,Properties!$U$6:$U$15,_xlpm.owned,($A71&gt;=_xlpm.accM)*($A71&lt;_xlpm.saleM),_xlpm.renting,($A71&gt;=_xlpm.rentM)*($A71&lt;_xlpm.saleM),_xlpm.ratio,($A71-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71-1)-_xlpm.owned*_xlpm.ownFix/$Q$7-_xlpm.renting*_xlpm.rentFix/$Q$7)))</f>
        <v>0</v>
      </c>
      <c r="K71" s="122" cm="1">
        <f t="array" ref="K71">SUMPRODUCT(Properties!$D$6:$D$15*(Properties!$U$6:$U$15=$A71)*Properties!$AB$6:$AB$15)</f>
        <v>0</v>
      </c>
      <c r="L71" s="122">
        <f t="shared" si="16"/>
        <v>0</v>
      </c>
      <c r="M71" s="122" cm="1">
        <f t="array" ref="M71">-SUMPRODUCT(Properties!$D$6:$D$15*(Properties!$U$6:$U$15=$A71)*Properties!$AD$6:$AD$15)</f>
        <v>0</v>
      </c>
      <c r="N71" s="122">
        <f t="shared" si="17"/>
        <v>0</v>
      </c>
      <c r="O71" s="1"/>
      <c r="P71" s="1"/>
      <c r="Q71" s="1"/>
    </row>
    <row r="72" spans="1:17" ht="18" customHeight="1" x14ac:dyDescent="0.3">
      <c r="A72" s="1">
        <f t="shared" si="12"/>
        <v>67</v>
      </c>
      <c r="B72" s="227">
        <f>EOMONTH(Input!$C$7,$A72-1)</f>
        <v>48334</v>
      </c>
      <c r="C72" s="1">
        <f t="shared" si="13"/>
        <v>6</v>
      </c>
      <c r="D72" s="1">
        <f t="shared" si="14"/>
        <v>23</v>
      </c>
      <c r="E72" s="122" cm="1">
        <f t="array" ref="E72">_xlfn.LET(_xlpm.ann,-INDEX('Statement of Cash Flows'!$C$47:$L$47,$C72),_xlpm.w,-($H72+$I72)+MAX(0,-$J72),_xlpm.yrW,SUMPRODUCT(($C$6:$C$125=$C72)*(-($H$6:$H$125+$I$6:$I$125)+((-$J$6:$J$125)&gt;0)*(-$J$6:$J$125))),_xlpm.ann*IF(_xlpm.yrW&gt;0,_xlpm.w/_xlpm.yrW,IF($A72=($C72-1)*$Q$7+1,1,0)))</f>
        <v>0</v>
      </c>
      <c r="F72" s="122" cm="1">
        <f t="array" ref="F72">_xlfn.LET(_xlpm.ann,INDEX('Investor Return'!$C$11:$L$11,$C72),_xlpm.sale,'_Month Engine'!$C$71:$DR$71,_xlpm.yr,'_Month Engine'!$C$5:$DR$5,_xlpm.yearS,SUMPRODUCT((_xlpm.yr=$C72)*_xlpm.sale),_xlpm.mS,INDEX(_xlpm.sale,$A72),_xlpm.ann*IF(_xlpm.yearS&gt;0,_xlpm.mS/_xlpm.yearS,IF($A72=$C72*$Q$7,1,0)))</f>
        <v>0</v>
      </c>
      <c r="G72" s="122">
        <f t="shared" si="15"/>
        <v>0</v>
      </c>
      <c r="H72" s="122" cm="1">
        <f t="array" ref="H72">-SUMPRODUCT(Properties!$D$6:$D$15*(Properties!$Q$6:$Q$15=$A72)*(Properties!$M$6:$M$15+Properties!$O$6:$O$15))</f>
        <v>0</v>
      </c>
      <c r="I72" s="122" cm="1">
        <f t="array" ref="I72">-SUMPRODUCT(Properties!$D$6:$D$15*($A72&gt;=Properties!$Q$6:$Q$15)*($A72&lt;Properties!$T$6:$T$15)*Properties!$N$6:$N$15/(Properties!$R$6:$R$15+(Properties!$R$6:$R$15=0)))</f>
        <v>0</v>
      </c>
      <c r="J72" s="122" cm="1">
        <f t="array" ref="J72">_xlfn.LET(_xlpm.act,Properties!$D$6:$D$15,_xlpm.accM,Properties!$Q$6:$Q$15,_xlpm.rentM,Properties!$T$6:$T$15,_xlpm.saleM,Properties!$U$6:$U$15,_xlpm.owned,($A72&gt;=_xlpm.accM)*($A72&lt;_xlpm.saleM),_xlpm.renting,($A72&gt;=_xlpm.rentM)*($A72&lt;_xlpm.saleM),_xlpm.ratio,($A72-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72-1)-_xlpm.owned*_xlpm.ownFix/$Q$7-_xlpm.renting*_xlpm.rentFix/$Q$7)))</f>
        <v>0</v>
      </c>
      <c r="K72" s="122" cm="1">
        <f t="array" ref="K72">SUMPRODUCT(Properties!$D$6:$D$15*(Properties!$U$6:$U$15=$A72)*Properties!$AB$6:$AB$15)</f>
        <v>0</v>
      </c>
      <c r="L72" s="122">
        <f t="shared" si="16"/>
        <v>0</v>
      </c>
      <c r="M72" s="122" cm="1">
        <f t="array" ref="M72">-SUMPRODUCT(Properties!$D$6:$D$15*(Properties!$U$6:$U$15=$A72)*Properties!$AD$6:$AD$15)</f>
        <v>0</v>
      </c>
      <c r="N72" s="122">
        <f t="shared" si="17"/>
        <v>0</v>
      </c>
      <c r="O72" s="1"/>
      <c r="P72" s="1"/>
      <c r="Q72" s="1"/>
    </row>
    <row r="73" spans="1:17" ht="18" customHeight="1" x14ac:dyDescent="0.3">
      <c r="A73" s="1">
        <f t="shared" si="12"/>
        <v>68</v>
      </c>
      <c r="B73" s="227">
        <f>EOMONTH(Input!$C$7,$A73-1)</f>
        <v>48365</v>
      </c>
      <c r="C73" s="1">
        <f t="shared" si="13"/>
        <v>6</v>
      </c>
      <c r="D73" s="1">
        <f t="shared" si="14"/>
        <v>23</v>
      </c>
      <c r="E73" s="122" cm="1">
        <f t="array" ref="E73">_xlfn.LET(_xlpm.ann,-INDEX('Statement of Cash Flows'!$C$47:$L$47,$C73),_xlpm.w,-($H73+$I73)+MAX(0,-$J73),_xlpm.yrW,SUMPRODUCT(($C$6:$C$125=$C73)*(-($H$6:$H$125+$I$6:$I$125)+((-$J$6:$J$125)&gt;0)*(-$J$6:$J$125))),_xlpm.ann*IF(_xlpm.yrW&gt;0,_xlpm.w/_xlpm.yrW,IF($A73=($C73-1)*$Q$7+1,1,0)))</f>
        <v>0</v>
      </c>
      <c r="F73" s="122" cm="1">
        <f t="array" ref="F73">_xlfn.LET(_xlpm.ann,INDEX('Investor Return'!$C$11:$L$11,$C73),_xlpm.sale,'_Month Engine'!$C$71:$DR$71,_xlpm.yr,'_Month Engine'!$C$5:$DR$5,_xlpm.yearS,SUMPRODUCT((_xlpm.yr=$C73)*_xlpm.sale),_xlpm.mS,INDEX(_xlpm.sale,$A73),_xlpm.ann*IF(_xlpm.yearS&gt;0,_xlpm.mS/_xlpm.yearS,IF($A73=$C73*$Q$7,1,0)))</f>
        <v>0</v>
      </c>
      <c r="G73" s="122">
        <f t="shared" si="15"/>
        <v>0</v>
      </c>
      <c r="H73" s="122" cm="1">
        <f t="array" ref="H73">-SUMPRODUCT(Properties!$D$6:$D$15*(Properties!$Q$6:$Q$15=$A73)*(Properties!$M$6:$M$15+Properties!$O$6:$O$15))</f>
        <v>0</v>
      </c>
      <c r="I73" s="122" cm="1">
        <f t="array" ref="I73">-SUMPRODUCT(Properties!$D$6:$D$15*($A73&gt;=Properties!$Q$6:$Q$15)*($A73&lt;Properties!$T$6:$T$15)*Properties!$N$6:$N$15/(Properties!$R$6:$R$15+(Properties!$R$6:$R$15=0)))</f>
        <v>0</v>
      </c>
      <c r="J73" s="122" cm="1">
        <f t="array" ref="J73">_xlfn.LET(_xlpm.act,Properties!$D$6:$D$15,_xlpm.accM,Properties!$Q$6:$Q$15,_xlpm.rentM,Properties!$T$6:$T$15,_xlpm.saleM,Properties!$U$6:$U$15,_xlpm.owned,($A73&gt;=_xlpm.accM)*($A73&lt;_xlpm.saleM),_xlpm.renting,($A73&gt;=_xlpm.rentM)*($A73&lt;_xlpm.saleM),_xlpm.ratio,($A73-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73-1)-_xlpm.owned*_xlpm.ownFix/$Q$7-_xlpm.renting*_xlpm.rentFix/$Q$7)))</f>
        <v>0</v>
      </c>
      <c r="K73" s="122" cm="1">
        <f t="array" ref="K73">SUMPRODUCT(Properties!$D$6:$D$15*(Properties!$U$6:$U$15=$A73)*Properties!$AB$6:$AB$15)</f>
        <v>0</v>
      </c>
      <c r="L73" s="122">
        <f t="shared" si="16"/>
        <v>0</v>
      </c>
      <c r="M73" s="122" cm="1">
        <f t="array" ref="M73">-SUMPRODUCT(Properties!$D$6:$D$15*(Properties!$U$6:$U$15=$A73)*Properties!$AD$6:$AD$15)</f>
        <v>0</v>
      </c>
      <c r="N73" s="122">
        <f t="shared" si="17"/>
        <v>0</v>
      </c>
      <c r="O73" s="1"/>
      <c r="P73" s="1"/>
      <c r="Q73" s="1"/>
    </row>
    <row r="74" spans="1:17" ht="18" customHeight="1" x14ac:dyDescent="0.3">
      <c r="A74" s="1">
        <f t="shared" si="12"/>
        <v>69</v>
      </c>
      <c r="B74" s="227">
        <f>EOMONTH(Input!$C$7,$A74-1)</f>
        <v>48395</v>
      </c>
      <c r="C74" s="1">
        <f t="shared" si="13"/>
        <v>6</v>
      </c>
      <c r="D74" s="1">
        <f t="shared" si="14"/>
        <v>23</v>
      </c>
      <c r="E74" s="122" cm="1">
        <f t="array" ref="E74">_xlfn.LET(_xlpm.ann,-INDEX('Statement of Cash Flows'!$C$47:$L$47,$C74),_xlpm.w,-($H74+$I74)+MAX(0,-$J74),_xlpm.yrW,SUMPRODUCT(($C$6:$C$125=$C74)*(-($H$6:$H$125+$I$6:$I$125)+((-$J$6:$J$125)&gt;0)*(-$J$6:$J$125))),_xlpm.ann*IF(_xlpm.yrW&gt;0,_xlpm.w/_xlpm.yrW,IF($A74=($C74-1)*$Q$7+1,1,0)))</f>
        <v>0</v>
      </c>
      <c r="F74" s="122" cm="1">
        <f t="array" ref="F74">_xlfn.LET(_xlpm.ann,INDEX('Investor Return'!$C$11:$L$11,$C74),_xlpm.sale,'_Month Engine'!$C$71:$DR$71,_xlpm.yr,'_Month Engine'!$C$5:$DR$5,_xlpm.yearS,SUMPRODUCT((_xlpm.yr=$C74)*_xlpm.sale),_xlpm.mS,INDEX(_xlpm.sale,$A74),_xlpm.ann*IF(_xlpm.yearS&gt;0,_xlpm.mS/_xlpm.yearS,IF($A74=$C74*$Q$7,1,0)))</f>
        <v>0</v>
      </c>
      <c r="G74" s="122">
        <f t="shared" si="15"/>
        <v>0</v>
      </c>
      <c r="H74" s="122" cm="1">
        <f t="array" ref="H74">-SUMPRODUCT(Properties!$D$6:$D$15*(Properties!$Q$6:$Q$15=$A74)*(Properties!$M$6:$M$15+Properties!$O$6:$O$15))</f>
        <v>0</v>
      </c>
      <c r="I74" s="122" cm="1">
        <f t="array" ref="I74">-SUMPRODUCT(Properties!$D$6:$D$15*($A74&gt;=Properties!$Q$6:$Q$15)*($A74&lt;Properties!$T$6:$T$15)*Properties!$N$6:$N$15/(Properties!$R$6:$R$15+(Properties!$R$6:$R$15=0)))</f>
        <v>0</v>
      </c>
      <c r="J74" s="122" cm="1">
        <f t="array" ref="J74">_xlfn.LET(_xlpm.act,Properties!$D$6:$D$15,_xlpm.accM,Properties!$Q$6:$Q$15,_xlpm.rentM,Properties!$T$6:$T$15,_xlpm.saleM,Properties!$U$6:$U$15,_xlpm.owned,($A74&gt;=_xlpm.accM)*($A74&lt;_xlpm.saleM),_xlpm.renting,($A74&gt;=_xlpm.rentM)*($A74&lt;_xlpm.saleM),_xlpm.ratio,($A74-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74-1)-_xlpm.owned*_xlpm.ownFix/$Q$7-_xlpm.renting*_xlpm.rentFix/$Q$7)))</f>
        <v>0</v>
      </c>
      <c r="K74" s="122" cm="1">
        <f t="array" ref="K74">SUMPRODUCT(Properties!$D$6:$D$15*(Properties!$U$6:$U$15=$A74)*Properties!$AB$6:$AB$15)</f>
        <v>0</v>
      </c>
      <c r="L74" s="122">
        <f t="shared" si="16"/>
        <v>0</v>
      </c>
      <c r="M74" s="122" cm="1">
        <f t="array" ref="M74">-SUMPRODUCT(Properties!$D$6:$D$15*(Properties!$U$6:$U$15=$A74)*Properties!$AD$6:$AD$15)</f>
        <v>0</v>
      </c>
      <c r="N74" s="122">
        <f t="shared" si="17"/>
        <v>0</v>
      </c>
      <c r="O74" s="1"/>
      <c r="P74" s="1"/>
      <c r="Q74" s="1"/>
    </row>
    <row r="75" spans="1:17" ht="18" customHeight="1" x14ac:dyDescent="0.3">
      <c r="A75" s="1">
        <f t="shared" si="12"/>
        <v>70</v>
      </c>
      <c r="B75" s="227">
        <f>EOMONTH(Input!$C$7,$A75-1)</f>
        <v>48426</v>
      </c>
      <c r="C75" s="1">
        <f t="shared" si="13"/>
        <v>6</v>
      </c>
      <c r="D75" s="1">
        <f t="shared" si="14"/>
        <v>24</v>
      </c>
      <c r="E75" s="122" cm="1">
        <f t="array" ref="E75">_xlfn.LET(_xlpm.ann,-INDEX('Statement of Cash Flows'!$C$47:$L$47,$C75),_xlpm.w,-($H75+$I75)+MAX(0,-$J75),_xlpm.yrW,SUMPRODUCT(($C$6:$C$125=$C75)*(-($H$6:$H$125+$I$6:$I$125)+((-$J$6:$J$125)&gt;0)*(-$J$6:$J$125))),_xlpm.ann*IF(_xlpm.yrW&gt;0,_xlpm.w/_xlpm.yrW,IF($A75=($C75-1)*$Q$7+1,1,0)))</f>
        <v>0</v>
      </c>
      <c r="F75" s="122" cm="1">
        <f t="array" ref="F75">_xlfn.LET(_xlpm.ann,INDEX('Investor Return'!$C$11:$L$11,$C75),_xlpm.sale,'_Month Engine'!$C$71:$DR$71,_xlpm.yr,'_Month Engine'!$C$5:$DR$5,_xlpm.yearS,SUMPRODUCT((_xlpm.yr=$C75)*_xlpm.sale),_xlpm.mS,INDEX(_xlpm.sale,$A75),_xlpm.ann*IF(_xlpm.yearS&gt;0,_xlpm.mS/_xlpm.yearS,IF($A75=$C75*$Q$7,1,0)))</f>
        <v>0</v>
      </c>
      <c r="G75" s="122">
        <f t="shared" si="15"/>
        <v>0</v>
      </c>
      <c r="H75" s="122" cm="1">
        <f t="array" ref="H75">-SUMPRODUCT(Properties!$D$6:$D$15*(Properties!$Q$6:$Q$15=$A75)*(Properties!$M$6:$M$15+Properties!$O$6:$O$15))</f>
        <v>0</v>
      </c>
      <c r="I75" s="122" cm="1">
        <f t="array" ref="I75">-SUMPRODUCT(Properties!$D$6:$D$15*($A75&gt;=Properties!$Q$6:$Q$15)*($A75&lt;Properties!$T$6:$T$15)*Properties!$N$6:$N$15/(Properties!$R$6:$R$15+(Properties!$R$6:$R$15=0)))</f>
        <v>0</v>
      </c>
      <c r="J75" s="122" cm="1">
        <f t="array" ref="J75">_xlfn.LET(_xlpm.act,Properties!$D$6:$D$15,_xlpm.accM,Properties!$Q$6:$Q$15,_xlpm.rentM,Properties!$T$6:$T$15,_xlpm.saleM,Properties!$U$6:$U$15,_xlpm.owned,($A75&gt;=_xlpm.accM)*($A75&lt;_xlpm.saleM),_xlpm.renting,($A75&gt;=_xlpm.rentM)*($A75&lt;_xlpm.saleM),_xlpm.ratio,($A75-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75-1)-_xlpm.owned*_xlpm.ownFix/$Q$7-_xlpm.renting*_xlpm.rentFix/$Q$7)))</f>
        <v>0</v>
      </c>
      <c r="K75" s="122" cm="1">
        <f t="array" ref="K75">SUMPRODUCT(Properties!$D$6:$D$15*(Properties!$U$6:$U$15=$A75)*Properties!$AB$6:$AB$15)</f>
        <v>0</v>
      </c>
      <c r="L75" s="122">
        <f t="shared" si="16"/>
        <v>0</v>
      </c>
      <c r="M75" s="122" cm="1">
        <f t="array" ref="M75">-SUMPRODUCT(Properties!$D$6:$D$15*(Properties!$U$6:$U$15=$A75)*Properties!$AD$6:$AD$15)</f>
        <v>0</v>
      </c>
      <c r="N75" s="122">
        <f t="shared" si="17"/>
        <v>0</v>
      </c>
      <c r="O75" s="1"/>
      <c r="P75" s="1"/>
      <c r="Q75" s="1"/>
    </row>
    <row r="76" spans="1:17" ht="18" customHeight="1" x14ac:dyDescent="0.3">
      <c r="A76" s="1">
        <f t="shared" si="12"/>
        <v>71</v>
      </c>
      <c r="B76" s="227">
        <f>EOMONTH(Input!$C$7,$A76-1)</f>
        <v>48457</v>
      </c>
      <c r="C76" s="1">
        <f t="shared" si="13"/>
        <v>6</v>
      </c>
      <c r="D76" s="1">
        <f t="shared" si="14"/>
        <v>24</v>
      </c>
      <c r="E76" s="122" cm="1">
        <f t="array" ref="E76">_xlfn.LET(_xlpm.ann,-INDEX('Statement of Cash Flows'!$C$47:$L$47,$C76),_xlpm.w,-($H76+$I76)+MAX(0,-$J76),_xlpm.yrW,SUMPRODUCT(($C$6:$C$125=$C76)*(-($H$6:$H$125+$I$6:$I$125)+((-$J$6:$J$125)&gt;0)*(-$J$6:$J$125))),_xlpm.ann*IF(_xlpm.yrW&gt;0,_xlpm.w/_xlpm.yrW,IF($A76=($C76-1)*$Q$7+1,1,0)))</f>
        <v>0</v>
      </c>
      <c r="F76" s="122" cm="1">
        <f t="array" ref="F76">_xlfn.LET(_xlpm.ann,INDEX('Investor Return'!$C$11:$L$11,$C76),_xlpm.sale,'_Month Engine'!$C$71:$DR$71,_xlpm.yr,'_Month Engine'!$C$5:$DR$5,_xlpm.yearS,SUMPRODUCT((_xlpm.yr=$C76)*_xlpm.sale),_xlpm.mS,INDEX(_xlpm.sale,$A76),_xlpm.ann*IF(_xlpm.yearS&gt;0,_xlpm.mS/_xlpm.yearS,IF($A76=$C76*$Q$7,1,0)))</f>
        <v>0</v>
      </c>
      <c r="G76" s="122">
        <f t="shared" si="15"/>
        <v>0</v>
      </c>
      <c r="H76" s="122" cm="1">
        <f t="array" ref="H76">-SUMPRODUCT(Properties!$D$6:$D$15*(Properties!$Q$6:$Q$15=$A76)*(Properties!$M$6:$M$15+Properties!$O$6:$O$15))</f>
        <v>0</v>
      </c>
      <c r="I76" s="122" cm="1">
        <f t="array" ref="I76">-SUMPRODUCT(Properties!$D$6:$D$15*($A76&gt;=Properties!$Q$6:$Q$15)*($A76&lt;Properties!$T$6:$T$15)*Properties!$N$6:$N$15/(Properties!$R$6:$R$15+(Properties!$R$6:$R$15=0)))</f>
        <v>0</v>
      </c>
      <c r="J76" s="122" cm="1">
        <f t="array" ref="J76">_xlfn.LET(_xlpm.act,Properties!$D$6:$D$15,_xlpm.accM,Properties!$Q$6:$Q$15,_xlpm.rentM,Properties!$T$6:$T$15,_xlpm.saleM,Properties!$U$6:$U$15,_xlpm.owned,($A76&gt;=_xlpm.accM)*($A76&lt;_xlpm.saleM),_xlpm.renting,($A76&gt;=_xlpm.rentM)*($A76&lt;_xlpm.saleM),_xlpm.ratio,($A76-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76-1)-_xlpm.owned*_xlpm.ownFix/$Q$7-_xlpm.renting*_xlpm.rentFix/$Q$7)))</f>
        <v>0</v>
      </c>
      <c r="K76" s="122" cm="1">
        <f t="array" ref="K76">SUMPRODUCT(Properties!$D$6:$D$15*(Properties!$U$6:$U$15=$A76)*Properties!$AB$6:$AB$15)</f>
        <v>0</v>
      </c>
      <c r="L76" s="122">
        <f t="shared" si="16"/>
        <v>0</v>
      </c>
      <c r="M76" s="122" cm="1">
        <f t="array" ref="M76">-SUMPRODUCT(Properties!$D$6:$D$15*(Properties!$U$6:$U$15=$A76)*Properties!$AD$6:$AD$15)</f>
        <v>0</v>
      </c>
      <c r="N76" s="122">
        <f t="shared" si="17"/>
        <v>0</v>
      </c>
      <c r="O76" s="1"/>
      <c r="P76" s="1"/>
      <c r="Q76" s="1"/>
    </row>
    <row r="77" spans="1:17" ht="18" customHeight="1" x14ac:dyDescent="0.3">
      <c r="A77" s="1">
        <f t="shared" si="12"/>
        <v>72</v>
      </c>
      <c r="B77" s="227">
        <f>EOMONTH(Input!$C$7,$A77-1)</f>
        <v>48487</v>
      </c>
      <c r="C77" s="1">
        <f t="shared" si="13"/>
        <v>6</v>
      </c>
      <c r="D77" s="1">
        <f t="shared" si="14"/>
        <v>24</v>
      </c>
      <c r="E77" s="122" cm="1">
        <f t="array" ref="E77">_xlfn.LET(_xlpm.ann,-INDEX('Statement of Cash Flows'!$C$47:$L$47,$C77),_xlpm.w,-($H77+$I77)+MAX(0,-$J77),_xlpm.yrW,SUMPRODUCT(($C$6:$C$125=$C77)*(-($H$6:$H$125+$I$6:$I$125)+((-$J$6:$J$125)&gt;0)*(-$J$6:$J$125))),_xlpm.ann*IF(_xlpm.yrW&gt;0,_xlpm.w/_xlpm.yrW,IF($A77=($C77-1)*$Q$7+1,1,0)))</f>
        <v>0</v>
      </c>
      <c r="F77" s="122" cm="1">
        <f t="array" ref="F77">_xlfn.LET(_xlpm.ann,INDEX('Investor Return'!$C$11:$L$11,$C77),_xlpm.sale,'_Month Engine'!$C$71:$DR$71,_xlpm.yr,'_Month Engine'!$C$5:$DR$5,_xlpm.yearS,SUMPRODUCT((_xlpm.yr=$C77)*_xlpm.sale),_xlpm.mS,INDEX(_xlpm.sale,$A77),_xlpm.ann*IF(_xlpm.yearS&gt;0,_xlpm.mS/_xlpm.yearS,IF($A77=$C77*$Q$7,1,0)))</f>
        <v>0</v>
      </c>
      <c r="G77" s="122">
        <f t="shared" si="15"/>
        <v>0</v>
      </c>
      <c r="H77" s="122" cm="1">
        <f t="array" ref="H77">-SUMPRODUCT(Properties!$D$6:$D$15*(Properties!$Q$6:$Q$15=$A77)*(Properties!$M$6:$M$15+Properties!$O$6:$O$15))</f>
        <v>0</v>
      </c>
      <c r="I77" s="122" cm="1">
        <f t="array" ref="I77">-SUMPRODUCT(Properties!$D$6:$D$15*($A77&gt;=Properties!$Q$6:$Q$15)*($A77&lt;Properties!$T$6:$T$15)*Properties!$N$6:$N$15/(Properties!$R$6:$R$15+(Properties!$R$6:$R$15=0)))</f>
        <v>0</v>
      </c>
      <c r="J77" s="122" cm="1">
        <f t="array" ref="J77">_xlfn.LET(_xlpm.act,Properties!$D$6:$D$15,_xlpm.accM,Properties!$Q$6:$Q$15,_xlpm.rentM,Properties!$T$6:$T$15,_xlpm.saleM,Properties!$U$6:$U$15,_xlpm.owned,($A77&gt;=_xlpm.accM)*($A77&lt;_xlpm.saleM),_xlpm.renting,($A77&gt;=_xlpm.rentM)*($A77&lt;_xlpm.saleM),_xlpm.ratio,($A77-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77-1)-_xlpm.owned*_xlpm.ownFix/$Q$7-_xlpm.renting*_xlpm.rentFix/$Q$7)))</f>
        <v>0</v>
      </c>
      <c r="K77" s="122" cm="1">
        <f t="array" ref="K77">SUMPRODUCT(Properties!$D$6:$D$15*(Properties!$U$6:$U$15=$A77)*Properties!$AB$6:$AB$15)</f>
        <v>0</v>
      </c>
      <c r="L77" s="122">
        <f t="shared" si="16"/>
        <v>0</v>
      </c>
      <c r="M77" s="122" cm="1">
        <f t="array" ref="M77">-SUMPRODUCT(Properties!$D$6:$D$15*(Properties!$U$6:$U$15=$A77)*Properties!$AD$6:$AD$15)</f>
        <v>0</v>
      </c>
      <c r="N77" s="122">
        <f t="shared" si="17"/>
        <v>0</v>
      </c>
      <c r="O77" s="1"/>
      <c r="P77" s="1"/>
      <c r="Q77" s="1"/>
    </row>
    <row r="78" spans="1:17" ht="18" customHeight="1" x14ac:dyDescent="0.3">
      <c r="A78" s="1">
        <f t="shared" si="12"/>
        <v>73</v>
      </c>
      <c r="B78" s="227">
        <f>EOMONTH(Input!$C$7,$A78-1)</f>
        <v>48518</v>
      </c>
      <c r="C78" s="1">
        <f t="shared" si="13"/>
        <v>7</v>
      </c>
      <c r="D78" s="1">
        <f t="shared" si="14"/>
        <v>25</v>
      </c>
      <c r="E78" s="122" cm="1">
        <f t="array" ref="E78">_xlfn.LET(_xlpm.ann,-INDEX('Statement of Cash Flows'!$C$47:$L$47,$C78),_xlpm.w,-($H78+$I78)+MAX(0,-$J78),_xlpm.yrW,SUMPRODUCT(($C$6:$C$125=$C78)*(-($H$6:$H$125+$I$6:$I$125)+((-$J$6:$J$125)&gt;0)*(-$J$6:$J$125))),_xlpm.ann*IF(_xlpm.yrW&gt;0,_xlpm.w/_xlpm.yrW,IF($A78=($C78-1)*$Q$7+1,1,0)))</f>
        <v>0</v>
      </c>
      <c r="F78" s="122" cm="1">
        <f t="array" ref="F78">_xlfn.LET(_xlpm.ann,INDEX('Investor Return'!$C$11:$L$11,$C78),_xlpm.sale,'_Month Engine'!$C$71:$DR$71,_xlpm.yr,'_Month Engine'!$C$5:$DR$5,_xlpm.yearS,SUMPRODUCT((_xlpm.yr=$C78)*_xlpm.sale),_xlpm.mS,INDEX(_xlpm.sale,$A78),_xlpm.ann*IF(_xlpm.yearS&gt;0,_xlpm.mS/_xlpm.yearS,IF($A78=$C78*$Q$7,1,0)))</f>
        <v>0</v>
      </c>
      <c r="G78" s="122">
        <f t="shared" si="15"/>
        <v>0</v>
      </c>
      <c r="H78" s="122" cm="1">
        <f t="array" ref="H78">-SUMPRODUCT(Properties!$D$6:$D$15*(Properties!$Q$6:$Q$15=$A78)*(Properties!$M$6:$M$15+Properties!$O$6:$O$15))</f>
        <v>0</v>
      </c>
      <c r="I78" s="122" cm="1">
        <f t="array" ref="I78">-SUMPRODUCT(Properties!$D$6:$D$15*($A78&gt;=Properties!$Q$6:$Q$15)*($A78&lt;Properties!$T$6:$T$15)*Properties!$N$6:$N$15/(Properties!$R$6:$R$15+(Properties!$R$6:$R$15=0)))</f>
        <v>0</v>
      </c>
      <c r="J78" s="122" cm="1">
        <f t="array" ref="J78">_xlfn.LET(_xlpm.act,Properties!$D$6:$D$15,_xlpm.accM,Properties!$Q$6:$Q$15,_xlpm.rentM,Properties!$T$6:$T$15,_xlpm.saleM,Properties!$U$6:$U$15,_xlpm.owned,($A78&gt;=_xlpm.accM)*($A78&lt;_xlpm.saleM),_xlpm.renting,($A78&gt;=_xlpm.rentM)*($A78&lt;_xlpm.saleM),_xlpm.ratio,($A78-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78-1)-_xlpm.owned*_xlpm.ownFix/$Q$7-_xlpm.renting*_xlpm.rentFix/$Q$7)))</f>
        <v>0</v>
      </c>
      <c r="K78" s="122" cm="1">
        <f t="array" ref="K78">SUMPRODUCT(Properties!$D$6:$D$15*(Properties!$U$6:$U$15=$A78)*Properties!$AB$6:$AB$15)</f>
        <v>0</v>
      </c>
      <c r="L78" s="122">
        <f t="shared" si="16"/>
        <v>0</v>
      </c>
      <c r="M78" s="122" cm="1">
        <f t="array" ref="M78">-SUMPRODUCT(Properties!$D$6:$D$15*(Properties!$U$6:$U$15=$A78)*Properties!$AD$6:$AD$15)</f>
        <v>0</v>
      </c>
      <c r="N78" s="122">
        <f t="shared" si="17"/>
        <v>0</v>
      </c>
      <c r="O78" s="1"/>
      <c r="P78" s="1"/>
      <c r="Q78" s="1"/>
    </row>
    <row r="79" spans="1:17" ht="18" customHeight="1" x14ac:dyDescent="0.3">
      <c r="A79" s="1">
        <f t="shared" si="12"/>
        <v>74</v>
      </c>
      <c r="B79" s="227">
        <f>EOMONTH(Input!$C$7,$A79-1)</f>
        <v>48548</v>
      </c>
      <c r="C79" s="1">
        <f t="shared" si="13"/>
        <v>7</v>
      </c>
      <c r="D79" s="1">
        <f t="shared" si="14"/>
        <v>25</v>
      </c>
      <c r="E79" s="122" cm="1">
        <f t="array" ref="E79">_xlfn.LET(_xlpm.ann,-INDEX('Statement of Cash Flows'!$C$47:$L$47,$C79),_xlpm.w,-($H79+$I79)+MAX(0,-$J79),_xlpm.yrW,SUMPRODUCT(($C$6:$C$125=$C79)*(-($H$6:$H$125+$I$6:$I$125)+((-$J$6:$J$125)&gt;0)*(-$J$6:$J$125))),_xlpm.ann*IF(_xlpm.yrW&gt;0,_xlpm.w/_xlpm.yrW,IF($A79=($C79-1)*$Q$7+1,1,0)))</f>
        <v>0</v>
      </c>
      <c r="F79" s="122" cm="1">
        <f t="array" ref="F79">_xlfn.LET(_xlpm.ann,INDEX('Investor Return'!$C$11:$L$11,$C79),_xlpm.sale,'_Month Engine'!$C$71:$DR$71,_xlpm.yr,'_Month Engine'!$C$5:$DR$5,_xlpm.yearS,SUMPRODUCT((_xlpm.yr=$C79)*_xlpm.sale),_xlpm.mS,INDEX(_xlpm.sale,$A79),_xlpm.ann*IF(_xlpm.yearS&gt;0,_xlpm.mS/_xlpm.yearS,IF($A79=$C79*$Q$7,1,0)))</f>
        <v>0</v>
      </c>
      <c r="G79" s="122">
        <f t="shared" si="15"/>
        <v>0</v>
      </c>
      <c r="H79" s="122" cm="1">
        <f t="array" ref="H79">-SUMPRODUCT(Properties!$D$6:$D$15*(Properties!$Q$6:$Q$15=$A79)*(Properties!$M$6:$M$15+Properties!$O$6:$O$15))</f>
        <v>0</v>
      </c>
      <c r="I79" s="122" cm="1">
        <f t="array" ref="I79">-SUMPRODUCT(Properties!$D$6:$D$15*($A79&gt;=Properties!$Q$6:$Q$15)*($A79&lt;Properties!$T$6:$T$15)*Properties!$N$6:$N$15/(Properties!$R$6:$R$15+(Properties!$R$6:$R$15=0)))</f>
        <v>0</v>
      </c>
      <c r="J79" s="122" cm="1">
        <f t="array" ref="J79">_xlfn.LET(_xlpm.act,Properties!$D$6:$D$15,_xlpm.accM,Properties!$Q$6:$Q$15,_xlpm.rentM,Properties!$T$6:$T$15,_xlpm.saleM,Properties!$U$6:$U$15,_xlpm.owned,($A79&gt;=_xlpm.accM)*($A79&lt;_xlpm.saleM),_xlpm.renting,($A79&gt;=_xlpm.rentM)*($A79&lt;_xlpm.saleM),_xlpm.ratio,($A79-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79-1)-_xlpm.owned*_xlpm.ownFix/$Q$7-_xlpm.renting*_xlpm.rentFix/$Q$7)))</f>
        <v>0</v>
      </c>
      <c r="K79" s="122" cm="1">
        <f t="array" ref="K79">SUMPRODUCT(Properties!$D$6:$D$15*(Properties!$U$6:$U$15=$A79)*Properties!$AB$6:$AB$15)</f>
        <v>0</v>
      </c>
      <c r="L79" s="122">
        <f t="shared" si="16"/>
        <v>0</v>
      </c>
      <c r="M79" s="122" cm="1">
        <f t="array" ref="M79">-SUMPRODUCT(Properties!$D$6:$D$15*(Properties!$U$6:$U$15=$A79)*Properties!$AD$6:$AD$15)</f>
        <v>0</v>
      </c>
      <c r="N79" s="122">
        <f t="shared" si="17"/>
        <v>0</v>
      </c>
      <c r="O79" s="1"/>
      <c r="P79" s="1"/>
      <c r="Q79" s="1"/>
    </row>
    <row r="80" spans="1:17" ht="18" customHeight="1" x14ac:dyDescent="0.3">
      <c r="A80" s="1">
        <f t="shared" si="12"/>
        <v>75</v>
      </c>
      <c r="B80" s="227">
        <f>EOMONTH(Input!$C$7,$A80-1)</f>
        <v>48579</v>
      </c>
      <c r="C80" s="1">
        <f t="shared" si="13"/>
        <v>7</v>
      </c>
      <c r="D80" s="1">
        <f t="shared" si="14"/>
        <v>25</v>
      </c>
      <c r="E80" s="122" cm="1">
        <f t="array" ref="E80">_xlfn.LET(_xlpm.ann,-INDEX('Statement of Cash Flows'!$C$47:$L$47,$C80),_xlpm.w,-($H80+$I80)+MAX(0,-$J80),_xlpm.yrW,SUMPRODUCT(($C$6:$C$125=$C80)*(-($H$6:$H$125+$I$6:$I$125)+((-$J$6:$J$125)&gt;0)*(-$J$6:$J$125))),_xlpm.ann*IF(_xlpm.yrW&gt;0,_xlpm.w/_xlpm.yrW,IF($A80=($C80-1)*$Q$7+1,1,0)))</f>
        <v>0</v>
      </c>
      <c r="F80" s="122" cm="1">
        <f t="array" ref="F80">_xlfn.LET(_xlpm.ann,INDEX('Investor Return'!$C$11:$L$11,$C80),_xlpm.sale,'_Month Engine'!$C$71:$DR$71,_xlpm.yr,'_Month Engine'!$C$5:$DR$5,_xlpm.yearS,SUMPRODUCT((_xlpm.yr=$C80)*_xlpm.sale),_xlpm.mS,INDEX(_xlpm.sale,$A80),_xlpm.ann*IF(_xlpm.yearS&gt;0,_xlpm.mS/_xlpm.yearS,IF($A80=$C80*$Q$7,1,0)))</f>
        <v>0</v>
      </c>
      <c r="G80" s="122">
        <f t="shared" si="15"/>
        <v>0</v>
      </c>
      <c r="H80" s="122" cm="1">
        <f t="array" ref="H80">-SUMPRODUCT(Properties!$D$6:$D$15*(Properties!$Q$6:$Q$15=$A80)*(Properties!$M$6:$M$15+Properties!$O$6:$O$15))</f>
        <v>0</v>
      </c>
      <c r="I80" s="122" cm="1">
        <f t="array" ref="I80">-SUMPRODUCT(Properties!$D$6:$D$15*($A80&gt;=Properties!$Q$6:$Q$15)*($A80&lt;Properties!$T$6:$T$15)*Properties!$N$6:$N$15/(Properties!$R$6:$R$15+(Properties!$R$6:$R$15=0)))</f>
        <v>0</v>
      </c>
      <c r="J80" s="122" cm="1">
        <f t="array" ref="J80">_xlfn.LET(_xlpm.act,Properties!$D$6:$D$15,_xlpm.accM,Properties!$Q$6:$Q$15,_xlpm.rentM,Properties!$T$6:$T$15,_xlpm.saleM,Properties!$U$6:$U$15,_xlpm.owned,($A80&gt;=_xlpm.accM)*($A80&lt;_xlpm.saleM),_xlpm.renting,($A80&gt;=_xlpm.rentM)*($A80&lt;_xlpm.saleM),_xlpm.ratio,($A80-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80-1)-_xlpm.owned*_xlpm.ownFix/$Q$7-_xlpm.renting*_xlpm.rentFix/$Q$7)))</f>
        <v>0</v>
      </c>
      <c r="K80" s="122" cm="1">
        <f t="array" ref="K80">SUMPRODUCT(Properties!$D$6:$D$15*(Properties!$U$6:$U$15=$A80)*Properties!$AB$6:$AB$15)</f>
        <v>0</v>
      </c>
      <c r="L80" s="122">
        <f t="shared" si="16"/>
        <v>0</v>
      </c>
      <c r="M80" s="122" cm="1">
        <f t="array" ref="M80">-SUMPRODUCT(Properties!$D$6:$D$15*(Properties!$U$6:$U$15=$A80)*Properties!$AD$6:$AD$15)</f>
        <v>0</v>
      </c>
      <c r="N80" s="122">
        <f t="shared" si="17"/>
        <v>0</v>
      </c>
      <c r="O80" s="1"/>
      <c r="P80" s="1"/>
      <c r="Q80" s="1"/>
    </row>
    <row r="81" spans="1:17" ht="18" customHeight="1" x14ac:dyDescent="0.3">
      <c r="A81" s="1">
        <f t="shared" si="12"/>
        <v>76</v>
      </c>
      <c r="B81" s="227">
        <f>EOMONTH(Input!$C$7,$A81-1)</f>
        <v>48610</v>
      </c>
      <c r="C81" s="1">
        <f t="shared" si="13"/>
        <v>7</v>
      </c>
      <c r="D81" s="1">
        <f t="shared" si="14"/>
        <v>26</v>
      </c>
      <c r="E81" s="122" cm="1">
        <f t="array" ref="E81">_xlfn.LET(_xlpm.ann,-INDEX('Statement of Cash Flows'!$C$47:$L$47,$C81),_xlpm.w,-($H81+$I81)+MAX(0,-$J81),_xlpm.yrW,SUMPRODUCT(($C$6:$C$125=$C81)*(-($H$6:$H$125+$I$6:$I$125)+((-$J$6:$J$125)&gt;0)*(-$J$6:$J$125))),_xlpm.ann*IF(_xlpm.yrW&gt;0,_xlpm.w/_xlpm.yrW,IF($A81=($C81-1)*$Q$7+1,1,0)))</f>
        <v>0</v>
      </c>
      <c r="F81" s="122" cm="1">
        <f t="array" ref="F81">_xlfn.LET(_xlpm.ann,INDEX('Investor Return'!$C$11:$L$11,$C81),_xlpm.sale,'_Month Engine'!$C$71:$DR$71,_xlpm.yr,'_Month Engine'!$C$5:$DR$5,_xlpm.yearS,SUMPRODUCT((_xlpm.yr=$C81)*_xlpm.sale),_xlpm.mS,INDEX(_xlpm.sale,$A81),_xlpm.ann*IF(_xlpm.yearS&gt;0,_xlpm.mS/_xlpm.yearS,IF($A81=$C81*$Q$7,1,0)))</f>
        <v>0</v>
      </c>
      <c r="G81" s="122">
        <f t="shared" si="15"/>
        <v>0</v>
      </c>
      <c r="H81" s="122" cm="1">
        <f t="array" ref="H81">-SUMPRODUCT(Properties!$D$6:$D$15*(Properties!$Q$6:$Q$15=$A81)*(Properties!$M$6:$M$15+Properties!$O$6:$O$15))</f>
        <v>0</v>
      </c>
      <c r="I81" s="122" cm="1">
        <f t="array" ref="I81">-SUMPRODUCT(Properties!$D$6:$D$15*($A81&gt;=Properties!$Q$6:$Q$15)*($A81&lt;Properties!$T$6:$T$15)*Properties!$N$6:$N$15/(Properties!$R$6:$R$15+(Properties!$R$6:$R$15=0)))</f>
        <v>0</v>
      </c>
      <c r="J81" s="122" cm="1">
        <f t="array" ref="J81">_xlfn.LET(_xlpm.act,Properties!$D$6:$D$15,_xlpm.accM,Properties!$Q$6:$Q$15,_xlpm.rentM,Properties!$T$6:$T$15,_xlpm.saleM,Properties!$U$6:$U$15,_xlpm.owned,($A81&gt;=_xlpm.accM)*($A81&lt;_xlpm.saleM),_xlpm.renting,($A81&gt;=_xlpm.rentM)*($A81&lt;_xlpm.saleM),_xlpm.ratio,($A81-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81-1)-_xlpm.owned*_xlpm.ownFix/$Q$7-_xlpm.renting*_xlpm.rentFix/$Q$7)))</f>
        <v>0</v>
      </c>
      <c r="K81" s="122" cm="1">
        <f t="array" ref="K81">SUMPRODUCT(Properties!$D$6:$D$15*(Properties!$U$6:$U$15=$A81)*Properties!$AB$6:$AB$15)</f>
        <v>0</v>
      </c>
      <c r="L81" s="122">
        <f t="shared" si="16"/>
        <v>0</v>
      </c>
      <c r="M81" s="122" cm="1">
        <f t="array" ref="M81">-SUMPRODUCT(Properties!$D$6:$D$15*(Properties!$U$6:$U$15=$A81)*Properties!$AD$6:$AD$15)</f>
        <v>0</v>
      </c>
      <c r="N81" s="122">
        <f t="shared" si="17"/>
        <v>0</v>
      </c>
      <c r="O81" s="1"/>
      <c r="P81" s="1"/>
      <c r="Q81" s="1"/>
    </row>
    <row r="82" spans="1:17" ht="18" customHeight="1" x14ac:dyDescent="0.3">
      <c r="A82" s="1">
        <f t="shared" si="12"/>
        <v>77</v>
      </c>
      <c r="B82" s="227">
        <f>EOMONTH(Input!$C$7,$A82-1)</f>
        <v>48638</v>
      </c>
      <c r="C82" s="1">
        <f t="shared" si="13"/>
        <v>7</v>
      </c>
      <c r="D82" s="1">
        <f t="shared" si="14"/>
        <v>26</v>
      </c>
      <c r="E82" s="122" cm="1">
        <f t="array" ref="E82">_xlfn.LET(_xlpm.ann,-INDEX('Statement of Cash Flows'!$C$47:$L$47,$C82),_xlpm.w,-($H82+$I82)+MAX(0,-$J82),_xlpm.yrW,SUMPRODUCT(($C$6:$C$125=$C82)*(-($H$6:$H$125+$I$6:$I$125)+((-$J$6:$J$125)&gt;0)*(-$J$6:$J$125))),_xlpm.ann*IF(_xlpm.yrW&gt;0,_xlpm.w/_xlpm.yrW,IF($A82=($C82-1)*$Q$7+1,1,0)))</f>
        <v>0</v>
      </c>
      <c r="F82" s="122" cm="1">
        <f t="array" ref="F82">_xlfn.LET(_xlpm.ann,INDEX('Investor Return'!$C$11:$L$11,$C82),_xlpm.sale,'_Month Engine'!$C$71:$DR$71,_xlpm.yr,'_Month Engine'!$C$5:$DR$5,_xlpm.yearS,SUMPRODUCT((_xlpm.yr=$C82)*_xlpm.sale),_xlpm.mS,INDEX(_xlpm.sale,$A82),_xlpm.ann*IF(_xlpm.yearS&gt;0,_xlpm.mS/_xlpm.yearS,IF($A82=$C82*$Q$7,1,0)))</f>
        <v>0</v>
      </c>
      <c r="G82" s="122">
        <f t="shared" si="15"/>
        <v>0</v>
      </c>
      <c r="H82" s="122" cm="1">
        <f t="array" ref="H82">-SUMPRODUCT(Properties!$D$6:$D$15*(Properties!$Q$6:$Q$15=$A82)*(Properties!$M$6:$M$15+Properties!$O$6:$O$15))</f>
        <v>0</v>
      </c>
      <c r="I82" s="122" cm="1">
        <f t="array" ref="I82">-SUMPRODUCT(Properties!$D$6:$D$15*($A82&gt;=Properties!$Q$6:$Q$15)*($A82&lt;Properties!$T$6:$T$15)*Properties!$N$6:$N$15/(Properties!$R$6:$R$15+(Properties!$R$6:$R$15=0)))</f>
        <v>0</v>
      </c>
      <c r="J82" s="122" cm="1">
        <f t="array" ref="J82">_xlfn.LET(_xlpm.act,Properties!$D$6:$D$15,_xlpm.accM,Properties!$Q$6:$Q$15,_xlpm.rentM,Properties!$T$6:$T$15,_xlpm.saleM,Properties!$U$6:$U$15,_xlpm.owned,($A82&gt;=_xlpm.accM)*($A82&lt;_xlpm.saleM),_xlpm.renting,($A82&gt;=_xlpm.rentM)*($A82&lt;_xlpm.saleM),_xlpm.ratio,($A82-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82-1)-_xlpm.owned*_xlpm.ownFix/$Q$7-_xlpm.renting*_xlpm.rentFix/$Q$7)))</f>
        <v>0</v>
      </c>
      <c r="K82" s="122" cm="1">
        <f t="array" ref="K82">SUMPRODUCT(Properties!$D$6:$D$15*(Properties!$U$6:$U$15=$A82)*Properties!$AB$6:$AB$15)</f>
        <v>0</v>
      </c>
      <c r="L82" s="122">
        <f t="shared" si="16"/>
        <v>0</v>
      </c>
      <c r="M82" s="122" cm="1">
        <f t="array" ref="M82">-SUMPRODUCT(Properties!$D$6:$D$15*(Properties!$U$6:$U$15=$A82)*Properties!$AD$6:$AD$15)</f>
        <v>0</v>
      </c>
      <c r="N82" s="122">
        <f t="shared" si="17"/>
        <v>0</v>
      </c>
      <c r="O82" s="1"/>
      <c r="P82" s="1"/>
      <c r="Q82" s="1"/>
    </row>
    <row r="83" spans="1:17" ht="18" customHeight="1" x14ac:dyDescent="0.3">
      <c r="A83" s="1">
        <f t="shared" si="12"/>
        <v>78</v>
      </c>
      <c r="B83" s="227">
        <f>EOMONTH(Input!$C$7,$A83-1)</f>
        <v>48669</v>
      </c>
      <c r="C83" s="1">
        <f t="shared" si="13"/>
        <v>7</v>
      </c>
      <c r="D83" s="1">
        <f t="shared" si="14"/>
        <v>26</v>
      </c>
      <c r="E83" s="122" cm="1">
        <f t="array" ref="E83">_xlfn.LET(_xlpm.ann,-INDEX('Statement of Cash Flows'!$C$47:$L$47,$C83),_xlpm.w,-($H83+$I83)+MAX(0,-$J83),_xlpm.yrW,SUMPRODUCT(($C$6:$C$125=$C83)*(-($H$6:$H$125+$I$6:$I$125)+((-$J$6:$J$125)&gt;0)*(-$J$6:$J$125))),_xlpm.ann*IF(_xlpm.yrW&gt;0,_xlpm.w/_xlpm.yrW,IF($A83=($C83-1)*$Q$7+1,1,0)))</f>
        <v>0</v>
      </c>
      <c r="F83" s="122" cm="1">
        <f t="array" ref="F83">_xlfn.LET(_xlpm.ann,INDEX('Investor Return'!$C$11:$L$11,$C83),_xlpm.sale,'_Month Engine'!$C$71:$DR$71,_xlpm.yr,'_Month Engine'!$C$5:$DR$5,_xlpm.yearS,SUMPRODUCT((_xlpm.yr=$C83)*_xlpm.sale),_xlpm.mS,INDEX(_xlpm.sale,$A83),_xlpm.ann*IF(_xlpm.yearS&gt;0,_xlpm.mS/_xlpm.yearS,IF($A83=$C83*$Q$7,1,0)))</f>
        <v>0</v>
      </c>
      <c r="G83" s="122">
        <f t="shared" si="15"/>
        <v>0</v>
      </c>
      <c r="H83" s="122" cm="1">
        <f t="array" ref="H83">-SUMPRODUCT(Properties!$D$6:$D$15*(Properties!$Q$6:$Q$15=$A83)*(Properties!$M$6:$M$15+Properties!$O$6:$O$15))</f>
        <v>0</v>
      </c>
      <c r="I83" s="122" cm="1">
        <f t="array" ref="I83">-SUMPRODUCT(Properties!$D$6:$D$15*($A83&gt;=Properties!$Q$6:$Q$15)*($A83&lt;Properties!$T$6:$T$15)*Properties!$N$6:$N$15/(Properties!$R$6:$R$15+(Properties!$R$6:$R$15=0)))</f>
        <v>0</v>
      </c>
      <c r="J83" s="122" cm="1">
        <f t="array" ref="J83">_xlfn.LET(_xlpm.act,Properties!$D$6:$D$15,_xlpm.accM,Properties!$Q$6:$Q$15,_xlpm.rentM,Properties!$T$6:$T$15,_xlpm.saleM,Properties!$U$6:$U$15,_xlpm.owned,($A83&gt;=_xlpm.accM)*($A83&lt;_xlpm.saleM),_xlpm.renting,($A83&gt;=_xlpm.rentM)*($A83&lt;_xlpm.saleM),_xlpm.ratio,($A83-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83-1)-_xlpm.owned*_xlpm.ownFix/$Q$7-_xlpm.renting*_xlpm.rentFix/$Q$7)))</f>
        <v>0</v>
      </c>
      <c r="K83" s="122" cm="1">
        <f t="array" ref="K83">SUMPRODUCT(Properties!$D$6:$D$15*(Properties!$U$6:$U$15=$A83)*Properties!$AB$6:$AB$15)</f>
        <v>0</v>
      </c>
      <c r="L83" s="122">
        <f t="shared" si="16"/>
        <v>0</v>
      </c>
      <c r="M83" s="122" cm="1">
        <f t="array" ref="M83">-SUMPRODUCT(Properties!$D$6:$D$15*(Properties!$U$6:$U$15=$A83)*Properties!$AD$6:$AD$15)</f>
        <v>0</v>
      </c>
      <c r="N83" s="122">
        <f t="shared" si="17"/>
        <v>0</v>
      </c>
      <c r="O83" s="1"/>
      <c r="P83" s="1"/>
      <c r="Q83" s="1"/>
    </row>
    <row r="84" spans="1:17" ht="18" customHeight="1" x14ac:dyDescent="0.3">
      <c r="A84" s="1">
        <f t="shared" si="12"/>
        <v>79</v>
      </c>
      <c r="B84" s="227">
        <f>EOMONTH(Input!$C$7,$A84-1)</f>
        <v>48699</v>
      </c>
      <c r="C84" s="1">
        <f t="shared" si="13"/>
        <v>7</v>
      </c>
      <c r="D84" s="1">
        <f t="shared" si="14"/>
        <v>27</v>
      </c>
      <c r="E84" s="122" cm="1">
        <f t="array" ref="E84">_xlfn.LET(_xlpm.ann,-INDEX('Statement of Cash Flows'!$C$47:$L$47,$C84),_xlpm.w,-($H84+$I84)+MAX(0,-$J84),_xlpm.yrW,SUMPRODUCT(($C$6:$C$125=$C84)*(-($H$6:$H$125+$I$6:$I$125)+((-$J$6:$J$125)&gt;0)*(-$J$6:$J$125))),_xlpm.ann*IF(_xlpm.yrW&gt;0,_xlpm.w/_xlpm.yrW,IF($A84=($C84-1)*$Q$7+1,1,0)))</f>
        <v>0</v>
      </c>
      <c r="F84" s="122" cm="1">
        <f t="array" ref="F84">_xlfn.LET(_xlpm.ann,INDEX('Investor Return'!$C$11:$L$11,$C84),_xlpm.sale,'_Month Engine'!$C$71:$DR$71,_xlpm.yr,'_Month Engine'!$C$5:$DR$5,_xlpm.yearS,SUMPRODUCT((_xlpm.yr=$C84)*_xlpm.sale),_xlpm.mS,INDEX(_xlpm.sale,$A84),_xlpm.ann*IF(_xlpm.yearS&gt;0,_xlpm.mS/_xlpm.yearS,IF($A84=$C84*$Q$7,1,0)))</f>
        <v>0</v>
      </c>
      <c r="G84" s="122">
        <f t="shared" si="15"/>
        <v>0</v>
      </c>
      <c r="H84" s="122" cm="1">
        <f t="array" ref="H84">-SUMPRODUCT(Properties!$D$6:$D$15*(Properties!$Q$6:$Q$15=$A84)*(Properties!$M$6:$M$15+Properties!$O$6:$O$15))</f>
        <v>0</v>
      </c>
      <c r="I84" s="122" cm="1">
        <f t="array" ref="I84">-SUMPRODUCT(Properties!$D$6:$D$15*($A84&gt;=Properties!$Q$6:$Q$15)*($A84&lt;Properties!$T$6:$T$15)*Properties!$N$6:$N$15/(Properties!$R$6:$R$15+(Properties!$R$6:$R$15=0)))</f>
        <v>0</v>
      </c>
      <c r="J84" s="122" cm="1">
        <f t="array" ref="J84">_xlfn.LET(_xlpm.act,Properties!$D$6:$D$15,_xlpm.accM,Properties!$Q$6:$Q$15,_xlpm.rentM,Properties!$T$6:$T$15,_xlpm.saleM,Properties!$U$6:$U$15,_xlpm.owned,($A84&gt;=_xlpm.accM)*($A84&lt;_xlpm.saleM),_xlpm.renting,($A84&gt;=_xlpm.rentM)*($A84&lt;_xlpm.saleM),_xlpm.ratio,($A84-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84-1)-_xlpm.owned*_xlpm.ownFix/$Q$7-_xlpm.renting*_xlpm.rentFix/$Q$7)))</f>
        <v>0</v>
      </c>
      <c r="K84" s="122" cm="1">
        <f t="array" ref="K84">SUMPRODUCT(Properties!$D$6:$D$15*(Properties!$U$6:$U$15=$A84)*Properties!$AB$6:$AB$15)</f>
        <v>0</v>
      </c>
      <c r="L84" s="122">
        <f t="shared" si="16"/>
        <v>0</v>
      </c>
      <c r="M84" s="122" cm="1">
        <f t="array" ref="M84">-SUMPRODUCT(Properties!$D$6:$D$15*(Properties!$U$6:$U$15=$A84)*Properties!$AD$6:$AD$15)</f>
        <v>0</v>
      </c>
      <c r="N84" s="122">
        <f t="shared" si="17"/>
        <v>0</v>
      </c>
      <c r="O84" s="1"/>
      <c r="P84" s="1"/>
      <c r="Q84" s="1"/>
    </row>
    <row r="85" spans="1:17" ht="18" customHeight="1" x14ac:dyDescent="0.3">
      <c r="A85" s="1">
        <f t="shared" si="12"/>
        <v>80</v>
      </c>
      <c r="B85" s="227">
        <f>EOMONTH(Input!$C$7,$A85-1)</f>
        <v>48730</v>
      </c>
      <c r="C85" s="1">
        <f t="shared" si="13"/>
        <v>7</v>
      </c>
      <c r="D85" s="1">
        <f t="shared" si="14"/>
        <v>27</v>
      </c>
      <c r="E85" s="122" cm="1">
        <f t="array" ref="E85">_xlfn.LET(_xlpm.ann,-INDEX('Statement of Cash Flows'!$C$47:$L$47,$C85),_xlpm.w,-($H85+$I85)+MAX(0,-$J85),_xlpm.yrW,SUMPRODUCT(($C$6:$C$125=$C85)*(-($H$6:$H$125+$I$6:$I$125)+((-$J$6:$J$125)&gt;0)*(-$J$6:$J$125))),_xlpm.ann*IF(_xlpm.yrW&gt;0,_xlpm.w/_xlpm.yrW,IF($A85=($C85-1)*$Q$7+1,1,0)))</f>
        <v>0</v>
      </c>
      <c r="F85" s="122" cm="1">
        <f t="array" ref="F85">_xlfn.LET(_xlpm.ann,INDEX('Investor Return'!$C$11:$L$11,$C85),_xlpm.sale,'_Month Engine'!$C$71:$DR$71,_xlpm.yr,'_Month Engine'!$C$5:$DR$5,_xlpm.yearS,SUMPRODUCT((_xlpm.yr=$C85)*_xlpm.sale),_xlpm.mS,INDEX(_xlpm.sale,$A85),_xlpm.ann*IF(_xlpm.yearS&gt;0,_xlpm.mS/_xlpm.yearS,IF($A85=$C85*$Q$7,1,0)))</f>
        <v>0</v>
      </c>
      <c r="G85" s="122">
        <f t="shared" si="15"/>
        <v>0</v>
      </c>
      <c r="H85" s="122" cm="1">
        <f t="array" ref="H85">-SUMPRODUCT(Properties!$D$6:$D$15*(Properties!$Q$6:$Q$15=$A85)*(Properties!$M$6:$M$15+Properties!$O$6:$O$15))</f>
        <v>0</v>
      </c>
      <c r="I85" s="122" cm="1">
        <f t="array" ref="I85">-SUMPRODUCT(Properties!$D$6:$D$15*($A85&gt;=Properties!$Q$6:$Q$15)*($A85&lt;Properties!$T$6:$T$15)*Properties!$N$6:$N$15/(Properties!$R$6:$R$15+(Properties!$R$6:$R$15=0)))</f>
        <v>0</v>
      </c>
      <c r="J85" s="122" cm="1">
        <f t="array" ref="J85">_xlfn.LET(_xlpm.act,Properties!$D$6:$D$15,_xlpm.accM,Properties!$Q$6:$Q$15,_xlpm.rentM,Properties!$T$6:$T$15,_xlpm.saleM,Properties!$U$6:$U$15,_xlpm.owned,($A85&gt;=_xlpm.accM)*($A85&lt;_xlpm.saleM),_xlpm.renting,($A85&gt;=_xlpm.rentM)*($A85&lt;_xlpm.saleM),_xlpm.ratio,($A85-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85-1)-_xlpm.owned*_xlpm.ownFix/$Q$7-_xlpm.renting*_xlpm.rentFix/$Q$7)))</f>
        <v>0</v>
      </c>
      <c r="K85" s="122" cm="1">
        <f t="array" ref="K85">SUMPRODUCT(Properties!$D$6:$D$15*(Properties!$U$6:$U$15=$A85)*Properties!$AB$6:$AB$15)</f>
        <v>0</v>
      </c>
      <c r="L85" s="122">
        <f t="shared" si="16"/>
        <v>0</v>
      </c>
      <c r="M85" s="122" cm="1">
        <f t="array" ref="M85">-SUMPRODUCT(Properties!$D$6:$D$15*(Properties!$U$6:$U$15=$A85)*Properties!$AD$6:$AD$15)</f>
        <v>0</v>
      </c>
      <c r="N85" s="122">
        <f t="shared" si="17"/>
        <v>0</v>
      </c>
      <c r="O85" s="1"/>
      <c r="P85" s="1"/>
      <c r="Q85" s="1"/>
    </row>
    <row r="86" spans="1:17" ht="18" customHeight="1" x14ac:dyDescent="0.3">
      <c r="A86" s="1">
        <f t="shared" si="12"/>
        <v>81</v>
      </c>
      <c r="B86" s="227">
        <f>EOMONTH(Input!$C$7,$A86-1)</f>
        <v>48760</v>
      </c>
      <c r="C86" s="1">
        <f t="shared" si="13"/>
        <v>7</v>
      </c>
      <c r="D86" s="1">
        <f t="shared" si="14"/>
        <v>27</v>
      </c>
      <c r="E86" s="122" cm="1">
        <f t="array" ref="E86">_xlfn.LET(_xlpm.ann,-INDEX('Statement of Cash Flows'!$C$47:$L$47,$C86),_xlpm.w,-($H86+$I86)+MAX(0,-$J86),_xlpm.yrW,SUMPRODUCT(($C$6:$C$125=$C86)*(-($H$6:$H$125+$I$6:$I$125)+((-$J$6:$J$125)&gt;0)*(-$J$6:$J$125))),_xlpm.ann*IF(_xlpm.yrW&gt;0,_xlpm.w/_xlpm.yrW,IF($A86=($C86-1)*$Q$7+1,1,0)))</f>
        <v>0</v>
      </c>
      <c r="F86" s="122" cm="1">
        <f t="array" ref="F86">_xlfn.LET(_xlpm.ann,INDEX('Investor Return'!$C$11:$L$11,$C86),_xlpm.sale,'_Month Engine'!$C$71:$DR$71,_xlpm.yr,'_Month Engine'!$C$5:$DR$5,_xlpm.yearS,SUMPRODUCT((_xlpm.yr=$C86)*_xlpm.sale),_xlpm.mS,INDEX(_xlpm.sale,$A86),_xlpm.ann*IF(_xlpm.yearS&gt;0,_xlpm.mS/_xlpm.yearS,IF($A86=$C86*$Q$7,1,0)))</f>
        <v>0</v>
      </c>
      <c r="G86" s="122">
        <f t="shared" si="15"/>
        <v>0</v>
      </c>
      <c r="H86" s="122" cm="1">
        <f t="array" ref="H86">-SUMPRODUCT(Properties!$D$6:$D$15*(Properties!$Q$6:$Q$15=$A86)*(Properties!$M$6:$M$15+Properties!$O$6:$O$15))</f>
        <v>0</v>
      </c>
      <c r="I86" s="122" cm="1">
        <f t="array" ref="I86">-SUMPRODUCT(Properties!$D$6:$D$15*($A86&gt;=Properties!$Q$6:$Q$15)*($A86&lt;Properties!$T$6:$T$15)*Properties!$N$6:$N$15/(Properties!$R$6:$R$15+(Properties!$R$6:$R$15=0)))</f>
        <v>0</v>
      </c>
      <c r="J86" s="122" cm="1">
        <f t="array" ref="J86">_xlfn.LET(_xlpm.act,Properties!$D$6:$D$15,_xlpm.accM,Properties!$Q$6:$Q$15,_xlpm.rentM,Properties!$T$6:$T$15,_xlpm.saleM,Properties!$U$6:$U$15,_xlpm.owned,($A86&gt;=_xlpm.accM)*($A86&lt;_xlpm.saleM),_xlpm.renting,($A86&gt;=_xlpm.rentM)*($A86&lt;_xlpm.saleM),_xlpm.ratio,($A86-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86-1)-_xlpm.owned*_xlpm.ownFix/$Q$7-_xlpm.renting*_xlpm.rentFix/$Q$7)))</f>
        <v>0</v>
      </c>
      <c r="K86" s="122" cm="1">
        <f t="array" ref="K86">SUMPRODUCT(Properties!$D$6:$D$15*(Properties!$U$6:$U$15=$A86)*Properties!$AB$6:$AB$15)</f>
        <v>0</v>
      </c>
      <c r="L86" s="122">
        <f t="shared" si="16"/>
        <v>0</v>
      </c>
      <c r="M86" s="122" cm="1">
        <f t="array" ref="M86">-SUMPRODUCT(Properties!$D$6:$D$15*(Properties!$U$6:$U$15=$A86)*Properties!$AD$6:$AD$15)</f>
        <v>0</v>
      </c>
      <c r="N86" s="122">
        <f t="shared" si="17"/>
        <v>0</v>
      </c>
      <c r="O86" s="1"/>
      <c r="P86" s="1"/>
      <c r="Q86" s="1"/>
    </row>
    <row r="87" spans="1:17" ht="18" customHeight="1" x14ac:dyDescent="0.3">
      <c r="A87" s="1">
        <f t="shared" si="12"/>
        <v>82</v>
      </c>
      <c r="B87" s="227">
        <f>EOMONTH(Input!$C$7,$A87-1)</f>
        <v>48791</v>
      </c>
      <c r="C87" s="1">
        <f t="shared" si="13"/>
        <v>7</v>
      </c>
      <c r="D87" s="1">
        <f t="shared" si="14"/>
        <v>28</v>
      </c>
      <c r="E87" s="122" cm="1">
        <f t="array" ref="E87">_xlfn.LET(_xlpm.ann,-INDEX('Statement of Cash Flows'!$C$47:$L$47,$C87),_xlpm.w,-($H87+$I87)+MAX(0,-$J87),_xlpm.yrW,SUMPRODUCT(($C$6:$C$125=$C87)*(-($H$6:$H$125+$I$6:$I$125)+((-$J$6:$J$125)&gt;0)*(-$J$6:$J$125))),_xlpm.ann*IF(_xlpm.yrW&gt;0,_xlpm.w/_xlpm.yrW,IF($A87=($C87-1)*$Q$7+1,1,0)))</f>
        <v>0</v>
      </c>
      <c r="F87" s="122" cm="1">
        <f t="array" ref="F87">_xlfn.LET(_xlpm.ann,INDEX('Investor Return'!$C$11:$L$11,$C87),_xlpm.sale,'_Month Engine'!$C$71:$DR$71,_xlpm.yr,'_Month Engine'!$C$5:$DR$5,_xlpm.yearS,SUMPRODUCT((_xlpm.yr=$C87)*_xlpm.sale),_xlpm.mS,INDEX(_xlpm.sale,$A87),_xlpm.ann*IF(_xlpm.yearS&gt;0,_xlpm.mS/_xlpm.yearS,IF($A87=$C87*$Q$7,1,0)))</f>
        <v>0</v>
      </c>
      <c r="G87" s="122">
        <f t="shared" si="15"/>
        <v>0</v>
      </c>
      <c r="H87" s="122" cm="1">
        <f t="array" ref="H87">-SUMPRODUCT(Properties!$D$6:$D$15*(Properties!$Q$6:$Q$15=$A87)*(Properties!$M$6:$M$15+Properties!$O$6:$O$15))</f>
        <v>0</v>
      </c>
      <c r="I87" s="122" cm="1">
        <f t="array" ref="I87">-SUMPRODUCT(Properties!$D$6:$D$15*($A87&gt;=Properties!$Q$6:$Q$15)*($A87&lt;Properties!$T$6:$T$15)*Properties!$N$6:$N$15/(Properties!$R$6:$R$15+(Properties!$R$6:$R$15=0)))</f>
        <v>0</v>
      </c>
      <c r="J87" s="122" cm="1">
        <f t="array" ref="J87">_xlfn.LET(_xlpm.act,Properties!$D$6:$D$15,_xlpm.accM,Properties!$Q$6:$Q$15,_xlpm.rentM,Properties!$T$6:$T$15,_xlpm.saleM,Properties!$U$6:$U$15,_xlpm.owned,($A87&gt;=_xlpm.accM)*($A87&lt;_xlpm.saleM),_xlpm.renting,($A87&gt;=_xlpm.rentM)*($A87&lt;_xlpm.saleM),_xlpm.ratio,($A87-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87-1)-_xlpm.owned*_xlpm.ownFix/$Q$7-_xlpm.renting*_xlpm.rentFix/$Q$7)))</f>
        <v>0</v>
      </c>
      <c r="K87" s="122" cm="1">
        <f t="array" ref="K87">SUMPRODUCT(Properties!$D$6:$D$15*(Properties!$U$6:$U$15=$A87)*Properties!$AB$6:$AB$15)</f>
        <v>0</v>
      </c>
      <c r="L87" s="122">
        <f t="shared" si="16"/>
        <v>0</v>
      </c>
      <c r="M87" s="122" cm="1">
        <f t="array" ref="M87">-SUMPRODUCT(Properties!$D$6:$D$15*(Properties!$U$6:$U$15=$A87)*Properties!$AD$6:$AD$15)</f>
        <v>0</v>
      </c>
      <c r="N87" s="122">
        <f t="shared" si="17"/>
        <v>0</v>
      </c>
      <c r="O87" s="1"/>
      <c r="P87" s="1"/>
      <c r="Q87" s="1"/>
    </row>
    <row r="88" spans="1:17" ht="18" customHeight="1" x14ac:dyDescent="0.3">
      <c r="A88" s="1">
        <f t="shared" si="12"/>
        <v>83</v>
      </c>
      <c r="B88" s="227">
        <f>EOMONTH(Input!$C$7,$A88-1)</f>
        <v>48822</v>
      </c>
      <c r="C88" s="1">
        <f t="shared" si="13"/>
        <v>7</v>
      </c>
      <c r="D88" s="1">
        <f t="shared" si="14"/>
        <v>28</v>
      </c>
      <c r="E88" s="122" cm="1">
        <f t="array" ref="E88">_xlfn.LET(_xlpm.ann,-INDEX('Statement of Cash Flows'!$C$47:$L$47,$C88),_xlpm.w,-($H88+$I88)+MAX(0,-$J88),_xlpm.yrW,SUMPRODUCT(($C$6:$C$125=$C88)*(-($H$6:$H$125+$I$6:$I$125)+((-$J$6:$J$125)&gt;0)*(-$J$6:$J$125))),_xlpm.ann*IF(_xlpm.yrW&gt;0,_xlpm.w/_xlpm.yrW,IF($A88=($C88-1)*$Q$7+1,1,0)))</f>
        <v>0</v>
      </c>
      <c r="F88" s="122" cm="1">
        <f t="array" ref="F88">_xlfn.LET(_xlpm.ann,INDEX('Investor Return'!$C$11:$L$11,$C88),_xlpm.sale,'_Month Engine'!$C$71:$DR$71,_xlpm.yr,'_Month Engine'!$C$5:$DR$5,_xlpm.yearS,SUMPRODUCT((_xlpm.yr=$C88)*_xlpm.sale),_xlpm.mS,INDEX(_xlpm.sale,$A88),_xlpm.ann*IF(_xlpm.yearS&gt;0,_xlpm.mS/_xlpm.yearS,IF($A88=$C88*$Q$7,1,0)))</f>
        <v>0</v>
      </c>
      <c r="G88" s="122">
        <f t="shared" si="15"/>
        <v>0</v>
      </c>
      <c r="H88" s="122" cm="1">
        <f t="array" ref="H88">-SUMPRODUCT(Properties!$D$6:$D$15*(Properties!$Q$6:$Q$15=$A88)*(Properties!$M$6:$M$15+Properties!$O$6:$O$15))</f>
        <v>0</v>
      </c>
      <c r="I88" s="122" cm="1">
        <f t="array" ref="I88">-SUMPRODUCT(Properties!$D$6:$D$15*($A88&gt;=Properties!$Q$6:$Q$15)*($A88&lt;Properties!$T$6:$T$15)*Properties!$N$6:$N$15/(Properties!$R$6:$R$15+(Properties!$R$6:$R$15=0)))</f>
        <v>0</v>
      </c>
      <c r="J88" s="122" cm="1">
        <f t="array" ref="J88">_xlfn.LET(_xlpm.act,Properties!$D$6:$D$15,_xlpm.accM,Properties!$Q$6:$Q$15,_xlpm.rentM,Properties!$T$6:$T$15,_xlpm.saleM,Properties!$U$6:$U$15,_xlpm.owned,($A88&gt;=_xlpm.accM)*($A88&lt;_xlpm.saleM),_xlpm.renting,($A88&gt;=_xlpm.rentM)*($A88&lt;_xlpm.saleM),_xlpm.ratio,($A88-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88-1)-_xlpm.owned*_xlpm.ownFix/$Q$7-_xlpm.renting*_xlpm.rentFix/$Q$7)))</f>
        <v>0</v>
      </c>
      <c r="K88" s="122" cm="1">
        <f t="array" ref="K88">SUMPRODUCT(Properties!$D$6:$D$15*(Properties!$U$6:$U$15=$A88)*Properties!$AB$6:$AB$15)</f>
        <v>0</v>
      </c>
      <c r="L88" s="122">
        <f t="shared" si="16"/>
        <v>0</v>
      </c>
      <c r="M88" s="122" cm="1">
        <f t="array" ref="M88">-SUMPRODUCT(Properties!$D$6:$D$15*(Properties!$U$6:$U$15=$A88)*Properties!$AD$6:$AD$15)</f>
        <v>0</v>
      </c>
      <c r="N88" s="122">
        <f t="shared" si="17"/>
        <v>0</v>
      </c>
      <c r="O88" s="1"/>
      <c r="P88" s="1"/>
      <c r="Q88" s="1"/>
    </row>
    <row r="89" spans="1:17" ht="18" customHeight="1" x14ac:dyDescent="0.3">
      <c r="A89" s="1">
        <f t="shared" si="12"/>
        <v>84</v>
      </c>
      <c r="B89" s="227">
        <f>EOMONTH(Input!$C$7,$A89-1)</f>
        <v>48852</v>
      </c>
      <c r="C89" s="1">
        <f t="shared" si="13"/>
        <v>7</v>
      </c>
      <c r="D89" s="1">
        <f t="shared" si="14"/>
        <v>28</v>
      </c>
      <c r="E89" s="122" cm="1">
        <f t="array" ref="E89">_xlfn.LET(_xlpm.ann,-INDEX('Statement of Cash Flows'!$C$47:$L$47,$C89),_xlpm.w,-($H89+$I89)+MAX(0,-$J89),_xlpm.yrW,SUMPRODUCT(($C$6:$C$125=$C89)*(-($H$6:$H$125+$I$6:$I$125)+((-$J$6:$J$125)&gt;0)*(-$J$6:$J$125))),_xlpm.ann*IF(_xlpm.yrW&gt;0,_xlpm.w/_xlpm.yrW,IF($A89=($C89-1)*$Q$7+1,1,0)))</f>
        <v>0</v>
      </c>
      <c r="F89" s="122" cm="1">
        <f t="array" ref="F89">_xlfn.LET(_xlpm.ann,INDEX('Investor Return'!$C$11:$L$11,$C89),_xlpm.sale,'_Month Engine'!$C$71:$DR$71,_xlpm.yr,'_Month Engine'!$C$5:$DR$5,_xlpm.yearS,SUMPRODUCT((_xlpm.yr=$C89)*_xlpm.sale),_xlpm.mS,INDEX(_xlpm.sale,$A89),_xlpm.ann*IF(_xlpm.yearS&gt;0,_xlpm.mS/_xlpm.yearS,IF($A89=$C89*$Q$7,1,0)))</f>
        <v>0</v>
      </c>
      <c r="G89" s="122">
        <f t="shared" si="15"/>
        <v>0</v>
      </c>
      <c r="H89" s="122" cm="1">
        <f t="array" ref="H89">-SUMPRODUCT(Properties!$D$6:$D$15*(Properties!$Q$6:$Q$15=$A89)*(Properties!$M$6:$M$15+Properties!$O$6:$O$15))</f>
        <v>0</v>
      </c>
      <c r="I89" s="122" cm="1">
        <f t="array" ref="I89">-SUMPRODUCT(Properties!$D$6:$D$15*($A89&gt;=Properties!$Q$6:$Q$15)*($A89&lt;Properties!$T$6:$T$15)*Properties!$N$6:$N$15/(Properties!$R$6:$R$15+(Properties!$R$6:$R$15=0)))</f>
        <v>0</v>
      </c>
      <c r="J89" s="122" cm="1">
        <f t="array" ref="J89">_xlfn.LET(_xlpm.act,Properties!$D$6:$D$15,_xlpm.accM,Properties!$Q$6:$Q$15,_xlpm.rentM,Properties!$T$6:$T$15,_xlpm.saleM,Properties!$U$6:$U$15,_xlpm.owned,($A89&gt;=_xlpm.accM)*($A89&lt;_xlpm.saleM),_xlpm.renting,($A89&gt;=_xlpm.rentM)*($A89&lt;_xlpm.saleM),_xlpm.ratio,($A89-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89-1)-_xlpm.owned*_xlpm.ownFix/$Q$7-_xlpm.renting*_xlpm.rentFix/$Q$7)))</f>
        <v>0</v>
      </c>
      <c r="K89" s="122" cm="1">
        <f t="array" ref="K89">SUMPRODUCT(Properties!$D$6:$D$15*(Properties!$U$6:$U$15=$A89)*Properties!$AB$6:$AB$15)</f>
        <v>0</v>
      </c>
      <c r="L89" s="122">
        <f t="shared" si="16"/>
        <v>0</v>
      </c>
      <c r="M89" s="122" cm="1">
        <f t="array" ref="M89">-SUMPRODUCT(Properties!$D$6:$D$15*(Properties!$U$6:$U$15=$A89)*Properties!$AD$6:$AD$15)</f>
        <v>0</v>
      </c>
      <c r="N89" s="122">
        <f t="shared" si="17"/>
        <v>0</v>
      </c>
      <c r="O89" s="1"/>
      <c r="P89" s="1"/>
      <c r="Q89" s="1"/>
    </row>
    <row r="90" spans="1:17" ht="18" customHeight="1" x14ac:dyDescent="0.3">
      <c r="A90" s="1">
        <f t="shared" si="12"/>
        <v>85</v>
      </c>
      <c r="B90" s="227">
        <f>EOMONTH(Input!$C$7,$A90-1)</f>
        <v>48883</v>
      </c>
      <c r="C90" s="1">
        <f t="shared" si="13"/>
        <v>8</v>
      </c>
      <c r="D90" s="1">
        <f t="shared" si="14"/>
        <v>29</v>
      </c>
      <c r="E90" s="122" cm="1">
        <f t="array" ref="E90">_xlfn.LET(_xlpm.ann,-INDEX('Statement of Cash Flows'!$C$47:$L$47,$C90),_xlpm.w,-($H90+$I90)+MAX(0,-$J90),_xlpm.yrW,SUMPRODUCT(($C$6:$C$125=$C90)*(-($H$6:$H$125+$I$6:$I$125)+((-$J$6:$J$125)&gt;0)*(-$J$6:$J$125))),_xlpm.ann*IF(_xlpm.yrW&gt;0,_xlpm.w/_xlpm.yrW,IF($A90=($C90-1)*$Q$7+1,1,0)))</f>
        <v>0</v>
      </c>
      <c r="F90" s="122" cm="1">
        <f t="array" ref="F90">_xlfn.LET(_xlpm.ann,INDEX('Investor Return'!$C$11:$L$11,$C90),_xlpm.sale,'_Month Engine'!$C$71:$DR$71,_xlpm.yr,'_Month Engine'!$C$5:$DR$5,_xlpm.yearS,SUMPRODUCT((_xlpm.yr=$C90)*_xlpm.sale),_xlpm.mS,INDEX(_xlpm.sale,$A90),_xlpm.ann*IF(_xlpm.yearS&gt;0,_xlpm.mS/_xlpm.yearS,IF($A90=$C90*$Q$7,1,0)))</f>
        <v>0</v>
      </c>
      <c r="G90" s="122">
        <f t="shared" si="15"/>
        <v>0</v>
      </c>
      <c r="H90" s="122" cm="1">
        <f t="array" ref="H90">-SUMPRODUCT(Properties!$D$6:$D$15*(Properties!$Q$6:$Q$15=$A90)*(Properties!$M$6:$M$15+Properties!$O$6:$O$15))</f>
        <v>0</v>
      </c>
      <c r="I90" s="122" cm="1">
        <f t="array" ref="I90">-SUMPRODUCT(Properties!$D$6:$D$15*($A90&gt;=Properties!$Q$6:$Q$15)*($A90&lt;Properties!$T$6:$T$15)*Properties!$N$6:$N$15/(Properties!$R$6:$R$15+(Properties!$R$6:$R$15=0)))</f>
        <v>0</v>
      </c>
      <c r="J90" s="122" cm="1">
        <f t="array" ref="J90">_xlfn.LET(_xlpm.act,Properties!$D$6:$D$15,_xlpm.accM,Properties!$Q$6:$Q$15,_xlpm.rentM,Properties!$T$6:$T$15,_xlpm.saleM,Properties!$U$6:$U$15,_xlpm.owned,($A90&gt;=_xlpm.accM)*($A90&lt;_xlpm.saleM),_xlpm.renting,($A90&gt;=_xlpm.rentM)*($A90&lt;_xlpm.saleM),_xlpm.ratio,($A90-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90-1)-_xlpm.owned*_xlpm.ownFix/$Q$7-_xlpm.renting*_xlpm.rentFix/$Q$7)))</f>
        <v>0</v>
      </c>
      <c r="K90" s="122" cm="1">
        <f t="array" ref="K90">SUMPRODUCT(Properties!$D$6:$D$15*(Properties!$U$6:$U$15=$A90)*Properties!$AB$6:$AB$15)</f>
        <v>0</v>
      </c>
      <c r="L90" s="122">
        <f t="shared" si="16"/>
        <v>0</v>
      </c>
      <c r="M90" s="122" cm="1">
        <f t="array" ref="M90">-SUMPRODUCT(Properties!$D$6:$D$15*(Properties!$U$6:$U$15=$A90)*Properties!$AD$6:$AD$15)</f>
        <v>0</v>
      </c>
      <c r="N90" s="122">
        <f t="shared" si="17"/>
        <v>0</v>
      </c>
      <c r="O90" s="1"/>
      <c r="P90" s="1"/>
      <c r="Q90" s="1"/>
    </row>
    <row r="91" spans="1:17" ht="18" customHeight="1" x14ac:dyDescent="0.3">
      <c r="A91" s="1">
        <f t="shared" si="12"/>
        <v>86</v>
      </c>
      <c r="B91" s="227">
        <f>EOMONTH(Input!$C$7,$A91-1)</f>
        <v>48913</v>
      </c>
      <c r="C91" s="1">
        <f t="shared" si="13"/>
        <v>8</v>
      </c>
      <c r="D91" s="1">
        <f t="shared" si="14"/>
        <v>29</v>
      </c>
      <c r="E91" s="122" cm="1">
        <f t="array" ref="E91">_xlfn.LET(_xlpm.ann,-INDEX('Statement of Cash Flows'!$C$47:$L$47,$C91),_xlpm.w,-($H91+$I91)+MAX(0,-$J91),_xlpm.yrW,SUMPRODUCT(($C$6:$C$125=$C91)*(-($H$6:$H$125+$I$6:$I$125)+((-$J$6:$J$125)&gt;0)*(-$J$6:$J$125))),_xlpm.ann*IF(_xlpm.yrW&gt;0,_xlpm.w/_xlpm.yrW,IF($A91=($C91-1)*$Q$7+1,1,0)))</f>
        <v>0</v>
      </c>
      <c r="F91" s="122" cm="1">
        <f t="array" ref="F91">_xlfn.LET(_xlpm.ann,INDEX('Investor Return'!$C$11:$L$11,$C91),_xlpm.sale,'_Month Engine'!$C$71:$DR$71,_xlpm.yr,'_Month Engine'!$C$5:$DR$5,_xlpm.yearS,SUMPRODUCT((_xlpm.yr=$C91)*_xlpm.sale),_xlpm.mS,INDEX(_xlpm.sale,$A91),_xlpm.ann*IF(_xlpm.yearS&gt;0,_xlpm.mS/_xlpm.yearS,IF($A91=$C91*$Q$7,1,0)))</f>
        <v>0</v>
      </c>
      <c r="G91" s="122">
        <f t="shared" si="15"/>
        <v>0</v>
      </c>
      <c r="H91" s="122" cm="1">
        <f t="array" ref="H91">-SUMPRODUCT(Properties!$D$6:$D$15*(Properties!$Q$6:$Q$15=$A91)*(Properties!$M$6:$M$15+Properties!$O$6:$O$15))</f>
        <v>0</v>
      </c>
      <c r="I91" s="122" cm="1">
        <f t="array" ref="I91">-SUMPRODUCT(Properties!$D$6:$D$15*($A91&gt;=Properties!$Q$6:$Q$15)*($A91&lt;Properties!$T$6:$T$15)*Properties!$N$6:$N$15/(Properties!$R$6:$R$15+(Properties!$R$6:$R$15=0)))</f>
        <v>0</v>
      </c>
      <c r="J91" s="122" cm="1">
        <f t="array" ref="J91">_xlfn.LET(_xlpm.act,Properties!$D$6:$D$15,_xlpm.accM,Properties!$Q$6:$Q$15,_xlpm.rentM,Properties!$T$6:$T$15,_xlpm.saleM,Properties!$U$6:$U$15,_xlpm.owned,($A91&gt;=_xlpm.accM)*($A91&lt;_xlpm.saleM),_xlpm.renting,($A91&gt;=_xlpm.rentM)*($A91&lt;_xlpm.saleM),_xlpm.ratio,($A91-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91-1)-_xlpm.owned*_xlpm.ownFix/$Q$7-_xlpm.renting*_xlpm.rentFix/$Q$7)))</f>
        <v>0</v>
      </c>
      <c r="K91" s="122" cm="1">
        <f t="array" ref="K91">SUMPRODUCT(Properties!$D$6:$D$15*(Properties!$U$6:$U$15=$A91)*Properties!$AB$6:$AB$15)</f>
        <v>0</v>
      </c>
      <c r="L91" s="122">
        <f t="shared" si="16"/>
        <v>0</v>
      </c>
      <c r="M91" s="122" cm="1">
        <f t="array" ref="M91">-SUMPRODUCT(Properties!$D$6:$D$15*(Properties!$U$6:$U$15=$A91)*Properties!$AD$6:$AD$15)</f>
        <v>0</v>
      </c>
      <c r="N91" s="122">
        <f t="shared" si="17"/>
        <v>0</v>
      </c>
      <c r="O91" s="1"/>
      <c r="P91" s="1"/>
      <c r="Q91" s="1"/>
    </row>
    <row r="92" spans="1:17" ht="18" customHeight="1" x14ac:dyDescent="0.3">
      <c r="A92" s="1">
        <f t="shared" si="12"/>
        <v>87</v>
      </c>
      <c r="B92" s="227">
        <f>EOMONTH(Input!$C$7,$A92-1)</f>
        <v>48944</v>
      </c>
      <c r="C92" s="1">
        <f t="shared" si="13"/>
        <v>8</v>
      </c>
      <c r="D92" s="1">
        <f t="shared" si="14"/>
        <v>29</v>
      </c>
      <c r="E92" s="122" cm="1">
        <f t="array" ref="E92">_xlfn.LET(_xlpm.ann,-INDEX('Statement of Cash Flows'!$C$47:$L$47,$C92),_xlpm.w,-($H92+$I92)+MAX(0,-$J92),_xlpm.yrW,SUMPRODUCT(($C$6:$C$125=$C92)*(-($H$6:$H$125+$I$6:$I$125)+((-$J$6:$J$125)&gt;0)*(-$J$6:$J$125))),_xlpm.ann*IF(_xlpm.yrW&gt;0,_xlpm.w/_xlpm.yrW,IF($A92=($C92-1)*$Q$7+1,1,0)))</f>
        <v>0</v>
      </c>
      <c r="F92" s="122" cm="1">
        <f t="array" ref="F92">_xlfn.LET(_xlpm.ann,INDEX('Investor Return'!$C$11:$L$11,$C92),_xlpm.sale,'_Month Engine'!$C$71:$DR$71,_xlpm.yr,'_Month Engine'!$C$5:$DR$5,_xlpm.yearS,SUMPRODUCT((_xlpm.yr=$C92)*_xlpm.sale),_xlpm.mS,INDEX(_xlpm.sale,$A92),_xlpm.ann*IF(_xlpm.yearS&gt;0,_xlpm.mS/_xlpm.yearS,IF($A92=$C92*$Q$7,1,0)))</f>
        <v>0</v>
      </c>
      <c r="G92" s="122">
        <f t="shared" si="15"/>
        <v>0</v>
      </c>
      <c r="H92" s="122" cm="1">
        <f t="array" ref="H92">-SUMPRODUCT(Properties!$D$6:$D$15*(Properties!$Q$6:$Q$15=$A92)*(Properties!$M$6:$M$15+Properties!$O$6:$O$15))</f>
        <v>0</v>
      </c>
      <c r="I92" s="122" cm="1">
        <f t="array" ref="I92">-SUMPRODUCT(Properties!$D$6:$D$15*($A92&gt;=Properties!$Q$6:$Q$15)*($A92&lt;Properties!$T$6:$T$15)*Properties!$N$6:$N$15/(Properties!$R$6:$R$15+(Properties!$R$6:$R$15=0)))</f>
        <v>0</v>
      </c>
      <c r="J92" s="122" cm="1">
        <f t="array" ref="J92">_xlfn.LET(_xlpm.act,Properties!$D$6:$D$15,_xlpm.accM,Properties!$Q$6:$Q$15,_xlpm.rentM,Properties!$T$6:$T$15,_xlpm.saleM,Properties!$U$6:$U$15,_xlpm.owned,($A92&gt;=_xlpm.accM)*($A92&lt;_xlpm.saleM),_xlpm.renting,($A92&gt;=_xlpm.rentM)*($A92&lt;_xlpm.saleM),_xlpm.ratio,($A92-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92-1)-_xlpm.owned*_xlpm.ownFix/$Q$7-_xlpm.renting*_xlpm.rentFix/$Q$7)))</f>
        <v>0</v>
      </c>
      <c r="K92" s="122" cm="1">
        <f t="array" ref="K92">SUMPRODUCT(Properties!$D$6:$D$15*(Properties!$U$6:$U$15=$A92)*Properties!$AB$6:$AB$15)</f>
        <v>0</v>
      </c>
      <c r="L92" s="122">
        <f t="shared" si="16"/>
        <v>0</v>
      </c>
      <c r="M92" s="122" cm="1">
        <f t="array" ref="M92">-SUMPRODUCT(Properties!$D$6:$D$15*(Properties!$U$6:$U$15=$A92)*Properties!$AD$6:$AD$15)</f>
        <v>0</v>
      </c>
      <c r="N92" s="122">
        <f t="shared" si="17"/>
        <v>0</v>
      </c>
      <c r="O92" s="1"/>
      <c r="P92" s="1"/>
      <c r="Q92" s="1"/>
    </row>
    <row r="93" spans="1:17" ht="18" customHeight="1" x14ac:dyDescent="0.3">
      <c r="A93" s="1">
        <f t="shared" si="12"/>
        <v>88</v>
      </c>
      <c r="B93" s="227">
        <f>EOMONTH(Input!$C$7,$A93-1)</f>
        <v>48975</v>
      </c>
      <c r="C93" s="1">
        <f t="shared" si="13"/>
        <v>8</v>
      </c>
      <c r="D93" s="1">
        <f t="shared" si="14"/>
        <v>30</v>
      </c>
      <c r="E93" s="122" cm="1">
        <f t="array" ref="E93">_xlfn.LET(_xlpm.ann,-INDEX('Statement of Cash Flows'!$C$47:$L$47,$C93),_xlpm.w,-($H93+$I93)+MAX(0,-$J93),_xlpm.yrW,SUMPRODUCT(($C$6:$C$125=$C93)*(-($H$6:$H$125+$I$6:$I$125)+((-$J$6:$J$125)&gt;0)*(-$J$6:$J$125))),_xlpm.ann*IF(_xlpm.yrW&gt;0,_xlpm.w/_xlpm.yrW,IF($A93=($C93-1)*$Q$7+1,1,0)))</f>
        <v>0</v>
      </c>
      <c r="F93" s="122" cm="1">
        <f t="array" ref="F93">_xlfn.LET(_xlpm.ann,INDEX('Investor Return'!$C$11:$L$11,$C93),_xlpm.sale,'_Month Engine'!$C$71:$DR$71,_xlpm.yr,'_Month Engine'!$C$5:$DR$5,_xlpm.yearS,SUMPRODUCT((_xlpm.yr=$C93)*_xlpm.sale),_xlpm.mS,INDEX(_xlpm.sale,$A93),_xlpm.ann*IF(_xlpm.yearS&gt;0,_xlpm.mS/_xlpm.yearS,IF($A93=$C93*$Q$7,1,0)))</f>
        <v>0</v>
      </c>
      <c r="G93" s="122">
        <f t="shared" si="15"/>
        <v>0</v>
      </c>
      <c r="H93" s="122" cm="1">
        <f t="array" ref="H93">-SUMPRODUCT(Properties!$D$6:$D$15*(Properties!$Q$6:$Q$15=$A93)*(Properties!$M$6:$M$15+Properties!$O$6:$O$15))</f>
        <v>0</v>
      </c>
      <c r="I93" s="122" cm="1">
        <f t="array" ref="I93">-SUMPRODUCT(Properties!$D$6:$D$15*($A93&gt;=Properties!$Q$6:$Q$15)*($A93&lt;Properties!$T$6:$T$15)*Properties!$N$6:$N$15/(Properties!$R$6:$R$15+(Properties!$R$6:$R$15=0)))</f>
        <v>0</v>
      </c>
      <c r="J93" s="122" cm="1">
        <f t="array" ref="J93">_xlfn.LET(_xlpm.act,Properties!$D$6:$D$15,_xlpm.accM,Properties!$Q$6:$Q$15,_xlpm.rentM,Properties!$T$6:$T$15,_xlpm.saleM,Properties!$U$6:$U$15,_xlpm.owned,($A93&gt;=_xlpm.accM)*($A93&lt;_xlpm.saleM),_xlpm.renting,($A93&gt;=_xlpm.rentM)*($A93&lt;_xlpm.saleM),_xlpm.ratio,($A93-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93-1)-_xlpm.owned*_xlpm.ownFix/$Q$7-_xlpm.renting*_xlpm.rentFix/$Q$7)))</f>
        <v>0</v>
      </c>
      <c r="K93" s="122" cm="1">
        <f t="array" ref="K93">SUMPRODUCT(Properties!$D$6:$D$15*(Properties!$U$6:$U$15=$A93)*Properties!$AB$6:$AB$15)</f>
        <v>0</v>
      </c>
      <c r="L93" s="122">
        <f t="shared" si="16"/>
        <v>0</v>
      </c>
      <c r="M93" s="122" cm="1">
        <f t="array" ref="M93">-SUMPRODUCT(Properties!$D$6:$D$15*(Properties!$U$6:$U$15=$A93)*Properties!$AD$6:$AD$15)</f>
        <v>0</v>
      </c>
      <c r="N93" s="122">
        <f t="shared" si="17"/>
        <v>0</v>
      </c>
      <c r="O93" s="1"/>
      <c r="P93" s="1"/>
      <c r="Q93" s="1"/>
    </row>
    <row r="94" spans="1:17" ht="18" customHeight="1" x14ac:dyDescent="0.3">
      <c r="A94" s="1">
        <f t="shared" si="12"/>
        <v>89</v>
      </c>
      <c r="B94" s="227">
        <f>EOMONTH(Input!$C$7,$A94-1)</f>
        <v>49003</v>
      </c>
      <c r="C94" s="1">
        <f t="shared" si="13"/>
        <v>8</v>
      </c>
      <c r="D94" s="1">
        <f t="shared" si="14"/>
        <v>30</v>
      </c>
      <c r="E94" s="122" cm="1">
        <f t="array" ref="E94">_xlfn.LET(_xlpm.ann,-INDEX('Statement of Cash Flows'!$C$47:$L$47,$C94),_xlpm.w,-($H94+$I94)+MAX(0,-$J94),_xlpm.yrW,SUMPRODUCT(($C$6:$C$125=$C94)*(-($H$6:$H$125+$I$6:$I$125)+((-$J$6:$J$125)&gt;0)*(-$J$6:$J$125))),_xlpm.ann*IF(_xlpm.yrW&gt;0,_xlpm.w/_xlpm.yrW,IF($A94=($C94-1)*$Q$7+1,1,0)))</f>
        <v>0</v>
      </c>
      <c r="F94" s="122" cm="1">
        <f t="array" ref="F94">_xlfn.LET(_xlpm.ann,INDEX('Investor Return'!$C$11:$L$11,$C94),_xlpm.sale,'_Month Engine'!$C$71:$DR$71,_xlpm.yr,'_Month Engine'!$C$5:$DR$5,_xlpm.yearS,SUMPRODUCT((_xlpm.yr=$C94)*_xlpm.sale),_xlpm.mS,INDEX(_xlpm.sale,$A94),_xlpm.ann*IF(_xlpm.yearS&gt;0,_xlpm.mS/_xlpm.yearS,IF($A94=$C94*$Q$7,1,0)))</f>
        <v>0</v>
      </c>
      <c r="G94" s="122">
        <f t="shared" si="15"/>
        <v>0</v>
      </c>
      <c r="H94" s="122" cm="1">
        <f t="array" ref="H94">-SUMPRODUCT(Properties!$D$6:$D$15*(Properties!$Q$6:$Q$15=$A94)*(Properties!$M$6:$M$15+Properties!$O$6:$O$15))</f>
        <v>0</v>
      </c>
      <c r="I94" s="122" cm="1">
        <f t="array" ref="I94">-SUMPRODUCT(Properties!$D$6:$D$15*($A94&gt;=Properties!$Q$6:$Q$15)*($A94&lt;Properties!$T$6:$T$15)*Properties!$N$6:$N$15/(Properties!$R$6:$R$15+(Properties!$R$6:$R$15=0)))</f>
        <v>0</v>
      </c>
      <c r="J94" s="122" cm="1">
        <f t="array" ref="J94">_xlfn.LET(_xlpm.act,Properties!$D$6:$D$15,_xlpm.accM,Properties!$Q$6:$Q$15,_xlpm.rentM,Properties!$T$6:$T$15,_xlpm.saleM,Properties!$U$6:$U$15,_xlpm.owned,($A94&gt;=_xlpm.accM)*($A94&lt;_xlpm.saleM),_xlpm.renting,($A94&gt;=_xlpm.rentM)*($A94&lt;_xlpm.saleM),_xlpm.ratio,($A94-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94-1)-_xlpm.owned*_xlpm.ownFix/$Q$7-_xlpm.renting*_xlpm.rentFix/$Q$7)))</f>
        <v>0</v>
      </c>
      <c r="K94" s="122" cm="1">
        <f t="array" ref="K94">SUMPRODUCT(Properties!$D$6:$D$15*(Properties!$U$6:$U$15=$A94)*Properties!$AB$6:$AB$15)</f>
        <v>0</v>
      </c>
      <c r="L94" s="122">
        <f t="shared" si="16"/>
        <v>0</v>
      </c>
      <c r="M94" s="122" cm="1">
        <f t="array" ref="M94">-SUMPRODUCT(Properties!$D$6:$D$15*(Properties!$U$6:$U$15=$A94)*Properties!$AD$6:$AD$15)</f>
        <v>0</v>
      </c>
      <c r="N94" s="122">
        <f t="shared" si="17"/>
        <v>0</v>
      </c>
      <c r="O94" s="1"/>
      <c r="P94" s="1"/>
      <c r="Q94" s="1"/>
    </row>
    <row r="95" spans="1:17" ht="18" customHeight="1" x14ac:dyDescent="0.3">
      <c r="A95" s="1">
        <f t="shared" si="12"/>
        <v>90</v>
      </c>
      <c r="B95" s="227">
        <f>EOMONTH(Input!$C$7,$A95-1)</f>
        <v>49034</v>
      </c>
      <c r="C95" s="1">
        <f t="shared" si="13"/>
        <v>8</v>
      </c>
      <c r="D95" s="1">
        <f t="shared" si="14"/>
        <v>30</v>
      </c>
      <c r="E95" s="122" cm="1">
        <f t="array" ref="E95">_xlfn.LET(_xlpm.ann,-INDEX('Statement of Cash Flows'!$C$47:$L$47,$C95),_xlpm.w,-($H95+$I95)+MAX(0,-$J95),_xlpm.yrW,SUMPRODUCT(($C$6:$C$125=$C95)*(-($H$6:$H$125+$I$6:$I$125)+((-$J$6:$J$125)&gt;0)*(-$J$6:$J$125))),_xlpm.ann*IF(_xlpm.yrW&gt;0,_xlpm.w/_xlpm.yrW,IF($A95=($C95-1)*$Q$7+1,1,0)))</f>
        <v>0</v>
      </c>
      <c r="F95" s="122" cm="1">
        <f t="array" ref="F95">_xlfn.LET(_xlpm.ann,INDEX('Investor Return'!$C$11:$L$11,$C95),_xlpm.sale,'_Month Engine'!$C$71:$DR$71,_xlpm.yr,'_Month Engine'!$C$5:$DR$5,_xlpm.yearS,SUMPRODUCT((_xlpm.yr=$C95)*_xlpm.sale),_xlpm.mS,INDEX(_xlpm.sale,$A95),_xlpm.ann*IF(_xlpm.yearS&gt;0,_xlpm.mS/_xlpm.yearS,IF($A95=$C95*$Q$7,1,0)))</f>
        <v>0</v>
      </c>
      <c r="G95" s="122">
        <f t="shared" si="15"/>
        <v>0</v>
      </c>
      <c r="H95" s="122" cm="1">
        <f t="array" ref="H95">-SUMPRODUCT(Properties!$D$6:$D$15*(Properties!$Q$6:$Q$15=$A95)*(Properties!$M$6:$M$15+Properties!$O$6:$O$15))</f>
        <v>0</v>
      </c>
      <c r="I95" s="122" cm="1">
        <f t="array" ref="I95">-SUMPRODUCT(Properties!$D$6:$D$15*($A95&gt;=Properties!$Q$6:$Q$15)*($A95&lt;Properties!$T$6:$T$15)*Properties!$N$6:$N$15/(Properties!$R$6:$R$15+(Properties!$R$6:$R$15=0)))</f>
        <v>0</v>
      </c>
      <c r="J95" s="122" cm="1">
        <f t="array" ref="J95">_xlfn.LET(_xlpm.act,Properties!$D$6:$D$15,_xlpm.accM,Properties!$Q$6:$Q$15,_xlpm.rentM,Properties!$T$6:$T$15,_xlpm.saleM,Properties!$U$6:$U$15,_xlpm.owned,($A95&gt;=_xlpm.accM)*($A95&lt;_xlpm.saleM),_xlpm.renting,($A95&gt;=_xlpm.rentM)*($A95&lt;_xlpm.saleM),_xlpm.ratio,($A95-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95-1)-_xlpm.owned*_xlpm.ownFix/$Q$7-_xlpm.renting*_xlpm.rentFix/$Q$7)))</f>
        <v>0</v>
      </c>
      <c r="K95" s="122" cm="1">
        <f t="array" ref="K95">SUMPRODUCT(Properties!$D$6:$D$15*(Properties!$U$6:$U$15=$A95)*Properties!$AB$6:$AB$15)</f>
        <v>0</v>
      </c>
      <c r="L95" s="122">
        <f t="shared" si="16"/>
        <v>0</v>
      </c>
      <c r="M95" s="122" cm="1">
        <f t="array" ref="M95">-SUMPRODUCT(Properties!$D$6:$D$15*(Properties!$U$6:$U$15=$A95)*Properties!$AD$6:$AD$15)</f>
        <v>0</v>
      </c>
      <c r="N95" s="122">
        <f t="shared" si="17"/>
        <v>0</v>
      </c>
      <c r="O95" s="1"/>
      <c r="P95" s="1"/>
      <c r="Q95" s="1"/>
    </row>
    <row r="96" spans="1:17" ht="18" customHeight="1" x14ac:dyDescent="0.3">
      <c r="A96" s="1">
        <f t="shared" si="12"/>
        <v>91</v>
      </c>
      <c r="B96" s="227">
        <f>EOMONTH(Input!$C$7,$A96-1)</f>
        <v>49064</v>
      </c>
      <c r="C96" s="1">
        <f t="shared" si="13"/>
        <v>8</v>
      </c>
      <c r="D96" s="1">
        <f t="shared" si="14"/>
        <v>31</v>
      </c>
      <c r="E96" s="122" cm="1">
        <f t="array" ref="E96">_xlfn.LET(_xlpm.ann,-INDEX('Statement of Cash Flows'!$C$47:$L$47,$C96),_xlpm.w,-($H96+$I96)+MAX(0,-$J96),_xlpm.yrW,SUMPRODUCT(($C$6:$C$125=$C96)*(-($H$6:$H$125+$I$6:$I$125)+((-$J$6:$J$125)&gt;0)*(-$J$6:$J$125))),_xlpm.ann*IF(_xlpm.yrW&gt;0,_xlpm.w/_xlpm.yrW,IF($A96=($C96-1)*$Q$7+1,1,0)))</f>
        <v>0</v>
      </c>
      <c r="F96" s="122" cm="1">
        <f t="array" ref="F96">_xlfn.LET(_xlpm.ann,INDEX('Investor Return'!$C$11:$L$11,$C96),_xlpm.sale,'_Month Engine'!$C$71:$DR$71,_xlpm.yr,'_Month Engine'!$C$5:$DR$5,_xlpm.yearS,SUMPRODUCT((_xlpm.yr=$C96)*_xlpm.sale),_xlpm.mS,INDEX(_xlpm.sale,$A96),_xlpm.ann*IF(_xlpm.yearS&gt;0,_xlpm.mS/_xlpm.yearS,IF($A96=$C96*$Q$7,1,0)))</f>
        <v>0</v>
      </c>
      <c r="G96" s="122">
        <f t="shared" si="15"/>
        <v>0</v>
      </c>
      <c r="H96" s="122" cm="1">
        <f t="array" ref="H96">-SUMPRODUCT(Properties!$D$6:$D$15*(Properties!$Q$6:$Q$15=$A96)*(Properties!$M$6:$M$15+Properties!$O$6:$O$15))</f>
        <v>0</v>
      </c>
      <c r="I96" s="122" cm="1">
        <f t="array" ref="I96">-SUMPRODUCT(Properties!$D$6:$D$15*($A96&gt;=Properties!$Q$6:$Q$15)*($A96&lt;Properties!$T$6:$T$15)*Properties!$N$6:$N$15/(Properties!$R$6:$R$15+(Properties!$R$6:$R$15=0)))</f>
        <v>0</v>
      </c>
      <c r="J96" s="122" cm="1">
        <f t="array" ref="J96">_xlfn.LET(_xlpm.act,Properties!$D$6:$D$15,_xlpm.accM,Properties!$Q$6:$Q$15,_xlpm.rentM,Properties!$T$6:$T$15,_xlpm.saleM,Properties!$U$6:$U$15,_xlpm.owned,($A96&gt;=_xlpm.accM)*($A96&lt;_xlpm.saleM),_xlpm.renting,($A96&gt;=_xlpm.rentM)*($A96&lt;_xlpm.saleM),_xlpm.ratio,($A96-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96-1)-_xlpm.owned*_xlpm.ownFix/$Q$7-_xlpm.renting*_xlpm.rentFix/$Q$7)))</f>
        <v>0</v>
      </c>
      <c r="K96" s="122" cm="1">
        <f t="array" ref="K96">SUMPRODUCT(Properties!$D$6:$D$15*(Properties!$U$6:$U$15=$A96)*Properties!$AB$6:$AB$15)</f>
        <v>0</v>
      </c>
      <c r="L96" s="122">
        <f t="shared" si="16"/>
        <v>0</v>
      </c>
      <c r="M96" s="122" cm="1">
        <f t="array" ref="M96">-SUMPRODUCT(Properties!$D$6:$D$15*(Properties!$U$6:$U$15=$A96)*Properties!$AD$6:$AD$15)</f>
        <v>0</v>
      </c>
      <c r="N96" s="122">
        <f t="shared" si="17"/>
        <v>0</v>
      </c>
      <c r="O96" s="1"/>
      <c r="P96" s="1"/>
      <c r="Q96" s="1"/>
    </row>
    <row r="97" spans="1:17" ht="18" customHeight="1" x14ac:dyDescent="0.3">
      <c r="A97" s="1">
        <f t="shared" si="12"/>
        <v>92</v>
      </c>
      <c r="B97" s="227">
        <f>EOMONTH(Input!$C$7,$A97-1)</f>
        <v>49095</v>
      </c>
      <c r="C97" s="1">
        <f t="shared" si="13"/>
        <v>8</v>
      </c>
      <c r="D97" s="1">
        <f t="shared" si="14"/>
        <v>31</v>
      </c>
      <c r="E97" s="122" cm="1">
        <f t="array" ref="E97">_xlfn.LET(_xlpm.ann,-INDEX('Statement of Cash Flows'!$C$47:$L$47,$C97),_xlpm.w,-($H97+$I97)+MAX(0,-$J97),_xlpm.yrW,SUMPRODUCT(($C$6:$C$125=$C97)*(-($H$6:$H$125+$I$6:$I$125)+((-$J$6:$J$125)&gt;0)*(-$J$6:$J$125))),_xlpm.ann*IF(_xlpm.yrW&gt;0,_xlpm.w/_xlpm.yrW,IF($A97=($C97-1)*$Q$7+1,1,0)))</f>
        <v>0</v>
      </c>
      <c r="F97" s="122" cm="1">
        <f t="array" ref="F97">_xlfn.LET(_xlpm.ann,INDEX('Investor Return'!$C$11:$L$11,$C97),_xlpm.sale,'_Month Engine'!$C$71:$DR$71,_xlpm.yr,'_Month Engine'!$C$5:$DR$5,_xlpm.yearS,SUMPRODUCT((_xlpm.yr=$C97)*_xlpm.sale),_xlpm.mS,INDEX(_xlpm.sale,$A97),_xlpm.ann*IF(_xlpm.yearS&gt;0,_xlpm.mS/_xlpm.yearS,IF($A97=$C97*$Q$7,1,0)))</f>
        <v>0</v>
      </c>
      <c r="G97" s="122">
        <f t="shared" si="15"/>
        <v>0</v>
      </c>
      <c r="H97" s="122" cm="1">
        <f t="array" ref="H97">-SUMPRODUCT(Properties!$D$6:$D$15*(Properties!$Q$6:$Q$15=$A97)*(Properties!$M$6:$M$15+Properties!$O$6:$O$15))</f>
        <v>0</v>
      </c>
      <c r="I97" s="122" cm="1">
        <f t="array" ref="I97">-SUMPRODUCT(Properties!$D$6:$D$15*($A97&gt;=Properties!$Q$6:$Q$15)*($A97&lt;Properties!$T$6:$T$15)*Properties!$N$6:$N$15/(Properties!$R$6:$R$15+(Properties!$R$6:$R$15=0)))</f>
        <v>0</v>
      </c>
      <c r="J97" s="122" cm="1">
        <f t="array" ref="J97">_xlfn.LET(_xlpm.act,Properties!$D$6:$D$15,_xlpm.accM,Properties!$Q$6:$Q$15,_xlpm.rentM,Properties!$T$6:$T$15,_xlpm.saleM,Properties!$U$6:$U$15,_xlpm.owned,($A97&gt;=_xlpm.accM)*($A97&lt;_xlpm.saleM),_xlpm.renting,($A97&gt;=_xlpm.rentM)*($A97&lt;_xlpm.saleM),_xlpm.ratio,($A97-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97-1)-_xlpm.owned*_xlpm.ownFix/$Q$7-_xlpm.renting*_xlpm.rentFix/$Q$7)))</f>
        <v>0</v>
      </c>
      <c r="K97" s="122" cm="1">
        <f t="array" ref="K97">SUMPRODUCT(Properties!$D$6:$D$15*(Properties!$U$6:$U$15=$A97)*Properties!$AB$6:$AB$15)</f>
        <v>0</v>
      </c>
      <c r="L97" s="122">
        <f t="shared" si="16"/>
        <v>0</v>
      </c>
      <c r="M97" s="122" cm="1">
        <f t="array" ref="M97">-SUMPRODUCT(Properties!$D$6:$D$15*(Properties!$U$6:$U$15=$A97)*Properties!$AD$6:$AD$15)</f>
        <v>0</v>
      </c>
      <c r="N97" s="122">
        <f t="shared" si="17"/>
        <v>0</v>
      </c>
      <c r="O97" s="1"/>
      <c r="P97" s="1"/>
      <c r="Q97" s="1"/>
    </row>
    <row r="98" spans="1:17" ht="18" customHeight="1" x14ac:dyDescent="0.3">
      <c r="A98" s="1">
        <f t="shared" si="12"/>
        <v>93</v>
      </c>
      <c r="B98" s="227">
        <f>EOMONTH(Input!$C$7,$A98-1)</f>
        <v>49125</v>
      </c>
      <c r="C98" s="1">
        <f t="shared" si="13"/>
        <v>8</v>
      </c>
      <c r="D98" s="1">
        <f t="shared" si="14"/>
        <v>31</v>
      </c>
      <c r="E98" s="122" cm="1">
        <f t="array" ref="E98">_xlfn.LET(_xlpm.ann,-INDEX('Statement of Cash Flows'!$C$47:$L$47,$C98),_xlpm.w,-($H98+$I98)+MAX(0,-$J98),_xlpm.yrW,SUMPRODUCT(($C$6:$C$125=$C98)*(-($H$6:$H$125+$I$6:$I$125)+((-$J$6:$J$125)&gt;0)*(-$J$6:$J$125))),_xlpm.ann*IF(_xlpm.yrW&gt;0,_xlpm.w/_xlpm.yrW,IF($A98=($C98-1)*$Q$7+1,1,0)))</f>
        <v>0</v>
      </c>
      <c r="F98" s="122" cm="1">
        <f t="array" ref="F98">_xlfn.LET(_xlpm.ann,INDEX('Investor Return'!$C$11:$L$11,$C98),_xlpm.sale,'_Month Engine'!$C$71:$DR$71,_xlpm.yr,'_Month Engine'!$C$5:$DR$5,_xlpm.yearS,SUMPRODUCT((_xlpm.yr=$C98)*_xlpm.sale),_xlpm.mS,INDEX(_xlpm.sale,$A98),_xlpm.ann*IF(_xlpm.yearS&gt;0,_xlpm.mS/_xlpm.yearS,IF($A98=$C98*$Q$7,1,0)))</f>
        <v>0</v>
      </c>
      <c r="G98" s="122">
        <f t="shared" si="15"/>
        <v>0</v>
      </c>
      <c r="H98" s="122" cm="1">
        <f t="array" ref="H98">-SUMPRODUCT(Properties!$D$6:$D$15*(Properties!$Q$6:$Q$15=$A98)*(Properties!$M$6:$M$15+Properties!$O$6:$O$15))</f>
        <v>0</v>
      </c>
      <c r="I98" s="122" cm="1">
        <f t="array" ref="I98">-SUMPRODUCT(Properties!$D$6:$D$15*($A98&gt;=Properties!$Q$6:$Q$15)*($A98&lt;Properties!$T$6:$T$15)*Properties!$N$6:$N$15/(Properties!$R$6:$R$15+(Properties!$R$6:$R$15=0)))</f>
        <v>0</v>
      </c>
      <c r="J98" s="122" cm="1">
        <f t="array" ref="J98">_xlfn.LET(_xlpm.act,Properties!$D$6:$D$15,_xlpm.accM,Properties!$Q$6:$Q$15,_xlpm.rentM,Properties!$T$6:$T$15,_xlpm.saleM,Properties!$U$6:$U$15,_xlpm.owned,($A98&gt;=_xlpm.accM)*($A98&lt;_xlpm.saleM),_xlpm.renting,($A98&gt;=_xlpm.rentM)*($A98&lt;_xlpm.saleM),_xlpm.ratio,($A98-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98-1)-_xlpm.owned*_xlpm.ownFix/$Q$7-_xlpm.renting*_xlpm.rentFix/$Q$7)))</f>
        <v>0</v>
      </c>
      <c r="K98" s="122" cm="1">
        <f t="array" ref="K98">SUMPRODUCT(Properties!$D$6:$D$15*(Properties!$U$6:$U$15=$A98)*Properties!$AB$6:$AB$15)</f>
        <v>0</v>
      </c>
      <c r="L98" s="122">
        <f t="shared" si="16"/>
        <v>0</v>
      </c>
      <c r="M98" s="122" cm="1">
        <f t="array" ref="M98">-SUMPRODUCT(Properties!$D$6:$D$15*(Properties!$U$6:$U$15=$A98)*Properties!$AD$6:$AD$15)</f>
        <v>0</v>
      </c>
      <c r="N98" s="122">
        <f t="shared" si="17"/>
        <v>0</v>
      </c>
      <c r="O98" s="1"/>
      <c r="P98" s="1"/>
      <c r="Q98" s="1"/>
    </row>
    <row r="99" spans="1:17" ht="18" customHeight="1" x14ac:dyDescent="0.3">
      <c r="A99" s="1">
        <f t="shared" si="12"/>
        <v>94</v>
      </c>
      <c r="B99" s="227">
        <f>EOMONTH(Input!$C$7,$A99-1)</f>
        <v>49156</v>
      </c>
      <c r="C99" s="1">
        <f t="shared" si="13"/>
        <v>8</v>
      </c>
      <c r="D99" s="1">
        <f t="shared" si="14"/>
        <v>32</v>
      </c>
      <c r="E99" s="122" cm="1">
        <f t="array" ref="E99">_xlfn.LET(_xlpm.ann,-INDEX('Statement of Cash Flows'!$C$47:$L$47,$C99),_xlpm.w,-($H99+$I99)+MAX(0,-$J99),_xlpm.yrW,SUMPRODUCT(($C$6:$C$125=$C99)*(-($H$6:$H$125+$I$6:$I$125)+((-$J$6:$J$125)&gt;0)*(-$J$6:$J$125))),_xlpm.ann*IF(_xlpm.yrW&gt;0,_xlpm.w/_xlpm.yrW,IF($A99=($C99-1)*$Q$7+1,1,0)))</f>
        <v>0</v>
      </c>
      <c r="F99" s="122" cm="1">
        <f t="array" ref="F99">_xlfn.LET(_xlpm.ann,INDEX('Investor Return'!$C$11:$L$11,$C99),_xlpm.sale,'_Month Engine'!$C$71:$DR$71,_xlpm.yr,'_Month Engine'!$C$5:$DR$5,_xlpm.yearS,SUMPRODUCT((_xlpm.yr=$C99)*_xlpm.sale),_xlpm.mS,INDEX(_xlpm.sale,$A99),_xlpm.ann*IF(_xlpm.yearS&gt;0,_xlpm.mS/_xlpm.yearS,IF($A99=$C99*$Q$7,1,0)))</f>
        <v>0</v>
      </c>
      <c r="G99" s="122">
        <f t="shared" si="15"/>
        <v>0</v>
      </c>
      <c r="H99" s="122" cm="1">
        <f t="array" ref="H99">-SUMPRODUCT(Properties!$D$6:$D$15*(Properties!$Q$6:$Q$15=$A99)*(Properties!$M$6:$M$15+Properties!$O$6:$O$15))</f>
        <v>0</v>
      </c>
      <c r="I99" s="122" cm="1">
        <f t="array" ref="I99">-SUMPRODUCT(Properties!$D$6:$D$15*($A99&gt;=Properties!$Q$6:$Q$15)*($A99&lt;Properties!$T$6:$T$15)*Properties!$N$6:$N$15/(Properties!$R$6:$R$15+(Properties!$R$6:$R$15=0)))</f>
        <v>0</v>
      </c>
      <c r="J99" s="122" cm="1">
        <f t="array" ref="J99">_xlfn.LET(_xlpm.act,Properties!$D$6:$D$15,_xlpm.accM,Properties!$Q$6:$Q$15,_xlpm.rentM,Properties!$T$6:$T$15,_xlpm.saleM,Properties!$U$6:$U$15,_xlpm.owned,($A99&gt;=_xlpm.accM)*($A99&lt;_xlpm.saleM),_xlpm.renting,($A99&gt;=_xlpm.rentM)*($A99&lt;_xlpm.saleM),_xlpm.ratio,($A99-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99-1)-_xlpm.owned*_xlpm.ownFix/$Q$7-_xlpm.renting*_xlpm.rentFix/$Q$7)))</f>
        <v>0</v>
      </c>
      <c r="K99" s="122" cm="1">
        <f t="array" ref="K99">SUMPRODUCT(Properties!$D$6:$D$15*(Properties!$U$6:$U$15=$A99)*Properties!$AB$6:$AB$15)</f>
        <v>0</v>
      </c>
      <c r="L99" s="122">
        <f t="shared" si="16"/>
        <v>0</v>
      </c>
      <c r="M99" s="122" cm="1">
        <f t="array" ref="M99">-SUMPRODUCT(Properties!$D$6:$D$15*(Properties!$U$6:$U$15=$A99)*Properties!$AD$6:$AD$15)</f>
        <v>0</v>
      </c>
      <c r="N99" s="122">
        <f t="shared" si="17"/>
        <v>0</v>
      </c>
      <c r="O99" s="1"/>
      <c r="P99" s="1"/>
      <c r="Q99" s="1"/>
    </row>
    <row r="100" spans="1:17" ht="18" customHeight="1" x14ac:dyDescent="0.3">
      <c r="A100" s="1">
        <f t="shared" si="12"/>
        <v>95</v>
      </c>
      <c r="B100" s="227">
        <f>EOMONTH(Input!$C$7,$A100-1)</f>
        <v>49187</v>
      </c>
      <c r="C100" s="1">
        <f t="shared" si="13"/>
        <v>8</v>
      </c>
      <c r="D100" s="1">
        <f t="shared" si="14"/>
        <v>32</v>
      </c>
      <c r="E100" s="122" cm="1">
        <f t="array" ref="E100">_xlfn.LET(_xlpm.ann,-INDEX('Statement of Cash Flows'!$C$47:$L$47,$C100),_xlpm.w,-($H100+$I100)+MAX(0,-$J100),_xlpm.yrW,SUMPRODUCT(($C$6:$C$125=$C100)*(-($H$6:$H$125+$I$6:$I$125)+((-$J$6:$J$125)&gt;0)*(-$J$6:$J$125))),_xlpm.ann*IF(_xlpm.yrW&gt;0,_xlpm.w/_xlpm.yrW,IF($A100=($C100-1)*$Q$7+1,1,0)))</f>
        <v>0</v>
      </c>
      <c r="F100" s="122" cm="1">
        <f t="array" ref="F100">_xlfn.LET(_xlpm.ann,INDEX('Investor Return'!$C$11:$L$11,$C100),_xlpm.sale,'_Month Engine'!$C$71:$DR$71,_xlpm.yr,'_Month Engine'!$C$5:$DR$5,_xlpm.yearS,SUMPRODUCT((_xlpm.yr=$C100)*_xlpm.sale),_xlpm.mS,INDEX(_xlpm.sale,$A100),_xlpm.ann*IF(_xlpm.yearS&gt;0,_xlpm.mS/_xlpm.yearS,IF($A100=$C100*$Q$7,1,0)))</f>
        <v>0</v>
      </c>
      <c r="G100" s="122">
        <f t="shared" si="15"/>
        <v>0</v>
      </c>
      <c r="H100" s="122" cm="1">
        <f t="array" ref="H100">-SUMPRODUCT(Properties!$D$6:$D$15*(Properties!$Q$6:$Q$15=$A100)*(Properties!$M$6:$M$15+Properties!$O$6:$O$15))</f>
        <v>0</v>
      </c>
      <c r="I100" s="122" cm="1">
        <f t="array" ref="I100">-SUMPRODUCT(Properties!$D$6:$D$15*($A100&gt;=Properties!$Q$6:$Q$15)*($A100&lt;Properties!$T$6:$T$15)*Properties!$N$6:$N$15/(Properties!$R$6:$R$15+(Properties!$R$6:$R$15=0)))</f>
        <v>0</v>
      </c>
      <c r="J100" s="122" cm="1">
        <f t="array" ref="J100">_xlfn.LET(_xlpm.act,Properties!$D$6:$D$15,_xlpm.accM,Properties!$Q$6:$Q$15,_xlpm.rentM,Properties!$T$6:$T$15,_xlpm.saleM,Properties!$U$6:$U$15,_xlpm.owned,($A100&gt;=_xlpm.accM)*($A100&lt;_xlpm.saleM),_xlpm.renting,($A100&gt;=_xlpm.rentM)*($A100&lt;_xlpm.saleM),_xlpm.ratio,($A100-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100-1)-_xlpm.owned*_xlpm.ownFix/$Q$7-_xlpm.renting*_xlpm.rentFix/$Q$7)))</f>
        <v>0</v>
      </c>
      <c r="K100" s="122" cm="1">
        <f t="array" ref="K100">SUMPRODUCT(Properties!$D$6:$D$15*(Properties!$U$6:$U$15=$A100)*Properties!$AB$6:$AB$15)</f>
        <v>0</v>
      </c>
      <c r="L100" s="122">
        <f t="shared" si="16"/>
        <v>0</v>
      </c>
      <c r="M100" s="122" cm="1">
        <f t="array" ref="M100">-SUMPRODUCT(Properties!$D$6:$D$15*(Properties!$U$6:$U$15=$A100)*Properties!$AD$6:$AD$15)</f>
        <v>0</v>
      </c>
      <c r="N100" s="122">
        <f t="shared" si="17"/>
        <v>0</v>
      </c>
      <c r="O100" s="1"/>
      <c r="P100" s="1"/>
      <c r="Q100" s="1"/>
    </row>
    <row r="101" spans="1:17" ht="18" customHeight="1" x14ac:dyDescent="0.3">
      <c r="A101" s="1">
        <f t="shared" si="12"/>
        <v>96</v>
      </c>
      <c r="B101" s="227">
        <f>EOMONTH(Input!$C$7,$A101-1)</f>
        <v>49217</v>
      </c>
      <c r="C101" s="1">
        <f t="shared" si="13"/>
        <v>8</v>
      </c>
      <c r="D101" s="1">
        <f t="shared" si="14"/>
        <v>32</v>
      </c>
      <c r="E101" s="122" cm="1">
        <f t="array" ref="E101">_xlfn.LET(_xlpm.ann,-INDEX('Statement of Cash Flows'!$C$47:$L$47,$C101),_xlpm.w,-($H101+$I101)+MAX(0,-$J101),_xlpm.yrW,SUMPRODUCT(($C$6:$C$125=$C101)*(-($H$6:$H$125+$I$6:$I$125)+((-$J$6:$J$125)&gt;0)*(-$J$6:$J$125))),_xlpm.ann*IF(_xlpm.yrW&gt;0,_xlpm.w/_xlpm.yrW,IF($A101=($C101-1)*$Q$7+1,1,0)))</f>
        <v>0</v>
      </c>
      <c r="F101" s="122" cm="1">
        <f t="array" ref="F101">_xlfn.LET(_xlpm.ann,INDEX('Investor Return'!$C$11:$L$11,$C101),_xlpm.sale,'_Month Engine'!$C$71:$DR$71,_xlpm.yr,'_Month Engine'!$C$5:$DR$5,_xlpm.yearS,SUMPRODUCT((_xlpm.yr=$C101)*_xlpm.sale),_xlpm.mS,INDEX(_xlpm.sale,$A101),_xlpm.ann*IF(_xlpm.yearS&gt;0,_xlpm.mS/_xlpm.yearS,IF($A101=$C101*$Q$7,1,0)))</f>
        <v>0</v>
      </c>
      <c r="G101" s="122">
        <f t="shared" si="15"/>
        <v>0</v>
      </c>
      <c r="H101" s="122" cm="1">
        <f t="array" ref="H101">-SUMPRODUCT(Properties!$D$6:$D$15*(Properties!$Q$6:$Q$15=$A101)*(Properties!$M$6:$M$15+Properties!$O$6:$O$15))</f>
        <v>0</v>
      </c>
      <c r="I101" s="122" cm="1">
        <f t="array" ref="I101">-SUMPRODUCT(Properties!$D$6:$D$15*($A101&gt;=Properties!$Q$6:$Q$15)*($A101&lt;Properties!$T$6:$T$15)*Properties!$N$6:$N$15/(Properties!$R$6:$R$15+(Properties!$R$6:$R$15=0)))</f>
        <v>0</v>
      </c>
      <c r="J101" s="122" cm="1">
        <f t="array" ref="J101">_xlfn.LET(_xlpm.act,Properties!$D$6:$D$15,_xlpm.accM,Properties!$Q$6:$Q$15,_xlpm.rentM,Properties!$T$6:$T$15,_xlpm.saleM,Properties!$U$6:$U$15,_xlpm.owned,($A101&gt;=_xlpm.accM)*($A101&lt;_xlpm.saleM),_xlpm.renting,($A101&gt;=_xlpm.rentM)*($A101&lt;_xlpm.saleM),_xlpm.ratio,($A101-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101-1)-_xlpm.owned*_xlpm.ownFix/$Q$7-_xlpm.renting*_xlpm.rentFix/$Q$7)))</f>
        <v>0</v>
      </c>
      <c r="K101" s="122" cm="1">
        <f t="array" ref="K101">SUMPRODUCT(Properties!$D$6:$D$15*(Properties!$U$6:$U$15=$A101)*Properties!$AB$6:$AB$15)</f>
        <v>0</v>
      </c>
      <c r="L101" s="122">
        <f t="shared" si="16"/>
        <v>0</v>
      </c>
      <c r="M101" s="122" cm="1">
        <f t="array" ref="M101">-SUMPRODUCT(Properties!$D$6:$D$15*(Properties!$U$6:$U$15=$A101)*Properties!$AD$6:$AD$15)</f>
        <v>0</v>
      </c>
      <c r="N101" s="122">
        <f t="shared" si="17"/>
        <v>0</v>
      </c>
      <c r="O101" s="1"/>
      <c r="P101" s="1"/>
      <c r="Q101" s="1"/>
    </row>
    <row r="102" spans="1:17" ht="18" customHeight="1" x14ac:dyDescent="0.3">
      <c r="A102" s="1">
        <f t="shared" ref="A102:A125" si="18">ROW()-5</f>
        <v>97</v>
      </c>
      <c r="B102" s="227">
        <f>EOMONTH(Input!$C$7,$A102-1)</f>
        <v>49248</v>
      </c>
      <c r="C102" s="1">
        <f t="shared" ref="C102:C125" si="19">ROUNDUP($A102/$Q$7,0)</f>
        <v>9</v>
      </c>
      <c r="D102" s="1">
        <f t="shared" ref="D102:D125" si="20">ROUNDUP($A102/$Q$8,0)</f>
        <v>33</v>
      </c>
      <c r="E102" s="122" cm="1">
        <f t="array" ref="E102">_xlfn.LET(_xlpm.ann,-INDEX('Statement of Cash Flows'!$C$47:$L$47,$C102),_xlpm.w,-($H102+$I102)+MAX(0,-$J102),_xlpm.yrW,SUMPRODUCT(($C$6:$C$125=$C102)*(-($H$6:$H$125+$I$6:$I$125)+((-$J$6:$J$125)&gt;0)*(-$J$6:$J$125))),_xlpm.ann*IF(_xlpm.yrW&gt;0,_xlpm.w/_xlpm.yrW,IF($A102=($C102-1)*$Q$7+1,1,0)))</f>
        <v>0</v>
      </c>
      <c r="F102" s="122" cm="1">
        <f t="array" ref="F102">_xlfn.LET(_xlpm.ann,INDEX('Investor Return'!$C$11:$L$11,$C102),_xlpm.sale,'_Month Engine'!$C$71:$DR$71,_xlpm.yr,'_Month Engine'!$C$5:$DR$5,_xlpm.yearS,SUMPRODUCT((_xlpm.yr=$C102)*_xlpm.sale),_xlpm.mS,INDEX(_xlpm.sale,$A102),_xlpm.ann*IF(_xlpm.yearS&gt;0,_xlpm.mS/_xlpm.yearS,IF($A102=$C102*$Q$7,1,0)))</f>
        <v>0</v>
      </c>
      <c r="G102" s="122">
        <f t="shared" ref="G102:G125" si="21">$E102+$F102</f>
        <v>0</v>
      </c>
      <c r="H102" s="122" cm="1">
        <f t="array" ref="H102">-SUMPRODUCT(Properties!$D$6:$D$15*(Properties!$Q$6:$Q$15=$A102)*(Properties!$M$6:$M$15+Properties!$O$6:$O$15))</f>
        <v>0</v>
      </c>
      <c r="I102" s="122" cm="1">
        <f t="array" ref="I102">-SUMPRODUCT(Properties!$D$6:$D$15*($A102&gt;=Properties!$Q$6:$Q$15)*($A102&lt;Properties!$T$6:$T$15)*Properties!$N$6:$N$15/(Properties!$R$6:$R$15+(Properties!$R$6:$R$15=0)))</f>
        <v>0</v>
      </c>
      <c r="J102" s="122" cm="1">
        <f t="array" ref="J102">_xlfn.LET(_xlpm.act,Properties!$D$6:$D$15,_xlpm.accM,Properties!$Q$6:$Q$15,_xlpm.rentM,Properties!$T$6:$T$15,_xlpm.saleM,Properties!$U$6:$U$15,_xlpm.owned,($A102&gt;=_xlpm.accM)*($A102&lt;_xlpm.saleM),_xlpm.renting,($A102&gt;=_xlpm.rentM)*($A102&lt;_xlpm.saleM),_xlpm.ratio,($A102-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102-1)-_xlpm.owned*_xlpm.ownFix/$Q$7-_xlpm.renting*_xlpm.rentFix/$Q$7)))</f>
        <v>0</v>
      </c>
      <c r="K102" s="122" cm="1">
        <f t="array" ref="K102">SUMPRODUCT(Properties!$D$6:$D$15*(Properties!$U$6:$U$15=$A102)*Properties!$AB$6:$AB$15)</f>
        <v>0</v>
      </c>
      <c r="L102" s="122">
        <f t="shared" ref="L102:L125" si="22">$H102+$I102+$J102+$K102</f>
        <v>0</v>
      </c>
      <c r="M102" s="122" cm="1">
        <f t="array" ref="M102">-SUMPRODUCT(Properties!$D$6:$D$15*(Properties!$U$6:$U$15=$A102)*Properties!$AD$6:$AD$15)</f>
        <v>0</v>
      </c>
      <c r="N102" s="122">
        <f t="shared" ref="N102:N125" si="23">$L102+$M102</f>
        <v>0</v>
      </c>
      <c r="O102" s="1"/>
      <c r="P102" s="1"/>
      <c r="Q102" s="1"/>
    </row>
    <row r="103" spans="1:17" ht="18" customHeight="1" x14ac:dyDescent="0.3">
      <c r="A103" s="1">
        <f t="shared" si="18"/>
        <v>98</v>
      </c>
      <c r="B103" s="227">
        <f>EOMONTH(Input!$C$7,$A103-1)</f>
        <v>49278</v>
      </c>
      <c r="C103" s="1">
        <f t="shared" si="19"/>
        <v>9</v>
      </c>
      <c r="D103" s="1">
        <f t="shared" si="20"/>
        <v>33</v>
      </c>
      <c r="E103" s="122" cm="1">
        <f t="array" ref="E103">_xlfn.LET(_xlpm.ann,-INDEX('Statement of Cash Flows'!$C$47:$L$47,$C103),_xlpm.w,-($H103+$I103)+MAX(0,-$J103),_xlpm.yrW,SUMPRODUCT(($C$6:$C$125=$C103)*(-($H$6:$H$125+$I$6:$I$125)+((-$J$6:$J$125)&gt;0)*(-$J$6:$J$125))),_xlpm.ann*IF(_xlpm.yrW&gt;0,_xlpm.w/_xlpm.yrW,IF($A103=($C103-1)*$Q$7+1,1,0)))</f>
        <v>0</v>
      </c>
      <c r="F103" s="122" cm="1">
        <f t="array" ref="F103">_xlfn.LET(_xlpm.ann,INDEX('Investor Return'!$C$11:$L$11,$C103),_xlpm.sale,'_Month Engine'!$C$71:$DR$71,_xlpm.yr,'_Month Engine'!$C$5:$DR$5,_xlpm.yearS,SUMPRODUCT((_xlpm.yr=$C103)*_xlpm.sale),_xlpm.mS,INDEX(_xlpm.sale,$A103),_xlpm.ann*IF(_xlpm.yearS&gt;0,_xlpm.mS/_xlpm.yearS,IF($A103=$C103*$Q$7,1,0)))</f>
        <v>0</v>
      </c>
      <c r="G103" s="122">
        <f t="shared" si="21"/>
        <v>0</v>
      </c>
      <c r="H103" s="122" cm="1">
        <f t="array" ref="H103">-SUMPRODUCT(Properties!$D$6:$D$15*(Properties!$Q$6:$Q$15=$A103)*(Properties!$M$6:$M$15+Properties!$O$6:$O$15))</f>
        <v>0</v>
      </c>
      <c r="I103" s="122" cm="1">
        <f t="array" ref="I103">-SUMPRODUCT(Properties!$D$6:$D$15*($A103&gt;=Properties!$Q$6:$Q$15)*($A103&lt;Properties!$T$6:$T$15)*Properties!$N$6:$N$15/(Properties!$R$6:$R$15+(Properties!$R$6:$R$15=0)))</f>
        <v>0</v>
      </c>
      <c r="J103" s="122" cm="1">
        <f t="array" ref="J103">_xlfn.LET(_xlpm.act,Properties!$D$6:$D$15,_xlpm.accM,Properties!$Q$6:$Q$15,_xlpm.rentM,Properties!$T$6:$T$15,_xlpm.saleM,Properties!$U$6:$U$15,_xlpm.owned,($A103&gt;=_xlpm.accM)*($A103&lt;_xlpm.saleM),_xlpm.renting,($A103&gt;=_xlpm.rentM)*($A103&lt;_xlpm.saleM),_xlpm.ratio,($A103-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103-1)-_xlpm.owned*_xlpm.ownFix/$Q$7-_xlpm.renting*_xlpm.rentFix/$Q$7)))</f>
        <v>0</v>
      </c>
      <c r="K103" s="122" cm="1">
        <f t="array" ref="K103">SUMPRODUCT(Properties!$D$6:$D$15*(Properties!$U$6:$U$15=$A103)*Properties!$AB$6:$AB$15)</f>
        <v>0</v>
      </c>
      <c r="L103" s="122">
        <f t="shared" si="22"/>
        <v>0</v>
      </c>
      <c r="M103" s="122" cm="1">
        <f t="array" ref="M103">-SUMPRODUCT(Properties!$D$6:$D$15*(Properties!$U$6:$U$15=$A103)*Properties!$AD$6:$AD$15)</f>
        <v>0</v>
      </c>
      <c r="N103" s="122">
        <f t="shared" si="23"/>
        <v>0</v>
      </c>
      <c r="O103" s="1"/>
      <c r="P103" s="1"/>
      <c r="Q103" s="1"/>
    </row>
    <row r="104" spans="1:17" ht="18" customHeight="1" x14ac:dyDescent="0.3">
      <c r="A104" s="1">
        <f t="shared" si="18"/>
        <v>99</v>
      </c>
      <c r="B104" s="227">
        <f>EOMONTH(Input!$C$7,$A104-1)</f>
        <v>49309</v>
      </c>
      <c r="C104" s="1">
        <f t="shared" si="19"/>
        <v>9</v>
      </c>
      <c r="D104" s="1">
        <f t="shared" si="20"/>
        <v>33</v>
      </c>
      <c r="E104" s="122" cm="1">
        <f t="array" ref="E104">_xlfn.LET(_xlpm.ann,-INDEX('Statement of Cash Flows'!$C$47:$L$47,$C104),_xlpm.w,-($H104+$I104)+MAX(0,-$J104),_xlpm.yrW,SUMPRODUCT(($C$6:$C$125=$C104)*(-($H$6:$H$125+$I$6:$I$125)+((-$J$6:$J$125)&gt;0)*(-$J$6:$J$125))),_xlpm.ann*IF(_xlpm.yrW&gt;0,_xlpm.w/_xlpm.yrW,IF($A104=($C104-1)*$Q$7+1,1,0)))</f>
        <v>0</v>
      </c>
      <c r="F104" s="122" cm="1">
        <f t="array" ref="F104">_xlfn.LET(_xlpm.ann,INDEX('Investor Return'!$C$11:$L$11,$C104),_xlpm.sale,'_Month Engine'!$C$71:$DR$71,_xlpm.yr,'_Month Engine'!$C$5:$DR$5,_xlpm.yearS,SUMPRODUCT((_xlpm.yr=$C104)*_xlpm.sale),_xlpm.mS,INDEX(_xlpm.sale,$A104),_xlpm.ann*IF(_xlpm.yearS&gt;0,_xlpm.mS/_xlpm.yearS,IF($A104=$C104*$Q$7,1,0)))</f>
        <v>0</v>
      </c>
      <c r="G104" s="122">
        <f t="shared" si="21"/>
        <v>0</v>
      </c>
      <c r="H104" s="122" cm="1">
        <f t="array" ref="H104">-SUMPRODUCT(Properties!$D$6:$D$15*(Properties!$Q$6:$Q$15=$A104)*(Properties!$M$6:$M$15+Properties!$O$6:$O$15))</f>
        <v>0</v>
      </c>
      <c r="I104" s="122" cm="1">
        <f t="array" ref="I104">-SUMPRODUCT(Properties!$D$6:$D$15*($A104&gt;=Properties!$Q$6:$Q$15)*($A104&lt;Properties!$T$6:$T$15)*Properties!$N$6:$N$15/(Properties!$R$6:$R$15+(Properties!$R$6:$R$15=0)))</f>
        <v>0</v>
      </c>
      <c r="J104" s="122" cm="1">
        <f t="array" ref="J104">_xlfn.LET(_xlpm.act,Properties!$D$6:$D$15,_xlpm.accM,Properties!$Q$6:$Q$15,_xlpm.rentM,Properties!$T$6:$T$15,_xlpm.saleM,Properties!$U$6:$U$15,_xlpm.owned,($A104&gt;=_xlpm.accM)*($A104&lt;_xlpm.saleM),_xlpm.renting,($A104&gt;=_xlpm.rentM)*($A104&lt;_xlpm.saleM),_xlpm.ratio,($A104-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104-1)-_xlpm.owned*_xlpm.ownFix/$Q$7-_xlpm.renting*_xlpm.rentFix/$Q$7)))</f>
        <v>0</v>
      </c>
      <c r="K104" s="122" cm="1">
        <f t="array" ref="K104">SUMPRODUCT(Properties!$D$6:$D$15*(Properties!$U$6:$U$15=$A104)*Properties!$AB$6:$AB$15)</f>
        <v>0</v>
      </c>
      <c r="L104" s="122">
        <f t="shared" si="22"/>
        <v>0</v>
      </c>
      <c r="M104" s="122" cm="1">
        <f t="array" ref="M104">-SUMPRODUCT(Properties!$D$6:$D$15*(Properties!$U$6:$U$15=$A104)*Properties!$AD$6:$AD$15)</f>
        <v>0</v>
      </c>
      <c r="N104" s="122">
        <f t="shared" si="23"/>
        <v>0</v>
      </c>
      <c r="O104" s="1"/>
      <c r="P104" s="1"/>
      <c r="Q104" s="1"/>
    </row>
    <row r="105" spans="1:17" ht="18" customHeight="1" x14ac:dyDescent="0.3">
      <c r="A105" s="1">
        <f t="shared" si="18"/>
        <v>100</v>
      </c>
      <c r="B105" s="227">
        <f>EOMONTH(Input!$C$7,$A105-1)</f>
        <v>49340</v>
      </c>
      <c r="C105" s="1">
        <f t="shared" si="19"/>
        <v>9</v>
      </c>
      <c r="D105" s="1">
        <f t="shared" si="20"/>
        <v>34</v>
      </c>
      <c r="E105" s="122" cm="1">
        <f t="array" ref="E105">_xlfn.LET(_xlpm.ann,-INDEX('Statement of Cash Flows'!$C$47:$L$47,$C105),_xlpm.w,-($H105+$I105)+MAX(0,-$J105),_xlpm.yrW,SUMPRODUCT(($C$6:$C$125=$C105)*(-($H$6:$H$125+$I$6:$I$125)+((-$J$6:$J$125)&gt;0)*(-$J$6:$J$125))),_xlpm.ann*IF(_xlpm.yrW&gt;0,_xlpm.w/_xlpm.yrW,IF($A105=($C105-1)*$Q$7+1,1,0)))</f>
        <v>0</v>
      </c>
      <c r="F105" s="122" cm="1">
        <f t="array" ref="F105">_xlfn.LET(_xlpm.ann,INDEX('Investor Return'!$C$11:$L$11,$C105),_xlpm.sale,'_Month Engine'!$C$71:$DR$71,_xlpm.yr,'_Month Engine'!$C$5:$DR$5,_xlpm.yearS,SUMPRODUCT((_xlpm.yr=$C105)*_xlpm.sale),_xlpm.mS,INDEX(_xlpm.sale,$A105),_xlpm.ann*IF(_xlpm.yearS&gt;0,_xlpm.mS/_xlpm.yearS,IF($A105=$C105*$Q$7,1,0)))</f>
        <v>0</v>
      </c>
      <c r="G105" s="122">
        <f t="shared" si="21"/>
        <v>0</v>
      </c>
      <c r="H105" s="122" cm="1">
        <f t="array" ref="H105">-SUMPRODUCT(Properties!$D$6:$D$15*(Properties!$Q$6:$Q$15=$A105)*(Properties!$M$6:$M$15+Properties!$O$6:$O$15))</f>
        <v>0</v>
      </c>
      <c r="I105" s="122" cm="1">
        <f t="array" ref="I105">-SUMPRODUCT(Properties!$D$6:$D$15*($A105&gt;=Properties!$Q$6:$Q$15)*($A105&lt;Properties!$T$6:$T$15)*Properties!$N$6:$N$15/(Properties!$R$6:$R$15+(Properties!$R$6:$R$15=0)))</f>
        <v>0</v>
      </c>
      <c r="J105" s="122" cm="1">
        <f t="array" ref="J105">_xlfn.LET(_xlpm.act,Properties!$D$6:$D$15,_xlpm.accM,Properties!$Q$6:$Q$15,_xlpm.rentM,Properties!$T$6:$T$15,_xlpm.saleM,Properties!$U$6:$U$15,_xlpm.owned,($A105&gt;=_xlpm.accM)*($A105&lt;_xlpm.saleM),_xlpm.renting,($A105&gt;=_xlpm.rentM)*($A105&lt;_xlpm.saleM),_xlpm.ratio,($A105-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105-1)-_xlpm.owned*_xlpm.ownFix/$Q$7-_xlpm.renting*_xlpm.rentFix/$Q$7)))</f>
        <v>0</v>
      </c>
      <c r="K105" s="122" cm="1">
        <f t="array" ref="K105">SUMPRODUCT(Properties!$D$6:$D$15*(Properties!$U$6:$U$15=$A105)*Properties!$AB$6:$AB$15)</f>
        <v>0</v>
      </c>
      <c r="L105" s="122">
        <f t="shared" si="22"/>
        <v>0</v>
      </c>
      <c r="M105" s="122" cm="1">
        <f t="array" ref="M105">-SUMPRODUCT(Properties!$D$6:$D$15*(Properties!$U$6:$U$15=$A105)*Properties!$AD$6:$AD$15)</f>
        <v>0</v>
      </c>
      <c r="N105" s="122">
        <f t="shared" si="23"/>
        <v>0</v>
      </c>
      <c r="O105" s="1"/>
      <c r="P105" s="1"/>
      <c r="Q105" s="1"/>
    </row>
    <row r="106" spans="1:17" ht="18" customHeight="1" x14ac:dyDescent="0.3">
      <c r="A106" s="1">
        <f t="shared" si="18"/>
        <v>101</v>
      </c>
      <c r="B106" s="227">
        <f>EOMONTH(Input!$C$7,$A106-1)</f>
        <v>49368</v>
      </c>
      <c r="C106" s="1">
        <f t="shared" si="19"/>
        <v>9</v>
      </c>
      <c r="D106" s="1">
        <f t="shared" si="20"/>
        <v>34</v>
      </c>
      <c r="E106" s="122" cm="1">
        <f t="array" ref="E106">_xlfn.LET(_xlpm.ann,-INDEX('Statement of Cash Flows'!$C$47:$L$47,$C106),_xlpm.w,-($H106+$I106)+MAX(0,-$J106),_xlpm.yrW,SUMPRODUCT(($C$6:$C$125=$C106)*(-($H$6:$H$125+$I$6:$I$125)+((-$J$6:$J$125)&gt;0)*(-$J$6:$J$125))),_xlpm.ann*IF(_xlpm.yrW&gt;0,_xlpm.w/_xlpm.yrW,IF($A106=($C106-1)*$Q$7+1,1,0)))</f>
        <v>0</v>
      </c>
      <c r="F106" s="122" cm="1">
        <f t="array" ref="F106">_xlfn.LET(_xlpm.ann,INDEX('Investor Return'!$C$11:$L$11,$C106),_xlpm.sale,'_Month Engine'!$C$71:$DR$71,_xlpm.yr,'_Month Engine'!$C$5:$DR$5,_xlpm.yearS,SUMPRODUCT((_xlpm.yr=$C106)*_xlpm.sale),_xlpm.mS,INDEX(_xlpm.sale,$A106),_xlpm.ann*IF(_xlpm.yearS&gt;0,_xlpm.mS/_xlpm.yearS,IF($A106=$C106*$Q$7,1,0)))</f>
        <v>0</v>
      </c>
      <c r="G106" s="122">
        <f t="shared" si="21"/>
        <v>0</v>
      </c>
      <c r="H106" s="122" cm="1">
        <f t="array" ref="H106">-SUMPRODUCT(Properties!$D$6:$D$15*(Properties!$Q$6:$Q$15=$A106)*(Properties!$M$6:$M$15+Properties!$O$6:$O$15))</f>
        <v>0</v>
      </c>
      <c r="I106" s="122" cm="1">
        <f t="array" ref="I106">-SUMPRODUCT(Properties!$D$6:$D$15*($A106&gt;=Properties!$Q$6:$Q$15)*($A106&lt;Properties!$T$6:$T$15)*Properties!$N$6:$N$15/(Properties!$R$6:$R$15+(Properties!$R$6:$R$15=0)))</f>
        <v>0</v>
      </c>
      <c r="J106" s="122" cm="1">
        <f t="array" ref="J106">_xlfn.LET(_xlpm.act,Properties!$D$6:$D$15,_xlpm.accM,Properties!$Q$6:$Q$15,_xlpm.rentM,Properties!$T$6:$T$15,_xlpm.saleM,Properties!$U$6:$U$15,_xlpm.owned,($A106&gt;=_xlpm.accM)*($A106&lt;_xlpm.saleM),_xlpm.renting,($A106&gt;=_xlpm.rentM)*($A106&lt;_xlpm.saleM),_xlpm.ratio,($A106-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106-1)-_xlpm.owned*_xlpm.ownFix/$Q$7-_xlpm.renting*_xlpm.rentFix/$Q$7)))</f>
        <v>0</v>
      </c>
      <c r="K106" s="122" cm="1">
        <f t="array" ref="K106">SUMPRODUCT(Properties!$D$6:$D$15*(Properties!$U$6:$U$15=$A106)*Properties!$AB$6:$AB$15)</f>
        <v>0</v>
      </c>
      <c r="L106" s="122">
        <f t="shared" si="22"/>
        <v>0</v>
      </c>
      <c r="M106" s="122" cm="1">
        <f t="array" ref="M106">-SUMPRODUCT(Properties!$D$6:$D$15*(Properties!$U$6:$U$15=$A106)*Properties!$AD$6:$AD$15)</f>
        <v>0</v>
      </c>
      <c r="N106" s="122">
        <f t="shared" si="23"/>
        <v>0</v>
      </c>
      <c r="O106" s="1"/>
      <c r="P106" s="1"/>
      <c r="Q106" s="1"/>
    </row>
    <row r="107" spans="1:17" ht="18" customHeight="1" x14ac:dyDescent="0.3">
      <c r="A107" s="1">
        <f t="shared" si="18"/>
        <v>102</v>
      </c>
      <c r="B107" s="227">
        <f>EOMONTH(Input!$C$7,$A107-1)</f>
        <v>49399</v>
      </c>
      <c r="C107" s="1">
        <f t="shared" si="19"/>
        <v>9</v>
      </c>
      <c r="D107" s="1">
        <f t="shared" si="20"/>
        <v>34</v>
      </c>
      <c r="E107" s="122" cm="1">
        <f t="array" ref="E107">_xlfn.LET(_xlpm.ann,-INDEX('Statement of Cash Flows'!$C$47:$L$47,$C107),_xlpm.w,-($H107+$I107)+MAX(0,-$J107),_xlpm.yrW,SUMPRODUCT(($C$6:$C$125=$C107)*(-($H$6:$H$125+$I$6:$I$125)+((-$J$6:$J$125)&gt;0)*(-$J$6:$J$125))),_xlpm.ann*IF(_xlpm.yrW&gt;0,_xlpm.w/_xlpm.yrW,IF($A107=($C107-1)*$Q$7+1,1,0)))</f>
        <v>0</v>
      </c>
      <c r="F107" s="122" cm="1">
        <f t="array" ref="F107">_xlfn.LET(_xlpm.ann,INDEX('Investor Return'!$C$11:$L$11,$C107),_xlpm.sale,'_Month Engine'!$C$71:$DR$71,_xlpm.yr,'_Month Engine'!$C$5:$DR$5,_xlpm.yearS,SUMPRODUCT((_xlpm.yr=$C107)*_xlpm.sale),_xlpm.mS,INDEX(_xlpm.sale,$A107),_xlpm.ann*IF(_xlpm.yearS&gt;0,_xlpm.mS/_xlpm.yearS,IF($A107=$C107*$Q$7,1,0)))</f>
        <v>0</v>
      </c>
      <c r="G107" s="122">
        <f t="shared" si="21"/>
        <v>0</v>
      </c>
      <c r="H107" s="122" cm="1">
        <f t="array" ref="H107">-SUMPRODUCT(Properties!$D$6:$D$15*(Properties!$Q$6:$Q$15=$A107)*(Properties!$M$6:$M$15+Properties!$O$6:$O$15))</f>
        <v>0</v>
      </c>
      <c r="I107" s="122" cm="1">
        <f t="array" ref="I107">-SUMPRODUCT(Properties!$D$6:$D$15*($A107&gt;=Properties!$Q$6:$Q$15)*($A107&lt;Properties!$T$6:$T$15)*Properties!$N$6:$N$15/(Properties!$R$6:$R$15+(Properties!$R$6:$R$15=0)))</f>
        <v>0</v>
      </c>
      <c r="J107" s="122" cm="1">
        <f t="array" ref="J107">_xlfn.LET(_xlpm.act,Properties!$D$6:$D$15,_xlpm.accM,Properties!$Q$6:$Q$15,_xlpm.rentM,Properties!$T$6:$T$15,_xlpm.saleM,Properties!$U$6:$U$15,_xlpm.owned,($A107&gt;=_xlpm.accM)*($A107&lt;_xlpm.saleM),_xlpm.renting,($A107&gt;=_xlpm.rentM)*($A107&lt;_xlpm.saleM),_xlpm.ratio,($A107-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107-1)-_xlpm.owned*_xlpm.ownFix/$Q$7-_xlpm.renting*_xlpm.rentFix/$Q$7)))</f>
        <v>0</v>
      </c>
      <c r="K107" s="122" cm="1">
        <f t="array" ref="K107">SUMPRODUCT(Properties!$D$6:$D$15*(Properties!$U$6:$U$15=$A107)*Properties!$AB$6:$AB$15)</f>
        <v>0</v>
      </c>
      <c r="L107" s="122">
        <f t="shared" si="22"/>
        <v>0</v>
      </c>
      <c r="M107" s="122" cm="1">
        <f t="array" ref="M107">-SUMPRODUCT(Properties!$D$6:$D$15*(Properties!$U$6:$U$15=$A107)*Properties!$AD$6:$AD$15)</f>
        <v>0</v>
      </c>
      <c r="N107" s="122">
        <f t="shared" si="23"/>
        <v>0</v>
      </c>
      <c r="O107" s="1"/>
      <c r="P107" s="1"/>
      <c r="Q107" s="1"/>
    </row>
    <row r="108" spans="1:17" ht="18" customHeight="1" x14ac:dyDescent="0.3">
      <c r="A108" s="1">
        <f t="shared" si="18"/>
        <v>103</v>
      </c>
      <c r="B108" s="227">
        <f>EOMONTH(Input!$C$7,$A108-1)</f>
        <v>49429</v>
      </c>
      <c r="C108" s="1">
        <f t="shared" si="19"/>
        <v>9</v>
      </c>
      <c r="D108" s="1">
        <f t="shared" si="20"/>
        <v>35</v>
      </c>
      <c r="E108" s="122" cm="1">
        <f t="array" ref="E108">_xlfn.LET(_xlpm.ann,-INDEX('Statement of Cash Flows'!$C$47:$L$47,$C108),_xlpm.w,-($H108+$I108)+MAX(0,-$J108),_xlpm.yrW,SUMPRODUCT(($C$6:$C$125=$C108)*(-($H$6:$H$125+$I$6:$I$125)+((-$J$6:$J$125)&gt;0)*(-$J$6:$J$125))),_xlpm.ann*IF(_xlpm.yrW&gt;0,_xlpm.w/_xlpm.yrW,IF($A108=($C108-1)*$Q$7+1,1,0)))</f>
        <v>0</v>
      </c>
      <c r="F108" s="122" cm="1">
        <f t="array" ref="F108">_xlfn.LET(_xlpm.ann,INDEX('Investor Return'!$C$11:$L$11,$C108),_xlpm.sale,'_Month Engine'!$C$71:$DR$71,_xlpm.yr,'_Month Engine'!$C$5:$DR$5,_xlpm.yearS,SUMPRODUCT((_xlpm.yr=$C108)*_xlpm.sale),_xlpm.mS,INDEX(_xlpm.sale,$A108),_xlpm.ann*IF(_xlpm.yearS&gt;0,_xlpm.mS/_xlpm.yearS,IF($A108=$C108*$Q$7,1,0)))</f>
        <v>0</v>
      </c>
      <c r="G108" s="122">
        <f t="shared" si="21"/>
        <v>0</v>
      </c>
      <c r="H108" s="122" cm="1">
        <f t="array" ref="H108">-SUMPRODUCT(Properties!$D$6:$D$15*(Properties!$Q$6:$Q$15=$A108)*(Properties!$M$6:$M$15+Properties!$O$6:$O$15))</f>
        <v>0</v>
      </c>
      <c r="I108" s="122" cm="1">
        <f t="array" ref="I108">-SUMPRODUCT(Properties!$D$6:$D$15*($A108&gt;=Properties!$Q$6:$Q$15)*($A108&lt;Properties!$T$6:$T$15)*Properties!$N$6:$N$15/(Properties!$R$6:$R$15+(Properties!$R$6:$R$15=0)))</f>
        <v>0</v>
      </c>
      <c r="J108" s="122" cm="1">
        <f t="array" ref="J108">_xlfn.LET(_xlpm.act,Properties!$D$6:$D$15,_xlpm.accM,Properties!$Q$6:$Q$15,_xlpm.rentM,Properties!$T$6:$T$15,_xlpm.saleM,Properties!$U$6:$U$15,_xlpm.owned,($A108&gt;=_xlpm.accM)*($A108&lt;_xlpm.saleM),_xlpm.renting,($A108&gt;=_xlpm.rentM)*($A108&lt;_xlpm.saleM),_xlpm.ratio,($A108-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108-1)-_xlpm.owned*_xlpm.ownFix/$Q$7-_xlpm.renting*_xlpm.rentFix/$Q$7)))</f>
        <v>0</v>
      </c>
      <c r="K108" s="122" cm="1">
        <f t="array" ref="K108">SUMPRODUCT(Properties!$D$6:$D$15*(Properties!$U$6:$U$15=$A108)*Properties!$AB$6:$AB$15)</f>
        <v>0</v>
      </c>
      <c r="L108" s="122">
        <f t="shared" si="22"/>
        <v>0</v>
      </c>
      <c r="M108" s="122" cm="1">
        <f t="array" ref="M108">-SUMPRODUCT(Properties!$D$6:$D$15*(Properties!$U$6:$U$15=$A108)*Properties!$AD$6:$AD$15)</f>
        <v>0</v>
      </c>
      <c r="N108" s="122">
        <f t="shared" si="23"/>
        <v>0</v>
      </c>
      <c r="O108" s="1"/>
      <c r="P108" s="1"/>
      <c r="Q108" s="1"/>
    </row>
    <row r="109" spans="1:17" ht="18" customHeight="1" x14ac:dyDescent="0.3">
      <c r="A109" s="1">
        <f t="shared" si="18"/>
        <v>104</v>
      </c>
      <c r="B109" s="227">
        <f>EOMONTH(Input!$C$7,$A109-1)</f>
        <v>49460</v>
      </c>
      <c r="C109" s="1">
        <f t="shared" si="19"/>
        <v>9</v>
      </c>
      <c r="D109" s="1">
        <f t="shared" si="20"/>
        <v>35</v>
      </c>
      <c r="E109" s="122" cm="1">
        <f t="array" ref="E109">_xlfn.LET(_xlpm.ann,-INDEX('Statement of Cash Flows'!$C$47:$L$47,$C109),_xlpm.w,-($H109+$I109)+MAX(0,-$J109),_xlpm.yrW,SUMPRODUCT(($C$6:$C$125=$C109)*(-($H$6:$H$125+$I$6:$I$125)+((-$J$6:$J$125)&gt;0)*(-$J$6:$J$125))),_xlpm.ann*IF(_xlpm.yrW&gt;0,_xlpm.w/_xlpm.yrW,IF($A109=($C109-1)*$Q$7+1,1,0)))</f>
        <v>0</v>
      </c>
      <c r="F109" s="122" cm="1">
        <f t="array" ref="F109">_xlfn.LET(_xlpm.ann,INDEX('Investor Return'!$C$11:$L$11,$C109),_xlpm.sale,'_Month Engine'!$C$71:$DR$71,_xlpm.yr,'_Month Engine'!$C$5:$DR$5,_xlpm.yearS,SUMPRODUCT((_xlpm.yr=$C109)*_xlpm.sale),_xlpm.mS,INDEX(_xlpm.sale,$A109),_xlpm.ann*IF(_xlpm.yearS&gt;0,_xlpm.mS/_xlpm.yearS,IF($A109=$C109*$Q$7,1,0)))</f>
        <v>0</v>
      </c>
      <c r="G109" s="122">
        <f t="shared" si="21"/>
        <v>0</v>
      </c>
      <c r="H109" s="122" cm="1">
        <f t="array" ref="H109">-SUMPRODUCT(Properties!$D$6:$D$15*(Properties!$Q$6:$Q$15=$A109)*(Properties!$M$6:$M$15+Properties!$O$6:$O$15))</f>
        <v>0</v>
      </c>
      <c r="I109" s="122" cm="1">
        <f t="array" ref="I109">-SUMPRODUCT(Properties!$D$6:$D$15*($A109&gt;=Properties!$Q$6:$Q$15)*($A109&lt;Properties!$T$6:$T$15)*Properties!$N$6:$N$15/(Properties!$R$6:$R$15+(Properties!$R$6:$R$15=0)))</f>
        <v>0</v>
      </c>
      <c r="J109" s="122" cm="1">
        <f t="array" ref="J109">_xlfn.LET(_xlpm.act,Properties!$D$6:$D$15,_xlpm.accM,Properties!$Q$6:$Q$15,_xlpm.rentM,Properties!$T$6:$T$15,_xlpm.saleM,Properties!$U$6:$U$15,_xlpm.owned,($A109&gt;=_xlpm.accM)*($A109&lt;_xlpm.saleM),_xlpm.renting,($A109&gt;=_xlpm.rentM)*($A109&lt;_xlpm.saleM),_xlpm.ratio,($A109-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109-1)-_xlpm.owned*_xlpm.ownFix/$Q$7-_xlpm.renting*_xlpm.rentFix/$Q$7)))</f>
        <v>0</v>
      </c>
      <c r="K109" s="122" cm="1">
        <f t="array" ref="K109">SUMPRODUCT(Properties!$D$6:$D$15*(Properties!$U$6:$U$15=$A109)*Properties!$AB$6:$AB$15)</f>
        <v>0</v>
      </c>
      <c r="L109" s="122">
        <f t="shared" si="22"/>
        <v>0</v>
      </c>
      <c r="M109" s="122" cm="1">
        <f t="array" ref="M109">-SUMPRODUCT(Properties!$D$6:$D$15*(Properties!$U$6:$U$15=$A109)*Properties!$AD$6:$AD$15)</f>
        <v>0</v>
      </c>
      <c r="N109" s="122">
        <f t="shared" si="23"/>
        <v>0</v>
      </c>
      <c r="O109" s="1"/>
      <c r="P109" s="1"/>
      <c r="Q109" s="1"/>
    </row>
    <row r="110" spans="1:17" ht="18" customHeight="1" x14ac:dyDescent="0.3">
      <c r="A110" s="1">
        <f t="shared" si="18"/>
        <v>105</v>
      </c>
      <c r="B110" s="227">
        <f>EOMONTH(Input!$C$7,$A110-1)</f>
        <v>49490</v>
      </c>
      <c r="C110" s="1">
        <f t="shared" si="19"/>
        <v>9</v>
      </c>
      <c r="D110" s="1">
        <f t="shared" si="20"/>
        <v>35</v>
      </c>
      <c r="E110" s="122" cm="1">
        <f t="array" ref="E110">_xlfn.LET(_xlpm.ann,-INDEX('Statement of Cash Flows'!$C$47:$L$47,$C110),_xlpm.w,-($H110+$I110)+MAX(0,-$J110),_xlpm.yrW,SUMPRODUCT(($C$6:$C$125=$C110)*(-($H$6:$H$125+$I$6:$I$125)+((-$J$6:$J$125)&gt;0)*(-$J$6:$J$125))),_xlpm.ann*IF(_xlpm.yrW&gt;0,_xlpm.w/_xlpm.yrW,IF($A110=($C110-1)*$Q$7+1,1,0)))</f>
        <v>0</v>
      </c>
      <c r="F110" s="122" cm="1">
        <f t="array" ref="F110">_xlfn.LET(_xlpm.ann,INDEX('Investor Return'!$C$11:$L$11,$C110),_xlpm.sale,'_Month Engine'!$C$71:$DR$71,_xlpm.yr,'_Month Engine'!$C$5:$DR$5,_xlpm.yearS,SUMPRODUCT((_xlpm.yr=$C110)*_xlpm.sale),_xlpm.mS,INDEX(_xlpm.sale,$A110),_xlpm.ann*IF(_xlpm.yearS&gt;0,_xlpm.mS/_xlpm.yearS,IF($A110=$C110*$Q$7,1,0)))</f>
        <v>0</v>
      </c>
      <c r="G110" s="122">
        <f t="shared" si="21"/>
        <v>0</v>
      </c>
      <c r="H110" s="122" cm="1">
        <f t="array" ref="H110">-SUMPRODUCT(Properties!$D$6:$D$15*(Properties!$Q$6:$Q$15=$A110)*(Properties!$M$6:$M$15+Properties!$O$6:$O$15))</f>
        <v>0</v>
      </c>
      <c r="I110" s="122" cm="1">
        <f t="array" ref="I110">-SUMPRODUCT(Properties!$D$6:$D$15*($A110&gt;=Properties!$Q$6:$Q$15)*($A110&lt;Properties!$T$6:$T$15)*Properties!$N$6:$N$15/(Properties!$R$6:$R$15+(Properties!$R$6:$R$15=0)))</f>
        <v>0</v>
      </c>
      <c r="J110" s="122" cm="1">
        <f t="array" ref="J110">_xlfn.LET(_xlpm.act,Properties!$D$6:$D$15,_xlpm.accM,Properties!$Q$6:$Q$15,_xlpm.rentM,Properties!$T$6:$T$15,_xlpm.saleM,Properties!$U$6:$U$15,_xlpm.owned,($A110&gt;=_xlpm.accM)*($A110&lt;_xlpm.saleM),_xlpm.renting,($A110&gt;=_xlpm.rentM)*($A110&lt;_xlpm.saleM),_xlpm.ratio,($A110-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110-1)-_xlpm.owned*_xlpm.ownFix/$Q$7-_xlpm.renting*_xlpm.rentFix/$Q$7)))</f>
        <v>0</v>
      </c>
      <c r="K110" s="122" cm="1">
        <f t="array" ref="K110">SUMPRODUCT(Properties!$D$6:$D$15*(Properties!$U$6:$U$15=$A110)*Properties!$AB$6:$AB$15)</f>
        <v>0</v>
      </c>
      <c r="L110" s="122">
        <f t="shared" si="22"/>
        <v>0</v>
      </c>
      <c r="M110" s="122" cm="1">
        <f t="array" ref="M110">-SUMPRODUCT(Properties!$D$6:$D$15*(Properties!$U$6:$U$15=$A110)*Properties!$AD$6:$AD$15)</f>
        <v>0</v>
      </c>
      <c r="N110" s="122">
        <f t="shared" si="23"/>
        <v>0</v>
      </c>
      <c r="O110" s="1"/>
      <c r="P110" s="1"/>
      <c r="Q110" s="1"/>
    </row>
    <row r="111" spans="1:17" ht="18" customHeight="1" x14ac:dyDescent="0.3">
      <c r="A111" s="1">
        <f t="shared" si="18"/>
        <v>106</v>
      </c>
      <c r="B111" s="227">
        <f>EOMONTH(Input!$C$7,$A111-1)</f>
        <v>49521</v>
      </c>
      <c r="C111" s="1">
        <f t="shared" si="19"/>
        <v>9</v>
      </c>
      <c r="D111" s="1">
        <f t="shared" si="20"/>
        <v>36</v>
      </c>
      <c r="E111" s="122" cm="1">
        <f t="array" ref="E111">_xlfn.LET(_xlpm.ann,-INDEX('Statement of Cash Flows'!$C$47:$L$47,$C111),_xlpm.w,-($H111+$I111)+MAX(0,-$J111),_xlpm.yrW,SUMPRODUCT(($C$6:$C$125=$C111)*(-($H$6:$H$125+$I$6:$I$125)+((-$J$6:$J$125)&gt;0)*(-$J$6:$J$125))),_xlpm.ann*IF(_xlpm.yrW&gt;0,_xlpm.w/_xlpm.yrW,IF($A111=($C111-1)*$Q$7+1,1,0)))</f>
        <v>0</v>
      </c>
      <c r="F111" s="122" cm="1">
        <f t="array" ref="F111">_xlfn.LET(_xlpm.ann,INDEX('Investor Return'!$C$11:$L$11,$C111),_xlpm.sale,'_Month Engine'!$C$71:$DR$71,_xlpm.yr,'_Month Engine'!$C$5:$DR$5,_xlpm.yearS,SUMPRODUCT((_xlpm.yr=$C111)*_xlpm.sale),_xlpm.mS,INDEX(_xlpm.sale,$A111),_xlpm.ann*IF(_xlpm.yearS&gt;0,_xlpm.mS/_xlpm.yearS,IF($A111=$C111*$Q$7,1,0)))</f>
        <v>0</v>
      </c>
      <c r="G111" s="122">
        <f t="shared" si="21"/>
        <v>0</v>
      </c>
      <c r="H111" s="122" cm="1">
        <f t="array" ref="H111">-SUMPRODUCT(Properties!$D$6:$D$15*(Properties!$Q$6:$Q$15=$A111)*(Properties!$M$6:$M$15+Properties!$O$6:$O$15))</f>
        <v>0</v>
      </c>
      <c r="I111" s="122" cm="1">
        <f t="array" ref="I111">-SUMPRODUCT(Properties!$D$6:$D$15*($A111&gt;=Properties!$Q$6:$Q$15)*($A111&lt;Properties!$T$6:$T$15)*Properties!$N$6:$N$15/(Properties!$R$6:$R$15+(Properties!$R$6:$R$15=0)))</f>
        <v>0</v>
      </c>
      <c r="J111" s="122" cm="1">
        <f t="array" ref="J111">_xlfn.LET(_xlpm.act,Properties!$D$6:$D$15,_xlpm.accM,Properties!$Q$6:$Q$15,_xlpm.rentM,Properties!$T$6:$T$15,_xlpm.saleM,Properties!$U$6:$U$15,_xlpm.owned,($A111&gt;=_xlpm.accM)*($A111&lt;_xlpm.saleM),_xlpm.renting,($A111&gt;=_xlpm.rentM)*($A111&lt;_xlpm.saleM),_xlpm.ratio,($A111-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111-1)-_xlpm.owned*_xlpm.ownFix/$Q$7-_xlpm.renting*_xlpm.rentFix/$Q$7)))</f>
        <v>0</v>
      </c>
      <c r="K111" s="122" cm="1">
        <f t="array" ref="K111">SUMPRODUCT(Properties!$D$6:$D$15*(Properties!$U$6:$U$15=$A111)*Properties!$AB$6:$AB$15)</f>
        <v>0</v>
      </c>
      <c r="L111" s="122">
        <f t="shared" si="22"/>
        <v>0</v>
      </c>
      <c r="M111" s="122" cm="1">
        <f t="array" ref="M111">-SUMPRODUCT(Properties!$D$6:$D$15*(Properties!$U$6:$U$15=$A111)*Properties!$AD$6:$AD$15)</f>
        <v>0</v>
      </c>
      <c r="N111" s="122">
        <f t="shared" si="23"/>
        <v>0</v>
      </c>
      <c r="O111" s="1"/>
      <c r="P111" s="1"/>
      <c r="Q111" s="1"/>
    </row>
    <row r="112" spans="1:17" ht="18" customHeight="1" x14ac:dyDescent="0.3">
      <c r="A112" s="1">
        <f t="shared" si="18"/>
        <v>107</v>
      </c>
      <c r="B112" s="227">
        <f>EOMONTH(Input!$C$7,$A112-1)</f>
        <v>49552</v>
      </c>
      <c r="C112" s="1">
        <f t="shared" si="19"/>
        <v>9</v>
      </c>
      <c r="D112" s="1">
        <f t="shared" si="20"/>
        <v>36</v>
      </c>
      <c r="E112" s="122" cm="1">
        <f t="array" ref="E112">_xlfn.LET(_xlpm.ann,-INDEX('Statement of Cash Flows'!$C$47:$L$47,$C112),_xlpm.w,-($H112+$I112)+MAX(0,-$J112),_xlpm.yrW,SUMPRODUCT(($C$6:$C$125=$C112)*(-($H$6:$H$125+$I$6:$I$125)+((-$J$6:$J$125)&gt;0)*(-$J$6:$J$125))),_xlpm.ann*IF(_xlpm.yrW&gt;0,_xlpm.w/_xlpm.yrW,IF($A112=($C112-1)*$Q$7+1,1,0)))</f>
        <v>0</v>
      </c>
      <c r="F112" s="122" cm="1">
        <f t="array" ref="F112">_xlfn.LET(_xlpm.ann,INDEX('Investor Return'!$C$11:$L$11,$C112),_xlpm.sale,'_Month Engine'!$C$71:$DR$71,_xlpm.yr,'_Month Engine'!$C$5:$DR$5,_xlpm.yearS,SUMPRODUCT((_xlpm.yr=$C112)*_xlpm.sale),_xlpm.mS,INDEX(_xlpm.sale,$A112),_xlpm.ann*IF(_xlpm.yearS&gt;0,_xlpm.mS/_xlpm.yearS,IF($A112=$C112*$Q$7,1,0)))</f>
        <v>0</v>
      </c>
      <c r="G112" s="122">
        <f t="shared" si="21"/>
        <v>0</v>
      </c>
      <c r="H112" s="122" cm="1">
        <f t="array" ref="H112">-SUMPRODUCT(Properties!$D$6:$D$15*(Properties!$Q$6:$Q$15=$A112)*(Properties!$M$6:$M$15+Properties!$O$6:$O$15))</f>
        <v>0</v>
      </c>
      <c r="I112" s="122" cm="1">
        <f t="array" ref="I112">-SUMPRODUCT(Properties!$D$6:$D$15*($A112&gt;=Properties!$Q$6:$Q$15)*($A112&lt;Properties!$T$6:$T$15)*Properties!$N$6:$N$15/(Properties!$R$6:$R$15+(Properties!$R$6:$R$15=0)))</f>
        <v>0</v>
      </c>
      <c r="J112" s="122" cm="1">
        <f t="array" ref="J112">_xlfn.LET(_xlpm.act,Properties!$D$6:$D$15,_xlpm.accM,Properties!$Q$6:$Q$15,_xlpm.rentM,Properties!$T$6:$T$15,_xlpm.saleM,Properties!$U$6:$U$15,_xlpm.owned,($A112&gt;=_xlpm.accM)*($A112&lt;_xlpm.saleM),_xlpm.renting,($A112&gt;=_xlpm.rentM)*($A112&lt;_xlpm.saleM),_xlpm.ratio,($A112-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112-1)-_xlpm.owned*_xlpm.ownFix/$Q$7-_xlpm.renting*_xlpm.rentFix/$Q$7)))</f>
        <v>0</v>
      </c>
      <c r="K112" s="122" cm="1">
        <f t="array" ref="K112">SUMPRODUCT(Properties!$D$6:$D$15*(Properties!$U$6:$U$15=$A112)*Properties!$AB$6:$AB$15)</f>
        <v>0</v>
      </c>
      <c r="L112" s="122">
        <f t="shared" si="22"/>
        <v>0</v>
      </c>
      <c r="M112" s="122" cm="1">
        <f t="array" ref="M112">-SUMPRODUCT(Properties!$D$6:$D$15*(Properties!$U$6:$U$15=$A112)*Properties!$AD$6:$AD$15)</f>
        <v>0</v>
      </c>
      <c r="N112" s="122">
        <f t="shared" si="23"/>
        <v>0</v>
      </c>
      <c r="O112" s="1"/>
      <c r="P112" s="1"/>
      <c r="Q112" s="1"/>
    </row>
    <row r="113" spans="1:17" ht="18" customHeight="1" x14ac:dyDescent="0.3">
      <c r="A113" s="1">
        <f t="shared" si="18"/>
        <v>108</v>
      </c>
      <c r="B113" s="227">
        <f>EOMONTH(Input!$C$7,$A113-1)</f>
        <v>49582</v>
      </c>
      <c r="C113" s="1">
        <f t="shared" si="19"/>
        <v>9</v>
      </c>
      <c r="D113" s="1">
        <f t="shared" si="20"/>
        <v>36</v>
      </c>
      <c r="E113" s="122" cm="1">
        <f t="array" ref="E113">_xlfn.LET(_xlpm.ann,-INDEX('Statement of Cash Flows'!$C$47:$L$47,$C113),_xlpm.w,-($H113+$I113)+MAX(0,-$J113),_xlpm.yrW,SUMPRODUCT(($C$6:$C$125=$C113)*(-($H$6:$H$125+$I$6:$I$125)+((-$J$6:$J$125)&gt;0)*(-$J$6:$J$125))),_xlpm.ann*IF(_xlpm.yrW&gt;0,_xlpm.w/_xlpm.yrW,IF($A113=($C113-1)*$Q$7+1,1,0)))</f>
        <v>0</v>
      </c>
      <c r="F113" s="122" cm="1">
        <f t="array" ref="F113">_xlfn.LET(_xlpm.ann,INDEX('Investor Return'!$C$11:$L$11,$C113),_xlpm.sale,'_Month Engine'!$C$71:$DR$71,_xlpm.yr,'_Month Engine'!$C$5:$DR$5,_xlpm.yearS,SUMPRODUCT((_xlpm.yr=$C113)*_xlpm.sale),_xlpm.mS,INDEX(_xlpm.sale,$A113),_xlpm.ann*IF(_xlpm.yearS&gt;0,_xlpm.mS/_xlpm.yearS,IF($A113=$C113*$Q$7,1,0)))</f>
        <v>0</v>
      </c>
      <c r="G113" s="122">
        <f t="shared" si="21"/>
        <v>0</v>
      </c>
      <c r="H113" s="122" cm="1">
        <f t="array" ref="H113">-SUMPRODUCT(Properties!$D$6:$D$15*(Properties!$Q$6:$Q$15=$A113)*(Properties!$M$6:$M$15+Properties!$O$6:$O$15))</f>
        <v>0</v>
      </c>
      <c r="I113" s="122" cm="1">
        <f t="array" ref="I113">-SUMPRODUCT(Properties!$D$6:$D$15*($A113&gt;=Properties!$Q$6:$Q$15)*($A113&lt;Properties!$T$6:$T$15)*Properties!$N$6:$N$15/(Properties!$R$6:$R$15+(Properties!$R$6:$R$15=0)))</f>
        <v>0</v>
      </c>
      <c r="J113" s="122" cm="1">
        <f t="array" ref="J113">_xlfn.LET(_xlpm.act,Properties!$D$6:$D$15,_xlpm.accM,Properties!$Q$6:$Q$15,_xlpm.rentM,Properties!$T$6:$T$15,_xlpm.saleM,Properties!$U$6:$U$15,_xlpm.owned,($A113&gt;=_xlpm.accM)*($A113&lt;_xlpm.saleM),_xlpm.renting,($A113&gt;=_xlpm.rentM)*($A113&lt;_xlpm.saleM),_xlpm.ratio,($A113-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113-1)-_xlpm.owned*_xlpm.ownFix/$Q$7-_xlpm.renting*_xlpm.rentFix/$Q$7)))</f>
        <v>0</v>
      </c>
      <c r="K113" s="122" cm="1">
        <f t="array" ref="K113">SUMPRODUCT(Properties!$D$6:$D$15*(Properties!$U$6:$U$15=$A113)*Properties!$AB$6:$AB$15)</f>
        <v>0</v>
      </c>
      <c r="L113" s="122">
        <f t="shared" si="22"/>
        <v>0</v>
      </c>
      <c r="M113" s="122" cm="1">
        <f t="array" ref="M113">-SUMPRODUCT(Properties!$D$6:$D$15*(Properties!$U$6:$U$15=$A113)*Properties!$AD$6:$AD$15)</f>
        <v>0</v>
      </c>
      <c r="N113" s="122">
        <f t="shared" si="23"/>
        <v>0</v>
      </c>
      <c r="O113" s="1"/>
      <c r="P113" s="1"/>
      <c r="Q113" s="1"/>
    </row>
    <row r="114" spans="1:17" ht="18" customHeight="1" x14ac:dyDescent="0.3">
      <c r="A114" s="1">
        <f t="shared" si="18"/>
        <v>109</v>
      </c>
      <c r="B114" s="227">
        <f>EOMONTH(Input!$C$7,$A114-1)</f>
        <v>49613</v>
      </c>
      <c r="C114" s="1">
        <f t="shared" si="19"/>
        <v>10</v>
      </c>
      <c r="D114" s="1">
        <f t="shared" si="20"/>
        <v>37</v>
      </c>
      <c r="E114" s="122" cm="1">
        <f t="array" ref="E114">_xlfn.LET(_xlpm.ann,-INDEX('Statement of Cash Flows'!$C$47:$L$47,$C114),_xlpm.w,-($H114+$I114)+MAX(0,-$J114),_xlpm.yrW,SUMPRODUCT(($C$6:$C$125=$C114)*(-($H$6:$H$125+$I$6:$I$125)+((-$J$6:$J$125)&gt;0)*(-$J$6:$J$125))),_xlpm.ann*IF(_xlpm.yrW&gt;0,_xlpm.w/_xlpm.yrW,IF($A114=($C114-1)*$Q$7+1,1,0)))</f>
        <v>0</v>
      </c>
      <c r="F114" s="122" cm="1">
        <f t="array" ref="F114">_xlfn.LET(_xlpm.ann,INDEX('Investor Return'!$C$11:$L$11,$C114),_xlpm.sale,'_Month Engine'!$C$71:$DR$71,_xlpm.yr,'_Month Engine'!$C$5:$DR$5,_xlpm.yearS,SUMPRODUCT((_xlpm.yr=$C114)*_xlpm.sale),_xlpm.mS,INDEX(_xlpm.sale,$A114),_xlpm.ann*IF(_xlpm.yearS&gt;0,_xlpm.mS/_xlpm.yearS,IF($A114=$C114*$Q$7,1,0)))</f>
        <v>0</v>
      </c>
      <c r="G114" s="122">
        <f t="shared" si="21"/>
        <v>0</v>
      </c>
      <c r="H114" s="122" cm="1">
        <f t="array" ref="H114">-SUMPRODUCT(Properties!$D$6:$D$15*(Properties!$Q$6:$Q$15=$A114)*(Properties!$M$6:$M$15+Properties!$O$6:$O$15))</f>
        <v>0</v>
      </c>
      <c r="I114" s="122" cm="1">
        <f t="array" ref="I114">-SUMPRODUCT(Properties!$D$6:$D$15*($A114&gt;=Properties!$Q$6:$Q$15)*($A114&lt;Properties!$T$6:$T$15)*Properties!$N$6:$N$15/(Properties!$R$6:$R$15+(Properties!$R$6:$R$15=0)))</f>
        <v>0</v>
      </c>
      <c r="J114" s="122" cm="1">
        <f t="array" ref="J114">_xlfn.LET(_xlpm.act,Properties!$D$6:$D$15,_xlpm.accM,Properties!$Q$6:$Q$15,_xlpm.rentM,Properties!$T$6:$T$15,_xlpm.saleM,Properties!$U$6:$U$15,_xlpm.owned,($A114&gt;=_xlpm.accM)*($A114&lt;_xlpm.saleM),_xlpm.renting,($A114&gt;=_xlpm.rentM)*($A114&lt;_xlpm.saleM),_xlpm.ratio,($A114-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114-1)-_xlpm.owned*_xlpm.ownFix/$Q$7-_xlpm.renting*_xlpm.rentFix/$Q$7)))</f>
        <v>0</v>
      </c>
      <c r="K114" s="122" cm="1">
        <f t="array" ref="K114">SUMPRODUCT(Properties!$D$6:$D$15*(Properties!$U$6:$U$15=$A114)*Properties!$AB$6:$AB$15)</f>
        <v>0</v>
      </c>
      <c r="L114" s="122">
        <f t="shared" si="22"/>
        <v>0</v>
      </c>
      <c r="M114" s="122" cm="1">
        <f t="array" ref="M114">-SUMPRODUCT(Properties!$D$6:$D$15*(Properties!$U$6:$U$15=$A114)*Properties!$AD$6:$AD$15)</f>
        <v>0</v>
      </c>
      <c r="N114" s="122">
        <f t="shared" si="23"/>
        <v>0</v>
      </c>
      <c r="O114" s="1"/>
      <c r="P114" s="1"/>
      <c r="Q114" s="1"/>
    </row>
    <row r="115" spans="1:17" ht="18" customHeight="1" x14ac:dyDescent="0.3">
      <c r="A115" s="1">
        <f t="shared" si="18"/>
        <v>110</v>
      </c>
      <c r="B115" s="227">
        <f>EOMONTH(Input!$C$7,$A115-1)</f>
        <v>49643</v>
      </c>
      <c r="C115" s="1">
        <f t="shared" si="19"/>
        <v>10</v>
      </c>
      <c r="D115" s="1">
        <f t="shared" si="20"/>
        <v>37</v>
      </c>
      <c r="E115" s="122" cm="1">
        <f t="array" ref="E115">_xlfn.LET(_xlpm.ann,-INDEX('Statement of Cash Flows'!$C$47:$L$47,$C115),_xlpm.w,-($H115+$I115)+MAX(0,-$J115),_xlpm.yrW,SUMPRODUCT(($C$6:$C$125=$C115)*(-($H$6:$H$125+$I$6:$I$125)+((-$J$6:$J$125)&gt;0)*(-$J$6:$J$125))),_xlpm.ann*IF(_xlpm.yrW&gt;0,_xlpm.w/_xlpm.yrW,IF($A115=($C115-1)*$Q$7+1,1,0)))</f>
        <v>0</v>
      </c>
      <c r="F115" s="122" cm="1">
        <f t="array" ref="F115">_xlfn.LET(_xlpm.ann,INDEX('Investor Return'!$C$11:$L$11,$C115),_xlpm.sale,'_Month Engine'!$C$71:$DR$71,_xlpm.yr,'_Month Engine'!$C$5:$DR$5,_xlpm.yearS,SUMPRODUCT((_xlpm.yr=$C115)*_xlpm.sale),_xlpm.mS,INDEX(_xlpm.sale,$A115),_xlpm.ann*IF(_xlpm.yearS&gt;0,_xlpm.mS/_xlpm.yearS,IF($A115=$C115*$Q$7,1,0)))</f>
        <v>0</v>
      </c>
      <c r="G115" s="122">
        <f t="shared" si="21"/>
        <v>0</v>
      </c>
      <c r="H115" s="122" cm="1">
        <f t="array" ref="H115">-SUMPRODUCT(Properties!$D$6:$D$15*(Properties!$Q$6:$Q$15=$A115)*(Properties!$M$6:$M$15+Properties!$O$6:$O$15))</f>
        <v>0</v>
      </c>
      <c r="I115" s="122" cm="1">
        <f t="array" ref="I115">-SUMPRODUCT(Properties!$D$6:$D$15*($A115&gt;=Properties!$Q$6:$Q$15)*($A115&lt;Properties!$T$6:$T$15)*Properties!$N$6:$N$15/(Properties!$R$6:$R$15+(Properties!$R$6:$R$15=0)))</f>
        <v>0</v>
      </c>
      <c r="J115" s="122" cm="1">
        <f t="array" ref="J115">_xlfn.LET(_xlpm.act,Properties!$D$6:$D$15,_xlpm.accM,Properties!$Q$6:$Q$15,_xlpm.rentM,Properties!$T$6:$T$15,_xlpm.saleM,Properties!$U$6:$U$15,_xlpm.owned,($A115&gt;=_xlpm.accM)*($A115&lt;_xlpm.saleM),_xlpm.renting,($A115&gt;=_xlpm.rentM)*($A115&lt;_xlpm.saleM),_xlpm.ratio,($A115-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115-1)-_xlpm.owned*_xlpm.ownFix/$Q$7-_xlpm.renting*_xlpm.rentFix/$Q$7)))</f>
        <v>0</v>
      </c>
      <c r="K115" s="122" cm="1">
        <f t="array" ref="K115">SUMPRODUCT(Properties!$D$6:$D$15*(Properties!$U$6:$U$15=$A115)*Properties!$AB$6:$AB$15)</f>
        <v>0</v>
      </c>
      <c r="L115" s="122">
        <f t="shared" si="22"/>
        <v>0</v>
      </c>
      <c r="M115" s="122" cm="1">
        <f t="array" ref="M115">-SUMPRODUCT(Properties!$D$6:$D$15*(Properties!$U$6:$U$15=$A115)*Properties!$AD$6:$AD$15)</f>
        <v>0</v>
      </c>
      <c r="N115" s="122">
        <f t="shared" si="23"/>
        <v>0</v>
      </c>
      <c r="O115" s="1"/>
      <c r="P115" s="1"/>
      <c r="Q115" s="1"/>
    </row>
    <row r="116" spans="1:17" ht="18" customHeight="1" x14ac:dyDescent="0.3">
      <c r="A116" s="1">
        <f t="shared" si="18"/>
        <v>111</v>
      </c>
      <c r="B116" s="227">
        <f>EOMONTH(Input!$C$7,$A116-1)</f>
        <v>49674</v>
      </c>
      <c r="C116" s="1">
        <f t="shared" si="19"/>
        <v>10</v>
      </c>
      <c r="D116" s="1">
        <f t="shared" si="20"/>
        <v>37</v>
      </c>
      <c r="E116" s="122" cm="1">
        <f t="array" ref="E116">_xlfn.LET(_xlpm.ann,-INDEX('Statement of Cash Flows'!$C$47:$L$47,$C116),_xlpm.w,-($H116+$I116)+MAX(0,-$J116),_xlpm.yrW,SUMPRODUCT(($C$6:$C$125=$C116)*(-($H$6:$H$125+$I$6:$I$125)+((-$J$6:$J$125)&gt;0)*(-$J$6:$J$125))),_xlpm.ann*IF(_xlpm.yrW&gt;0,_xlpm.w/_xlpm.yrW,IF($A116=($C116-1)*$Q$7+1,1,0)))</f>
        <v>0</v>
      </c>
      <c r="F116" s="122" cm="1">
        <f t="array" ref="F116">_xlfn.LET(_xlpm.ann,INDEX('Investor Return'!$C$11:$L$11,$C116),_xlpm.sale,'_Month Engine'!$C$71:$DR$71,_xlpm.yr,'_Month Engine'!$C$5:$DR$5,_xlpm.yearS,SUMPRODUCT((_xlpm.yr=$C116)*_xlpm.sale),_xlpm.mS,INDEX(_xlpm.sale,$A116),_xlpm.ann*IF(_xlpm.yearS&gt;0,_xlpm.mS/_xlpm.yearS,IF($A116=$C116*$Q$7,1,0)))</f>
        <v>0</v>
      </c>
      <c r="G116" s="122">
        <f t="shared" si="21"/>
        <v>0</v>
      </c>
      <c r="H116" s="122" cm="1">
        <f t="array" ref="H116">-SUMPRODUCT(Properties!$D$6:$D$15*(Properties!$Q$6:$Q$15=$A116)*(Properties!$M$6:$M$15+Properties!$O$6:$O$15))</f>
        <v>0</v>
      </c>
      <c r="I116" s="122" cm="1">
        <f t="array" ref="I116">-SUMPRODUCT(Properties!$D$6:$D$15*($A116&gt;=Properties!$Q$6:$Q$15)*($A116&lt;Properties!$T$6:$T$15)*Properties!$N$6:$N$15/(Properties!$R$6:$R$15+(Properties!$R$6:$R$15=0)))</f>
        <v>0</v>
      </c>
      <c r="J116" s="122" cm="1">
        <f t="array" ref="J116">_xlfn.LET(_xlpm.act,Properties!$D$6:$D$15,_xlpm.accM,Properties!$Q$6:$Q$15,_xlpm.rentM,Properties!$T$6:$T$15,_xlpm.saleM,Properties!$U$6:$U$15,_xlpm.owned,($A116&gt;=_xlpm.accM)*($A116&lt;_xlpm.saleM),_xlpm.renting,($A116&gt;=_xlpm.rentM)*($A116&lt;_xlpm.saleM),_xlpm.ratio,($A116-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116-1)-_xlpm.owned*_xlpm.ownFix/$Q$7-_xlpm.renting*_xlpm.rentFix/$Q$7)))</f>
        <v>0</v>
      </c>
      <c r="K116" s="122" cm="1">
        <f t="array" ref="K116">SUMPRODUCT(Properties!$D$6:$D$15*(Properties!$U$6:$U$15=$A116)*Properties!$AB$6:$AB$15)</f>
        <v>0</v>
      </c>
      <c r="L116" s="122">
        <f t="shared" si="22"/>
        <v>0</v>
      </c>
      <c r="M116" s="122" cm="1">
        <f t="array" ref="M116">-SUMPRODUCT(Properties!$D$6:$D$15*(Properties!$U$6:$U$15=$A116)*Properties!$AD$6:$AD$15)</f>
        <v>0</v>
      </c>
      <c r="N116" s="122">
        <f t="shared" si="23"/>
        <v>0</v>
      </c>
      <c r="O116" s="1"/>
      <c r="P116" s="1"/>
      <c r="Q116" s="1"/>
    </row>
    <row r="117" spans="1:17" ht="18" customHeight="1" x14ac:dyDescent="0.3">
      <c r="A117" s="1">
        <f t="shared" si="18"/>
        <v>112</v>
      </c>
      <c r="B117" s="227">
        <f>EOMONTH(Input!$C$7,$A117-1)</f>
        <v>49705</v>
      </c>
      <c r="C117" s="1">
        <f t="shared" si="19"/>
        <v>10</v>
      </c>
      <c r="D117" s="1">
        <f t="shared" si="20"/>
        <v>38</v>
      </c>
      <c r="E117" s="122" cm="1">
        <f t="array" ref="E117">_xlfn.LET(_xlpm.ann,-INDEX('Statement of Cash Flows'!$C$47:$L$47,$C117),_xlpm.w,-($H117+$I117)+MAX(0,-$J117),_xlpm.yrW,SUMPRODUCT(($C$6:$C$125=$C117)*(-($H$6:$H$125+$I$6:$I$125)+((-$J$6:$J$125)&gt;0)*(-$J$6:$J$125))),_xlpm.ann*IF(_xlpm.yrW&gt;0,_xlpm.w/_xlpm.yrW,IF($A117=($C117-1)*$Q$7+1,1,0)))</f>
        <v>0</v>
      </c>
      <c r="F117" s="122" cm="1">
        <f t="array" ref="F117">_xlfn.LET(_xlpm.ann,INDEX('Investor Return'!$C$11:$L$11,$C117),_xlpm.sale,'_Month Engine'!$C$71:$DR$71,_xlpm.yr,'_Month Engine'!$C$5:$DR$5,_xlpm.yearS,SUMPRODUCT((_xlpm.yr=$C117)*_xlpm.sale),_xlpm.mS,INDEX(_xlpm.sale,$A117),_xlpm.ann*IF(_xlpm.yearS&gt;0,_xlpm.mS/_xlpm.yearS,IF($A117=$C117*$Q$7,1,0)))</f>
        <v>0</v>
      </c>
      <c r="G117" s="122">
        <f t="shared" si="21"/>
        <v>0</v>
      </c>
      <c r="H117" s="122" cm="1">
        <f t="array" ref="H117">-SUMPRODUCT(Properties!$D$6:$D$15*(Properties!$Q$6:$Q$15=$A117)*(Properties!$M$6:$M$15+Properties!$O$6:$O$15))</f>
        <v>0</v>
      </c>
      <c r="I117" s="122" cm="1">
        <f t="array" ref="I117">-SUMPRODUCT(Properties!$D$6:$D$15*($A117&gt;=Properties!$Q$6:$Q$15)*($A117&lt;Properties!$T$6:$T$15)*Properties!$N$6:$N$15/(Properties!$R$6:$R$15+(Properties!$R$6:$R$15=0)))</f>
        <v>0</v>
      </c>
      <c r="J117" s="122" cm="1">
        <f t="array" ref="J117">_xlfn.LET(_xlpm.act,Properties!$D$6:$D$15,_xlpm.accM,Properties!$Q$6:$Q$15,_xlpm.rentM,Properties!$T$6:$T$15,_xlpm.saleM,Properties!$U$6:$U$15,_xlpm.owned,($A117&gt;=_xlpm.accM)*($A117&lt;_xlpm.saleM),_xlpm.renting,($A117&gt;=_xlpm.rentM)*($A117&lt;_xlpm.saleM),_xlpm.ratio,($A117-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117-1)-_xlpm.owned*_xlpm.ownFix/$Q$7-_xlpm.renting*_xlpm.rentFix/$Q$7)))</f>
        <v>0</v>
      </c>
      <c r="K117" s="122" cm="1">
        <f t="array" ref="K117">SUMPRODUCT(Properties!$D$6:$D$15*(Properties!$U$6:$U$15=$A117)*Properties!$AB$6:$AB$15)</f>
        <v>0</v>
      </c>
      <c r="L117" s="122">
        <f t="shared" si="22"/>
        <v>0</v>
      </c>
      <c r="M117" s="122" cm="1">
        <f t="array" ref="M117">-SUMPRODUCT(Properties!$D$6:$D$15*(Properties!$U$6:$U$15=$A117)*Properties!$AD$6:$AD$15)</f>
        <v>0</v>
      </c>
      <c r="N117" s="122">
        <f t="shared" si="23"/>
        <v>0</v>
      </c>
      <c r="O117" s="1"/>
      <c r="P117" s="1"/>
      <c r="Q117" s="1"/>
    </row>
    <row r="118" spans="1:17" ht="18" customHeight="1" x14ac:dyDescent="0.3">
      <c r="A118" s="1">
        <f t="shared" si="18"/>
        <v>113</v>
      </c>
      <c r="B118" s="227">
        <f>EOMONTH(Input!$C$7,$A118-1)</f>
        <v>49734</v>
      </c>
      <c r="C118" s="1">
        <f t="shared" si="19"/>
        <v>10</v>
      </c>
      <c r="D118" s="1">
        <f t="shared" si="20"/>
        <v>38</v>
      </c>
      <c r="E118" s="122" cm="1">
        <f t="array" ref="E118">_xlfn.LET(_xlpm.ann,-INDEX('Statement of Cash Flows'!$C$47:$L$47,$C118),_xlpm.w,-($H118+$I118)+MAX(0,-$J118),_xlpm.yrW,SUMPRODUCT(($C$6:$C$125=$C118)*(-($H$6:$H$125+$I$6:$I$125)+((-$J$6:$J$125)&gt;0)*(-$J$6:$J$125))),_xlpm.ann*IF(_xlpm.yrW&gt;0,_xlpm.w/_xlpm.yrW,IF($A118=($C118-1)*$Q$7+1,1,0)))</f>
        <v>0</v>
      </c>
      <c r="F118" s="122" cm="1">
        <f t="array" ref="F118">_xlfn.LET(_xlpm.ann,INDEX('Investor Return'!$C$11:$L$11,$C118),_xlpm.sale,'_Month Engine'!$C$71:$DR$71,_xlpm.yr,'_Month Engine'!$C$5:$DR$5,_xlpm.yearS,SUMPRODUCT((_xlpm.yr=$C118)*_xlpm.sale),_xlpm.mS,INDEX(_xlpm.sale,$A118),_xlpm.ann*IF(_xlpm.yearS&gt;0,_xlpm.mS/_xlpm.yearS,IF($A118=$C118*$Q$7,1,0)))</f>
        <v>0</v>
      </c>
      <c r="G118" s="122">
        <f t="shared" si="21"/>
        <v>0</v>
      </c>
      <c r="H118" s="122" cm="1">
        <f t="array" ref="H118">-SUMPRODUCT(Properties!$D$6:$D$15*(Properties!$Q$6:$Q$15=$A118)*(Properties!$M$6:$M$15+Properties!$O$6:$O$15))</f>
        <v>0</v>
      </c>
      <c r="I118" s="122" cm="1">
        <f t="array" ref="I118">-SUMPRODUCT(Properties!$D$6:$D$15*($A118&gt;=Properties!$Q$6:$Q$15)*($A118&lt;Properties!$T$6:$T$15)*Properties!$N$6:$N$15/(Properties!$R$6:$R$15+(Properties!$R$6:$R$15=0)))</f>
        <v>0</v>
      </c>
      <c r="J118" s="122" cm="1">
        <f t="array" ref="J118">_xlfn.LET(_xlpm.act,Properties!$D$6:$D$15,_xlpm.accM,Properties!$Q$6:$Q$15,_xlpm.rentM,Properties!$T$6:$T$15,_xlpm.saleM,Properties!$U$6:$U$15,_xlpm.owned,($A118&gt;=_xlpm.accM)*($A118&lt;_xlpm.saleM),_xlpm.renting,($A118&gt;=_xlpm.rentM)*($A118&lt;_xlpm.saleM),_xlpm.ratio,($A118-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118-1)-_xlpm.owned*_xlpm.ownFix/$Q$7-_xlpm.renting*_xlpm.rentFix/$Q$7)))</f>
        <v>0</v>
      </c>
      <c r="K118" s="122" cm="1">
        <f t="array" ref="K118">SUMPRODUCT(Properties!$D$6:$D$15*(Properties!$U$6:$U$15=$A118)*Properties!$AB$6:$AB$15)</f>
        <v>0</v>
      </c>
      <c r="L118" s="122">
        <f t="shared" si="22"/>
        <v>0</v>
      </c>
      <c r="M118" s="122" cm="1">
        <f t="array" ref="M118">-SUMPRODUCT(Properties!$D$6:$D$15*(Properties!$U$6:$U$15=$A118)*Properties!$AD$6:$AD$15)</f>
        <v>0</v>
      </c>
      <c r="N118" s="122">
        <f t="shared" si="23"/>
        <v>0</v>
      </c>
      <c r="O118" s="1"/>
      <c r="P118" s="1"/>
      <c r="Q118" s="1"/>
    </row>
    <row r="119" spans="1:17" ht="18" customHeight="1" x14ac:dyDescent="0.3">
      <c r="A119" s="1">
        <f t="shared" si="18"/>
        <v>114</v>
      </c>
      <c r="B119" s="227">
        <f>EOMONTH(Input!$C$7,$A119-1)</f>
        <v>49765</v>
      </c>
      <c r="C119" s="1">
        <f t="shared" si="19"/>
        <v>10</v>
      </c>
      <c r="D119" s="1">
        <f t="shared" si="20"/>
        <v>38</v>
      </c>
      <c r="E119" s="122" cm="1">
        <f t="array" ref="E119">_xlfn.LET(_xlpm.ann,-INDEX('Statement of Cash Flows'!$C$47:$L$47,$C119),_xlpm.w,-($H119+$I119)+MAX(0,-$J119),_xlpm.yrW,SUMPRODUCT(($C$6:$C$125=$C119)*(-($H$6:$H$125+$I$6:$I$125)+((-$J$6:$J$125)&gt;0)*(-$J$6:$J$125))),_xlpm.ann*IF(_xlpm.yrW&gt;0,_xlpm.w/_xlpm.yrW,IF($A119=($C119-1)*$Q$7+1,1,0)))</f>
        <v>0</v>
      </c>
      <c r="F119" s="122" cm="1">
        <f t="array" ref="F119">_xlfn.LET(_xlpm.ann,INDEX('Investor Return'!$C$11:$L$11,$C119),_xlpm.sale,'_Month Engine'!$C$71:$DR$71,_xlpm.yr,'_Month Engine'!$C$5:$DR$5,_xlpm.yearS,SUMPRODUCT((_xlpm.yr=$C119)*_xlpm.sale),_xlpm.mS,INDEX(_xlpm.sale,$A119),_xlpm.ann*IF(_xlpm.yearS&gt;0,_xlpm.mS/_xlpm.yearS,IF($A119=$C119*$Q$7,1,0)))</f>
        <v>0</v>
      </c>
      <c r="G119" s="122">
        <f t="shared" si="21"/>
        <v>0</v>
      </c>
      <c r="H119" s="122" cm="1">
        <f t="array" ref="H119">-SUMPRODUCT(Properties!$D$6:$D$15*(Properties!$Q$6:$Q$15=$A119)*(Properties!$M$6:$M$15+Properties!$O$6:$O$15))</f>
        <v>0</v>
      </c>
      <c r="I119" s="122" cm="1">
        <f t="array" ref="I119">-SUMPRODUCT(Properties!$D$6:$D$15*($A119&gt;=Properties!$Q$6:$Q$15)*($A119&lt;Properties!$T$6:$T$15)*Properties!$N$6:$N$15/(Properties!$R$6:$R$15+(Properties!$R$6:$R$15=0)))</f>
        <v>0</v>
      </c>
      <c r="J119" s="122" cm="1">
        <f t="array" ref="J119">_xlfn.LET(_xlpm.act,Properties!$D$6:$D$15,_xlpm.accM,Properties!$Q$6:$Q$15,_xlpm.rentM,Properties!$T$6:$T$15,_xlpm.saleM,Properties!$U$6:$U$15,_xlpm.owned,($A119&gt;=_xlpm.accM)*($A119&lt;_xlpm.saleM),_xlpm.renting,($A119&gt;=_xlpm.rentM)*($A119&lt;_xlpm.saleM),_xlpm.ratio,($A119-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119-1)-_xlpm.owned*_xlpm.ownFix/$Q$7-_xlpm.renting*_xlpm.rentFix/$Q$7)))</f>
        <v>0</v>
      </c>
      <c r="K119" s="122" cm="1">
        <f t="array" ref="K119">SUMPRODUCT(Properties!$D$6:$D$15*(Properties!$U$6:$U$15=$A119)*Properties!$AB$6:$AB$15)</f>
        <v>0</v>
      </c>
      <c r="L119" s="122">
        <f t="shared" si="22"/>
        <v>0</v>
      </c>
      <c r="M119" s="122" cm="1">
        <f t="array" ref="M119">-SUMPRODUCT(Properties!$D$6:$D$15*(Properties!$U$6:$U$15=$A119)*Properties!$AD$6:$AD$15)</f>
        <v>0</v>
      </c>
      <c r="N119" s="122">
        <f t="shared" si="23"/>
        <v>0</v>
      </c>
      <c r="O119" s="1"/>
      <c r="P119" s="1"/>
      <c r="Q119" s="1"/>
    </row>
    <row r="120" spans="1:17" ht="18" customHeight="1" x14ac:dyDescent="0.3">
      <c r="A120" s="1">
        <f t="shared" si="18"/>
        <v>115</v>
      </c>
      <c r="B120" s="227">
        <f>EOMONTH(Input!$C$7,$A120-1)</f>
        <v>49795</v>
      </c>
      <c r="C120" s="1">
        <f t="shared" si="19"/>
        <v>10</v>
      </c>
      <c r="D120" s="1">
        <f t="shared" si="20"/>
        <v>39</v>
      </c>
      <c r="E120" s="122" cm="1">
        <f t="array" ref="E120">_xlfn.LET(_xlpm.ann,-INDEX('Statement of Cash Flows'!$C$47:$L$47,$C120),_xlpm.w,-($H120+$I120)+MAX(0,-$J120),_xlpm.yrW,SUMPRODUCT(($C$6:$C$125=$C120)*(-($H$6:$H$125+$I$6:$I$125)+((-$J$6:$J$125)&gt;0)*(-$J$6:$J$125))),_xlpm.ann*IF(_xlpm.yrW&gt;0,_xlpm.w/_xlpm.yrW,IF($A120=($C120-1)*$Q$7+1,1,0)))</f>
        <v>0</v>
      </c>
      <c r="F120" s="122" cm="1">
        <f t="array" ref="F120">_xlfn.LET(_xlpm.ann,INDEX('Investor Return'!$C$11:$L$11,$C120),_xlpm.sale,'_Month Engine'!$C$71:$DR$71,_xlpm.yr,'_Month Engine'!$C$5:$DR$5,_xlpm.yearS,SUMPRODUCT((_xlpm.yr=$C120)*_xlpm.sale),_xlpm.mS,INDEX(_xlpm.sale,$A120),_xlpm.ann*IF(_xlpm.yearS&gt;0,_xlpm.mS/_xlpm.yearS,IF($A120=$C120*$Q$7,1,0)))</f>
        <v>0</v>
      </c>
      <c r="G120" s="122">
        <f t="shared" si="21"/>
        <v>0</v>
      </c>
      <c r="H120" s="122" cm="1">
        <f t="array" ref="H120">-SUMPRODUCT(Properties!$D$6:$D$15*(Properties!$Q$6:$Q$15=$A120)*(Properties!$M$6:$M$15+Properties!$O$6:$O$15))</f>
        <v>0</v>
      </c>
      <c r="I120" s="122" cm="1">
        <f t="array" ref="I120">-SUMPRODUCT(Properties!$D$6:$D$15*($A120&gt;=Properties!$Q$6:$Q$15)*($A120&lt;Properties!$T$6:$T$15)*Properties!$N$6:$N$15/(Properties!$R$6:$R$15+(Properties!$R$6:$R$15=0)))</f>
        <v>0</v>
      </c>
      <c r="J120" s="122" cm="1">
        <f t="array" ref="J120">_xlfn.LET(_xlpm.act,Properties!$D$6:$D$15,_xlpm.accM,Properties!$Q$6:$Q$15,_xlpm.rentM,Properties!$T$6:$T$15,_xlpm.saleM,Properties!$U$6:$U$15,_xlpm.owned,($A120&gt;=_xlpm.accM)*($A120&lt;_xlpm.saleM),_xlpm.renting,($A120&gt;=_xlpm.rentM)*($A120&lt;_xlpm.saleM),_xlpm.ratio,($A120-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120-1)-_xlpm.owned*_xlpm.ownFix/$Q$7-_xlpm.renting*_xlpm.rentFix/$Q$7)))</f>
        <v>0</v>
      </c>
      <c r="K120" s="122" cm="1">
        <f t="array" ref="K120">SUMPRODUCT(Properties!$D$6:$D$15*(Properties!$U$6:$U$15=$A120)*Properties!$AB$6:$AB$15)</f>
        <v>0</v>
      </c>
      <c r="L120" s="122">
        <f t="shared" si="22"/>
        <v>0</v>
      </c>
      <c r="M120" s="122" cm="1">
        <f t="array" ref="M120">-SUMPRODUCT(Properties!$D$6:$D$15*(Properties!$U$6:$U$15=$A120)*Properties!$AD$6:$AD$15)</f>
        <v>0</v>
      </c>
      <c r="N120" s="122">
        <f t="shared" si="23"/>
        <v>0</v>
      </c>
      <c r="O120" s="1"/>
      <c r="P120" s="1"/>
      <c r="Q120" s="1"/>
    </row>
    <row r="121" spans="1:17" ht="18" customHeight="1" x14ac:dyDescent="0.3">
      <c r="A121" s="1">
        <f t="shared" si="18"/>
        <v>116</v>
      </c>
      <c r="B121" s="227">
        <f>EOMONTH(Input!$C$7,$A121-1)</f>
        <v>49826</v>
      </c>
      <c r="C121" s="1">
        <f t="shared" si="19"/>
        <v>10</v>
      </c>
      <c r="D121" s="1">
        <f t="shared" si="20"/>
        <v>39</v>
      </c>
      <c r="E121" s="122" cm="1">
        <f t="array" ref="E121">_xlfn.LET(_xlpm.ann,-INDEX('Statement of Cash Flows'!$C$47:$L$47,$C121),_xlpm.w,-($H121+$I121)+MAX(0,-$J121),_xlpm.yrW,SUMPRODUCT(($C$6:$C$125=$C121)*(-($H$6:$H$125+$I$6:$I$125)+((-$J$6:$J$125)&gt;0)*(-$J$6:$J$125))),_xlpm.ann*IF(_xlpm.yrW&gt;0,_xlpm.w/_xlpm.yrW,IF($A121=($C121-1)*$Q$7+1,1,0)))</f>
        <v>0</v>
      </c>
      <c r="F121" s="122" cm="1">
        <f t="array" ref="F121">_xlfn.LET(_xlpm.ann,INDEX('Investor Return'!$C$11:$L$11,$C121),_xlpm.sale,'_Month Engine'!$C$71:$DR$71,_xlpm.yr,'_Month Engine'!$C$5:$DR$5,_xlpm.yearS,SUMPRODUCT((_xlpm.yr=$C121)*_xlpm.sale),_xlpm.mS,INDEX(_xlpm.sale,$A121),_xlpm.ann*IF(_xlpm.yearS&gt;0,_xlpm.mS/_xlpm.yearS,IF($A121=$C121*$Q$7,1,0)))</f>
        <v>0</v>
      </c>
      <c r="G121" s="122">
        <f t="shared" si="21"/>
        <v>0</v>
      </c>
      <c r="H121" s="122" cm="1">
        <f t="array" ref="H121">-SUMPRODUCT(Properties!$D$6:$D$15*(Properties!$Q$6:$Q$15=$A121)*(Properties!$M$6:$M$15+Properties!$O$6:$O$15))</f>
        <v>0</v>
      </c>
      <c r="I121" s="122" cm="1">
        <f t="array" ref="I121">-SUMPRODUCT(Properties!$D$6:$D$15*($A121&gt;=Properties!$Q$6:$Q$15)*($A121&lt;Properties!$T$6:$T$15)*Properties!$N$6:$N$15/(Properties!$R$6:$R$15+(Properties!$R$6:$R$15=0)))</f>
        <v>0</v>
      </c>
      <c r="J121" s="122" cm="1">
        <f t="array" ref="J121">_xlfn.LET(_xlpm.act,Properties!$D$6:$D$15,_xlpm.accM,Properties!$Q$6:$Q$15,_xlpm.rentM,Properties!$T$6:$T$15,_xlpm.saleM,Properties!$U$6:$U$15,_xlpm.owned,($A121&gt;=_xlpm.accM)*($A121&lt;_xlpm.saleM),_xlpm.renting,($A121&gt;=_xlpm.rentM)*($A121&lt;_xlpm.saleM),_xlpm.ratio,($A121-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121-1)-_xlpm.owned*_xlpm.ownFix/$Q$7-_xlpm.renting*_xlpm.rentFix/$Q$7)))</f>
        <v>0</v>
      </c>
      <c r="K121" s="122" cm="1">
        <f t="array" ref="K121">SUMPRODUCT(Properties!$D$6:$D$15*(Properties!$U$6:$U$15=$A121)*Properties!$AB$6:$AB$15)</f>
        <v>0</v>
      </c>
      <c r="L121" s="122">
        <f t="shared" si="22"/>
        <v>0</v>
      </c>
      <c r="M121" s="122" cm="1">
        <f t="array" ref="M121">-SUMPRODUCT(Properties!$D$6:$D$15*(Properties!$U$6:$U$15=$A121)*Properties!$AD$6:$AD$15)</f>
        <v>0</v>
      </c>
      <c r="N121" s="122">
        <f t="shared" si="23"/>
        <v>0</v>
      </c>
      <c r="O121" s="1"/>
      <c r="P121" s="1"/>
      <c r="Q121" s="1"/>
    </row>
    <row r="122" spans="1:17" ht="18" customHeight="1" x14ac:dyDescent="0.3">
      <c r="A122" s="1">
        <f t="shared" si="18"/>
        <v>117</v>
      </c>
      <c r="B122" s="227">
        <f>EOMONTH(Input!$C$7,$A122-1)</f>
        <v>49856</v>
      </c>
      <c r="C122" s="1">
        <f t="shared" si="19"/>
        <v>10</v>
      </c>
      <c r="D122" s="1">
        <f t="shared" si="20"/>
        <v>39</v>
      </c>
      <c r="E122" s="122" cm="1">
        <f t="array" ref="E122">_xlfn.LET(_xlpm.ann,-INDEX('Statement of Cash Flows'!$C$47:$L$47,$C122),_xlpm.w,-($H122+$I122)+MAX(0,-$J122),_xlpm.yrW,SUMPRODUCT(($C$6:$C$125=$C122)*(-($H$6:$H$125+$I$6:$I$125)+((-$J$6:$J$125)&gt;0)*(-$J$6:$J$125))),_xlpm.ann*IF(_xlpm.yrW&gt;0,_xlpm.w/_xlpm.yrW,IF($A122=($C122-1)*$Q$7+1,1,0)))</f>
        <v>0</v>
      </c>
      <c r="F122" s="122" cm="1">
        <f t="array" ref="F122">_xlfn.LET(_xlpm.ann,INDEX('Investor Return'!$C$11:$L$11,$C122),_xlpm.sale,'_Month Engine'!$C$71:$DR$71,_xlpm.yr,'_Month Engine'!$C$5:$DR$5,_xlpm.yearS,SUMPRODUCT((_xlpm.yr=$C122)*_xlpm.sale),_xlpm.mS,INDEX(_xlpm.sale,$A122),_xlpm.ann*IF(_xlpm.yearS&gt;0,_xlpm.mS/_xlpm.yearS,IF($A122=$C122*$Q$7,1,0)))</f>
        <v>0</v>
      </c>
      <c r="G122" s="122">
        <f t="shared" si="21"/>
        <v>0</v>
      </c>
      <c r="H122" s="122" cm="1">
        <f t="array" ref="H122">-SUMPRODUCT(Properties!$D$6:$D$15*(Properties!$Q$6:$Q$15=$A122)*(Properties!$M$6:$M$15+Properties!$O$6:$O$15))</f>
        <v>0</v>
      </c>
      <c r="I122" s="122" cm="1">
        <f t="array" ref="I122">-SUMPRODUCT(Properties!$D$6:$D$15*($A122&gt;=Properties!$Q$6:$Q$15)*($A122&lt;Properties!$T$6:$T$15)*Properties!$N$6:$N$15/(Properties!$R$6:$R$15+(Properties!$R$6:$R$15=0)))</f>
        <v>0</v>
      </c>
      <c r="J122" s="122" cm="1">
        <f t="array" ref="J122">_xlfn.LET(_xlpm.act,Properties!$D$6:$D$15,_xlpm.accM,Properties!$Q$6:$Q$15,_xlpm.rentM,Properties!$T$6:$T$15,_xlpm.saleM,Properties!$U$6:$U$15,_xlpm.owned,($A122&gt;=_xlpm.accM)*($A122&lt;_xlpm.saleM),_xlpm.renting,($A122&gt;=_xlpm.rentM)*($A122&lt;_xlpm.saleM),_xlpm.ratio,($A122-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122-1)-_xlpm.owned*_xlpm.ownFix/$Q$7-_xlpm.renting*_xlpm.rentFix/$Q$7)))</f>
        <v>0</v>
      </c>
      <c r="K122" s="122" cm="1">
        <f t="array" ref="K122">SUMPRODUCT(Properties!$D$6:$D$15*(Properties!$U$6:$U$15=$A122)*Properties!$AB$6:$AB$15)</f>
        <v>0</v>
      </c>
      <c r="L122" s="122">
        <f t="shared" si="22"/>
        <v>0</v>
      </c>
      <c r="M122" s="122" cm="1">
        <f t="array" ref="M122">-SUMPRODUCT(Properties!$D$6:$D$15*(Properties!$U$6:$U$15=$A122)*Properties!$AD$6:$AD$15)</f>
        <v>0</v>
      </c>
      <c r="N122" s="122">
        <f t="shared" si="23"/>
        <v>0</v>
      </c>
      <c r="O122" s="1"/>
      <c r="P122" s="1"/>
      <c r="Q122" s="1"/>
    </row>
    <row r="123" spans="1:17" ht="18" customHeight="1" x14ac:dyDescent="0.3">
      <c r="A123" s="1">
        <f t="shared" si="18"/>
        <v>118</v>
      </c>
      <c r="B123" s="227">
        <f>EOMONTH(Input!$C$7,$A123-1)</f>
        <v>49887</v>
      </c>
      <c r="C123" s="1">
        <f t="shared" si="19"/>
        <v>10</v>
      </c>
      <c r="D123" s="1">
        <f t="shared" si="20"/>
        <v>40</v>
      </c>
      <c r="E123" s="122" cm="1">
        <f t="array" ref="E123">_xlfn.LET(_xlpm.ann,-INDEX('Statement of Cash Flows'!$C$47:$L$47,$C123),_xlpm.w,-($H123+$I123)+MAX(0,-$J123),_xlpm.yrW,SUMPRODUCT(($C$6:$C$125=$C123)*(-($H$6:$H$125+$I$6:$I$125)+((-$J$6:$J$125)&gt;0)*(-$J$6:$J$125))),_xlpm.ann*IF(_xlpm.yrW&gt;0,_xlpm.w/_xlpm.yrW,IF($A123=($C123-1)*$Q$7+1,1,0)))</f>
        <v>0</v>
      </c>
      <c r="F123" s="122" cm="1">
        <f t="array" ref="F123">_xlfn.LET(_xlpm.ann,INDEX('Investor Return'!$C$11:$L$11,$C123),_xlpm.sale,'_Month Engine'!$C$71:$DR$71,_xlpm.yr,'_Month Engine'!$C$5:$DR$5,_xlpm.yearS,SUMPRODUCT((_xlpm.yr=$C123)*_xlpm.sale),_xlpm.mS,INDEX(_xlpm.sale,$A123),_xlpm.ann*IF(_xlpm.yearS&gt;0,_xlpm.mS/_xlpm.yearS,IF($A123=$C123*$Q$7,1,0)))</f>
        <v>0</v>
      </c>
      <c r="G123" s="122">
        <f t="shared" si="21"/>
        <v>0</v>
      </c>
      <c r="H123" s="122" cm="1">
        <f t="array" ref="H123">-SUMPRODUCT(Properties!$D$6:$D$15*(Properties!$Q$6:$Q$15=$A123)*(Properties!$M$6:$M$15+Properties!$O$6:$O$15))</f>
        <v>0</v>
      </c>
      <c r="I123" s="122" cm="1">
        <f t="array" ref="I123">-SUMPRODUCT(Properties!$D$6:$D$15*($A123&gt;=Properties!$Q$6:$Q$15)*($A123&lt;Properties!$T$6:$T$15)*Properties!$N$6:$N$15/(Properties!$R$6:$R$15+(Properties!$R$6:$R$15=0)))</f>
        <v>0</v>
      </c>
      <c r="J123" s="122" cm="1">
        <f t="array" ref="J123">_xlfn.LET(_xlpm.act,Properties!$D$6:$D$15,_xlpm.accM,Properties!$Q$6:$Q$15,_xlpm.rentM,Properties!$T$6:$T$15,_xlpm.saleM,Properties!$U$6:$U$15,_xlpm.owned,($A123&gt;=_xlpm.accM)*($A123&lt;_xlpm.saleM),_xlpm.renting,($A123&gt;=_xlpm.rentM)*($A123&lt;_xlpm.saleM),_xlpm.ratio,($A123-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123-1)-_xlpm.owned*_xlpm.ownFix/$Q$7-_xlpm.renting*_xlpm.rentFix/$Q$7)))</f>
        <v>0</v>
      </c>
      <c r="K123" s="122" cm="1">
        <f t="array" ref="K123">SUMPRODUCT(Properties!$D$6:$D$15*(Properties!$U$6:$U$15=$A123)*Properties!$AB$6:$AB$15)</f>
        <v>0</v>
      </c>
      <c r="L123" s="122">
        <f t="shared" si="22"/>
        <v>0</v>
      </c>
      <c r="M123" s="122" cm="1">
        <f t="array" ref="M123">-SUMPRODUCT(Properties!$D$6:$D$15*(Properties!$U$6:$U$15=$A123)*Properties!$AD$6:$AD$15)</f>
        <v>0</v>
      </c>
      <c r="N123" s="122">
        <f t="shared" si="23"/>
        <v>0</v>
      </c>
      <c r="O123" s="1"/>
      <c r="P123" s="1"/>
      <c r="Q123" s="1"/>
    </row>
    <row r="124" spans="1:17" ht="18" customHeight="1" x14ac:dyDescent="0.3">
      <c r="A124" s="1">
        <f t="shared" si="18"/>
        <v>119</v>
      </c>
      <c r="B124" s="227">
        <f>EOMONTH(Input!$C$7,$A124-1)</f>
        <v>49918</v>
      </c>
      <c r="C124" s="1">
        <f t="shared" si="19"/>
        <v>10</v>
      </c>
      <c r="D124" s="1">
        <f t="shared" si="20"/>
        <v>40</v>
      </c>
      <c r="E124" s="122" cm="1">
        <f t="array" ref="E124">_xlfn.LET(_xlpm.ann,-INDEX('Statement of Cash Flows'!$C$47:$L$47,$C124),_xlpm.w,-($H124+$I124)+MAX(0,-$J124),_xlpm.yrW,SUMPRODUCT(($C$6:$C$125=$C124)*(-($H$6:$H$125+$I$6:$I$125)+((-$J$6:$J$125)&gt;0)*(-$J$6:$J$125))),_xlpm.ann*IF(_xlpm.yrW&gt;0,_xlpm.w/_xlpm.yrW,IF($A124=($C124-1)*$Q$7+1,1,0)))</f>
        <v>0</v>
      </c>
      <c r="F124" s="122" cm="1">
        <f t="array" ref="F124">_xlfn.LET(_xlpm.ann,INDEX('Investor Return'!$C$11:$L$11,$C124),_xlpm.sale,'_Month Engine'!$C$71:$DR$71,_xlpm.yr,'_Month Engine'!$C$5:$DR$5,_xlpm.yearS,SUMPRODUCT((_xlpm.yr=$C124)*_xlpm.sale),_xlpm.mS,INDEX(_xlpm.sale,$A124),_xlpm.ann*IF(_xlpm.yearS&gt;0,_xlpm.mS/_xlpm.yearS,IF($A124=$C124*$Q$7,1,0)))</f>
        <v>0</v>
      </c>
      <c r="G124" s="122">
        <f t="shared" si="21"/>
        <v>0</v>
      </c>
      <c r="H124" s="122" cm="1">
        <f t="array" ref="H124">-SUMPRODUCT(Properties!$D$6:$D$15*(Properties!$Q$6:$Q$15=$A124)*(Properties!$M$6:$M$15+Properties!$O$6:$O$15))</f>
        <v>0</v>
      </c>
      <c r="I124" s="122" cm="1">
        <f t="array" ref="I124">-SUMPRODUCT(Properties!$D$6:$D$15*($A124&gt;=Properties!$Q$6:$Q$15)*($A124&lt;Properties!$T$6:$T$15)*Properties!$N$6:$N$15/(Properties!$R$6:$R$15+(Properties!$R$6:$R$15=0)))</f>
        <v>0</v>
      </c>
      <c r="J124" s="122" cm="1">
        <f t="array" ref="J124">_xlfn.LET(_xlpm.act,Properties!$D$6:$D$15,_xlpm.accM,Properties!$Q$6:$Q$15,_xlpm.rentM,Properties!$T$6:$T$15,_xlpm.saleM,Properties!$U$6:$U$15,_xlpm.owned,($A124&gt;=_xlpm.accM)*($A124&lt;_xlpm.saleM),_xlpm.renting,($A124&gt;=_xlpm.rentM)*($A124&lt;_xlpm.saleM),_xlpm.ratio,($A124-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124-1)-_xlpm.owned*_xlpm.ownFix/$Q$7-_xlpm.renting*_xlpm.rentFix/$Q$7)))</f>
        <v>0</v>
      </c>
      <c r="K124" s="122" cm="1">
        <f t="array" ref="K124">SUMPRODUCT(Properties!$D$6:$D$15*(Properties!$U$6:$U$15=$A124)*Properties!$AB$6:$AB$15)</f>
        <v>0</v>
      </c>
      <c r="L124" s="122">
        <f t="shared" si="22"/>
        <v>0</v>
      </c>
      <c r="M124" s="122" cm="1">
        <f t="array" ref="M124">-SUMPRODUCT(Properties!$D$6:$D$15*(Properties!$U$6:$U$15=$A124)*Properties!$AD$6:$AD$15)</f>
        <v>0</v>
      </c>
      <c r="N124" s="122">
        <f t="shared" si="23"/>
        <v>0</v>
      </c>
      <c r="O124" s="1"/>
      <c r="P124" s="1"/>
      <c r="Q124" s="1"/>
    </row>
    <row r="125" spans="1:17" ht="18" customHeight="1" x14ac:dyDescent="0.3">
      <c r="A125" s="1">
        <f t="shared" si="18"/>
        <v>120</v>
      </c>
      <c r="B125" s="227">
        <f>EOMONTH(Input!$C$7,$A125-1)</f>
        <v>49948</v>
      </c>
      <c r="C125" s="1">
        <f t="shared" si="19"/>
        <v>10</v>
      </c>
      <c r="D125" s="1">
        <f t="shared" si="20"/>
        <v>40</v>
      </c>
      <c r="E125" s="122" cm="1">
        <f t="array" ref="E125">_xlfn.LET(_xlpm.ann,-INDEX('Statement of Cash Flows'!$C$47:$L$47,$C125),_xlpm.w,-($H125+$I125)+MAX(0,-$J125),_xlpm.yrW,SUMPRODUCT(($C$6:$C$125=$C125)*(-($H$6:$H$125+$I$6:$I$125)+((-$J$6:$J$125)&gt;0)*(-$J$6:$J$125))),_xlpm.ann*IF(_xlpm.yrW&gt;0,_xlpm.w/_xlpm.yrW,IF($A125=($C125-1)*$Q$7+1,1,0)))</f>
        <v>0</v>
      </c>
      <c r="F125" s="122" cm="1">
        <f t="array" ref="F125">_xlfn.LET(_xlpm.ann,INDEX('Investor Return'!$C$11:$L$11,$C125),_xlpm.sale,'_Month Engine'!$C$71:$DR$71,_xlpm.yr,'_Month Engine'!$C$5:$DR$5,_xlpm.yearS,SUMPRODUCT((_xlpm.yr=$C125)*_xlpm.sale),_xlpm.mS,INDEX(_xlpm.sale,$A125),_xlpm.ann*IF(_xlpm.yearS&gt;0,_xlpm.mS/_xlpm.yearS,IF($A125=$C125*$Q$7,1,0)))</f>
        <v>0</v>
      </c>
      <c r="G125" s="122">
        <f t="shared" si="21"/>
        <v>0</v>
      </c>
      <c r="H125" s="122" cm="1">
        <f t="array" ref="H125">-SUMPRODUCT(Properties!$D$6:$D$15*(Properties!$Q$6:$Q$15=$A125)*(Properties!$M$6:$M$15+Properties!$O$6:$O$15))</f>
        <v>0</v>
      </c>
      <c r="I125" s="122" cm="1">
        <f t="array" ref="I125">-SUMPRODUCT(Properties!$D$6:$D$15*($A125&gt;=Properties!$Q$6:$Q$15)*($A125&lt;Properties!$T$6:$T$15)*Properties!$N$6:$N$15/(Properties!$R$6:$R$15+(Properties!$R$6:$R$15=0)))</f>
        <v>0</v>
      </c>
      <c r="J125" s="122" cm="1">
        <f t="array" ref="J125">_xlfn.LET(_xlpm.act,Properties!$D$6:$D$15,_xlpm.accM,Properties!$Q$6:$Q$15,_xlpm.rentM,Properties!$T$6:$T$15,_xlpm.saleM,Properties!$U$6:$U$15,_xlpm.owned,($A125&gt;=_xlpm.accM)*($A125&lt;_xlpm.saleM),_xlpm.renting,($A125&gt;=_xlpm.rentM)*($A125&lt;_xlpm.saleM),_xlpm.ratio,($A125-Properties!$T$6:$T$15+1)/Input!$C$11,_xlpm.ramp,_xlpm.ratio-(_xlpm.ratio-1)*(_xlpm.ratio&gt;1),_xlpm.ownFix,Properties!$P$6:$P$15*Input!$C$80:$C$89+(Input!$D$80:$D$89+Input!$E$80:$E$89)*$Q$7*$Q$9/Input!$C$5,_xlpm.rentFix,Properties!$P$6:$P$15*(Input!$C$19+Input!$C$18)+Input!$C$32*$Q$7,_xlpm.rentnet,Properties!$Y$6:$Y$15*(1-Input!$C$20-Input!$C$21-Input!$C$31),SUMPRODUCT(_xlpm.act*(_xlpm.renting*_xlpm.ramp*_xlpm.rentnet/$Q$7*(1+Input!$C$8)^($C125-1)-_xlpm.owned*_xlpm.ownFix/$Q$7-_xlpm.renting*_xlpm.rentFix/$Q$7)))</f>
        <v>0</v>
      </c>
      <c r="K125" s="122" cm="1">
        <f t="array" ref="K125">SUMPRODUCT(Properties!$D$6:$D$15*(Properties!$U$6:$U$15=$A125)*Properties!$AB$6:$AB$15)</f>
        <v>0</v>
      </c>
      <c r="L125" s="122">
        <f t="shared" si="22"/>
        <v>0</v>
      </c>
      <c r="M125" s="122" cm="1">
        <f t="array" ref="M125">-SUMPRODUCT(Properties!$D$6:$D$15*(Properties!$U$6:$U$15=$A125)*Properties!$AD$6:$AD$15)</f>
        <v>0</v>
      </c>
      <c r="N125" s="122">
        <f t="shared" si="23"/>
        <v>0</v>
      </c>
      <c r="O125" s="1"/>
      <c r="P125" s="1"/>
      <c r="Q125" s="1"/>
    </row>
  </sheetData>
  <mergeCells count="4">
    <mergeCell ref="A4:D4"/>
    <mergeCell ref="E4:G4"/>
    <mergeCell ref="H4:N4"/>
    <mergeCell ref="A2:Q2"/>
  </mergeCells>
  <conditionalFormatting sqref="Q12">
    <cfRule type="containsText" dxfId="9" priority="1" operator="containsText" text="OK">
      <formula>NOT(ISERROR(SEARCH("OK",Q12)))</formula>
    </cfRule>
    <cfRule type="containsText" dxfId="8" priority="2" operator="containsText" text="CHECK">
      <formula>NOT(ISERROR(SEARCH("CHECK",Q12)))</formula>
    </cfRule>
  </conditionalFormatting>
  <conditionalFormatting sqref="Q28">
    <cfRule type="containsText" dxfId="7" priority="3" operator="containsText" text="OK">
      <formula>NOT(ISERROR(SEARCH("OK",Q28)))</formula>
    </cfRule>
    <cfRule type="containsText" dxfId="6" priority="4" operator="containsText" text="CHECK">
      <formula>NOT(ISERROR(SEARCH("CHECK",Q28)))</formula>
    </cfRule>
  </conditionalFormatting>
  <conditionalFormatting sqref="Q31">
    <cfRule type="containsText" dxfId="5" priority="5" operator="containsText" text="OK">
      <formula>NOT(ISERROR(SEARCH("OK",Q31)))</formula>
    </cfRule>
    <cfRule type="containsText" dxfId="4" priority="6" operator="containsText" text="CHECK">
      <formula>NOT(ISERROR(SEARCH("CHECK",Q31)))</formula>
    </cfRule>
  </conditionalFormatting>
  <conditionalFormatting sqref="Q34">
    <cfRule type="containsText" dxfId="3" priority="7" operator="containsText" text="OK">
      <formula>NOT(ISERROR(SEARCH("OK",Q34)))</formula>
    </cfRule>
    <cfRule type="containsText" dxfId="2" priority="8" operator="containsText" text="CHECK">
      <formula>NOT(ISERROR(SEARCH("CHECK",Q34)))</formula>
    </cfRule>
  </conditionalFormatting>
  <conditionalFormatting sqref="Q37:Q39">
    <cfRule type="containsText" dxfId="1" priority="9" operator="containsText" text="OK">
      <formula>NOT(ISERROR(SEARCH("OK",Q37)))</formula>
    </cfRule>
    <cfRule type="containsText" dxfId="0" priority="10" operator="containsText" text="CHECK">
      <formula>NOT(ISERROR(SEARCH("CHECK",Q37)))</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A71BB-31E4-47C7-9A18-B785D7845219}">
  <sheetPr>
    <tabColor rgb="FF132E57"/>
  </sheetPr>
  <dimension ref="A1:AM20"/>
  <sheetViews>
    <sheetView workbookViewId="0">
      <selection activeCell="N46" sqref="N46"/>
    </sheetView>
  </sheetViews>
  <sheetFormatPr defaultRowHeight="14.4" x14ac:dyDescent="0.3"/>
  <cols>
    <col min="1" max="1" width="29.6640625" customWidth="1"/>
    <col min="2" max="4" width="16.6640625" customWidth="1"/>
    <col min="5" max="5" width="29.6640625" customWidth="1"/>
    <col min="6" max="39" width="16.6640625" customWidth="1"/>
  </cols>
  <sheetData>
    <row r="1" spans="1:39" ht="18" customHeight="1" x14ac:dyDescent="0.35">
      <c r="A1" s="440" t="s">
        <v>1132</v>
      </c>
      <c r="B1" s="439"/>
      <c r="C1" s="439"/>
      <c r="D1" s="439"/>
      <c r="E1" s="439"/>
      <c r="F1" s="439"/>
      <c r="G1" s="439"/>
      <c r="H1" s="439"/>
      <c r="I1" s="439"/>
      <c r="J1" s="439"/>
      <c r="K1" s="439"/>
      <c r="L1" s="439"/>
      <c r="M1" s="439"/>
      <c r="N1" s="439"/>
      <c r="O1" s="439"/>
      <c r="P1" s="439"/>
      <c r="Q1" s="439"/>
      <c r="R1" s="439"/>
      <c r="S1" s="439"/>
      <c r="T1" s="439"/>
      <c r="U1" s="439"/>
      <c r="V1" s="439"/>
      <c r="W1" s="439"/>
      <c r="X1" s="439"/>
      <c r="Y1" s="439"/>
      <c r="Z1" s="439"/>
      <c r="AA1" s="439"/>
      <c r="AB1" s="439"/>
      <c r="AC1" s="439"/>
      <c r="AD1" s="439"/>
      <c r="AE1" s="439"/>
      <c r="AF1" s="439"/>
      <c r="AG1" s="439"/>
      <c r="AH1" s="439"/>
      <c r="AI1" s="439"/>
      <c r="AJ1" s="439"/>
      <c r="AK1" s="439"/>
      <c r="AL1" s="439"/>
      <c r="AM1" s="439"/>
    </row>
    <row r="2" spans="1:39" ht="14.55" customHeight="1" x14ac:dyDescent="0.3">
      <c r="A2" s="441" t="s">
        <v>1137</v>
      </c>
      <c r="B2" s="439"/>
      <c r="C2" s="439"/>
      <c r="D2" s="439"/>
      <c r="E2" s="439"/>
      <c r="F2" s="439"/>
      <c r="G2" s="439"/>
      <c r="H2" s="439"/>
      <c r="I2" s="439"/>
      <c r="J2" s="439"/>
      <c r="K2" s="439"/>
      <c r="L2" s="439"/>
      <c r="M2" s="439"/>
      <c r="N2" s="439"/>
      <c r="O2" s="439"/>
      <c r="P2" s="439"/>
      <c r="Q2" s="439"/>
      <c r="R2" s="439"/>
      <c r="S2" s="439"/>
      <c r="T2" s="439"/>
      <c r="U2" s="439"/>
      <c r="V2" s="439"/>
      <c r="W2" s="439"/>
      <c r="X2" s="439"/>
      <c r="Y2" s="439"/>
      <c r="Z2" s="439"/>
      <c r="AA2" s="439"/>
      <c r="AB2" s="439"/>
      <c r="AC2" s="439"/>
      <c r="AD2" s="439"/>
      <c r="AE2" s="439"/>
      <c r="AF2" s="439"/>
      <c r="AG2" s="439"/>
      <c r="AH2" s="439"/>
      <c r="AI2" s="439"/>
      <c r="AJ2" s="439"/>
      <c r="AK2" s="439"/>
      <c r="AL2" s="439"/>
      <c r="AM2" s="439"/>
    </row>
    <row r="3" spans="1:39" x14ac:dyDescent="0.3">
      <c r="A3" s="439"/>
      <c r="B3" s="439"/>
      <c r="C3" s="439"/>
      <c r="D3" s="439"/>
      <c r="E3" s="439"/>
      <c r="F3" s="439"/>
      <c r="G3" s="439"/>
      <c r="H3" s="439"/>
      <c r="I3" s="439"/>
      <c r="J3" s="439"/>
      <c r="K3" s="439"/>
      <c r="L3" s="439"/>
      <c r="M3" s="439"/>
      <c r="N3" s="439"/>
      <c r="O3" s="439"/>
      <c r="P3" s="439"/>
      <c r="Q3" s="439"/>
      <c r="R3" s="439"/>
      <c r="S3" s="439"/>
      <c r="T3" s="439"/>
      <c r="U3" s="439"/>
      <c r="V3" s="439"/>
      <c r="W3" s="439"/>
      <c r="X3" s="439"/>
      <c r="Y3" s="439"/>
      <c r="Z3" s="439"/>
      <c r="AA3" s="439"/>
      <c r="AB3" s="439"/>
      <c r="AC3" s="439"/>
      <c r="AD3" s="439"/>
      <c r="AE3" s="439"/>
      <c r="AF3" s="439"/>
      <c r="AG3" s="439"/>
      <c r="AH3" s="439"/>
      <c r="AI3" s="439"/>
      <c r="AJ3" s="439"/>
      <c r="AK3" s="439"/>
      <c r="AL3" s="439"/>
      <c r="AM3" s="439"/>
    </row>
    <row r="4" spans="1:39" ht="14.55" customHeight="1" x14ac:dyDescent="0.3">
      <c r="A4" s="447" t="s">
        <v>1133</v>
      </c>
      <c r="B4" s="447"/>
      <c r="C4" s="447"/>
      <c r="D4" s="447"/>
      <c r="E4" s="447"/>
      <c r="F4" s="447"/>
      <c r="G4" s="447"/>
      <c r="H4" s="447"/>
      <c r="I4" s="447"/>
      <c r="J4" s="447"/>
      <c r="K4" s="447"/>
      <c r="L4" s="447"/>
      <c r="M4" s="447"/>
      <c r="N4" s="447"/>
      <c r="O4" s="447"/>
      <c r="P4" s="447"/>
      <c r="Q4" s="447"/>
      <c r="R4" s="447"/>
      <c r="S4" s="447"/>
      <c r="T4" s="447"/>
      <c r="U4" s="447"/>
      <c r="V4" s="447"/>
      <c r="W4" s="447"/>
      <c r="X4" s="447"/>
      <c r="Y4" s="447"/>
      <c r="Z4" s="447"/>
      <c r="AA4" s="447"/>
      <c r="AB4" s="447"/>
      <c r="AC4" s="447"/>
      <c r="AD4" s="447"/>
      <c r="AE4" s="447"/>
      <c r="AF4" s="447"/>
      <c r="AG4" s="447"/>
      <c r="AH4" s="447"/>
      <c r="AI4" s="447"/>
      <c r="AJ4" s="447"/>
      <c r="AK4" s="447"/>
      <c r="AL4" s="447"/>
      <c r="AM4" s="447"/>
    </row>
    <row r="5" spans="1:39" ht="86.55" customHeight="1" x14ac:dyDescent="0.3">
      <c r="A5" s="460" t="s">
        <v>26</v>
      </c>
      <c r="B5" s="460" t="s">
        <v>365</v>
      </c>
      <c r="C5" s="460" t="s">
        <v>467</v>
      </c>
      <c r="D5" s="460" t="s">
        <v>466</v>
      </c>
      <c r="E5" s="460" t="s">
        <v>27</v>
      </c>
      <c r="F5" s="460" t="s">
        <v>28</v>
      </c>
      <c r="G5" s="460" t="s">
        <v>262</v>
      </c>
      <c r="H5" s="460" t="s">
        <v>29</v>
      </c>
      <c r="I5" s="460" t="s">
        <v>30</v>
      </c>
      <c r="J5" s="460" t="s">
        <v>31</v>
      </c>
      <c r="K5" s="460" t="s">
        <v>183</v>
      </c>
      <c r="L5" s="460" t="s">
        <v>1128</v>
      </c>
      <c r="M5" s="460" t="s">
        <v>184</v>
      </c>
      <c r="N5" s="460" t="s">
        <v>1129</v>
      </c>
      <c r="O5" s="460" t="s">
        <v>32</v>
      </c>
      <c r="P5" s="460" t="s">
        <v>185</v>
      </c>
      <c r="Q5" s="460" t="s">
        <v>1064</v>
      </c>
      <c r="R5" s="460" t="s">
        <v>1065</v>
      </c>
      <c r="S5" s="460" t="s">
        <v>1066</v>
      </c>
      <c r="T5" s="460" t="s">
        <v>1067</v>
      </c>
      <c r="U5" s="460" t="s">
        <v>1068</v>
      </c>
      <c r="V5" s="460" t="s">
        <v>186</v>
      </c>
      <c r="W5" s="460" t="s">
        <v>33</v>
      </c>
      <c r="X5" s="460" t="s">
        <v>34</v>
      </c>
      <c r="Y5" s="460" t="s">
        <v>1122</v>
      </c>
      <c r="Z5" s="460" t="s">
        <v>1123</v>
      </c>
      <c r="AA5" s="460" t="s">
        <v>35</v>
      </c>
      <c r="AB5" s="460" t="s">
        <v>36</v>
      </c>
      <c r="AC5" s="460" t="s">
        <v>37</v>
      </c>
      <c r="AD5" s="460" t="s">
        <v>38</v>
      </c>
      <c r="AE5" s="460" t="s">
        <v>39</v>
      </c>
      <c r="AF5" s="460" t="s">
        <v>40</v>
      </c>
      <c r="AG5" s="460" t="s">
        <v>290</v>
      </c>
      <c r="AH5" s="460" t="s">
        <v>760</v>
      </c>
      <c r="AI5" s="460" t="s">
        <v>761</v>
      </c>
      <c r="AJ5" s="460" t="s">
        <v>762</v>
      </c>
      <c r="AK5" s="460" t="s">
        <v>758</v>
      </c>
      <c r="AL5" s="460" t="s">
        <v>759</v>
      </c>
      <c r="AM5" s="460" t="s">
        <v>767</v>
      </c>
    </row>
    <row r="6" spans="1:39" ht="14.55" customHeight="1" x14ac:dyDescent="0.3">
      <c r="A6" s="439">
        <v>6</v>
      </c>
      <c r="B6" s="461">
        <v>0</v>
      </c>
      <c r="C6" s="461" t="s">
        <v>470</v>
      </c>
      <c r="D6" s="462">
        <v>0</v>
      </c>
      <c r="E6" s="439" t="s">
        <v>299</v>
      </c>
      <c r="F6" s="439" t="s">
        <v>42</v>
      </c>
      <c r="G6" s="439" t="s">
        <v>296</v>
      </c>
      <c r="H6" s="439" t="s">
        <v>297</v>
      </c>
      <c r="I6" s="439">
        <v>360</v>
      </c>
      <c r="J6" s="463">
        <v>3875.0039999999999</v>
      </c>
      <c r="K6" s="463">
        <v>2400</v>
      </c>
      <c r="L6" s="463">
        <v>950</v>
      </c>
      <c r="M6" s="457">
        <v>776699.02912621398</v>
      </c>
      <c r="N6" s="457">
        <v>307443.36569579301</v>
      </c>
      <c r="O6" s="457">
        <v>19417.475728155299</v>
      </c>
      <c r="P6" s="457">
        <v>1103559.8705501601</v>
      </c>
      <c r="Q6" s="439">
        <v>1</v>
      </c>
      <c r="R6" s="439">
        <v>6</v>
      </c>
      <c r="S6" s="439">
        <v>30</v>
      </c>
      <c r="T6" s="461">
        <v>7</v>
      </c>
      <c r="U6" s="461">
        <v>31</v>
      </c>
      <c r="V6" s="464">
        <v>2.5</v>
      </c>
      <c r="W6" s="457">
        <v>1933179.6064265501</v>
      </c>
      <c r="X6" s="457">
        <v>-23789.644012944998</v>
      </c>
      <c r="Y6" s="457">
        <v>0</v>
      </c>
      <c r="Z6" s="457">
        <v>7000</v>
      </c>
      <c r="AA6" s="457">
        <v>73460.825044208701</v>
      </c>
      <c r="AB6" s="457">
        <v>1859718.78138234</v>
      </c>
      <c r="AC6" s="457">
        <v>756158.91083217505</v>
      </c>
      <c r="AD6" s="457">
        <v>113423.836624826</v>
      </c>
      <c r="AE6" s="457">
        <v>642735.07420734898</v>
      </c>
      <c r="AF6" s="457">
        <v>284.789350036842</v>
      </c>
      <c r="AG6" s="439"/>
      <c r="AH6" s="465">
        <v>-1.2305966778182501E-2</v>
      </c>
      <c r="AI6" s="465">
        <v>-2.1557184750733101E-2</v>
      </c>
      <c r="AJ6" s="465">
        <v>0</v>
      </c>
      <c r="AK6" s="457">
        <v>-23789.644012944998</v>
      </c>
      <c r="AL6" s="457">
        <v>0</v>
      </c>
      <c r="AM6" s="465">
        <v>0</v>
      </c>
    </row>
    <row r="7" spans="1:39" ht="14.55" customHeight="1" x14ac:dyDescent="0.3">
      <c r="A7" s="439">
        <v>7</v>
      </c>
      <c r="B7" s="461">
        <v>0</v>
      </c>
      <c r="C7" s="461" t="s">
        <v>470</v>
      </c>
      <c r="D7" s="462">
        <v>0</v>
      </c>
      <c r="E7" s="439" t="s">
        <v>300</v>
      </c>
      <c r="F7" s="439" t="s">
        <v>42</v>
      </c>
      <c r="G7" s="439" t="s">
        <v>298</v>
      </c>
      <c r="H7" s="439" t="s">
        <v>297</v>
      </c>
      <c r="I7" s="439">
        <v>445</v>
      </c>
      <c r="J7" s="463">
        <v>4789.9354999999996</v>
      </c>
      <c r="K7" s="463">
        <v>3000</v>
      </c>
      <c r="L7" s="463">
        <v>1300</v>
      </c>
      <c r="M7" s="457">
        <v>970873.78640776698</v>
      </c>
      <c r="N7" s="457">
        <v>420711.97411003202</v>
      </c>
      <c r="O7" s="457">
        <v>24271.844660194201</v>
      </c>
      <c r="P7" s="457">
        <v>1415857.6051779899</v>
      </c>
      <c r="Q7" s="439">
        <v>1</v>
      </c>
      <c r="R7" s="439">
        <v>6</v>
      </c>
      <c r="S7" s="439">
        <v>30</v>
      </c>
      <c r="T7" s="461">
        <v>7</v>
      </c>
      <c r="U7" s="461">
        <v>31</v>
      </c>
      <c r="V7" s="464">
        <v>2.5</v>
      </c>
      <c r="W7" s="457">
        <v>2480252.4276000401</v>
      </c>
      <c r="X7" s="457">
        <v>-29166.666666666701</v>
      </c>
      <c r="Y7" s="457">
        <v>0</v>
      </c>
      <c r="Z7" s="457">
        <v>7000</v>
      </c>
      <c r="AA7" s="457">
        <v>94249.592248801506</v>
      </c>
      <c r="AB7" s="457">
        <v>2386002.8353512399</v>
      </c>
      <c r="AC7" s="457">
        <v>970145.23017324496</v>
      </c>
      <c r="AD7" s="457">
        <v>145521.78452598699</v>
      </c>
      <c r="AE7" s="457">
        <v>824623.44564725796</v>
      </c>
      <c r="AF7" s="457">
        <v>295.59011915254302</v>
      </c>
      <c r="AG7" s="439"/>
      <c r="AH7" s="465">
        <v>-1.1759555737997701E-2</v>
      </c>
      <c r="AI7" s="465">
        <v>-2.06E-2</v>
      </c>
      <c r="AJ7" s="465">
        <v>0</v>
      </c>
      <c r="AK7" s="457">
        <v>-29166.666666666701</v>
      </c>
      <c r="AL7" s="457">
        <v>0</v>
      </c>
      <c r="AM7" s="465">
        <v>0</v>
      </c>
    </row>
    <row r="8" spans="1:39" ht="14.55" customHeight="1" x14ac:dyDescent="0.3">
      <c r="A8" s="439">
        <v>8</v>
      </c>
      <c r="B8" s="461">
        <v>0</v>
      </c>
      <c r="C8" s="461" t="s">
        <v>470</v>
      </c>
      <c r="D8" s="462">
        <v>0</v>
      </c>
      <c r="E8" s="439" t="s">
        <v>301</v>
      </c>
      <c r="F8" s="439" t="s">
        <v>42</v>
      </c>
      <c r="G8" s="439" t="s">
        <v>436</v>
      </c>
      <c r="H8" s="439" t="s">
        <v>438</v>
      </c>
      <c r="I8" s="439">
        <v>520</v>
      </c>
      <c r="J8" s="463">
        <v>5597.2280000000001</v>
      </c>
      <c r="K8" s="463">
        <v>3300</v>
      </c>
      <c r="L8" s="463">
        <v>1450</v>
      </c>
      <c r="M8" s="457">
        <v>1067961.1650485401</v>
      </c>
      <c r="N8" s="457">
        <v>469255.66343042097</v>
      </c>
      <c r="O8" s="457">
        <v>26699.029126213602</v>
      </c>
      <c r="P8" s="457">
        <v>1563915.85760518</v>
      </c>
      <c r="Q8" s="439">
        <v>1</v>
      </c>
      <c r="R8" s="439">
        <v>6</v>
      </c>
      <c r="S8" s="439">
        <v>30</v>
      </c>
      <c r="T8" s="461">
        <v>7</v>
      </c>
      <c r="U8" s="461">
        <v>31</v>
      </c>
      <c r="V8" s="464">
        <v>2.5</v>
      </c>
      <c r="W8" s="457">
        <v>2739615.9671719298</v>
      </c>
      <c r="X8" s="457">
        <v>-30795.307443365698</v>
      </c>
      <c r="Y8" s="457">
        <v>0</v>
      </c>
      <c r="Z8" s="457">
        <v>7000</v>
      </c>
      <c r="AA8" s="457">
        <v>104105.406752533</v>
      </c>
      <c r="AB8" s="457">
        <v>2635510.5604194002</v>
      </c>
      <c r="AC8" s="457">
        <v>1071594.70281422</v>
      </c>
      <c r="AD8" s="457">
        <v>160739.205422133</v>
      </c>
      <c r="AE8" s="457">
        <v>910855.49739208596</v>
      </c>
      <c r="AF8" s="457">
        <v>279.40899631124199</v>
      </c>
      <c r="AG8" s="439"/>
      <c r="AH8" s="465">
        <v>-1.12407387795872E-2</v>
      </c>
      <c r="AI8" s="465">
        <v>-1.96911536471805E-2</v>
      </c>
      <c r="AJ8" s="465">
        <v>0</v>
      </c>
      <c r="AK8" s="457">
        <v>-30795.307443365698</v>
      </c>
      <c r="AL8" s="457">
        <v>0</v>
      </c>
      <c r="AM8" s="465">
        <v>0</v>
      </c>
    </row>
    <row r="9" spans="1:39" ht="14.55" customHeight="1" x14ac:dyDescent="0.3">
      <c r="A9" s="439">
        <v>9</v>
      </c>
      <c r="B9" s="461">
        <v>0</v>
      </c>
      <c r="C9" s="461" t="s">
        <v>470</v>
      </c>
      <c r="D9" s="462">
        <v>0</v>
      </c>
      <c r="E9" s="439" t="s">
        <v>359</v>
      </c>
      <c r="F9" s="439" t="s">
        <v>42</v>
      </c>
      <c r="G9" s="439" t="s">
        <v>360</v>
      </c>
      <c r="H9" s="439" t="s">
        <v>297</v>
      </c>
      <c r="I9" s="439">
        <v>380</v>
      </c>
      <c r="J9" s="463">
        <v>4090.2820000000002</v>
      </c>
      <c r="K9" s="463">
        <v>2500</v>
      </c>
      <c r="L9" s="463">
        <v>1000</v>
      </c>
      <c r="M9" s="457">
        <v>809061.48867313901</v>
      </c>
      <c r="N9" s="457">
        <v>323624.59546925599</v>
      </c>
      <c r="O9" s="457">
        <v>20226.537216828499</v>
      </c>
      <c r="P9" s="457">
        <v>1152912.62135922</v>
      </c>
      <c r="Q9" s="439">
        <v>1</v>
      </c>
      <c r="R9" s="439">
        <v>6</v>
      </c>
      <c r="S9" s="439">
        <v>30</v>
      </c>
      <c r="T9" s="461">
        <v>7</v>
      </c>
      <c r="U9" s="461">
        <v>31</v>
      </c>
      <c r="V9" s="464">
        <v>2.5</v>
      </c>
      <c r="W9" s="457">
        <v>2019634.11961718</v>
      </c>
      <c r="X9" s="457">
        <v>-25885.922330097099</v>
      </c>
      <c r="Y9" s="457">
        <v>0</v>
      </c>
      <c r="Z9" s="457">
        <v>7000</v>
      </c>
      <c r="AA9" s="457">
        <v>76746.096545452703</v>
      </c>
      <c r="AB9" s="457">
        <v>1942888.02307172</v>
      </c>
      <c r="AC9" s="457">
        <v>789975.40171250002</v>
      </c>
      <c r="AD9" s="457">
        <v>118496.310256875</v>
      </c>
      <c r="AE9" s="457">
        <v>671479.09145562502</v>
      </c>
      <c r="AF9" s="457">
        <v>281.86629219188899</v>
      </c>
      <c r="AG9" s="439"/>
      <c r="AH9" s="465">
        <v>-1.2817134588221301E-2</v>
      </c>
      <c r="AI9" s="465">
        <v>-2.2452631578947401E-2</v>
      </c>
      <c r="AJ9" s="465">
        <v>0</v>
      </c>
      <c r="AK9" s="457">
        <v>-25885.922330097099</v>
      </c>
      <c r="AL9" s="457">
        <v>0</v>
      </c>
      <c r="AM9" s="465">
        <v>0</v>
      </c>
    </row>
    <row r="10" spans="1:39" ht="14.55" customHeight="1" x14ac:dyDescent="0.3">
      <c r="A10" s="439">
        <v>10</v>
      </c>
      <c r="B10" s="461">
        <v>0</v>
      </c>
      <c r="C10" s="461" t="s">
        <v>470</v>
      </c>
      <c r="D10" s="462">
        <v>0</v>
      </c>
      <c r="E10" s="439" t="s">
        <v>361</v>
      </c>
      <c r="F10" s="439" t="s">
        <v>42</v>
      </c>
      <c r="G10" s="439" t="s">
        <v>362</v>
      </c>
      <c r="H10" s="439" t="s">
        <v>297</v>
      </c>
      <c r="I10" s="439">
        <v>460</v>
      </c>
      <c r="J10" s="463">
        <v>4951.3940000000002</v>
      </c>
      <c r="K10" s="463">
        <v>2900</v>
      </c>
      <c r="L10" s="463">
        <v>1250</v>
      </c>
      <c r="M10" s="457">
        <v>938511.32686084101</v>
      </c>
      <c r="N10" s="457">
        <v>404530.74433656997</v>
      </c>
      <c r="O10" s="457">
        <v>23462.783171521001</v>
      </c>
      <c r="P10" s="457">
        <v>1366504.85436893</v>
      </c>
      <c r="Q10" s="439">
        <v>1</v>
      </c>
      <c r="R10" s="439">
        <v>6</v>
      </c>
      <c r="S10" s="439">
        <v>30</v>
      </c>
      <c r="T10" s="461">
        <v>7</v>
      </c>
      <c r="U10" s="461">
        <v>31</v>
      </c>
      <c r="V10" s="464">
        <v>2.5</v>
      </c>
      <c r="W10" s="457">
        <v>2393797.9144094102</v>
      </c>
      <c r="X10" s="457">
        <v>-29012.135922330101</v>
      </c>
      <c r="Y10" s="457">
        <v>0</v>
      </c>
      <c r="Z10" s="457">
        <v>7000</v>
      </c>
      <c r="AA10" s="457">
        <v>90964.320747557606</v>
      </c>
      <c r="AB10" s="457">
        <v>2302833.5936618499</v>
      </c>
      <c r="AC10" s="457">
        <v>936328.73929292103</v>
      </c>
      <c r="AD10" s="457">
        <v>140449.310893938</v>
      </c>
      <c r="AE10" s="457">
        <v>795879.42839898297</v>
      </c>
      <c r="AF10" s="457">
        <v>275.98386522440597</v>
      </c>
      <c r="AG10" s="439"/>
      <c r="AH10" s="465">
        <v>-1.2119709749804799E-2</v>
      </c>
      <c r="AI10" s="465">
        <v>-2.1230905861456501E-2</v>
      </c>
      <c r="AJ10" s="465">
        <v>0</v>
      </c>
      <c r="AK10" s="457">
        <v>-29012.135922330101</v>
      </c>
      <c r="AL10" s="457">
        <v>0</v>
      </c>
      <c r="AM10" s="465">
        <v>0</v>
      </c>
    </row>
    <row r="11" spans="1:39" x14ac:dyDescent="0.3">
      <c r="A11" s="439"/>
      <c r="B11" s="439"/>
      <c r="C11" s="439"/>
      <c r="D11" s="439"/>
      <c r="E11" s="439"/>
      <c r="F11" s="439"/>
      <c r="G11" s="439"/>
      <c r="H11" s="439"/>
      <c r="I11" s="439"/>
      <c r="J11" s="439"/>
      <c r="K11" s="439"/>
      <c r="L11" s="439"/>
      <c r="M11" s="439"/>
      <c r="N11" s="439"/>
      <c r="O11" s="439"/>
      <c r="P11" s="439"/>
      <c r="Q11" s="439"/>
      <c r="R11" s="439"/>
      <c r="S11" s="439"/>
      <c r="T11" s="439"/>
      <c r="U11" s="439"/>
      <c r="V11" s="439"/>
      <c r="W11" s="439"/>
      <c r="X11" s="439"/>
      <c r="Y11" s="439"/>
      <c r="Z11" s="439"/>
      <c r="AA11" s="439"/>
      <c r="AB11" s="439"/>
      <c r="AC11" s="439"/>
      <c r="AD11" s="439"/>
      <c r="AE11" s="439"/>
      <c r="AF11" s="439"/>
      <c r="AG11" s="439"/>
      <c r="AH11" s="439"/>
      <c r="AI11" s="439"/>
      <c r="AJ11" s="439"/>
      <c r="AK11" s="439"/>
      <c r="AL11" s="439"/>
      <c r="AM11" s="439"/>
    </row>
    <row r="12" spans="1:39" ht="14.55" customHeight="1" x14ac:dyDescent="0.3">
      <c r="A12" s="447" t="s">
        <v>1134</v>
      </c>
      <c r="B12" s="447"/>
      <c r="C12" s="447"/>
      <c r="D12" s="447"/>
      <c r="E12" s="447"/>
      <c r="F12" s="447"/>
      <c r="G12" s="447"/>
      <c r="H12" s="447"/>
      <c r="I12" s="447"/>
      <c r="J12" s="447"/>
      <c r="K12" s="447"/>
      <c r="L12" s="447"/>
      <c r="M12" s="439"/>
      <c r="N12" s="439"/>
      <c r="O12" s="439"/>
      <c r="P12" s="439"/>
      <c r="Q12" s="439"/>
      <c r="R12" s="439"/>
      <c r="S12" s="439"/>
      <c r="T12" s="439"/>
      <c r="U12" s="439"/>
      <c r="V12" s="439"/>
      <c r="W12" s="439"/>
      <c r="X12" s="439"/>
      <c r="Y12" s="439"/>
      <c r="Z12" s="439"/>
      <c r="AA12" s="439"/>
      <c r="AB12" s="439"/>
      <c r="AC12" s="439"/>
      <c r="AD12" s="439"/>
      <c r="AE12" s="439"/>
      <c r="AF12" s="439"/>
      <c r="AG12" s="439"/>
      <c r="AH12" s="439"/>
      <c r="AI12" s="439"/>
      <c r="AJ12" s="439"/>
      <c r="AK12" s="439"/>
      <c r="AL12" s="439"/>
      <c r="AM12" s="439"/>
    </row>
    <row r="13" spans="1:39" ht="48" customHeight="1" x14ac:dyDescent="0.3">
      <c r="A13" s="460" t="s">
        <v>147</v>
      </c>
      <c r="B13" s="460" t="s">
        <v>148</v>
      </c>
      <c r="C13" s="460" t="s">
        <v>149</v>
      </c>
      <c r="D13" s="460" t="s">
        <v>150</v>
      </c>
      <c r="E13" s="460" t="s">
        <v>930</v>
      </c>
      <c r="F13" s="460" t="s">
        <v>943</v>
      </c>
      <c r="G13" s="460" t="s">
        <v>1096</v>
      </c>
      <c r="H13" s="460" t="s">
        <v>369</v>
      </c>
      <c r="I13" s="460" t="s">
        <v>1097</v>
      </c>
      <c r="J13" s="460" t="s">
        <v>1098</v>
      </c>
      <c r="K13" s="460" t="s">
        <v>966</v>
      </c>
      <c r="L13" s="564" t="s">
        <v>1058</v>
      </c>
      <c r="M13" s="564"/>
      <c r="N13" s="564"/>
      <c r="O13" s="564"/>
      <c r="P13" s="564"/>
      <c r="Q13" s="564"/>
      <c r="R13" s="564"/>
      <c r="S13" s="439"/>
      <c r="T13" s="439"/>
      <c r="U13" s="439"/>
      <c r="V13" s="439"/>
      <c r="W13" s="439"/>
      <c r="X13" s="439"/>
      <c r="Y13" s="439"/>
      <c r="Z13" s="439"/>
      <c r="AA13" s="439"/>
      <c r="AB13" s="439"/>
      <c r="AC13" s="439"/>
      <c r="AD13" s="439"/>
      <c r="AE13" s="439"/>
      <c r="AF13" s="439"/>
      <c r="AG13" s="439"/>
      <c r="AH13" s="439"/>
      <c r="AI13" s="439"/>
      <c r="AJ13" s="439"/>
      <c r="AK13" s="439"/>
      <c r="AL13" s="439"/>
      <c r="AM13" s="439"/>
    </row>
    <row r="14" spans="1:39" ht="14.55" customHeight="1" x14ac:dyDescent="0.3">
      <c r="A14" s="439" t="s">
        <v>299</v>
      </c>
      <c r="B14" s="465">
        <v>4.4999999999999997E-3</v>
      </c>
      <c r="C14" s="464">
        <v>2</v>
      </c>
      <c r="D14" s="464">
        <v>1</v>
      </c>
      <c r="E14" s="465">
        <v>8.5000000000000006E-2</v>
      </c>
      <c r="F14" s="465">
        <v>8.5000000000000006E-2</v>
      </c>
      <c r="G14" s="466">
        <v>0.4</v>
      </c>
      <c r="H14" s="466">
        <v>0.3</v>
      </c>
      <c r="I14" s="467">
        <v>250</v>
      </c>
      <c r="J14" s="439" t="s">
        <v>1135</v>
      </c>
      <c r="K14" s="439" t="s">
        <v>1136</v>
      </c>
      <c r="L14" s="468">
        <v>6</v>
      </c>
      <c r="M14" s="439"/>
      <c r="N14" s="439"/>
      <c r="O14" s="439"/>
      <c r="P14" s="439"/>
      <c r="Q14" s="439"/>
      <c r="R14" s="439"/>
      <c r="S14" s="439"/>
      <c r="T14" s="439"/>
      <c r="U14" s="439"/>
      <c r="V14" s="439"/>
      <c r="W14" s="439"/>
      <c r="X14" s="439"/>
      <c r="Y14" s="439"/>
      <c r="Z14" s="439"/>
      <c r="AA14" s="439"/>
      <c r="AB14" s="439"/>
      <c r="AC14" s="439"/>
      <c r="AD14" s="439"/>
      <c r="AE14" s="439"/>
      <c r="AF14" s="439"/>
      <c r="AG14" s="439"/>
      <c r="AH14" s="439"/>
      <c r="AI14" s="439"/>
      <c r="AJ14" s="439"/>
      <c r="AK14" s="439"/>
      <c r="AL14" s="439"/>
      <c r="AM14" s="439"/>
    </row>
    <row r="15" spans="1:39" ht="14.55" customHeight="1" x14ac:dyDescent="0.3">
      <c r="A15" s="439" t="s">
        <v>300</v>
      </c>
      <c r="B15" s="465">
        <v>4.4999999999999997E-3</v>
      </c>
      <c r="C15" s="464">
        <v>2.4</v>
      </c>
      <c r="D15" s="464">
        <v>1.1000000000000001</v>
      </c>
      <c r="E15" s="465">
        <v>8.5000000000000006E-2</v>
      </c>
      <c r="F15" s="465">
        <v>8.5000000000000006E-2</v>
      </c>
      <c r="G15" s="466">
        <v>0.4</v>
      </c>
      <c r="H15" s="466">
        <v>0.3</v>
      </c>
      <c r="I15" s="467">
        <v>250</v>
      </c>
      <c r="J15" s="439" t="s">
        <v>1135</v>
      </c>
      <c r="K15" s="439" t="s">
        <v>1136</v>
      </c>
      <c r="L15" s="468">
        <v>6</v>
      </c>
      <c r="M15" s="439"/>
      <c r="N15" s="439"/>
      <c r="O15" s="439"/>
      <c r="P15" s="439"/>
      <c r="Q15" s="439"/>
      <c r="R15" s="439"/>
      <c r="S15" s="439"/>
      <c r="T15" s="439"/>
      <c r="U15" s="439"/>
      <c r="V15" s="439"/>
      <c r="W15" s="439"/>
      <c r="X15" s="439"/>
      <c r="Y15" s="439"/>
      <c r="Z15" s="439"/>
      <c r="AA15" s="439"/>
      <c r="AB15" s="439"/>
      <c r="AC15" s="439"/>
      <c r="AD15" s="439"/>
      <c r="AE15" s="439"/>
      <c r="AF15" s="439"/>
      <c r="AG15" s="439"/>
      <c r="AH15" s="439"/>
      <c r="AI15" s="439"/>
      <c r="AJ15" s="439"/>
      <c r="AK15" s="439"/>
      <c r="AL15" s="439"/>
      <c r="AM15" s="439"/>
    </row>
    <row r="16" spans="1:39" ht="14.55" customHeight="1" x14ac:dyDescent="0.3">
      <c r="A16" s="439" t="s">
        <v>301</v>
      </c>
      <c r="B16" s="465">
        <v>4.4999999999999997E-3</v>
      </c>
      <c r="C16" s="464">
        <v>2.1</v>
      </c>
      <c r="D16" s="464">
        <v>1.4</v>
      </c>
      <c r="E16" s="465">
        <v>8.5000000000000006E-2</v>
      </c>
      <c r="F16" s="465">
        <v>8.5000000000000006E-2</v>
      </c>
      <c r="G16" s="466">
        <v>0.4</v>
      </c>
      <c r="H16" s="466">
        <v>0.3</v>
      </c>
      <c r="I16" s="467">
        <v>250</v>
      </c>
      <c r="J16" s="439" t="s">
        <v>1135</v>
      </c>
      <c r="K16" s="439" t="s">
        <v>1136</v>
      </c>
      <c r="L16" s="468">
        <v>6</v>
      </c>
      <c r="M16" s="439"/>
      <c r="N16" s="439"/>
      <c r="O16" s="439"/>
      <c r="P16" s="439"/>
      <c r="Q16" s="439"/>
      <c r="R16" s="439"/>
      <c r="S16" s="439"/>
      <c r="T16" s="439"/>
      <c r="U16" s="439"/>
      <c r="V16" s="439"/>
      <c r="W16" s="439"/>
      <c r="X16" s="439"/>
      <c r="Y16" s="439"/>
      <c r="Z16" s="439"/>
      <c r="AA16" s="439"/>
      <c r="AB16" s="439"/>
      <c r="AC16" s="439"/>
      <c r="AD16" s="439"/>
      <c r="AE16" s="439"/>
      <c r="AF16" s="439"/>
      <c r="AG16" s="439"/>
      <c r="AH16" s="439"/>
      <c r="AI16" s="439"/>
      <c r="AJ16" s="439"/>
      <c r="AK16" s="439"/>
      <c r="AL16" s="439"/>
      <c r="AM16" s="439"/>
    </row>
    <row r="17" spans="1:39" ht="14.55" customHeight="1" x14ac:dyDescent="0.3">
      <c r="A17" s="439" t="s">
        <v>359</v>
      </c>
      <c r="B17" s="465">
        <v>4.4999999999999997E-3</v>
      </c>
      <c r="C17" s="464">
        <v>2.2999999999999998</v>
      </c>
      <c r="D17" s="464">
        <v>1.1000000000000001</v>
      </c>
      <c r="E17" s="465">
        <v>8.5000000000000006E-2</v>
      </c>
      <c r="F17" s="465">
        <v>8.5000000000000006E-2</v>
      </c>
      <c r="G17" s="466">
        <v>0.4</v>
      </c>
      <c r="H17" s="466">
        <v>0.3</v>
      </c>
      <c r="I17" s="467">
        <v>250</v>
      </c>
      <c r="J17" s="439" t="s">
        <v>1135</v>
      </c>
      <c r="K17" s="439" t="s">
        <v>1136</v>
      </c>
      <c r="L17" s="468">
        <v>6</v>
      </c>
      <c r="M17" s="439"/>
      <c r="N17" s="439"/>
      <c r="O17" s="439"/>
      <c r="P17" s="439"/>
      <c r="Q17" s="439"/>
      <c r="R17" s="439"/>
      <c r="S17" s="439"/>
      <c r="T17" s="439"/>
      <c r="U17" s="439"/>
      <c r="V17" s="439"/>
      <c r="W17" s="439"/>
      <c r="X17" s="439"/>
      <c r="Y17" s="439"/>
      <c r="Z17" s="439"/>
      <c r="AA17" s="439"/>
      <c r="AB17" s="439"/>
      <c r="AC17" s="439"/>
      <c r="AD17" s="439"/>
      <c r="AE17" s="439"/>
      <c r="AF17" s="439"/>
      <c r="AG17" s="439"/>
      <c r="AH17" s="439"/>
      <c r="AI17" s="439"/>
      <c r="AJ17" s="439"/>
      <c r="AK17" s="439"/>
      <c r="AL17" s="439"/>
      <c r="AM17" s="439"/>
    </row>
    <row r="18" spans="1:39" ht="14.55" customHeight="1" x14ac:dyDescent="0.3">
      <c r="A18" s="439" t="s">
        <v>361</v>
      </c>
      <c r="B18" s="465">
        <v>4.4999999999999997E-3</v>
      </c>
      <c r="C18" s="464">
        <v>2.4</v>
      </c>
      <c r="D18" s="464">
        <v>1.2</v>
      </c>
      <c r="E18" s="465">
        <v>8.5000000000000006E-2</v>
      </c>
      <c r="F18" s="465">
        <v>8.5000000000000006E-2</v>
      </c>
      <c r="G18" s="466">
        <v>0.4</v>
      </c>
      <c r="H18" s="466">
        <v>0.3</v>
      </c>
      <c r="I18" s="467">
        <v>250</v>
      </c>
      <c r="J18" s="439" t="s">
        <v>1135</v>
      </c>
      <c r="K18" s="439" t="s">
        <v>1136</v>
      </c>
      <c r="L18" s="468">
        <v>6</v>
      </c>
      <c r="M18" s="439"/>
      <c r="N18" s="439"/>
      <c r="O18" s="439"/>
      <c r="P18" s="439"/>
      <c r="Q18" s="439"/>
      <c r="R18" s="439"/>
      <c r="S18" s="439"/>
      <c r="T18" s="439"/>
      <c r="U18" s="439"/>
      <c r="V18" s="439"/>
      <c r="W18" s="439"/>
      <c r="X18" s="439"/>
      <c r="Y18" s="439"/>
      <c r="Z18" s="439"/>
      <c r="AA18" s="439"/>
      <c r="AB18" s="439"/>
      <c r="AC18" s="439"/>
      <c r="AD18" s="439"/>
      <c r="AE18" s="439"/>
      <c r="AF18" s="439"/>
      <c r="AG18" s="439"/>
      <c r="AH18" s="439"/>
      <c r="AI18" s="439"/>
      <c r="AJ18" s="439"/>
      <c r="AK18" s="439"/>
      <c r="AL18" s="439"/>
      <c r="AM18" s="439"/>
    </row>
    <row r="19" spans="1:39" x14ac:dyDescent="0.3">
      <c r="A19" s="439"/>
      <c r="B19" s="439"/>
      <c r="C19" s="439"/>
      <c r="D19" s="439"/>
      <c r="E19" s="439"/>
      <c r="F19" s="439"/>
      <c r="G19" s="439"/>
      <c r="H19" s="439"/>
      <c r="I19" s="439"/>
      <c r="J19" s="439"/>
      <c r="K19" s="439"/>
      <c r="L19" s="439"/>
      <c r="M19" s="439"/>
      <c r="N19" s="439"/>
      <c r="O19" s="439"/>
      <c r="P19" s="439"/>
      <c r="Q19" s="439"/>
      <c r="R19" s="439"/>
      <c r="S19" s="439"/>
      <c r="T19" s="439"/>
      <c r="U19" s="439"/>
      <c r="V19" s="439"/>
      <c r="W19" s="439"/>
      <c r="X19" s="439"/>
      <c r="Y19" s="439"/>
      <c r="Z19" s="439"/>
      <c r="AA19" s="439"/>
      <c r="AB19" s="439"/>
      <c r="AC19" s="439"/>
      <c r="AD19" s="439"/>
      <c r="AE19" s="439"/>
      <c r="AF19" s="439"/>
      <c r="AG19" s="439"/>
      <c r="AH19" s="439"/>
      <c r="AI19" s="439"/>
      <c r="AJ19" s="439"/>
      <c r="AK19" s="439"/>
      <c r="AL19" s="439"/>
      <c r="AM19" s="439"/>
    </row>
    <row r="20" spans="1:39" x14ac:dyDescent="0.3">
      <c r="A20" s="439"/>
      <c r="B20" s="439"/>
      <c r="C20" s="439"/>
      <c r="D20" s="439"/>
      <c r="E20" s="439"/>
      <c r="F20" s="439"/>
      <c r="G20" s="439"/>
      <c r="H20" s="439"/>
      <c r="I20" s="439"/>
      <c r="J20" s="439"/>
      <c r="K20" s="439"/>
      <c r="L20" s="439"/>
      <c r="M20" s="439"/>
      <c r="N20" s="439"/>
      <c r="O20" s="439"/>
      <c r="P20" s="439"/>
      <c r="Q20" s="439"/>
      <c r="R20" s="439"/>
      <c r="S20" s="439"/>
      <c r="T20" s="439"/>
      <c r="U20" s="439"/>
      <c r="V20" s="439"/>
      <c r="W20" s="439"/>
      <c r="X20" s="439"/>
      <c r="Y20" s="439"/>
      <c r="Z20" s="439"/>
      <c r="AA20" s="439"/>
      <c r="AB20" s="439"/>
      <c r="AC20" s="439"/>
      <c r="AD20" s="439"/>
      <c r="AE20" s="439"/>
      <c r="AF20" s="439"/>
      <c r="AG20" s="439"/>
      <c r="AH20" s="439"/>
      <c r="AI20" s="439"/>
      <c r="AJ20" s="439"/>
      <c r="AK20" s="439"/>
      <c r="AL20" s="439"/>
      <c r="AM20" s="439"/>
    </row>
  </sheetData>
  <mergeCells count="1">
    <mergeCell ref="L13:R1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913C8-F890-43BF-A62B-16AA2B9B9181}">
  <sheetPr>
    <tabColor rgb="FF132E57"/>
  </sheetPr>
  <dimension ref="A1:B248"/>
  <sheetViews>
    <sheetView workbookViewId="0"/>
  </sheetViews>
  <sheetFormatPr defaultRowHeight="14.4" x14ac:dyDescent="0.3"/>
  <cols>
    <col min="1" max="1" width="24.109375" customWidth="1"/>
    <col min="2" max="2" width="129.6640625" customWidth="1"/>
  </cols>
  <sheetData>
    <row r="1" spans="1:2" ht="18" customHeight="1" x14ac:dyDescent="0.3">
      <c r="A1" s="4" t="s">
        <v>125</v>
      </c>
      <c r="B1" s="1"/>
    </row>
    <row r="2" spans="1:2" ht="14.55" customHeight="1" x14ac:dyDescent="0.3">
      <c r="A2" s="1" t="s">
        <v>126</v>
      </c>
      <c r="B2" s="1"/>
    </row>
    <row r="3" spans="1:2" ht="360" customHeight="1" x14ac:dyDescent="0.3">
      <c r="A3" s="279">
        <v>46290</v>
      </c>
      <c r="B3" s="29" t="s">
        <v>1618</v>
      </c>
    </row>
    <row r="4" spans="1:2" ht="360" customHeight="1" x14ac:dyDescent="0.3">
      <c r="A4" s="279">
        <v>46292</v>
      </c>
      <c r="B4" s="29" t="s">
        <v>1613</v>
      </c>
    </row>
    <row r="5" spans="1:2" ht="360" customHeight="1" x14ac:dyDescent="0.3">
      <c r="A5" s="279">
        <v>46292</v>
      </c>
      <c r="B5" s="29" t="s">
        <v>1614</v>
      </c>
    </row>
    <row r="6" spans="1:2" ht="360" customHeight="1" x14ac:dyDescent="0.3">
      <c r="A6" s="279">
        <v>46292</v>
      </c>
      <c r="B6" s="29" t="s">
        <v>1615</v>
      </c>
    </row>
    <row r="7" spans="1:2" ht="360" customHeight="1" x14ac:dyDescent="0.3">
      <c r="A7" s="279">
        <v>46292</v>
      </c>
      <c r="B7" s="29" t="s">
        <v>1616</v>
      </c>
    </row>
    <row r="8" spans="1:2" ht="360" customHeight="1" x14ac:dyDescent="0.3">
      <c r="A8" s="279">
        <v>46292</v>
      </c>
      <c r="B8" s="29" t="s">
        <v>1617</v>
      </c>
    </row>
    <row r="9" spans="1:2" ht="100.05" customHeight="1" x14ac:dyDescent="0.3">
      <c r="A9" s="279">
        <v>46290</v>
      </c>
      <c r="B9" s="29" t="s">
        <v>1561</v>
      </c>
    </row>
    <row r="10" spans="1:2" ht="100.05" customHeight="1" x14ac:dyDescent="0.3">
      <c r="A10" s="279">
        <v>46290</v>
      </c>
      <c r="B10" s="29" t="s">
        <v>1558</v>
      </c>
    </row>
    <row r="11" spans="1:2" ht="100.05" customHeight="1" x14ac:dyDescent="0.3">
      <c r="A11" s="279">
        <v>46290</v>
      </c>
      <c r="B11" s="29" t="s">
        <v>1553</v>
      </c>
    </row>
    <row r="12" spans="1:2" ht="100.05" customHeight="1" x14ac:dyDescent="0.3">
      <c r="A12" s="279">
        <v>46290</v>
      </c>
      <c r="B12" s="29" t="s">
        <v>1552</v>
      </c>
    </row>
    <row r="13" spans="1:2" ht="100.05" customHeight="1" x14ac:dyDescent="0.3">
      <c r="A13" s="279">
        <v>46290</v>
      </c>
      <c r="B13" s="29" t="s">
        <v>1547</v>
      </c>
    </row>
    <row r="14" spans="1:2" ht="100.05" customHeight="1" x14ac:dyDescent="0.3">
      <c r="A14" s="279">
        <v>46290</v>
      </c>
      <c r="B14" s="29" t="s">
        <v>1537</v>
      </c>
    </row>
    <row r="15" spans="1:2" ht="115.2" customHeight="1" x14ac:dyDescent="0.3">
      <c r="A15" s="279">
        <v>46290</v>
      </c>
      <c r="B15" s="29" t="s">
        <v>1535</v>
      </c>
    </row>
    <row r="16" spans="1:2" ht="115.2" customHeight="1" x14ac:dyDescent="0.3">
      <c r="A16" s="279">
        <v>46290</v>
      </c>
      <c r="B16" s="29" t="s">
        <v>1533</v>
      </c>
    </row>
    <row r="17" spans="1:2" ht="115.2" customHeight="1" x14ac:dyDescent="0.3">
      <c r="A17" s="279">
        <v>46290</v>
      </c>
      <c r="B17" s="29" t="s">
        <v>1530</v>
      </c>
    </row>
    <row r="18" spans="1:2" ht="144" customHeight="1" x14ac:dyDescent="0.3">
      <c r="A18" s="279">
        <v>46290</v>
      </c>
      <c r="B18" s="29" t="s">
        <v>1529</v>
      </c>
    </row>
    <row r="19" spans="1:2" ht="172.8" customHeight="1" x14ac:dyDescent="0.3">
      <c r="A19" s="279">
        <v>46282</v>
      </c>
      <c r="B19" s="29" t="s">
        <v>1032</v>
      </c>
    </row>
    <row r="20" spans="1:2" ht="115.2" customHeight="1" x14ac:dyDescent="0.3">
      <c r="A20" s="279">
        <v>46282</v>
      </c>
      <c r="B20" s="29" t="s">
        <v>1031</v>
      </c>
    </row>
    <row r="21" spans="1:2" ht="100.8" customHeight="1" x14ac:dyDescent="0.3">
      <c r="A21" s="279"/>
      <c r="B21" s="29" t="s">
        <v>1027</v>
      </c>
    </row>
    <row r="22" spans="1:2" ht="388.8" customHeight="1" x14ac:dyDescent="0.3">
      <c r="A22" s="279">
        <v>46268</v>
      </c>
      <c r="B22" s="29" t="s">
        <v>1013</v>
      </c>
    </row>
    <row r="23" spans="1:2" ht="409.05" customHeight="1" x14ac:dyDescent="0.3">
      <c r="A23" s="279">
        <v>46268</v>
      </c>
      <c r="B23" s="29" t="s">
        <v>1012</v>
      </c>
    </row>
    <row r="24" spans="1:2" ht="187.2" customHeight="1" x14ac:dyDescent="0.3">
      <c r="A24" s="279">
        <v>46268</v>
      </c>
      <c r="B24" s="29" t="s">
        <v>1011</v>
      </c>
    </row>
    <row r="25" spans="1:2" ht="331.2" customHeight="1" x14ac:dyDescent="0.3">
      <c r="A25" s="279">
        <v>46268</v>
      </c>
      <c r="B25" s="29" t="s">
        <v>1009</v>
      </c>
    </row>
    <row r="26" spans="1:2" ht="331.2" customHeight="1" x14ac:dyDescent="0.3">
      <c r="A26" s="279">
        <v>46268</v>
      </c>
      <c r="B26" s="29" t="s">
        <v>1008</v>
      </c>
    </row>
    <row r="27" spans="1:2" ht="302.55" customHeight="1" x14ac:dyDescent="0.3">
      <c r="A27" s="279">
        <v>46268</v>
      </c>
      <c r="B27" s="29" t="s">
        <v>1007</v>
      </c>
    </row>
    <row r="28" spans="1:2" ht="273.45" customHeight="1" x14ac:dyDescent="0.3">
      <c r="A28" s="279">
        <v>46268</v>
      </c>
      <c r="B28" s="29" t="s">
        <v>1006</v>
      </c>
    </row>
    <row r="29" spans="1:2" ht="409.05" customHeight="1" x14ac:dyDescent="0.3">
      <c r="A29" s="279">
        <v>46268</v>
      </c>
      <c r="B29" s="29" t="s">
        <v>987</v>
      </c>
    </row>
    <row r="30" spans="1:2" ht="259.2" customHeight="1" x14ac:dyDescent="0.3">
      <c r="A30" s="279">
        <v>46268</v>
      </c>
      <c r="B30" s="29" t="s">
        <v>984</v>
      </c>
    </row>
    <row r="31" spans="1:2" ht="388.8" customHeight="1" x14ac:dyDescent="0.3">
      <c r="A31" s="279">
        <v>46268</v>
      </c>
      <c r="B31" s="29" t="s">
        <v>983</v>
      </c>
    </row>
    <row r="32" spans="1:2" ht="409.05" customHeight="1" x14ac:dyDescent="0.3">
      <c r="A32" s="279">
        <v>46268</v>
      </c>
      <c r="B32" s="29" t="s">
        <v>938</v>
      </c>
    </row>
    <row r="33" spans="1:2" ht="115.2" customHeight="1" x14ac:dyDescent="0.3">
      <c r="A33" s="279">
        <v>46268</v>
      </c>
      <c r="B33" s="29" t="s">
        <v>939</v>
      </c>
    </row>
    <row r="34" spans="1:2" ht="409.05" customHeight="1" x14ac:dyDescent="0.3">
      <c r="A34" s="279">
        <v>46268</v>
      </c>
      <c r="B34" s="29" t="s">
        <v>941</v>
      </c>
    </row>
    <row r="35" spans="1:2" ht="409.05" customHeight="1" x14ac:dyDescent="0.3">
      <c r="A35" s="279">
        <v>46268</v>
      </c>
      <c r="B35" s="29" t="s">
        <v>942</v>
      </c>
    </row>
    <row r="36" spans="1:2" ht="100.8" customHeight="1" x14ac:dyDescent="0.3">
      <c r="A36" s="279">
        <v>46268</v>
      </c>
      <c r="B36" s="29" t="s">
        <v>944</v>
      </c>
    </row>
    <row r="37" spans="1:2" ht="409.05" customHeight="1" x14ac:dyDescent="0.3">
      <c r="A37" s="279">
        <v>46268</v>
      </c>
      <c r="B37" s="29" t="s">
        <v>949</v>
      </c>
    </row>
    <row r="38" spans="1:2" ht="409.05" customHeight="1" x14ac:dyDescent="0.3">
      <c r="A38" s="279">
        <v>46268</v>
      </c>
      <c r="B38" s="29" t="s">
        <v>950</v>
      </c>
    </row>
    <row r="39" spans="1:2" ht="409.05" customHeight="1" x14ac:dyDescent="0.3">
      <c r="A39" s="279">
        <v>46268</v>
      </c>
      <c r="B39" s="29" t="s">
        <v>954</v>
      </c>
    </row>
    <row r="40" spans="1:2" ht="409.05" customHeight="1" x14ac:dyDescent="0.3">
      <c r="A40" s="279">
        <v>46268</v>
      </c>
      <c r="B40" s="29" t="s">
        <v>960</v>
      </c>
    </row>
    <row r="41" spans="1:2" ht="409.05" customHeight="1" x14ac:dyDescent="0.3">
      <c r="A41" s="279">
        <v>46268</v>
      </c>
      <c r="B41" s="29" t="s">
        <v>961</v>
      </c>
    </row>
    <row r="42" spans="1:2" ht="409.05" customHeight="1" x14ac:dyDescent="0.3">
      <c r="A42" s="279">
        <v>46268</v>
      </c>
      <c r="B42" s="29" t="s">
        <v>970</v>
      </c>
    </row>
    <row r="43" spans="1:2" ht="302.55" customHeight="1" x14ac:dyDescent="0.3">
      <c r="A43" s="279">
        <v>46268</v>
      </c>
      <c r="B43" s="29" t="s">
        <v>971</v>
      </c>
    </row>
    <row r="44" spans="1:2" ht="187.2" customHeight="1" x14ac:dyDescent="0.3">
      <c r="A44" s="279">
        <v>46268</v>
      </c>
      <c r="B44" s="29" t="s">
        <v>947</v>
      </c>
    </row>
    <row r="45" spans="1:2" ht="409.05" customHeight="1" x14ac:dyDescent="0.3">
      <c r="A45" s="279">
        <v>46267</v>
      </c>
      <c r="B45" s="29" t="s">
        <v>923</v>
      </c>
    </row>
    <row r="46" spans="1:2" ht="172.8" customHeight="1" x14ac:dyDescent="0.3">
      <c r="A46" s="279">
        <v>46267</v>
      </c>
      <c r="B46" s="29" t="s">
        <v>922</v>
      </c>
    </row>
    <row r="47" spans="1:2" ht="316.8" customHeight="1" x14ac:dyDescent="0.3">
      <c r="A47" s="279">
        <v>46267</v>
      </c>
      <c r="B47" s="29" t="s">
        <v>891</v>
      </c>
    </row>
    <row r="48" spans="1:2" ht="216" customHeight="1" x14ac:dyDescent="0.3">
      <c r="A48" s="279">
        <v>46267</v>
      </c>
      <c r="B48" s="29" t="s">
        <v>890</v>
      </c>
    </row>
    <row r="49" spans="1:2" ht="129.44999999999999" customHeight="1" x14ac:dyDescent="0.3">
      <c r="A49" s="279" t="s">
        <v>885</v>
      </c>
      <c r="B49" s="29" t="s">
        <v>886</v>
      </c>
    </row>
    <row r="50" spans="1:2" ht="244.8" customHeight="1" x14ac:dyDescent="0.3">
      <c r="A50" s="279">
        <v>46267</v>
      </c>
      <c r="B50" s="29" t="s">
        <v>879</v>
      </c>
    </row>
    <row r="51" spans="1:2" ht="57.45" customHeight="1" x14ac:dyDescent="0.3">
      <c r="A51" s="279">
        <v>46267</v>
      </c>
      <c r="B51" s="29" t="s">
        <v>869</v>
      </c>
    </row>
    <row r="52" spans="1:2" ht="172.8" customHeight="1" x14ac:dyDescent="0.3">
      <c r="A52" s="279">
        <v>46266</v>
      </c>
      <c r="B52" s="29" t="s">
        <v>868</v>
      </c>
    </row>
    <row r="53" spans="1:2" ht="72" customHeight="1" x14ac:dyDescent="0.3">
      <c r="A53" s="277">
        <v>46266</v>
      </c>
      <c r="B53" s="278" t="s">
        <v>867</v>
      </c>
    </row>
    <row r="54" spans="1:2" ht="129.44999999999999" customHeight="1" x14ac:dyDescent="0.3">
      <c r="A54" s="277">
        <v>46266</v>
      </c>
      <c r="B54" s="278" t="s">
        <v>866</v>
      </c>
    </row>
    <row r="55" spans="1:2" ht="409.05" customHeight="1" x14ac:dyDescent="0.3">
      <c r="A55" s="171">
        <v>46266</v>
      </c>
      <c r="B55" s="172" t="s">
        <v>865</v>
      </c>
    </row>
    <row r="56" spans="1:2" ht="86.55" customHeight="1" x14ac:dyDescent="0.3">
      <c r="A56" s="171">
        <f>DATE(2026,8,31)</f>
        <v>46265</v>
      </c>
      <c r="B56" s="172" t="s">
        <v>847</v>
      </c>
    </row>
    <row r="57" spans="1:2" ht="158.55000000000001" customHeight="1" x14ac:dyDescent="0.3">
      <c r="A57" s="171">
        <f>DATE(2026,8,31)</f>
        <v>46265</v>
      </c>
      <c r="B57" s="172" t="s">
        <v>837</v>
      </c>
    </row>
    <row r="58" spans="1:2" ht="129.44999999999999" customHeight="1" x14ac:dyDescent="0.3">
      <c r="A58" s="171">
        <f>DATE(2026,8,31)</f>
        <v>46265</v>
      </c>
      <c r="B58" s="172" t="s">
        <v>836</v>
      </c>
    </row>
    <row r="59" spans="1:2" ht="15" customHeight="1" x14ac:dyDescent="0.3">
      <c r="A59" s="171">
        <f t="shared" ref="A59:A70" si="0">DATE(2026,8,31)</f>
        <v>46265</v>
      </c>
      <c r="B59" s="226" t="s">
        <v>835</v>
      </c>
    </row>
    <row r="60" spans="1:2" ht="15" customHeight="1" x14ac:dyDescent="0.3">
      <c r="A60" s="171">
        <f t="shared" si="0"/>
        <v>46265</v>
      </c>
      <c r="B60" s="226" t="s">
        <v>824</v>
      </c>
    </row>
    <row r="61" spans="1:2" ht="15" customHeight="1" x14ac:dyDescent="0.3">
      <c r="A61" s="171">
        <f t="shared" si="0"/>
        <v>46265</v>
      </c>
      <c r="B61" s="226" t="s">
        <v>823</v>
      </c>
    </row>
    <row r="62" spans="1:2" ht="15" customHeight="1" x14ac:dyDescent="0.3">
      <c r="A62" s="171">
        <f t="shared" si="0"/>
        <v>46265</v>
      </c>
      <c r="B62" s="226" t="s">
        <v>818</v>
      </c>
    </row>
    <row r="63" spans="1:2" ht="15" customHeight="1" x14ac:dyDescent="0.3">
      <c r="A63" s="171">
        <f t="shared" si="0"/>
        <v>46265</v>
      </c>
      <c r="B63" s="226" t="s">
        <v>813</v>
      </c>
    </row>
    <row r="64" spans="1:2" ht="15" customHeight="1" x14ac:dyDescent="0.3">
      <c r="A64" s="171">
        <f t="shared" si="0"/>
        <v>46265</v>
      </c>
      <c r="B64" s="226" t="s">
        <v>811</v>
      </c>
    </row>
    <row r="65" spans="1:2" ht="15" customHeight="1" x14ac:dyDescent="0.3">
      <c r="A65" s="171">
        <f t="shared" si="0"/>
        <v>46265</v>
      </c>
      <c r="B65" s="226" t="s">
        <v>810</v>
      </c>
    </row>
    <row r="66" spans="1:2" ht="15" customHeight="1" x14ac:dyDescent="0.3">
      <c r="A66" s="171">
        <f t="shared" si="0"/>
        <v>46265</v>
      </c>
      <c r="B66" s="226" t="s">
        <v>796</v>
      </c>
    </row>
    <row r="67" spans="1:2" ht="15" customHeight="1" x14ac:dyDescent="0.3">
      <c r="A67" s="171">
        <f t="shared" si="0"/>
        <v>46265</v>
      </c>
      <c r="B67" s="226" t="s">
        <v>766</v>
      </c>
    </row>
    <row r="68" spans="1:2" ht="15" customHeight="1" x14ac:dyDescent="0.3">
      <c r="A68" s="171">
        <f t="shared" si="0"/>
        <v>46265</v>
      </c>
      <c r="B68" s="226" t="s">
        <v>757</v>
      </c>
    </row>
    <row r="69" spans="1:2" ht="14.55" customHeight="1" x14ac:dyDescent="0.3">
      <c r="A69" s="171">
        <f t="shared" si="0"/>
        <v>46265</v>
      </c>
      <c r="B69" s="226" t="s">
        <v>756</v>
      </c>
    </row>
    <row r="70" spans="1:2" ht="14.55" customHeight="1" x14ac:dyDescent="0.3">
      <c r="A70" s="171">
        <f t="shared" si="0"/>
        <v>46265</v>
      </c>
      <c r="B70" s="226" t="s">
        <v>705</v>
      </c>
    </row>
    <row r="71" spans="1:2" ht="302.55" customHeight="1" x14ac:dyDescent="0.3">
      <c r="A71" s="171">
        <v>46264</v>
      </c>
      <c r="B71" s="172" t="s">
        <v>679</v>
      </c>
    </row>
    <row r="72" spans="1:2" ht="230.55" customHeight="1" x14ac:dyDescent="0.3">
      <c r="A72" s="171">
        <v>46264</v>
      </c>
      <c r="B72" s="172" t="s">
        <v>618</v>
      </c>
    </row>
    <row r="73" spans="1:2" ht="230.55" customHeight="1" x14ac:dyDescent="0.3">
      <c r="A73" s="171">
        <v>46264</v>
      </c>
      <c r="B73" s="172" t="s">
        <v>617</v>
      </c>
    </row>
    <row r="74" spans="1:2" ht="409.05" customHeight="1" x14ac:dyDescent="0.3">
      <c r="A74" s="171">
        <v>46264</v>
      </c>
      <c r="B74" s="172" t="s">
        <v>616</v>
      </c>
    </row>
    <row r="75" spans="1:2" ht="273.45" customHeight="1" x14ac:dyDescent="0.3">
      <c r="A75" s="171">
        <v>46264</v>
      </c>
      <c r="B75" s="172" t="s">
        <v>611</v>
      </c>
    </row>
    <row r="76" spans="1:2" ht="158.55000000000001" customHeight="1" x14ac:dyDescent="0.3">
      <c r="A76" s="171">
        <v>46264</v>
      </c>
      <c r="B76" s="172" t="s">
        <v>610</v>
      </c>
    </row>
    <row r="77" spans="1:2" ht="409.05" customHeight="1" x14ac:dyDescent="0.3">
      <c r="A77" s="171">
        <v>46264</v>
      </c>
      <c r="B77" s="172" t="s">
        <v>609</v>
      </c>
    </row>
    <row r="78" spans="1:2" ht="288" customHeight="1" x14ac:dyDescent="0.3">
      <c r="A78" s="171">
        <v>46264</v>
      </c>
      <c r="B78" s="172" t="s">
        <v>608</v>
      </c>
    </row>
    <row r="79" spans="1:2" ht="374.55" customHeight="1" x14ac:dyDescent="0.3">
      <c r="A79" s="171">
        <v>46264</v>
      </c>
      <c r="B79" s="172" t="s">
        <v>607</v>
      </c>
    </row>
    <row r="80" spans="1:2" ht="259.2" customHeight="1" x14ac:dyDescent="0.3">
      <c r="A80" s="171">
        <v>46264</v>
      </c>
      <c r="B80" s="172" t="s">
        <v>604</v>
      </c>
    </row>
    <row r="81" spans="1:2" ht="259.2" customHeight="1" x14ac:dyDescent="0.3">
      <c r="A81" s="171">
        <v>46264</v>
      </c>
      <c r="B81" s="172" t="s">
        <v>603</v>
      </c>
    </row>
    <row r="82" spans="1:2" ht="273.45" customHeight="1" x14ac:dyDescent="0.3">
      <c r="A82" s="171">
        <v>46264</v>
      </c>
      <c r="B82" s="172" t="s">
        <v>601</v>
      </c>
    </row>
    <row r="83" spans="1:2" ht="360" customHeight="1" x14ac:dyDescent="0.3">
      <c r="A83" s="171">
        <v>46264</v>
      </c>
      <c r="B83" s="172" t="s">
        <v>600</v>
      </c>
    </row>
    <row r="84" spans="1:2" ht="288" customHeight="1" x14ac:dyDescent="0.3">
      <c r="A84" s="171">
        <v>46264</v>
      </c>
      <c r="B84" s="172" t="s">
        <v>598</v>
      </c>
    </row>
    <row r="85" spans="1:2" ht="201.45" customHeight="1" x14ac:dyDescent="0.3">
      <c r="A85" s="171">
        <v>46264</v>
      </c>
      <c r="B85" s="172" t="s">
        <v>596</v>
      </c>
    </row>
    <row r="86" spans="1:2" ht="316.8" customHeight="1" x14ac:dyDescent="0.3">
      <c r="A86" s="171">
        <v>46264</v>
      </c>
      <c r="B86" s="172" t="s">
        <v>595</v>
      </c>
    </row>
    <row r="87" spans="1:2" ht="331.2" customHeight="1" x14ac:dyDescent="0.3">
      <c r="A87" s="171">
        <v>46264</v>
      </c>
      <c r="B87" s="172" t="s">
        <v>591</v>
      </c>
    </row>
    <row r="88" spans="1:2" ht="374.55" customHeight="1" x14ac:dyDescent="0.3">
      <c r="A88" s="171">
        <v>46264</v>
      </c>
      <c r="B88" s="172" t="s">
        <v>588</v>
      </c>
    </row>
    <row r="89" spans="1:2" ht="345.45" customHeight="1" x14ac:dyDescent="0.3">
      <c r="A89" s="171">
        <v>46264</v>
      </c>
      <c r="B89" s="172" t="s">
        <v>587</v>
      </c>
    </row>
    <row r="90" spans="1:2" ht="187.2" customHeight="1" x14ac:dyDescent="0.3">
      <c r="A90" s="171">
        <v>46264</v>
      </c>
      <c r="B90" s="172" t="s">
        <v>586</v>
      </c>
    </row>
    <row r="91" spans="1:2" ht="302.55" customHeight="1" x14ac:dyDescent="0.3">
      <c r="A91" s="171">
        <v>46264</v>
      </c>
      <c r="B91" s="172" t="s">
        <v>585</v>
      </c>
    </row>
    <row r="92" spans="1:2" ht="409.05" customHeight="1" x14ac:dyDescent="0.3">
      <c r="A92" s="171">
        <v>46264</v>
      </c>
      <c r="B92" s="172" t="s">
        <v>1035</v>
      </c>
    </row>
    <row r="93" spans="1:2" ht="144" customHeight="1" x14ac:dyDescent="0.3">
      <c r="A93" s="171">
        <v>46264</v>
      </c>
      <c r="B93" s="172" t="s">
        <v>583</v>
      </c>
    </row>
    <row r="94" spans="1:2" ht="259.2" customHeight="1" x14ac:dyDescent="0.3">
      <c r="A94" s="171">
        <v>46264</v>
      </c>
      <c r="B94" s="172" t="s">
        <v>581</v>
      </c>
    </row>
    <row r="95" spans="1:2" ht="288" customHeight="1" x14ac:dyDescent="0.3">
      <c r="A95" s="171">
        <v>46264</v>
      </c>
      <c r="B95" s="172" t="s">
        <v>580</v>
      </c>
    </row>
    <row r="96" spans="1:2" ht="302.55" customHeight="1" x14ac:dyDescent="0.3">
      <c r="A96" s="171">
        <v>46264</v>
      </c>
      <c r="B96" s="172" t="s">
        <v>576</v>
      </c>
    </row>
    <row r="97" spans="1:2" ht="316.8" customHeight="1" x14ac:dyDescent="0.3">
      <c r="A97" s="171">
        <v>46264</v>
      </c>
      <c r="B97" s="172" t="s">
        <v>526</v>
      </c>
    </row>
    <row r="98" spans="1:2" ht="316.8" customHeight="1" x14ac:dyDescent="0.3">
      <c r="A98" s="171">
        <v>46264</v>
      </c>
      <c r="B98" s="172" t="s">
        <v>523</v>
      </c>
    </row>
    <row r="99" spans="1:2" ht="403.2" customHeight="1" x14ac:dyDescent="0.3">
      <c r="A99" s="171">
        <v>46264</v>
      </c>
      <c r="B99" s="172" t="s">
        <v>520</v>
      </c>
    </row>
    <row r="100" spans="1:2" ht="345.45" customHeight="1" x14ac:dyDescent="0.3">
      <c r="A100" s="171">
        <v>46264</v>
      </c>
      <c r="B100" s="172" t="s">
        <v>518</v>
      </c>
    </row>
    <row r="101" spans="1:2" ht="259.2" customHeight="1" x14ac:dyDescent="0.3">
      <c r="A101" s="171">
        <v>46264</v>
      </c>
      <c r="B101" s="172" t="s">
        <v>517</v>
      </c>
    </row>
    <row r="102" spans="1:2" ht="273.45" customHeight="1" x14ac:dyDescent="0.3">
      <c r="A102" s="171">
        <v>46264</v>
      </c>
      <c r="B102" s="172" t="s">
        <v>516</v>
      </c>
    </row>
    <row r="103" spans="1:2" ht="288" customHeight="1" x14ac:dyDescent="0.3">
      <c r="A103" s="171">
        <v>46264</v>
      </c>
      <c r="B103" s="172" t="s">
        <v>1036</v>
      </c>
    </row>
    <row r="104" spans="1:2" ht="288" customHeight="1" x14ac:dyDescent="0.3">
      <c r="A104" s="171">
        <v>46264</v>
      </c>
      <c r="B104" s="172" t="s">
        <v>1037</v>
      </c>
    </row>
    <row r="105" spans="1:2" ht="244.8" customHeight="1" x14ac:dyDescent="0.3">
      <c r="A105" s="171">
        <v>46264</v>
      </c>
      <c r="B105" s="172" t="s">
        <v>497</v>
      </c>
    </row>
    <row r="106" spans="1:2" ht="288" customHeight="1" x14ac:dyDescent="0.3">
      <c r="A106" s="171">
        <v>46264</v>
      </c>
      <c r="B106" s="172" t="s">
        <v>489</v>
      </c>
    </row>
    <row r="107" spans="1:2" ht="259.2" customHeight="1" x14ac:dyDescent="0.3">
      <c r="A107" s="171">
        <v>46264</v>
      </c>
      <c r="B107" s="172" t="s">
        <v>487</v>
      </c>
    </row>
    <row r="108" spans="1:2" ht="288" customHeight="1" x14ac:dyDescent="0.3">
      <c r="A108" s="171">
        <v>46264</v>
      </c>
      <c r="B108" s="172" t="s">
        <v>483</v>
      </c>
    </row>
    <row r="109" spans="1:2" ht="230.55" customHeight="1" x14ac:dyDescent="0.3">
      <c r="A109" s="171">
        <v>46264</v>
      </c>
      <c r="B109" s="172" t="s">
        <v>479</v>
      </c>
    </row>
    <row r="110" spans="1:2" ht="259.2" customHeight="1" x14ac:dyDescent="0.3">
      <c r="A110" s="171">
        <v>46264</v>
      </c>
      <c r="B110" s="172" t="s">
        <v>478</v>
      </c>
    </row>
    <row r="111" spans="1:2" ht="187.2" customHeight="1" x14ac:dyDescent="0.3">
      <c r="A111" s="171">
        <v>46264</v>
      </c>
      <c r="B111" s="172" t="s">
        <v>476</v>
      </c>
    </row>
    <row r="112" spans="1:2" ht="14.55" customHeight="1" x14ac:dyDescent="0.3">
      <c r="A112" s="127">
        <v>46264</v>
      </c>
      <c r="B112" s="1" t="s">
        <v>465</v>
      </c>
    </row>
    <row r="113" spans="1:2" ht="14.55" customHeight="1" x14ac:dyDescent="0.3">
      <c r="A113" s="127">
        <v>46264</v>
      </c>
      <c r="B113" s="1" t="s">
        <v>464</v>
      </c>
    </row>
    <row r="114" spans="1:2" ht="14.55" customHeight="1" x14ac:dyDescent="0.3">
      <c r="A114" s="127">
        <v>46264</v>
      </c>
      <c r="B114" s="1" t="s">
        <v>463</v>
      </c>
    </row>
    <row r="115" spans="1:2" ht="14.55" customHeight="1" x14ac:dyDescent="0.3">
      <c r="A115" s="127">
        <v>46264</v>
      </c>
      <c r="B115" s="1" t="s">
        <v>462</v>
      </c>
    </row>
    <row r="116" spans="1:2" ht="14.55" customHeight="1" x14ac:dyDescent="0.3">
      <c r="A116" s="127">
        <v>46264</v>
      </c>
      <c r="B116" s="1" t="s">
        <v>461</v>
      </c>
    </row>
    <row r="117" spans="1:2" ht="14.55" customHeight="1" x14ac:dyDescent="0.3">
      <c r="A117" s="127">
        <v>46264</v>
      </c>
      <c r="B117" s="1" t="s">
        <v>460</v>
      </c>
    </row>
    <row r="118" spans="1:2" ht="14.55" customHeight="1" x14ac:dyDescent="0.3">
      <c r="A118" s="127">
        <v>46264</v>
      </c>
      <c r="B118" s="1" t="s">
        <v>459</v>
      </c>
    </row>
    <row r="119" spans="1:2" ht="14.55" customHeight="1" x14ac:dyDescent="0.3">
      <c r="A119" s="127">
        <v>46264</v>
      </c>
      <c r="B119" s="1" t="s">
        <v>458</v>
      </c>
    </row>
    <row r="120" spans="1:2" ht="14.55" customHeight="1" x14ac:dyDescent="0.3">
      <c r="A120" s="127">
        <v>46264</v>
      </c>
      <c r="B120" s="1" t="s">
        <v>457</v>
      </c>
    </row>
    <row r="121" spans="1:2" ht="14.55" customHeight="1" x14ac:dyDescent="0.3">
      <c r="A121" s="127">
        <v>46264</v>
      </c>
      <c r="B121" s="1" t="s">
        <v>456</v>
      </c>
    </row>
    <row r="122" spans="1:2" ht="14.55" customHeight="1" x14ac:dyDescent="0.3">
      <c r="A122" s="127">
        <v>46264</v>
      </c>
      <c r="B122" s="1" t="s">
        <v>455</v>
      </c>
    </row>
    <row r="123" spans="1:2" ht="14.55" customHeight="1" x14ac:dyDescent="0.3">
      <c r="A123" s="127">
        <v>46264</v>
      </c>
      <c r="B123" s="1" t="s">
        <v>448</v>
      </c>
    </row>
    <row r="124" spans="1:2" ht="14.55" customHeight="1" x14ac:dyDescent="0.3">
      <c r="A124" s="127">
        <v>46264</v>
      </c>
      <c r="B124" s="1" t="s">
        <v>447</v>
      </c>
    </row>
    <row r="125" spans="1:2" ht="14.55" customHeight="1" x14ac:dyDescent="0.3">
      <c r="A125" s="127">
        <v>46264</v>
      </c>
      <c r="B125" s="1" t="s">
        <v>446</v>
      </c>
    </row>
    <row r="126" spans="1:2" ht="14.55" customHeight="1" x14ac:dyDescent="0.3">
      <c r="A126" s="127">
        <v>46263</v>
      </c>
      <c r="B126" s="1" t="s">
        <v>445</v>
      </c>
    </row>
    <row r="127" spans="1:2" ht="14.55" customHeight="1" x14ac:dyDescent="0.3">
      <c r="A127" s="127">
        <v>46263</v>
      </c>
      <c r="B127" s="1" t="s">
        <v>442</v>
      </c>
    </row>
    <row r="128" spans="1:2" ht="14.55" customHeight="1" x14ac:dyDescent="0.3">
      <c r="A128" s="127">
        <v>46263</v>
      </c>
      <c r="B128" s="1" t="s">
        <v>441</v>
      </c>
    </row>
    <row r="129" spans="1:2" ht="14.55" customHeight="1" x14ac:dyDescent="0.3">
      <c r="A129" s="127">
        <v>46263</v>
      </c>
      <c r="B129" s="1" t="s">
        <v>437</v>
      </c>
    </row>
    <row r="130" spans="1:2" ht="14.55" customHeight="1" x14ac:dyDescent="0.3">
      <c r="A130" s="127">
        <v>46263</v>
      </c>
      <c r="B130" s="1" t="s">
        <v>434</v>
      </c>
    </row>
    <row r="131" spans="1:2" ht="14.55" customHeight="1" x14ac:dyDescent="0.3">
      <c r="A131" s="127">
        <v>46263</v>
      </c>
      <c r="B131" s="1" t="s">
        <v>433</v>
      </c>
    </row>
    <row r="132" spans="1:2" ht="14.55" customHeight="1" x14ac:dyDescent="0.3">
      <c r="A132" s="127">
        <v>46263</v>
      </c>
      <c r="B132" s="1" t="s">
        <v>405</v>
      </c>
    </row>
    <row r="133" spans="1:2" ht="14.55" customHeight="1" x14ac:dyDescent="0.3">
      <c r="A133" s="127">
        <v>46263</v>
      </c>
      <c r="B133" s="1" t="s">
        <v>400</v>
      </c>
    </row>
    <row r="134" spans="1:2" ht="14.55" customHeight="1" x14ac:dyDescent="0.3">
      <c r="A134" s="127">
        <v>46263</v>
      </c>
      <c r="B134" s="1" t="s">
        <v>399</v>
      </c>
    </row>
    <row r="135" spans="1:2" ht="14.55" customHeight="1" x14ac:dyDescent="0.3">
      <c r="A135" s="127">
        <v>46263</v>
      </c>
      <c r="B135" s="1" t="s">
        <v>398</v>
      </c>
    </row>
    <row r="136" spans="1:2" ht="14.55" customHeight="1" x14ac:dyDescent="0.3">
      <c r="A136" s="127">
        <v>46263</v>
      </c>
      <c r="B136" s="1" t="s">
        <v>397</v>
      </c>
    </row>
    <row r="137" spans="1:2" ht="14.55" customHeight="1" x14ac:dyDescent="0.3">
      <c r="A137" s="127">
        <v>46263</v>
      </c>
      <c r="B137" s="1" t="s">
        <v>393</v>
      </c>
    </row>
    <row r="138" spans="1:2" ht="14.55" customHeight="1" x14ac:dyDescent="0.3">
      <c r="A138" s="127">
        <v>46263</v>
      </c>
      <c r="B138" s="1" t="s">
        <v>392</v>
      </c>
    </row>
    <row r="139" spans="1:2" ht="14.55" customHeight="1" x14ac:dyDescent="0.3">
      <c r="A139" s="127">
        <v>46263</v>
      </c>
      <c r="B139" s="1" t="s">
        <v>391</v>
      </c>
    </row>
    <row r="140" spans="1:2" ht="14.55" customHeight="1" x14ac:dyDescent="0.3">
      <c r="A140" s="127">
        <v>46263</v>
      </c>
      <c r="B140" s="1" t="s">
        <v>390</v>
      </c>
    </row>
    <row r="141" spans="1:2" ht="14.55" customHeight="1" x14ac:dyDescent="0.3">
      <c r="A141" s="127">
        <v>46263</v>
      </c>
      <c r="B141" s="1" t="s">
        <v>389</v>
      </c>
    </row>
    <row r="142" spans="1:2" ht="14.55" customHeight="1" x14ac:dyDescent="0.3">
      <c r="A142" s="127">
        <v>46263</v>
      </c>
      <c r="B142" s="1" t="s">
        <v>388</v>
      </c>
    </row>
    <row r="143" spans="1:2" ht="14.55" customHeight="1" x14ac:dyDescent="0.3">
      <c r="A143" s="127">
        <v>46263</v>
      </c>
      <c r="B143" s="1" t="s">
        <v>385</v>
      </c>
    </row>
    <row r="144" spans="1:2" ht="14.55" customHeight="1" x14ac:dyDescent="0.3">
      <c r="A144" s="127">
        <v>46263</v>
      </c>
      <c r="B144" s="1" t="s">
        <v>381</v>
      </c>
    </row>
    <row r="145" spans="1:2" ht="14.55" customHeight="1" x14ac:dyDescent="0.3">
      <c r="A145" s="127">
        <v>46263</v>
      </c>
      <c r="B145" s="1" t="s">
        <v>380</v>
      </c>
    </row>
    <row r="146" spans="1:2" ht="14.55" customHeight="1" x14ac:dyDescent="0.3">
      <c r="A146" s="127">
        <v>46263</v>
      </c>
      <c r="B146" s="1" t="s">
        <v>379</v>
      </c>
    </row>
    <row r="147" spans="1:2" x14ac:dyDescent="0.3">
      <c r="A147" s="1"/>
      <c r="B147" s="1"/>
    </row>
    <row r="148" spans="1:2" ht="14.55" customHeight="1" x14ac:dyDescent="0.3">
      <c r="A148" s="127">
        <v>46263</v>
      </c>
      <c r="B148" s="1" t="s">
        <v>378</v>
      </c>
    </row>
    <row r="149" spans="1:2" ht="14.55" customHeight="1" x14ac:dyDescent="0.3">
      <c r="A149" s="127">
        <v>46263</v>
      </c>
      <c r="B149" s="1" t="s">
        <v>377</v>
      </c>
    </row>
    <row r="150" spans="1:2" ht="14.55" customHeight="1" x14ac:dyDescent="0.3">
      <c r="A150" s="127">
        <v>46263</v>
      </c>
      <c r="B150" s="1" t="s">
        <v>374</v>
      </c>
    </row>
    <row r="151" spans="1:2" ht="14.55" customHeight="1" x14ac:dyDescent="0.3">
      <c r="A151" s="127">
        <v>46263</v>
      </c>
      <c r="B151" s="1" t="s">
        <v>371</v>
      </c>
    </row>
    <row r="152" spans="1:2" ht="14.55" customHeight="1" x14ac:dyDescent="0.3">
      <c r="A152" s="127">
        <v>46263</v>
      </c>
      <c r="B152" s="1" t="s">
        <v>370</v>
      </c>
    </row>
    <row r="153" spans="1:2" ht="14.55" customHeight="1" x14ac:dyDescent="0.3">
      <c r="A153" s="127">
        <v>46263</v>
      </c>
      <c r="B153" s="1" t="s">
        <v>368</v>
      </c>
    </row>
    <row r="154" spans="1:2" ht="14.55" customHeight="1" x14ac:dyDescent="0.3">
      <c r="A154" s="127">
        <v>46263</v>
      </c>
      <c r="B154" s="1" t="s">
        <v>367</v>
      </c>
    </row>
    <row r="155" spans="1:2" ht="14.55" customHeight="1" x14ac:dyDescent="0.3">
      <c r="A155" s="127">
        <v>46263</v>
      </c>
      <c r="B155" s="1" t="s">
        <v>366</v>
      </c>
    </row>
    <row r="156" spans="1:2" ht="14.55" customHeight="1" x14ac:dyDescent="0.3">
      <c r="A156" s="127">
        <v>46263</v>
      </c>
      <c r="B156" s="1" t="s">
        <v>364</v>
      </c>
    </row>
    <row r="157" spans="1:2" ht="14.55" customHeight="1" x14ac:dyDescent="0.3">
      <c r="A157" s="127">
        <v>46263</v>
      </c>
      <c r="B157" s="1" t="s">
        <v>363</v>
      </c>
    </row>
    <row r="158" spans="1:2" ht="14.55" customHeight="1" x14ac:dyDescent="0.3">
      <c r="A158" s="127">
        <v>46263</v>
      </c>
      <c r="B158" s="1" t="s">
        <v>358</v>
      </c>
    </row>
    <row r="159" spans="1:2" ht="14.55" customHeight="1" x14ac:dyDescent="0.3">
      <c r="A159" s="127">
        <v>46263</v>
      </c>
      <c r="B159" s="1" t="s">
        <v>357</v>
      </c>
    </row>
    <row r="160" spans="1:2" ht="14.55" customHeight="1" x14ac:dyDescent="0.3">
      <c r="A160" s="127">
        <v>46263</v>
      </c>
      <c r="B160" s="1" t="s">
        <v>356</v>
      </c>
    </row>
    <row r="161" spans="1:2" ht="14.55" customHeight="1" x14ac:dyDescent="0.3">
      <c r="A161" s="127">
        <v>46263</v>
      </c>
      <c r="B161" s="1" t="s">
        <v>352</v>
      </c>
    </row>
    <row r="162" spans="1:2" ht="14.55" customHeight="1" x14ac:dyDescent="0.3">
      <c r="A162" s="127">
        <v>46263</v>
      </c>
      <c r="B162" s="1" t="s">
        <v>351</v>
      </c>
    </row>
    <row r="163" spans="1:2" ht="14.55" customHeight="1" x14ac:dyDescent="0.3">
      <c r="A163" s="127">
        <v>46263</v>
      </c>
      <c r="B163" s="1" t="s">
        <v>350</v>
      </c>
    </row>
    <row r="164" spans="1:2" ht="14.55" customHeight="1" x14ac:dyDescent="0.3">
      <c r="A164" s="127">
        <v>46263</v>
      </c>
      <c r="B164" s="1" t="s">
        <v>349</v>
      </c>
    </row>
    <row r="165" spans="1:2" ht="14.55" customHeight="1" x14ac:dyDescent="0.3">
      <c r="A165" s="127">
        <v>46263</v>
      </c>
      <c r="B165" s="1" t="s">
        <v>348</v>
      </c>
    </row>
    <row r="166" spans="1:2" ht="14.55" customHeight="1" x14ac:dyDescent="0.3">
      <c r="A166" s="127">
        <v>46263</v>
      </c>
      <c r="B166" s="1" t="s">
        <v>347</v>
      </c>
    </row>
    <row r="167" spans="1:2" ht="14.55" customHeight="1" x14ac:dyDescent="0.3">
      <c r="A167" s="127">
        <v>46263</v>
      </c>
      <c r="B167" s="1" t="s">
        <v>345</v>
      </c>
    </row>
    <row r="168" spans="1:2" ht="14.55" customHeight="1" x14ac:dyDescent="0.3">
      <c r="A168" s="127">
        <v>46263</v>
      </c>
      <c r="B168" s="1" t="s">
        <v>344</v>
      </c>
    </row>
    <row r="169" spans="1:2" ht="14.55" customHeight="1" x14ac:dyDescent="0.3">
      <c r="A169" s="127">
        <v>46263</v>
      </c>
      <c r="B169" s="1" t="s">
        <v>343</v>
      </c>
    </row>
    <row r="170" spans="1:2" ht="14.55" customHeight="1" x14ac:dyDescent="0.3">
      <c r="A170" s="127">
        <v>46263</v>
      </c>
      <c r="B170" s="1" t="s">
        <v>342</v>
      </c>
    </row>
    <row r="171" spans="1:2" ht="14.55" customHeight="1" x14ac:dyDescent="0.3">
      <c r="A171" s="127">
        <v>46263</v>
      </c>
      <c r="B171" s="1" t="s">
        <v>341</v>
      </c>
    </row>
    <row r="172" spans="1:2" ht="14.55" customHeight="1" x14ac:dyDescent="0.3">
      <c r="A172" s="127">
        <v>46263</v>
      </c>
      <c r="B172" s="1" t="s">
        <v>338</v>
      </c>
    </row>
    <row r="173" spans="1:2" ht="14.55" customHeight="1" x14ac:dyDescent="0.3">
      <c r="A173" s="127">
        <v>46263</v>
      </c>
      <c r="B173" s="1" t="s">
        <v>332</v>
      </c>
    </row>
    <row r="174" spans="1:2" ht="14.55" customHeight="1" x14ac:dyDescent="0.3">
      <c r="A174" s="127">
        <v>46263</v>
      </c>
      <c r="B174" s="1" t="s">
        <v>331</v>
      </c>
    </row>
    <row r="175" spans="1:2" ht="14.55" customHeight="1" x14ac:dyDescent="0.3">
      <c r="A175" s="127">
        <v>46263</v>
      </c>
      <c r="B175" s="1" t="s">
        <v>330</v>
      </c>
    </row>
    <row r="176" spans="1:2" ht="14.55" customHeight="1" x14ac:dyDescent="0.3">
      <c r="A176" s="127">
        <v>46263</v>
      </c>
      <c r="B176" s="1" t="s">
        <v>329</v>
      </c>
    </row>
    <row r="177" spans="1:2" ht="14.55" customHeight="1" x14ac:dyDescent="0.3">
      <c r="A177" s="127">
        <v>46263</v>
      </c>
      <c r="B177" s="1" t="s">
        <v>328</v>
      </c>
    </row>
    <row r="178" spans="1:2" ht="14.55" customHeight="1" x14ac:dyDescent="0.3">
      <c r="A178" s="127">
        <v>46263</v>
      </c>
      <c r="B178" s="1" t="s">
        <v>327</v>
      </c>
    </row>
    <row r="179" spans="1:2" ht="14.55" customHeight="1" x14ac:dyDescent="0.3">
      <c r="A179" s="127">
        <v>46263</v>
      </c>
      <c r="B179" s="1" t="s">
        <v>326</v>
      </c>
    </row>
    <row r="180" spans="1:2" ht="14.55" customHeight="1" x14ac:dyDescent="0.3">
      <c r="A180" s="127">
        <v>46263</v>
      </c>
      <c r="B180" s="1" t="s">
        <v>322</v>
      </c>
    </row>
    <row r="181" spans="1:2" ht="14.55" customHeight="1" x14ac:dyDescent="0.3">
      <c r="A181" s="127">
        <v>46263</v>
      </c>
      <c r="B181" s="1" t="s">
        <v>321</v>
      </c>
    </row>
    <row r="182" spans="1:2" ht="14.55" customHeight="1" x14ac:dyDescent="0.3">
      <c r="A182" s="127">
        <v>46263</v>
      </c>
      <c r="B182" s="1" t="s">
        <v>318</v>
      </c>
    </row>
    <row r="183" spans="1:2" ht="14.55" customHeight="1" x14ac:dyDescent="0.3">
      <c r="A183" s="127">
        <v>46263</v>
      </c>
      <c r="B183" s="1" t="s">
        <v>317</v>
      </c>
    </row>
    <row r="184" spans="1:2" ht="14.55" customHeight="1" x14ac:dyDescent="0.3">
      <c r="A184" s="127">
        <v>46263</v>
      </c>
      <c r="B184" s="1" t="s">
        <v>316</v>
      </c>
    </row>
    <row r="185" spans="1:2" ht="14.55" customHeight="1" x14ac:dyDescent="0.3">
      <c r="A185" s="127">
        <v>46263</v>
      </c>
      <c r="B185" s="1" t="s">
        <v>315</v>
      </c>
    </row>
    <row r="186" spans="1:2" ht="14.55" customHeight="1" x14ac:dyDescent="0.3">
      <c r="A186" s="127">
        <v>46263</v>
      </c>
      <c r="B186" s="1" t="s">
        <v>314</v>
      </c>
    </row>
    <row r="187" spans="1:2" ht="14.55" customHeight="1" x14ac:dyDescent="0.3">
      <c r="A187" s="127">
        <v>46263</v>
      </c>
      <c r="B187" s="1" t="s">
        <v>302</v>
      </c>
    </row>
    <row r="188" spans="1:2" ht="14.55" customHeight="1" x14ac:dyDescent="0.3">
      <c r="A188" s="127">
        <v>46263</v>
      </c>
      <c r="B188" s="1" t="s">
        <v>295</v>
      </c>
    </row>
    <row r="189" spans="1:2" ht="14.55" customHeight="1" x14ac:dyDescent="0.3">
      <c r="A189" s="127">
        <v>46263</v>
      </c>
      <c r="B189" s="1" t="s">
        <v>294</v>
      </c>
    </row>
    <row r="190" spans="1:2" ht="43.2" customHeight="1" x14ac:dyDescent="0.3">
      <c r="A190" s="128">
        <v>46261</v>
      </c>
      <c r="B190" s="129" t="s">
        <v>289</v>
      </c>
    </row>
    <row r="191" spans="1:2" x14ac:dyDescent="0.3">
      <c r="A191" s="1"/>
      <c r="B191" s="1"/>
    </row>
    <row r="192" spans="1:2" ht="14.55" customHeight="1" x14ac:dyDescent="0.3">
      <c r="A192" s="1"/>
      <c r="B192" s="1" t="s">
        <v>142</v>
      </c>
    </row>
    <row r="193" spans="1:2" ht="86.55" customHeight="1" x14ac:dyDescent="0.3">
      <c r="A193" s="128">
        <v>46261</v>
      </c>
      <c r="B193" s="129" t="s">
        <v>288</v>
      </c>
    </row>
    <row r="194" spans="1:2" x14ac:dyDescent="0.3">
      <c r="A194" s="1"/>
      <c r="B194" s="1"/>
    </row>
    <row r="195" spans="1:2" ht="14.55" customHeight="1" x14ac:dyDescent="0.3">
      <c r="A195" s="1"/>
      <c r="B195" s="1" t="s">
        <v>142</v>
      </c>
    </row>
    <row r="196" spans="1:2" ht="57.45" customHeight="1" x14ac:dyDescent="0.3">
      <c r="A196" s="128">
        <v>46261</v>
      </c>
      <c r="B196" s="129" t="s">
        <v>286</v>
      </c>
    </row>
    <row r="197" spans="1:2" x14ac:dyDescent="0.3">
      <c r="A197" s="1"/>
      <c r="B197" s="1"/>
    </row>
    <row r="198" spans="1:2" ht="14.55" customHeight="1" x14ac:dyDescent="0.3">
      <c r="A198" s="1"/>
      <c r="B198" s="1" t="s">
        <v>142</v>
      </c>
    </row>
    <row r="199" spans="1:2" ht="72" customHeight="1" x14ac:dyDescent="0.3">
      <c r="A199" s="128">
        <v>46261</v>
      </c>
      <c r="B199" s="129" t="s">
        <v>285</v>
      </c>
    </row>
    <row r="200" spans="1:2" x14ac:dyDescent="0.3">
      <c r="A200" s="1"/>
      <c r="B200" s="1"/>
    </row>
    <row r="201" spans="1:2" ht="14.55" customHeight="1" x14ac:dyDescent="0.3">
      <c r="A201" s="1"/>
      <c r="B201" s="1" t="s">
        <v>142</v>
      </c>
    </row>
    <row r="202" spans="1:2" ht="72" customHeight="1" x14ac:dyDescent="0.3">
      <c r="A202" s="128">
        <v>46261</v>
      </c>
      <c r="B202" s="129" t="s">
        <v>284</v>
      </c>
    </row>
    <row r="203" spans="1:2" x14ac:dyDescent="0.3">
      <c r="A203" s="1"/>
      <c r="B203" s="1"/>
    </row>
    <row r="204" spans="1:2" ht="14.55" customHeight="1" x14ac:dyDescent="0.3">
      <c r="A204" s="1"/>
      <c r="B204" s="1" t="s">
        <v>142</v>
      </c>
    </row>
    <row r="205" spans="1:2" ht="57.45" customHeight="1" x14ac:dyDescent="0.3">
      <c r="A205" s="128">
        <v>46261</v>
      </c>
      <c r="B205" s="129" t="s">
        <v>277</v>
      </c>
    </row>
    <row r="206" spans="1:2" ht="86.55" customHeight="1" x14ac:dyDescent="0.3">
      <c r="A206" s="1"/>
      <c r="B206" s="113" t="s">
        <v>278</v>
      </c>
    </row>
    <row r="207" spans="1:2" ht="28.8" customHeight="1" x14ac:dyDescent="0.3">
      <c r="A207" s="1"/>
      <c r="B207" s="113" t="s">
        <v>279</v>
      </c>
    </row>
    <row r="208" spans="1:2" x14ac:dyDescent="0.3">
      <c r="A208" s="1"/>
      <c r="B208" s="1"/>
    </row>
    <row r="209" spans="1:2" ht="14.55" customHeight="1" x14ac:dyDescent="0.3">
      <c r="A209" s="1"/>
      <c r="B209" s="1" t="s">
        <v>142</v>
      </c>
    </row>
    <row r="210" spans="1:2" ht="72" customHeight="1" x14ac:dyDescent="0.3">
      <c r="A210" s="128">
        <v>46261</v>
      </c>
      <c r="B210" s="129" t="s">
        <v>273</v>
      </c>
    </row>
    <row r="211" spans="1:2" x14ac:dyDescent="0.3">
      <c r="A211" s="1"/>
      <c r="B211" s="1"/>
    </row>
    <row r="212" spans="1:2" ht="14.55" customHeight="1" x14ac:dyDescent="0.3">
      <c r="A212" s="1"/>
      <c r="B212" s="1" t="s">
        <v>142</v>
      </c>
    </row>
    <row r="213" spans="1:2" ht="43.2" customHeight="1" x14ac:dyDescent="0.3">
      <c r="A213" s="128">
        <v>46261</v>
      </c>
      <c r="B213" s="129" t="s">
        <v>260</v>
      </c>
    </row>
    <row r="214" spans="1:2" ht="57.45" customHeight="1" x14ac:dyDescent="0.3">
      <c r="A214" s="1"/>
      <c r="B214" s="113" t="s">
        <v>261</v>
      </c>
    </row>
    <row r="215" spans="1:2" x14ac:dyDescent="0.3">
      <c r="A215" s="1"/>
      <c r="B215" s="1"/>
    </row>
    <row r="216" spans="1:2" ht="14.55" customHeight="1" x14ac:dyDescent="0.3">
      <c r="A216" s="1"/>
      <c r="B216" s="1" t="s">
        <v>142</v>
      </c>
    </row>
    <row r="217" spans="1:2" ht="86.55" customHeight="1" x14ac:dyDescent="0.3">
      <c r="A217" s="128">
        <v>46261</v>
      </c>
      <c r="B217" s="129" t="s">
        <v>245</v>
      </c>
    </row>
    <row r="218" spans="1:2" ht="43.2" customHeight="1" x14ac:dyDescent="0.3">
      <c r="A218" s="1"/>
      <c r="B218" s="113" t="s">
        <v>246</v>
      </c>
    </row>
    <row r="219" spans="1:2" x14ac:dyDescent="0.3">
      <c r="A219" s="1"/>
      <c r="B219" s="1"/>
    </row>
    <row r="220" spans="1:2" ht="14.55" customHeight="1" x14ac:dyDescent="0.3">
      <c r="A220" s="1"/>
      <c r="B220" s="1" t="s">
        <v>142</v>
      </c>
    </row>
    <row r="221" spans="1:2" ht="43.2" customHeight="1" x14ac:dyDescent="0.3">
      <c r="A221" s="128">
        <v>46261</v>
      </c>
      <c r="B221" s="129" t="s">
        <v>221</v>
      </c>
    </row>
    <row r="222" spans="1:2" x14ac:dyDescent="0.3">
      <c r="A222" s="1"/>
      <c r="B222" s="1"/>
    </row>
    <row r="223" spans="1:2" ht="14.55" customHeight="1" x14ac:dyDescent="0.3">
      <c r="A223" s="1"/>
      <c r="B223" s="1" t="s">
        <v>142</v>
      </c>
    </row>
    <row r="224" spans="1:2" ht="43.2" customHeight="1" x14ac:dyDescent="0.3">
      <c r="A224" s="128">
        <v>46261</v>
      </c>
      <c r="B224" s="129" t="s">
        <v>220</v>
      </c>
    </row>
    <row r="225" spans="1:2" x14ac:dyDescent="0.3">
      <c r="A225" s="1"/>
      <c r="B225" s="1"/>
    </row>
    <row r="226" spans="1:2" ht="14.55" customHeight="1" x14ac:dyDescent="0.3">
      <c r="A226" s="1"/>
      <c r="B226" s="1" t="s">
        <v>142</v>
      </c>
    </row>
    <row r="227" spans="1:2" ht="14.55" customHeight="1" x14ac:dyDescent="0.3">
      <c r="A227" s="128">
        <v>46261</v>
      </c>
      <c r="B227" s="129" t="s">
        <v>176</v>
      </c>
    </row>
    <row r="228" spans="1:2" ht="43.2" customHeight="1" x14ac:dyDescent="0.3">
      <c r="A228" s="1"/>
      <c r="B228" s="113" t="s">
        <v>177</v>
      </c>
    </row>
    <row r="229" spans="1:2" ht="57.45" customHeight="1" x14ac:dyDescent="0.3">
      <c r="A229" s="1"/>
      <c r="B229" s="113" t="s">
        <v>178</v>
      </c>
    </row>
    <row r="230" spans="1:2" ht="28.8" customHeight="1" x14ac:dyDescent="0.3">
      <c r="A230" s="1"/>
      <c r="B230" s="113" t="s">
        <v>179</v>
      </c>
    </row>
    <row r="231" spans="1:2" ht="43.2" customHeight="1" x14ac:dyDescent="0.3">
      <c r="A231" s="1"/>
      <c r="B231" s="113" t="s">
        <v>180</v>
      </c>
    </row>
    <row r="232" spans="1:2" ht="28.8" customHeight="1" x14ac:dyDescent="0.3">
      <c r="A232" s="1"/>
      <c r="B232" s="113" t="s">
        <v>181</v>
      </c>
    </row>
    <row r="233" spans="1:2" ht="14.55" customHeight="1" x14ac:dyDescent="0.3">
      <c r="A233" s="1"/>
      <c r="B233" s="113" t="s">
        <v>182</v>
      </c>
    </row>
    <row r="234" spans="1:2" ht="14.55" customHeight="1" x14ac:dyDescent="0.3">
      <c r="A234" s="1"/>
      <c r="B234" s="113" t="s">
        <v>142</v>
      </c>
    </row>
    <row r="235" spans="1:2" ht="14.55" customHeight="1" x14ac:dyDescent="0.3">
      <c r="A235" s="128">
        <v>46261</v>
      </c>
      <c r="B235" s="129" t="s">
        <v>137</v>
      </c>
    </row>
    <row r="236" spans="1:2" ht="57.45" customHeight="1" x14ac:dyDescent="0.3">
      <c r="A236" s="1"/>
      <c r="B236" s="113" t="s">
        <v>138</v>
      </c>
    </row>
    <row r="237" spans="1:2" ht="28.8" customHeight="1" x14ac:dyDescent="0.3">
      <c r="A237" s="1"/>
      <c r="B237" s="113" t="s">
        <v>139</v>
      </c>
    </row>
    <row r="238" spans="1:2" ht="14.55" customHeight="1" x14ac:dyDescent="0.3">
      <c r="A238" s="1"/>
      <c r="B238" s="113" t="s">
        <v>140</v>
      </c>
    </row>
    <row r="239" spans="1:2" ht="14.55" customHeight="1" x14ac:dyDescent="0.3">
      <c r="A239" s="1"/>
      <c r="B239" s="113" t="s">
        <v>141</v>
      </c>
    </row>
    <row r="240" spans="1:2" x14ac:dyDescent="0.3">
      <c r="A240" s="1"/>
      <c r="B240" s="113"/>
    </row>
    <row r="241" spans="1:2" ht="14.55" customHeight="1" x14ac:dyDescent="0.3">
      <c r="A241" s="1"/>
      <c r="B241" s="113" t="s">
        <v>142</v>
      </c>
    </row>
    <row r="242" spans="1:2" ht="14.55" customHeight="1" x14ac:dyDescent="0.3">
      <c r="A242" s="128">
        <v>46261</v>
      </c>
      <c r="B242" s="129" t="s">
        <v>127</v>
      </c>
    </row>
    <row r="243" spans="1:2" ht="28.8" customHeight="1" x14ac:dyDescent="0.3">
      <c r="A243" s="1"/>
      <c r="B243" s="113" t="s">
        <v>128</v>
      </c>
    </row>
    <row r="244" spans="1:2" ht="72" customHeight="1" x14ac:dyDescent="0.3">
      <c r="A244" s="1"/>
      <c r="B244" s="113" t="s">
        <v>129</v>
      </c>
    </row>
    <row r="245" spans="1:2" ht="57.45" customHeight="1" x14ac:dyDescent="0.3">
      <c r="A245" s="1"/>
      <c r="B245" s="113" t="s">
        <v>130</v>
      </c>
    </row>
    <row r="246" spans="1:2" ht="28.8" customHeight="1" x14ac:dyDescent="0.3">
      <c r="A246" s="1"/>
      <c r="B246" s="113" t="s">
        <v>131</v>
      </c>
    </row>
    <row r="247" spans="1:2" ht="43.2" customHeight="1" x14ac:dyDescent="0.3">
      <c r="A247" s="1"/>
      <c r="B247" s="113" t="s">
        <v>132</v>
      </c>
    </row>
    <row r="248" spans="1:2" ht="57.45" customHeight="1" x14ac:dyDescent="0.3">
      <c r="A248" s="1"/>
      <c r="B248" s="113"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15</vt:i4>
      </vt:variant>
    </vt:vector>
  </HeadingPairs>
  <TitlesOfParts>
    <vt:vector size="41" baseType="lpstr">
      <vt:lpstr>Cover</vt:lpstr>
      <vt:lpstr>Dashboard</vt:lpstr>
      <vt:lpstr>Input</vt:lpstr>
      <vt:lpstr>The Buy Box</vt:lpstr>
      <vt:lpstr>Income Statement</vt:lpstr>
      <vt:lpstr>Statement of Cash Flows</vt:lpstr>
      <vt:lpstr>Balance Sheet</vt:lpstr>
      <vt:lpstr>Investor Return</vt:lpstr>
      <vt:lpstr>Sources &amp; Uses</vt:lpstr>
      <vt:lpstr>Portfolio Analysis</vt:lpstr>
      <vt:lpstr>Properties</vt:lpstr>
      <vt:lpstr>Property Detail</vt:lpstr>
      <vt:lpstr>Medellín Market Data</vt:lpstr>
      <vt:lpstr>ServCo Financials</vt:lpstr>
      <vt:lpstr>ServCo Personnel US</vt:lpstr>
      <vt:lpstr>ServCo Personnel Colombia</vt:lpstr>
      <vt:lpstr>Lola &amp; Ber</vt:lpstr>
      <vt:lpstr>Business Description</vt:lpstr>
      <vt:lpstr>Notes to Financials</vt:lpstr>
      <vt:lpstr>Glossary</vt:lpstr>
      <vt:lpstr>_Month Engine</vt:lpstr>
      <vt:lpstr>_Seasonality</vt:lpstr>
      <vt:lpstr>_Forced Assumptions</vt:lpstr>
      <vt:lpstr>_IRR Engine</vt:lpstr>
      <vt:lpstr>_ICP Archive</vt:lpstr>
      <vt:lpstr>_Handoff</vt:lpstr>
      <vt:lpstr>'Balance Sheet'!Print_Area</vt:lpstr>
      <vt:lpstr>Cover!Print_Area</vt:lpstr>
      <vt:lpstr>Dashboard!Print_Area</vt:lpstr>
      <vt:lpstr>Glossary!Print_Area</vt:lpstr>
      <vt:lpstr>'Income Statement'!Print_Area</vt:lpstr>
      <vt:lpstr>Input!Print_Area</vt:lpstr>
      <vt:lpstr>'Investor Return'!Print_Area</vt:lpstr>
      <vt:lpstr>'Medellín Market Data'!Print_Area</vt:lpstr>
      <vt:lpstr>'Portfolio Analysis'!Print_Area</vt:lpstr>
      <vt:lpstr>Properties!Print_Area</vt:lpstr>
      <vt:lpstr>'Property Detail'!Print_Area</vt:lpstr>
      <vt:lpstr>'ServCo Financials'!Print_Area</vt:lpstr>
      <vt:lpstr>'ServCo Personnel Colombia'!Print_Area</vt:lpstr>
      <vt:lpstr>'Sources &amp; Uses'!Print_Area</vt:lpstr>
      <vt:lpstr>'Statement of Cash Flows'!Print_Area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Cidale</dc:creator>
  <cp:lastModifiedBy>Ricardo Cidale</cp:lastModifiedBy>
  <cp:lastPrinted>2026-09-03T11:45:16Z</cp:lastPrinted>
  <dcterms:created xsi:type="dcterms:W3CDTF">2026-08-27T17:39:49Z</dcterms:created>
  <dcterms:modified xsi:type="dcterms:W3CDTF">2026-09-27T11:50:52Z</dcterms:modified>
</cp:coreProperties>
</file>